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1.xml" ContentType="application/vnd.ms-office.chartex+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Ex2.xml" ContentType="application/vnd.ms-office.chartex+xml"/>
  <Override PartName="/xl/charts/style23.xml" ContentType="application/vnd.ms-office.chartstyle+xml"/>
  <Override PartName="/xl/charts/colors23.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RI CHARAN\Downloads\"/>
    </mc:Choice>
  </mc:AlternateContent>
  <xr:revisionPtr revIDLastSave="0" documentId="13_ncr:1_{E04FF9C9-E3DB-4F5F-AB83-76621F17AE04}" xr6:coauthVersionLast="47" xr6:coauthVersionMax="47" xr10:uidLastSave="{00000000-0000-0000-0000-000000000000}"/>
  <bookViews>
    <workbookView xWindow="-110" yWindow="-110" windowWidth="19420" windowHeight="11020" xr2:uid="{BE37FBF5-E656-4DCA-8ED5-A7C6EE84FBBC}"/>
  </bookViews>
  <sheets>
    <sheet name="Dashboard" sheetId="5" r:id="rId1"/>
    <sheet name="Pivort_table" sheetId="2" r:id="rId2"/>
    <sheet name="Formatted_data" sheetId="1" r:id="rId3"/>
    <sheet name="Decathlon Raw Dataset" sheetId="6" r:id="rId4"/>
  </sheets>
  <definedNames>
    <definedName name="_xlchart.v2.0" hidden="1">Pivort_table!$AV$2:$AV$6</definedName>
    <definedName name="_xlchart.v2.1" hidden="1">Pivort_table!$AW$1</definedName>
    <definedName name="_xlchart.v2.2" hidden="1">Pivort_table!$AW$2:$AW$6</definedName>
    <definedName name="_xlchart.v2.3" hidden="1">Pivort_table!$AV$2:$AV$6</definedName>
    <definedName name="_xlchart.v2.4" hidden="1">Pivort_table!$AW$1</definedName>
    <definedName name="_xlchart.v2.5" hidden="1">Pivort_table!$AW$2:$AW$6</definedName>
    <definedName name="_xlchart.v2.6" hidden="1">Pivort_table!$AV$2:$AV$6</definedName>
    <definedName name="_xlchart.v2.7" hidden="1">Pivort_table!$AW$1</definedName>
    <definedName name="_xlchart.v2.8" hidden="1">Pivort_table!$AW$2:$AW$6</definedName>
    <definedName name="NativeTimeline_Date">#N/A</definedName>
    <definedName name="Slicer_Category">#N/A</definedName>
    <definedName name="Slicer_Gender">#N/A</definedName>
    <definedName name="Slicer_Months__Date">#N/A</definedName>
    <definedName name="Slicer_Product_Name">#N/A</definedName>
    <definedName name="Slicer_Return_Status">#N/A</definedName>
    <definedName name="Slicer_Sales_Channel">#N/A</definedName>
    <definedName name="Slicer_Unit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V3" i="2" l="1"/>
  <c r="AV4" i="2"/>
  <c r="AV5" i="2"/>
  <c r="AV6" i="2"/>
  <c r="AV2" i="2"/>
  <c r="N436" i="1"/>
  <c r="N505" i="1"/>
  <c r="N672" i="1"/>
  <c r="N772" i="1"/>
  <c r="N780" i="1"/>
  <c r="N781" i="1"/>
  <c r="N782" i="1"/>
  <c r="N803" i="1"/>
  <c r="N862" i="1"/>
  <c r="N1008" i="1"/>
  <c r="N1009" i="1"/>
  <c r="N1023" i="1"/>
  <c r="N1024" i="1"/>
  <c r="N1033" i="1"/>
  <c r="N1082" i="1"/>
  <c r="N1122" i="1"/>
  <c r="N1264" i="1"/>
  <c r="N1272" i="1"/>
  <c r="N1301" i="1"/>
  <c r="N1319" i="1"/>
  <c r="N1320" i="1"/>
  <c r="N1325" i="1"/>
  <c r="N1384" i="1"/>
  <c r="N1415" i="1"/>
  <c r="N1464" i="1"/>
  <c r="N1522" i="1"/>
  <c r="N1618" i="1"/>
  <c r="N1621" i="1"/>
  <c r="N1634" i="1"/>
  <c r="N1635" i="1"/>
  <c r="N1792" i="1"/>
  <c r="N1793" i="1"/>
  <c r="M15" i="1"/>
  <c r="N15" i="1" s="1"/>
  <c r="M16" i="1"/>
  <c r="N16" i="1" s="1"/>
  <c r="M17" i="1"/>
  <c r="N17" i="1" s="1"/>
  <c r="M18" i="1"/>
  <c r="N18" i="1" s="1"/>
  <c r="M22" i="1"/>
  <c r="N22" i="1" s="1"/>
  <c r="M24" i="1"/>
  <c r="N24" i="1" s="1"/>
  <c r="M36" i="1"/>
  <c r="N36" i="1" s="1"/>
  <c r="M37" i="1"/>
  <c r="N37" i="1" s="1"/>
  <c r="M72" i="1"/>
  <c r="N72" i="1" s="1"/>
  <c r="M74" i="1"/>
  <c r="N74" i="1" s="1"/>
  <c r="M75" i="1"/>
  <c r="N75" i="1" s="1"/>
  <c r="M76" i="1"/>
  <c r="N76" i="1" s="1"/>
  <c r="M77" i="1"/>
  <c r="N77" i="1" s="1"/>
  <c r="M89" i="1"/>
  <c r="N89" i="1" s="1"/>
  <c r="M132" i="1"/>
  <c r="N132" i="1" s="1"/>
  <c r="M136" i="1"/>
  <c r="N136" i="1" s="1"/>
  <c r="M137" i="1"/>
  <c r="N137" i="1" s="1"/>
  <c r="M147" i="1"/>
  <c r="N147" i="1" s="1"/>
  <c r="M168" i="1"/>
  <c r="N168" i="1" s="1"/>
  <c r="M171" i="1"/>
  <c r="N171" i="1" s="1"/>
  <c r="M172" i="1"/>
  <c r="N172" i="1" s="1"/>
  <c r="M178" i="1"/>
  <c r="N178" i="1" s="1"/>
  <c r="M196" i="1"/>
  <c r="N196" i="1" s="1"/>
  <c r="M205" i="1"/>
  <c r="N205" i="1" s="1"/>
  <c r="M206" i="1"/>
  <c r="N206" i="1" s="1"/>
  <c r="M232" i="1"/>
  <c r="N232" i="1" s="1"/>
  <c r="M243" i="1"/>
  <c r="N243" i="1" s="1"/>
  <c r="M244" i="1"/>
  <c r="N244" i="1" s="1"/>
  <c r="M268" i="1"/>
  <c r="N268" i="1" s="1"/>
  <c r="M276" i="1"/>
  <c r="N276" i="1" s="1"/>
  <c r="M304" i="1"/>
  <c r="N304" i="1" s="1"/>
  <c r="M305" i="1"/>
  <c r="N305" i="1" s="1"/>
  <c r="M322" i="1"/>
  <c r="N322" i="1" s="1"/>
  <c r="M329" i="1"/>
  <c r="N329" i="1" s="1"/>
  <c r="M330" i="1"/>
  <c r="N330" i="1" s="1"/>
  <c r="M348" i="1"/>
  <c r="N348" i="1" s="1"/>
  <c r="M384" i="1"/>
  <c r="N384" i="1" s="1"/>
  <c r="M401" i="1"/>
  <c r="N401" i="1" s="1"/>
  <c r="M406" i="1"/>
  <c r="N406" i="1" s="1"/>
  <c r="M408" i="1"/>
  <c r="N408" i="1" s="1"/>
  <c r="M432" i="1"/>
  <c r="N432" i="1" s="1"/>
  <c r="M444" i="1"/>
  <c r="N444" i="1" s="1"/>
  <c r="M449" i="1"/>
  <c r="N449" i="1" s="1"/>
  <c r="M466" i="1"/>
  <c r="N466" i="1" s="1"/>
  <c r="M502" i="1"/>
  <c r="N502" i="1" s="1"/>
  <c r="M504" i="1"/>
  <c r="N504" i="1" s="1"/>
  <c r="M509" i="1"/>
  <c r="N509" i="1" s="1"/>
  <c r="M540" i="1"/>
  <c r="N540" i="1" s="1"/>
  <c r="M541" i="1"/>
  <c r="N541" i="1" s="1"/>
  <c r="M542" i="1"/>
  <c r="N542" i="1" s="1"/>
  <c r="M544" i="1"/>
  <c r="N544" i="1" s="1"/>
  <c r="M545" i="1"/>
  <c r="N545" i="1" s="1"/>
  <c r="M556" i="1"/>
  <c r="N556" i="1" s="1"/>
  <c r="M558" i="1"/>
  <c r="N558" i="1" s="1"/>
  <c r="M588" i="1"/>
  <c r="N588" i="1" s="1"/>
  <c r="M589" i="1"/>
  <c r="N589" i="1" s="1"/>
  <c r="M590" i="1"/>
  <c r="N590" i="1" s="1"/>
  <c r="M592" i="1"/>
  <c r="N592" i="1" s="1"/>
  <c r="M593" i="1"/>
  <c r="N593" i="1" s="1"/>
  <c r="M626" i="1"/>
  <c r="N626" i="1" s="1"/>
  <c r="M627" i="1"/>
  <c r="N627" i="1" s="1"/>
  <c r="M628" i="1"/>
  <c r="N628" i="1" s="1"/>
  <c r="M640" i="1"/>
  <c r="N640" i="1" s="1"/>
  <c r="M641" i="1"/>
  <c r="N641" i="1" s="1"/>
  <c r="M648" i="1"/>
  <c r="N648" i="1" s="1"/>
  <c r="M660" i="1"/>
  <c r="N660" i="1" s="1"/>
  <c r="M684" i="1"/>
  <c r="N684" i="1" s="1"/>
  <c r="M685" i="1"/>
  <c r="N685" i="1" s="1"/>
  <c r="M696" i="1"/>
  <c r="N696" i="1" s="1"/>
  <c r="M697" i="1"/>
  <c r="N697" i="1" s="1"/>
  <c r="M698" i="1"/>
  <c r="N698" i="1" s="1"/>
  <c r="M700" i="1"/>
  <c r="N700" i="1" s="1"/>
  <c r="M744" i="1"/>
  <c r="N744" i="1" s="1"/>
  <c r="M746" i="1"/>
  <c r="N746" i="1" s="1"/>
  <c r="M747" i="1"/>
  <c r="N747" i="1" s="1"/>
  <c r="M748" i="1"/>
  <c r="N748" i="1" s="1"/>
  <c r="M770" i="1"/>
  <c r="N770" i="1" s="1"/>
  <c r="M771" i="1"/>
  <c r="N771" i="1" s="1"/>
  <c r="M783" i="1"/>
  <c r="N783" i="1" s="1"/>
  <c r="M784" i="1"/>
  <c r="N784" i="1" s="1"/>
  <c r="M785" i="1"/>
  <c r="N785" i="1" s="1"/>
  <c r="M796" i="1"/>
  <c r="N796" i="1" s="1"/>
  <c r="M797" i="1"/>
  <c r="N797" i="1" s="1"/>
  <c r="M828" i="1"/>
  <c r="N828" i="1" s="1"/>
  <c r="M829" i="1"/>
  <c r="N829" i="1" s="1"/>
  <c r="M830" i="1"/>
  <c r="N830" i="1" s="1"/>
  <c r="M832" i="1"/>
  <c r="N832" i="1" s="1"/>
  <c r="M833" i="1"/>
  <c r="N833" i="1" s="1"/>
  <c r="M838" i="1"/>
  <c r="N838" i="1" s="1"/>
  <c r="M867" i="1"/>
  <c r="N867" i="1" s="1"/>
  <c r="M868" i="1"/>
  <c r="N868" i="1" s="1"/>
  <c r="M869" i="1"/>
  <c r="N869" i="1" s="1"/>
  <c r="M876" i="1"/>
  <c r="N876" i="1" s="1"/>
  <c r="M880" i="1"/>
  <c r="N880" i="1" s="1"/>
  <c r="M891" i="1"/>
  <c r="N891" i="1" s="1"/>
  <c r="M892" i="1"/>
  <c r="N892" i="1" s="1"/>
  <c r="M914" i="1"/>
  <c r="N914" i="1" s="1"/>
  <c r="M915" i="1"/>
  <c r="N915" i="1" s="1"/>
  <c r="M916" i="1"/>
  <c r="N916" i="1" s="1"/>
  <c r="M939" i="1"/>
  <c r="N939" i="1" s="1"/>
  <c r="M940" i="1"/>
  <c r="N940" i="1" s="1"/>
  <c r="M941" i="1"/>
  <c r="N941" i="1" s="1"/>
  <c r="M950" i="1"/>
  <c r="N950" i="1" s="1"/>
  <c r="M952" i="1"/>
  <c r="N952" i="1" s="1"/>
  <c r="M953" i="1"/>
  <c r="N953" i="1" s="1"/>
  <c r="M973" i="1"/>
  <c r="N973" i="1" s="1"/>
  <c r="M974" i="1"/>
  <c r="N974" i="1" s="1"/>
  <c r="M976" i="1"/>
  <c r="N976" i="1" s="1"/>
  <c r="M977" i="1"/>
  <c r="N977" i="1" s="1"/>
  <c r="M996" i="1"/>
  <c r="N996" i="1" s="1"/>
  <c r="M997" i="1"/>
  <c r="N997" i="1" s="1"/>
  <c r="M1020" i="1"/>
  <c r="N1020" i="1" s="1"/>
  <c r="M1021" i="1"/>
  <c r="N1021" i="1" s="1"/>
  <c r="M1022" i="1"/>
  <c r="N1022" i="1" s="1"/>
  <c r="M1024" i="1"/>
  <c r="M1025" i="1"/>
  <c r="N1025" i="1" s="1"/>
  <c r="M1030" i="1"/>
  <c r="N1030" i="1" s="1"/>
  <c r="M1035" i="1"/>
  <c r="N1035" i="1" s="1"/>
  <c r="M1056" i="1"/>
  <c r="N1056" i="1" s="1"/>
  <c r="M1060" i="1"/>
  <c r="N1060" i="1" s="1"/>
  <c r="M1067" i="1"/>
  <c r="N1067" i="1" s="1"/>
  <c r="M1068" i="1"/>
  <c r="N1068" i="1" s="1"/>
  <c r="M1070" i="1"/>
  <c r="N1070" i="1" s="1"/>
  <c r="M1071" i="1"/>
  <c r="N1071" i="1" s="1"/>
  <c r="M1092" i="1"/>
  <c r="N1092" i="1" s="1"/>
  <c r="M1094" i="1"/>
  <c r="N1094" i="1" s="1"/>
  <c r="M1095" i="1"/>
  <c r="N1095" i="1" s="1"/>
  <c r="M1096" i="1"/>
  <c r="N1096" i="1" s="1"/>
  <c r="M1102" i="1"/>
  <c r="N1102" i="1" s="1"/>
  <c r="M1103" i="1"/>
  <c r="N1103" i="1" s="1"/>
  <c r="M1140" i="1"/>
  <c r="N1140" i="1" s="1"/>
  <c r="M1142" i="1"/>
  <c r="N1142" i="1" s="1"/>
  <c r="M1143" i="1"/>
  <c r="N1143" i="1" s="1"/>
  <c r="M1144" i="1"/>
  <c r="N1144" i="1" s="1"/>
  <c r="M1166" i="1"/>
  <c r="N1166" i="1" s="1"/>
  <c r="M1180" i="1"/>
  <c r="N1180" i="1" s="1"/>
  <c r="M1188" i="1"/>
  <c r="N1188" i="1" s="1"/>
  <c r="M1190" i="1"/>
  <c r="N1190" i="1" s="1"/>
  <c r="M1212" i="1"/>
  <c r="N1212" i="1" s="1"/>
  <c r="M1214" i="1"/>
  <c r="N1214" i="1" s="1"/>
  <c r="M1215" i="1"/>
  <c r="N1215" i="1" s="1"/>
  <c r="M1216" i="1"/>
  <c r="N1216" i="1" s="1"/>
  <c r="M1228" i="1"/>
  <c r="N1228" i="1" s="1"/>
  <c r="M1230" i="1"/>
  <c r="N1230" i="1" s="1"/>
  <c r="M1240" i="1"/>
  <c r="N1240" i="1" s="1"/>
  <c r="M1260" i="1"/>
  <c r="N1260" i="1" s="1"/>
  <c r="M1262" i="1"/>
  <c r="N1262" i="1" s="1"/>
  <c r="M1276" i="1"/>
  <c r="N1276" i="1" s="1"/>
  <c r="M1282" i="1"/>
  <c r="N1282" i="1" s="1"/>
  <c r="M1283" i="1"/>
  <c r="N1283" i="1" s="1"/>
  <c r="M1284" i="1"/>
  <c r="N1284" i="1" s="1"/>
  <c r="M1299" i="1"/>
  <c r="N1299" i="1" s="1"/>
  <c r="M1300" i="1"/>
  <c r="N1300" i="1" s="1"/>
  <c r="M1308" i="1"/>
  <c r="N1308" i="1" s="1"/>
  <c r="M1309" i="1"/>
  <c r="N1309" i="1" s="1"/>
  <c r="M1310" i="1"/>
  <c r="N1310" i="1" s="1"/>
  <c r="M1312" i="1"/>
  <c r="N1312" i="1" s="1"/>
  <c r="M1346" i="1"/>
  <c r="N1346" i="1" s="1"/>
  <c r="M1347" i="1"/>
  <c r="N1347" i="1" s="1"/>
  <c r="M1348" i="1"/>
  <c r="N1348" i="1" s="1"/>
  <c r="M1360" i="1"/>
  <c r="N1360" i="1" s="1"/>
  <c r="M1369" i="1"/>
  <c r="N1369" i="1" s="1"/>
  <c r="M1380" i="1"/>
  <c r="N1380" i="1" s="1"/>
  <c r="M1392" i="1"/>
  <c r="N1392" i="1" s="1"/>
  <c r="M1404" i="1"/>
  <c r="N1404" i="1" s="1"/>
  <c r="M1405" i="1"/>
  <c r="N1405" i="1" s="1"/>
  <c r="M1428" i="1"/>
  <c r="N1428" i="1" s="1"/>
  <c r="M1432" i="1"/>
  <c r="N1432" i="1" s="1"/>
  <c r="M1451" i="1"/>
  <c r="N1451" i="1" s="1"/>
  <c r="M1468" i="1"/>
  <c r="N1468" i="1" s="1"/>
  <c r="M1469" i="1"/>
  <c r="N1469" i="1" s="1"/>
  <c r="M1470" i="1"/>
  <c r="N1470" i="1" s="1"/>
  <c r="M1480" i="1"/>
  <c r="N1480" i="1" s="1"/>
  <c r="M1481" i="1"/>
  <c r="N1481" i="1" s="1"/>
  <c r="M1512" i="1"/>
  <c r="N1512" i="1" s="1"/>
  <c r="M1513" i="1"/>
  <c r="N1513" i="1" s="1"/>
  <c r="M1514" i="1"/>
  <c r="N1514" i="1" s="1"/>
  <c r="M1516" i="1"/>
  <c r="N1516" i="1" s="1"/>
  <c r="M1517" i="1"/>
  <c r="N1517" i="1" s="1"/>
  <c r="M1524" i="1"/>
  <c r="N1524" i="1" s="1"/>
  <c r="M1525" i="1"/>
  <c r="N1525" i="1" s="1"/>
  <c r="M1540" i="1"/>
  <c r="N1540" i="1" s="1"/>
  <c r="M1541" i="1"/>
  <c r="N1541" i="1" s="1"/>
  <c r="M1551" i="1"/>
  <c r="N1551" i="1" s="1"/>
  <c r="M1552" i="1"/>
  <c r="N1552" i="1" s="1"/>
  <c r="M1553" i="1"/>
  <c r="N1553" i="1" s="1"/>
  <c r="M1572" i="1"/>
  <c r="N1572" i="1" s="1"/>
  <c r="M1584" i="1"/>
  <c r="N1584" i="1" s="1"/>
  <c r="M1585" i="1"/>
  <c r="N1585" i="1" s="1"/>
  <c r="M1586" i="1"/>
  <c r="N1586" i="1" s="1"/>
  <c r="M1587" i="1"/>
  <c r="N1587" i="1" s="1"/>
  <c r="M1588" i="1"/>
  <c r="N1588" i="1" s="1"/>
  <c r="M1589" i="1"/>
  <c r="N1589" i="1" s="1"/>
  <c r="M1610" i="1"/>
  <c r="N1610" i="1" s="1"/>
  <c r="M1611" i="1"/>
  <c r="N1611" i="1" s="1"/>
  <c r="M1612" i="1"/>
  <c r="N1612" i="1" s="1"/>
  <c r="M1613" i="1"/>
  <c r="N1613" i="1" s="1"/>
  <c r="M1623" i="1"/>
  <c r="N1623" i="1" s="1"/>
  <c r="M1624" i="1"/>
  <c r="N1624" i="1" s="1"/>
  <c r="M1625" i="1"/>
  <c r="N1625" i="1" s="1"/>
  <c r="M1644" i="1"/>
  <c r="N1644" i="1" s="1"/>
  <c r="M1645" i="1"/>
  <c r="N1645" i="1" s="1"/>
  <c r="M1646" i="1"/>
  <c r="N1646" i="1" s="1"/>
  <c r="M1647" i="1"/>
  <c r="N1647" i="1" s="1"/>
  <c r="M1656" i="1"/>
  <c r="N1656" i="1" s="1"/>
  <c r="M1657" i="1"/>
  <c r="N1657" i="1" s="1"/>
  <c r="M1658" i="1"/>
  <c r="N1658" i="1" s="1"/>
  <c r="M1669" i="1"/>
  <c r="N1669" i="1" s="1"/>
  <c r="M1672" i="1"/>
  <c r="N1672" i="1" s="1"/>
  <c r="M1673" i="1"/>
  <c r="N1673" i="1" s="1"/>
  <c r="M1681" i="1"/>
  <c r="N1681" i="1" s="1"/>
  <c r="M1682" i="1"/>
  <c r="N1682" i="1" s="1"/>
  <c r="M1683" i="1"/>
  <c r="N1683" i="1" s="1"/>
  <c r="M1684" i="1"/>
  <c r="N1684" i="1" s="1"/>
  <c r="M1704" i="1"/>
  <c r="N1704" i="1" s="1"/>
  <c r="M1705" i="1"/>
  <c r="N1705" i="1" s="1"/>
  <c r="M1709" i="1"/>
  <c r="N1709" i="1" s="1"/>
  <c r="M1716" i="1"/>
  <c r="N1716" i="1" s="1"/>
  <c r="M1717" i="1"/>
  <c r="N1717" i="1" s="1"/>
  <c r="M1718" i="1"/>
  <c r="N1718" i="1" s="1"/>
  <c r="M1741" i="1"/>
  <c r="N1741" i="1" s="1"/>
  <c r="M1742" i="1"/>
  <c r="N1742" i="1" s="1"/>
  <c r="M1743" i="1"/>
  <c r="N1743" i="1" s="1"/>
  <c r="M1744" i="1"/>
  <c r="N1744" i="1" s="1"/>
  <c r="M1745" i="1"/>
  <c r="N1745" i="1" s="1"/>
  <c r="M1746" i="1"/>
  <c r="N1746" i="1" s="1"/>
  <c r="M1756" i="1"/>
  <c r="N1756" i="1" s="1"/>
  <c r="M1757" i="1"/>
  <c r="N1757" i="1" s="1"/>
  <c r="M1776" i="1"/>
  <c r="N1776" i="1" s="1"/>
  <c r="M1777" i="1"/>
  <c r="N1777" i="1" s="1"/>
  <c r="M1781" i="1"/>
  <c r="N1781" i="1" s="1"/>
  <c r="M1800" i="1"/>
  <c r="N1800" i="1" s="1"/>
  <c r="M1801" i="1"/>
  <c r="N1801" i="1" s="1"/>
  <c r="M1802" i="1"/>
  <c r="N1802" i="1" s="1"/>
  <c r="M1814" i="1"/>
  <c r="N1814" i="1" s="1"/>
  <c r="M1815" i="1"/>
  <c r="N1815" i="1" s="1"/>
  <c r="M1816" i="1"/>
  <c r="N1816" i="1" s="1"/>
  <c r="M1817" i="1"/>
  <c r="N1817" i="1" s="1"/>
  <c r="M1828" i="1"/>
  <c r="N1828" i="1" s="1"/>
  <c r="M1829" i="1"/>
  <c r="N1829" i="1" s="1"/>
  <c r="M1848" i="1"/>
  <c r="N1848" i="1" s="1"/>
  <c r="M1849" i="1"/>
  <c r="N1849" i="1" s="1"/>
  <c r="M1853" i="1"/>
  <c r="N1853" i="1" s="1"/>
  <c r="M1860" i="1"/>
  <c r="N1860" i="1" s="1"/>
  <c r="M1872" i="1"/>
  <c r="N1872" i="1" s="1"/>
  <c r="M1873" i="1"/>
  <c r="N1873" i="1" s="1"/>
  <c r="M1896" i="1"/>
  <c r="N1896" i="1" s="1"/>
  <c r="M1900" i="1"/>
  <c r="N1900" i="1" s="1"/>
  <c r="M1901" i="1"/>
  <c r="N1901" i="1" s="1"/>
  <c r="M1909" i="1"/>
  <c r="N1909" i="1" s="1"/>
  <c r="M1910" i="1"/>
  <c r="N1910" i="1" s="1"/>
  <c r="M1911" i="1"/>
  <c r="N1911" i="1" s="1"/>
  <c r="M1912" i="1"/>
  <c r="N1912" i="1" s="1"/>
  <c r="M1913" i="1"/>
  <c r="N1913" i="1" s="1"/>
  <c r="M1914" i="1"/>
  <c r="N1914" i="1" s="1"/>
  <c r="M1918" i="1"/>
  <c r="N1918" i="1" s="1"/>
  <c r="M1936" i="1"/>
  <c r="N1936" i="1" s="1"/>
  <c r="M1937" i="1"/>
  <c r="N1937" i="1" s="1"/>
  <c r="M1942" i="1"/>
  <c r="N1942" i="1" s="1"/>
  <c r="M1943" i="1"/>
  <c r="N1943" i="1" s="1"/>
  <c r="L3" i="1"/>
  <c r="M3" i="1" s="1"/>
  <c r="N3" i="1" s="1"/>
  <c r="L4" i="1"/>
  <c r="M4" i="1" s="1"/>
  <c r="N4" i="1" s="1"/>
  <c r="L5" i="1"/>
  <c r="M5" i="1" s="1"/>
  <c r="N5" i="1" s="1"/>
  <c r="L6" i="1"/>
  <c r="M6" i="1" s="1"/>
  <c r="N6" i="1" s="1"/>
  <c r="L7" i="1"/>
  <c r="M7" i="1" s="1"/>
  <c r="N7" i="1" s="1"/>
  <c r="L8" i="1"/>
  <c r="M8" i="1" s="1"/>
  <c r="N8" i="1" s="1"/>
  <c r="L9" i="1"/>
  <c r="M9" i="1" s="1"/>
  <c r="N9" i="1" s="1"/>
  <c r="L10" i="1"/>
  <c r="M10" i="1" s="1"/>
  <c r="N10" i="1" s="1"/>
  <c r="L11" i="1"/>
  <c r="M11" i="1" s="1"/>
  <c r="N11" i="1" s="1"/>
  <c r="L12" i="1"/>
  <c r="M12" i="1" s="1"/>
  <c r="N12" i="1" s="1"/>
  <c r="L13" i="1"/>
  <c r="M13" i="1" s="1"/>
  <c r="N13" i="1" s="1"/>
  <c r="L14" i="1"/>
  <c r="M14" i="1" s="1"/>
  <c r="N14" i="1" s="1"/>
  <c r="L15" i="1"/>
  <c r="L16" i="1"/>
  <c r="L17" i="1"/>
  <c r="L18" i="1"/>
  <c r="L19" i="1"/>
  <c r="M19" i="1" s="1"/>
  <c r="N19" i="1" s="1"/>
  <c r="L20" i="1"/>
  <c r="M20" i="1" s="1"/>
  <c r="N20" i="1" s="1"/>
  <c r="L21" i="1"/>
  <c r="M21" i="1" s="1"/>
  <c r="N21" i="1" s="1"/>
  <c r="L22" i="1"/>
  <c r="L23" i="1"/>
  <c r="M23" i="1" s="1"/>
  <c r="N23" i="1" s="1"/>
  <c r="L24" i="1"/>
  <c r="L25" i="1"/>
  <c r="M25" i="1" s="1"/>
  <c r="N25" i="1" s="1"/>
  <c r="L26" i="1"/>
  <c r="M26" i="1" s="1"/>
  <c r="N26" i="1" s="1"/>
  <c r="L27" i="1"/>
  <c r="M27" i="1" s="1"/>
  <c r="N27" i="1" s="1"/>
  <c r="L28" i="1"/>
  <c r="M28" i="1" s="1"/>
  <c r="N28" i="1" s="1"/>
  <c r="L29" i="1"/>
  <c r="M29" i="1" s="1"/>
  <c r="N29" i="1" s="1"/>
  <c r="L30" i="1"/>
  <c r="M30" i="1" s="1"/>
  <c r="N30" i="1" s="1"/>
  <c r="L31" i="1"/>
  <c r="M31" i="1" s="1"/>
  <c r="N31" i="1" s="1"/>
  <c r="L32" i="1"/>
  <c r="M32" i="1" s="1"/>
  <c r="N32" i="1" s="1"/>
  <c r="L33" i="1"/>
  <c r="M33" i="1" s="1"/>
  <c r="N33" i="1" s="1"/>
  <c r="L34" i="1"/>
  <c r="M34" i="1" s="1"/>
  <c r="N34" i="1" s="1"/>
  <c r="L35" i="1"/>
  <c r="M35" i="1" s="1"/>
  <c r="N35" i="1" s="1"/>
  <c r="L36" i="1"/>
  <c r="L37" i="1"/>
  <c r="L38" i="1"/>
  <c r="M38" i="1" s="1"/>
  <c r="N38" i="1" s="1"/>
  <c r="L39" i="1"/>
  <c r="M39" i="1" s="1"/>
  <c r="N39" i="1" s="1"/>
  <c r="L40" i="1"/>
  <c r="M40" i="1" s="1"/>
  <c r="N40" i="1" s="1"/>
  <c r="L41" i="1"/>
  <c r="M41" i="1" s="1"/>
  <c r="N41" i="1" s="1"/>
  <c r="L42" i="1"/>
  <c r="M42" i="1" s="1"/>
  <c r="N42" i="1" s="1"/>
  <c r="L43" i="1"/>
  <c r="M43" i="1" s="1"/>
  <c r="N43" i="1" s="1"/>
  <c r="L44" i="1"/>
  <c r="M44" i="1" s="1"/>
  <c r="N44" i="1" s="1"/>
  <c r="L45" i="1"/>
  <c r="M45" i="1" s="1"/>
  <c r="N45" i="1" s="1"/>
  <c r="L46" i="1"/>
  <c r="M46" i="1" s="1"/>
  <c r="N46" i="1" s="1"/>
  <c r="L47" i="1"/>
  <c r="M47" i="1" s="1"/>
  <c r="N47" i="1" s="1"/>
  <c r="L48" i="1"/>
  <c r="M48" i="1" s="1"/>
  <c r="N48" i="1" s="1"/>
  <c r="L49" i="1"/>
  <c r="M49" i="1" s="1"/>
  <c r="N49" i="1" s="1"/>
  <c r="L50" i="1"/>
  <c r="M50" i="1" s="1"/>
  <c r="N50" i="1" s="1"/>
  <c r="L51" i="1"/>
  <c r="M51" i="1" s="1"/>
  <c r="N51" i="1" s="1"/>
  <c r="L52" i="1"/>
  <c r="M52" i="1" s="1"/>
  <c r="N52" i="1" s="1"/>
  <c r="L53" i="1"/>
  <c r="M53" i="1" s="1"/>
  <c r="N53" i="1" s="1"/>
  <c r="L54" i="1"/>
  <c r="M54" i="1" s="1"/>
  <c r="N54" i="1" s="1"/>
  <c r="L55" i="1"/>
  <c r="M55" i="1" s="1"/>
  <c r="N55" i="1" s="1"/>
  <c r="L56" i="1"/>
  <c r="M56" i="1" s="1"/>
  <c r="N56" i="1" s="1"/>
  <c r="L57" i="1"/>
  <c r="M57" i="1" s="1"/>
  <c r="N57" i="1" s="1"/>
  <c r="L58" i="1"/>
  <c r="M58" i="1" s="1"/>
  <c r="N58" i="1" s="1"/>
  <c r="L59" i="1"/>
  <c r="M59" i="1" s="1"/>
  <c r="N59" i="1" s="1"/>
  <c r="L60" i="1"/>
  <c r="M60" i="1" s="1"/>
  <c r="N60" i="1" s="1"/>
  <c r="L61" i="1"/>
  <c r="M61" i="1" s="1"/>
  <c r="N61" i="1" s="1"/>
  <c r="L62" i="1"/>
  <c r="M62" i="1" s="1"/>
  <c r="N62" i="1" s="1"/>
  <c r="L63" i="1"/>
  <c r="M63" i="1" s="1"/>
  <c r="N63" i="1" s="1"/>
  <c r="L64" i="1"/>
  <c r="M64" i="1" s="1"/>
  <c r="N64" i="1" s="1"/>
  <c r="L65" i="1"/>
  <c r="M65" i="1" s="1"/>
  <c r="N65" i="1" s="1"/>
  <c r="L66" i="1"/>
  <c r="M66" i="1" s="1"/>
  <c r="N66" i="1" s="1"/>
  <c r="L67" i="1"/>
  <c r="M67" i="1" s="1"/>
  <c r="N67" i="1" s="1"/>
  <c r="L68" i="1"/>
  <c r="M68" i="1" s="1"/>
  <c r="N68" i="1" s="1"/>
  <c r="L69" i="1"/>
  <c r="M69" i="1" s="1"/>
  <c r="N69" i="1" s="1"/>
  <c r="L70" i="1"/>
  <c r="M70" i="1" s="1"/>
  <c r="N70" i="1" s="1"/>
  <c r="L71" i="1"/>
  <c r="M71" i="1" s="1"/>
  <c r="N71" i="1" s="1"/>
  <c r="L72" i="1"/>
  <c r="L73" i="1"/>
  <c r="M73" i="1" s="1"/>
  <c r="N73" i="1" s="1"/>
  <c r="L74" i="1"/>
  <c r="L75" i="1"/>
  <c r="L76" i="1"/>
  <c r="L77" i="1"/>
  <c r="L78" i="1"/>
  <c r="M78" i="1" s="1"/>
  <c r="N78" i="1" s="1"/>
  <c r="L79" i="1"/>
  <c r="M79" i="1" s="1"/>
  <c r="N79" i="1" s="1"/>
  <c r="L80" i="1"/>
  <c r="M80" i="1" s="1"/>
  <c r="N80" i="1" s="1"/>
  <c r="L81" i="1"/>
  <c r="M81" i="1" s="1"/>
  <c r="N81" i="1" s="1"/>
  <c r="L82" i="1"/>
  <c r="M82" i="1" s="1"/>
  <c r="N82" i="1" s="1"/>
  <c r="L83" i="1"/>
  <c r="M83" i="1" s="1"/>
  <c r="N83" i="1" s="1"/>
  <c r="L84" i="1"/>
  <c r="M84" i="1" s="1"/>
  <c r="N84" i="1" s="1"/>
  <c r="L85" i="1"/>
  <c r="M85" i="1" s="1"/>
  <c r="N85" i="1" s="1"/>
  <c r="L86" i="1"/>
  <c r="M86" i="1" s="1"/>
  <c r="N86" i="1" s="1"/>
  <c r="L87" i="1"/>
  <c r="M87" i="1" s="1"/>
  <c r="N87" i="1" s="1"/>
  <c r="L88" i="1"/>
  <c r="M88" i="1" s="1"/>
  <c r="N88" i="1" s="1"/>
  <c r="L89" i="1"/>
  <c r="L90" i="1"/>
  <c r="M90" i="1" s="1"/>
  <c r="N90" i="1" s="1"/>
  <c r="L91" i="1"/>
  <c r="M91" i="1" s="1"/>
  <c r="N91" i="1" s="1"/>
  <c r="L92" i="1"/>
  <c r="M92" i="1" s="1"/>
  <c r="N92" i="1" s="1"/>
  <c r="L93" i="1"/>
  <c r="M93" i="1" s="1"/>
  <c r="N93" i="1" s="1"/>
  <c r="L94" i="1"/>
  <c r="M94" i="1" s="1"/>
  <c r="N94" i="1" s="1"/>
  <c r="L95" i="1"/>
  <c r="M95" i="1" s="1"/>
  <c r="N95" i="1" s="1"/>
  <c r="L96" i="1"/>
  <c r="M96" i="1" s="1"/>
  <c r="N96" i="1" s="1"/>
  <c r="L97" i="1"/>
  <c r="M97" i="1" s="1"/>
  <c r="N97" i="1" s="1"/>
  <c r="L98" i="1"/>
  <c r="M98" i="1" s="1"/>
  <c r="N98" i="1" s="1"/>
  <c r="L99" i="1"/>
  <c r="M99" i="1" s="1"/>
  <c r="N99" i="1" s="1"/>
  <c r="L100" i="1"/>
  <c r="M100" i="1" s="1"/>
  <c r="N100" i="1" s="1"/>
  <c r="L101" i="1"/>
  <c r="M101" i="1" s="1"/>
  <c r="N101" i="1" s="1"/>
  <c r="L102" i="1"/>
  <c r="M102" i="1" s="1"/>
  <c r="N102" i="1" s="1"/>
  <c r="L103" i="1"/>
  <c r="M103" i="1" s="1"/>
  <c r="N103" i="1" s="1"/>
  <c r="L104" i="1"/>
  <c r="M104" i="1" s="1"/>
  <c r="N104" i="1" s="1"/>
  <c r="L105" i="1"/>
  <c r="M105" i="1" s="1"/>
  <c r="N105" i="1" s="1"/>
  <c r="L106" i="1"/>
  <c r="M106" i="1" s="1"/>
  <c r="N106" i="1" s="1"/>
  <c r="L107" i="1"/>
  <c r="M107" i="1" s="1"/>
  <c r="N107" i="1" s="1"/>
  <c r="L108" i="1"/>
  <c r="M108" i="1" s="1"/>
  <c r="N108" i="1" s="1"/>
  <c r="L109" i="1"/>
  <c r="M109" i="1" s="1"/>
  <c r="N109" i="1" s="1"/>
  <c r="L110" i="1"/>
  <c r="M110" i="1" s="1"/>
  <c r="N110" i="1" s="1"/>
  <c r="L111" i="1"/>
  <c r="M111" i="1" s="1"/>
  <c r="N111" i="1" s="1"/>
  <c r="L112" i="1"/>
  <c r="M112" i="1" s="1"/>
  <c r="N112" i="1" s="1"/>
  <c r="L113" i="1"/>
  <c r="M113" i="1" s="1"/>
  <c r="N113" i="1" s="1"/>
  <c r="L114" i="1"/>
  <c r="M114" i="1" s="1"/>
  <c r="N114" i="1" s="1"/>
  <c r="L115" i="1"/>
  <c r="M115" i="1" s="1"/>
  <c r="N115" i="1" s="1"/>
  <c r="L116" i="1"/>
  <c r="M116" i="1" s="1"/>
  <c r="N116" i="1" s="1"/>
  <c r="L117" i="1"/>
  <c r="M117" i="1" s="1"/>
  <c r="N117" i="1" s="1"/>
  <c r="L118" i="1"/>
  <c r="M118" i="1" s="1"/>
  <c r="N118" i="1" s="1"/>
  <c r="L119" i="1"/>
  <c r="M119" i="1" s="1"/>
  <c r="N119" i="1" s="1"/>
  <c r="L120" i="1"/>
  <c r="M120" i="1" s="1"/>
  <c r="N120" i="1" s="1"/>
  <c r="L121" i="1"/>
  <c r="M121" i="1" s="1"/>
  <c r="N121" i="1" s="1"/>
  <c r="L122" i="1"/>
  <c r="M122" i="1" s="1"/>
  <c r="N122" i="1" s="1"/>
  <c r="L123" i="1"/>
  <c r="M123" i="1" s="1"/>
  <c r="N123" i="1" s="1"/>
  <c r="L124" i="1"/>
  <c r="M124" i="1" s="1"/>
  <c r="N124" i="1" s="1"/>
  <c r="L125" i="1"/>
  <c r="M125" i="1" s="1"/>
  <c r="N125" i="1" s="1"/>
  <c r="L126" i="1"/>
  <c r="M126" i="1" s="1"/>
  <c r="N126" i="1" s="1"/>
  <c r="L127" i="1"/>
  <c r="M127" i="1" s="1"/>
  <c r="N127" i="1" s="1"/>
  <c r="L128" i="1"/>
  <c r="M128" i="1" s="1"/>
  <c r="N128" i="1" s="1"/>
  <c r="L129" i="1"/>
  <c r="M129" i="1" s="1"/>
  <c r="N129" i="1" s="1"/>
  <c r="L130" i="1"/>
  <c r="M130" i="1" s="1"/>
  <c r="N130" i="1" s="1"/>
  <c r="L131" i="1"/>
  <c r="M131" i="1" s="1"/>
  <c r="N131" i="1" s="1"/>
  <c r="L132" i="1"/>
  <c r="L133" i="1"/>
  <c r="M133" i="1" s="1"/>
  <c r="N133" i="1" s="1"/>
  <c r="L134" i="1"/>
  <c r="M134" i="1" s="1"/>
  <c r="N134" i="1" s="1"/>
  <c r="L135" i="1"/>
  <c r="M135" i="1" s="1"/>
  <c r="N135" i="1" s="1"/>
  <c r="L136" i="1"/>
  <c r="L137" i="1"/>
  <c r="L138" i="1"/>
  <c r="M138" i="1" s="1"/>
  <c r="N138" i="1" s="1"/>
  <c r="L139" i="1"/>
  <c r="M139" i="1" s="1"/>
  <c r="N139" i="1" s="1"/>
  <c r="L140" i="1"/>
  <c r="M140" i="1" s="1"/>
  <c r="N140" i="1" s="1"/>
  <c r="L141" i="1"/>
  <c r="M141" i="1" s="1"/>
  <c r="N141" i="1" s="1"/>
  <c r="L142" i="1"/>
  <c r="M142" i="1" s="1"/>
  <c r="N142" i="1" s="1"/>
  <c r="L143" i="1"/>
  <c r="M143" i="1" s="1"/>
  <c r="N143" i="1" s="1"/>
  <c r="L144" i="1"/>
  <c r="M144" i="1" s="1"/>
  <c r="N144" i="1" s="1"/>
  <c r="L145" i="1"/>
  <c r="M145" i="1" s="1"/>
  <c r="N145" i="1" s="1"/>
  <c r="L146" i="1"/>
  <c r="M146" i="1" s="1"/>
  <c r="N146" i="1" s="1"/>
  <c r="L147" i="1"/>
  <c r="L148" i="1"/>
  <c r="M148" i="1" s="1"/>
  <c r="N148" i="1" s="1"/>
  <c r="L149" i="1"/>
  <c r="M149" i="1" s="1"/>
  <c r="N149" i="1" s="1"/>
  <c r="L150" i="1"/>
  <c r="M150" i="1" s="1"/>
  <c r="N150" i="1" s="1"/>
  <c r="L151" i="1"/>
  <c r="M151" i="1" s="1"/>
  <c r="N151" i="1" s="1"/>
  <c r="L152" i="1"/>
  <c r="M152" i="1" s="1"/>
  <c r="N152" i="1" s="1"/>
  <c r="L153" i="1"/>
  <c r="M153" i="1" s="1"/>
  <c r="N153" i="1" s="1"/>
  <c r="L154" i="1"/>
  <c r="M154" i="1" s="1"/>
  <c r="N154" i="1" s="1"/>
  <c r="L155" i="1"/>
  <c r="M155" i="1" s="1"/>
  <c r="N155" i="1" s="1"/>
  <c r="L156" i="1"/>
  <c r="M156" i="1" s="1"/>
  <c r="N156" i="1" s="1"/>
  <c r="L157" i="1"/>
  <c r="M157" i="1" s="1"/>
  <c r="N157" i="1" s="1"/>
  <c r="L158" i="1"/>
  <c r="M158" i="1" s="1"/>
  <c r="N158" i="1" s="1"/>
  <c r="L159" i="1"/>
  <c r="M159" i="1" s="1"/>
  <c r="N159" i="1" s="1"/>
  <c r="L160" i="1"/>
  <c r="M160" i="1" s="1"/>
  <c r="N160" i="1" s="1"/>
  <c r="L161" i="1"/>
  <c r="M161" i="1" s="1"/>
  <c r="N161" i="1" s="1"/>
  <c r="L162" i="1"/>
  <c r="M162" i="1" s="1"/>
  <c r="N162" i="1" s="1"/>
  <c r="L163" i="1"/>
  <c r="M163" i="1" s="1"/>
  <c r="N163" i="1" s="1"/>
  <c r="L164" i="1"/>
  <c r="M164" i="1" s="1"/>
  <c r="N164" i="1" s="1"/>
  <c r="L165" i="1"/>
  <c r="M165" i="1" s="1"/>
  <c r="N165" i="1" s="1"/>
  <c r="L166" i="1"/>
  <c r="M166" i="1" s="1"/>
  <c r="N166" i="1" s="1"/>
  <c r="L167" i="1"/>
  <c r="M167" i="1" s="1"/>
  <c r="N167" i="1" s="1"/>
  <c r="L168" i="1"/>
  <c r="L169" i="1"/>
  <c r="M169" i="1" s="1"/>
  <c r="N169" i="1" s="1"/>
  <c r="L170" i="1"/>
  <c r="M170" i="1" s="1"/>
  <c r="N170" i="1" s="1"/>
  <c r="L171" i="1"/>
  <c r="L172" i="1"/>
  <c r="L173" i="1"/>
  <c r="M173" i="1" s="1"/>
  <c r="N173" i="1" s="1"/>
  <c r="L174" i="1"/>
  <c r="M174" i="1" s="1"/>
  <c r="N174" i="1" s="1"/>
  <c r="L175" i="1"/>
  <c r="M175" i="1" s="1"/>
  <c r="N175" i="1" s="1"/>
  <c r="L176" i="1"/>
  <c r="M176" i="1" s="1"/>
  <c r="N176" i="1" s="1"/>
  <c r="L177" i="1"/>
  <c r="M177" i="1" s="1"/>
  <c r="N177" i="1" s="1"/>
  <c r="L178" i="1"/>
  <c r="L179" i="1"/>
  <c r="M179" i="1" s="1"/>
  <c r="N179" i="1" s="1"/>
  <c r="L180" i="1"/>
  <c r="M180" i="1" s="1"/>
  <c r="N180" i="1" s="1"/>
  <c r="L181" i="1"/>
  <c r="M181" i="1" s="1"/>
  <c r="N181" i="1" s="1"/>
  <c r="L182" i="1"/>
  <c r="M182" i="1" s="1"/>
  <c r="N182" i="1" s="1"/>
  <c r="L183" i="1"/>
  <c r="M183" i="1" s="1"/>
  <c r="N183" i="1" s="1"/>
  <c r="L184" i="1"/>
  <c r="M184" i="1" s="1"/>
  <c r="N184" i="1" s="1"/>
  <c r="L185" i="1"/>
  <c r="M185" i="1" s="1"/>
  <c r="N185" i="1" s="1"/>
  <c r="L186" i="1"/>
  <c r="M186" i="1" s="1"/>
  <c r="N186" i="1" s="1"/>
  <c r="L187" i="1"/>
  <c r="M187" i="1" s="1"/>
  <c r="N187" i="1" s="1"/>
  <c r="L188" i="1"/>
  <c r="M188" i="1" s="1"/>
  <c r="N188" i="1" s="1"/>
  <c r="L189" i="1"/>
  <c r="M189" i="1" s="1"/>
  <c r="N189" i="1" s="1"/>
  <c r="L190" i="1"/>
  <c r="M190" i="1" s="1"/>
  <c r="N190" i="1" s="1"/>
  <c r="L191" i="1"/>
  <c r="M191" i="1" s="1"/>
  <c r="N191" i="1" s="1"/>
  <c r="L192" i="1"/>
  <c r="M192" i="1" s="1"/>
  <c r="N192" i="1" s="1"/>
  <c r="L193" i="1"/>
  <c r="M193" i="1" s="1"/>
  <c r="N193" i="1" s="1"/>
  <c r="L194" i="1"/>
  <c r="M194" i="1" s="1"/>
  <c r="N194" i="1" s="1"/>
  <c r="L195" i="1"/>
  <c r="M195" i="1" s="1"/>
  <c r="N195" i="1" s="1"/>
  <c r="L196" i="1"/>
  <c r="L197" i="1"/>
  <c r="M197" i="1" s="1"/>
  <c r="N197" i="1" s="1"/>
  <c r="L198" i="1"/>
  <c r="M198" i="1" s="1"/>
  <c r="N198" i="1" s="1"/>
  <c r="L199" i="1"/>
  <c r="M199" i="1" s="1"/>
  <c r="N199" i="1" s="1"/>
  <c r="L200" i="1"/>
  <c r="M200" i="1" s="1"/>
  <c r="N200" i="1" s="1"/>
  <c r="L201" i="1"/>
  <c r="M201" i="1" s="1"/>
  <c r="N201" i="1" s="1"/>
  <c r="L202" i="1"/>
  <c r="M202" i="1" s="1"/>
  <c r="N202" i="1" s="1"/>
  <c r="L203" i="1"/>
  <c r="M203" i="1" s="1"/>
  <c r="N203" i="1" s="1"/>
  <c r="L204" i="1"/>
  <c r="M204" i="1" s="1"/>
  <c r="N204" i="1" s="1"/>
  <c r="L205" i="1"/>
  <c r="L206" i="1"/>
  <c r="L207" i="1"/>
  <c r="M207" i="1" s="1"/>
  <c r="N207" i="1" s="1"/>
  <c r="L208" i="1"/>
  <c r="M208" i="1" s="1"/>
  <c r="N208" i="1" s="1"/>
  <c r="L209" i="1"/>
  <c r="M209" i="1" s="1"/>
  <c r="N209" i="1" s="1"/>
  <c r="L210" i="1"/>
  <c r="M210" i="1" s="1"/>
  <c r="N210" i="1" s="1"/>
  <c r="L211" i="1"/>
  <c r="M211" i="1" s="1"/>
  <c r="N211" i="1" s="1"/>
  <c r="L212" i="1"/>
  <c r="M212" i="1" s="1"/>
  <c r="N212" i="1" s="1"/>
  <c r="L213" i="1"/>
  <c r="M213" i="1" s="1"/>
  <c r="N213" i="1" s="1"/>
  <c r="L214" i="1"/>
  <c r="M214" i="1" s="1"/>
  <c r="N214" i="1" s="1"/>
  <c r="L215" i="1"/>
  <c r="M215" i="1" s="1"/>
  <c r="N215" i="1" s="1"/>
  <c r="L216" i="1"/>
  <c r="M216" i="1" s="1"/>
  <c r="N216" i="1" s="1"/>
  <c r="L217" i="1"/>
  <c r="M217" i="1" s="1"/>
  <c r="N217" i="1" s="1"/>
  <c r="L218" i="1"/>
  <c r="M218" i="1" s="1"/>
  <c r="N218" i="1" s="1"/>
  <c r="L219" i="1"/>
  <c r="M219" i="1" s="1"/>
  <c r="N219" i="1" s="1"/>
  <c r="L220" i="1"/>
  <c r="M220" i="1" s="1"/>
  <c r="N220" i="1" s="1"/>
  <c r="L221" i="1"/>
  <c r="M221" i="1" s="1"/>
  <c r="N221" i="1" s="1"/>
  <c r="L222" i="1"/>
  <c r="M222" i="1" s="1"/>
  <c r="N222" i="1" s="1"/>
  <c r="L223" i="1"/>
  <c r="M223" i="1" s="1"/>
  <c r="N223" i="1" s="1"/>
  <c r="L224" i="1"/>
  <c r="M224" i="1" s="1"/>
  <c r="N224" i="1" s="1"/>
  <c r="L225" i="1"/>
  <c r="M225" i="1" s="1"/>
  <c r="N225" i="1" s="1"/>
  <c r="L226" i="1"/>
  <c r="M226" i="1" s="1"/>
  <c r="N226" i="1" s="1"/>
  <c r="L227" i="1"/>
  <c r="M227" i="1" s="1"/>
  <c r="N227" i="1" s="1"/>
  <c r="L228" i="1"/>
  <c r="M228" i="1" s="1"/>
  <c r="N228" i="1" s="1"/>
  <c r="L229" i="1"/>
  <c r="M229" i="1" s="1"/>
  <c r="N229" i="1" s="1"/>
  <c r="L230" i="1"/>
  <c r="M230" i="1" s="1"/>
  <c r="N230" i="1" s="1"/>
  <c r="L231" i="1"/>
  <c r="M231" i="1" s="1"/>
  <c r="N231" i="1" s="1"/>
  <c r="L232" i="1"/>
  <c r="L233" i="1"/>
  <c r="M233" i="1" s="1"/>
  <c r="N233" i="1" s="1"/>
  <c r="L234" i="1"/>
  <c r="M234" i="1" s="1"/>
  <c r="N234" i="1" s="1"/>
  <c r="L235" i="1"/>
  <c r="M235" i="1" s="1"/>
  <c r="N235" i="1" s="1"/>
  <c r="L236" i="1"/>
  <c r="M236" i="1" s="1"/>
  <c r="N236" i="1" s="1"/>
  <c r="L237" i="1"/>
  <c r="M237" i="1" s="1"/>
  <c r="N237" i="1" s="1"/>
  <c r="L238" i="1"/>
  <c r="M238" i="1" s="1"/>
  <c r="N238" i="1" s="1"/>
  <c r="L239" i="1"/>
  <c r="M239" i="1" s="1"/>
  <c r="N239" i="1" s="1"/>
  <c r="L240" i="1"/>
  <c r="M240" i="1" s="1"/>
  <c r="N240" i="1" s="1"/>
  <c r="L241" i="1"/>
  <c r="M241" i="1" s="1"/>
  <c r="N241" i="1" s="1"/>
  <c r="L242" i="1"/>
  <c r="M242" i="1" s="1"/>
  <c r="N242" i="1" s="1"/>
  <c r="L243" i="1"/>
  <c r="L244" i="1"/>
  <c r="L245" i="1"/>
  <c r="M245" i="1" s="1"/>
  <c r="N245" i="1" s="1"/>
  <c r="L246" i="1"/>
  <c r="M246" i="1" s="1"/>
  <c r="N246" i="1" s="1"/>
  <c r="L247" i="1"/>
  <c r="M247" i="1" s="1"/>
  <c r="N247" i="1" s="1"/>
  <c r="L248" i="1"/>
  <c r="M248" i="1" s="1"/>
  <c r="N248" i="1" s="1"/>
  <c r="L249" i="1"/>
  <c r="M249" i="1" s="1"/>
  <c r="N249" i="1" s="1"/>
  <c r="L250" i="1"/>
  <c r="M250" i="1" s="1"/>
  <c r="N250" i="1" s="1"/>
  <c r="L251" i="1"/>
  <c r="M251" i="1" s="1"/>
  <c r="N251" i="1" s="1"/>
  <c r="L252" i="1"/>
  <c r="M252" i="1" s="1"/>
  <c r="N252" i="1" s="1"/>
  <c r="L253" i="1"/>
  <c r="M253" i="1" s="1"/>
  <c r="N253" i="1" s="1"/>
  <c r="L254" i="1"/>
  <c r="M254" i="1" s="1"/>
  <c r="N254" i="1" s="1"/>
  <c r="L255" i="1"/>
  <c r="M255" i="1" s="1"/>
  <c r="N255" i="1" s="1"/>
  <c r="L256" i="1"/>
  <c r="M256" i="1" s="1"/>
  <c r="N256" i="1" s="1"/>
  <c r="L257" i="1"/>
  <c r="M257" i="1" s="1"/>
  <c r="N257" i="1" s="1"/>
  <c r="L258" i="1"/>
  <c r="M258" i="1" s="1"/>
  <c r="N258" i="1" s="1"/>
  <c r="L259" i="1"/>
  <c r="M259" i="1" s="1"/>
  <c r="N259" i="1" s="1"/>
  <c r="L260" i="1"/>
  <c r="M260" i="1" s="1"/>
  <c r="N260" i="1" s="1"/>
  <c r="L261" i="1"/>
  <c r="M261" i="1" s="1"/>
  <c r="N261" i="1" s="1"/>
  <c r="L262" i="1"/>
  <c r="M262" i="1" s="1"/>
  <c r="N262" i="1" s="1"/>
  <c r="L263" i="1"/>
  <c r="M263" i="1" s="1"/>
  <c r="N263" i="1" s="1"/>
  <c r="L264" i="1"/>
  <c r="M264" i="1" s="1"/>
  <c r="N264" i="1" s="1"/>
  <c r="L265" i="1"/>
  <c r="M265" i="1" s="1"/>
  <c r="N265" i="1" s="1"/>
  <c r="L266" i="1"/>
  <c r="M266" i="1" s="1"/>
  <c r="N266" i="1" s="1"/>
  <c r="L267" i="1"/>
  <c r="M267" i="1" s="1"/>
  <c r="N267" i="1" s="1"/>
  <c r="L268" i="1"/>
  <c r="L269" i="1"/>
  <c r="M269" i="1" s="1"/>
  <c r="N269" i="1" s="1"/>
  <c r="L270" i="1"/>
  <c r="M270" i="1" s="1"/>
  <c r="N270" i="1" s="1"/>
  <c r="L271" i="1"/>
  <c r="M271" i="1" s="1"/>
  <c r="N271" i="1" s="1"/>
  <c r="L272" i="1"/>
  <c r="M272" i="1" s="1"/>
  <c r="N272" i="1" s="1"/>
  <c r="L273" i="1"/>
  <c r="M273" i="1" s="1"/>
  <c r="N273" i="1" s="1"/>
  <c r="L274" i="1"/>
  <c r="M274" i="1" s="1"/>
  <c r="N274" i="1" s="1"/>
  <c r="L275" i="1"/>
  <c r="M275" i="1" s="1"/>
  <c r="N275" i="1" s="1"/>
  <c r="L276" i="1"/>
  <c r="L277" i="1"/>
  <c r="M277" i="1" s="1"/>
  <c r="N277" i="1" s="1"/>
  <c r="L278" i="1"/>
  <c r="M278" i="1" s="1"/>
  <c r="N278" i="1" s="1"/>
  <c r="L279" i="1"/>
  <c r="M279" i="1" s="1"/>
  <c r="N279" i="1" s="1"/>
  <c r="L280" i="1"/>
  <c r="M280" i="1" s="1"/>
  <c r="N280" i="1" s="1"/>
  <c r="L281" i="1"/>
  <c r="M281" i="1" s="1"/>
  <c r="N281" i="1" s="1"/>
  <c r="L282" i="1"/>
  <c r="M282" i="1" s="1"/>
  <c r="N282" i="1" s="1"/>
  <c r="L283" i="1"/>
  <c r="M283" i="1" s="1"/>
  <c r="N283" i="1" s="1"/>
  <c r="L284" i="1"/>
  <c r="M284" i="1" s="1"/>
  <c r="N284" i="1" s="1"/>
  <c r="L285" i="1"/>
  <c r="M285" i="1" s="1"/>
  <c r="N285" i="1" s="1"/>
  <c r="L286" i="1"/>
  <c r="M286" i="1" s="1"/>
  <c r="N286" i="1" s="1"/>
  <c r="L287" i="1"/>
  <c r="M287" i="1" s="1"/>
  <c r="N287" i="1" s="1"/>
  <c r="L288" i="1"/>
  <c r="M288" i="1" s="1"/>
  <c r="N288" i="1" s="1"/>
  <c r="L289" i="1"/>
  <c r="M289" i="1" s="1"/>
  <c r="N289" i="1" s="1"/>
  <c r="L290" i="1"/>
  <c r="M290" i="1" s="1"/>
  <c r="N290" i="1" s="1"/>
  <c r="L291" i="1"/>
  <c r="M291" i="1" s="1"/>
  <c r="N291" i="1" s="1"/>
  <c r="L292" i="1"/>
  <c r="M292" i="1" s="1"/>
  <c r="N292" i="1" s="1"/>
  <c r="L293" i="1"/>
  <c r="M293" i="1" s="1"/>
  <c r="N293" i="1" s="1"/>
  <c r="L294" i="1"/>
  <c r="M294" i="1" s="1"/>
  <c r="N294" i="1" s="1"/>
  <c r="L295" i="1"/>
  <c r="M295" i="1" s="1"/>
  <c r="N295" i="1" s="1"/>
  <c r="L296" i="1"/>
  <c r="M296" i="1" s="1"/>
  <c r="N296" i="1" s="1"/>
  <c r="L297" i="1"/>
  <c r="M297" i="1" s="1"/>
  <c r="N297" i="1" s="1"/>
  <c r="L298" i="1"/>
  <c r="M298" i="1" s="1"/>
  <c r="N298" i="1" s="1"/>
  <c r="L299" i="1"/>
  <c r="M299" i="1" s="1"/>
  <c r="N299" i="1" s="1"/>
  <c r="L300" i="1"/>
  <c r="M300" i="1" s="1"/>
  <c r="N300" i="1" s="1"/>
  <c r="L301" i="1"/>
  <c r="M301" i="1" s="1"/>
  <c r="N301" i="1" s="1"/>
  <c r="L302" i="1"/>
  <c r="M302" i="1" s="1"/>
  <c r="N302" i="1" s="1"/>
  <c r="L303" i="1"/>
  <c r="M303" i="1" s="1"/>
  <c r="N303" i="1" s="1"/>
  <c r="L304" i="1"/>
  <c r="L305" i="1"/>
  <c r="L306" i="1"/>
  <c r="M306" i="1" s="1"/>
  <c r="N306" i="1" s="1"/>
  <c r="L307" i="1"/>
  <c r="M307" i="1" s="1"/>
  <c r="N307" i="1" s="1"/>
  <c r="L308" i="1"/>
  <c r="M308" i="1" s="1"/>
  <c r="N308" i="1" s="1"/>
  <c r="L309" i="1"/>
  <c r="M309" i="1" s="1"/>
  <c r="N309" i="1" s="1"/>
  <c r="L310" i="1"/>
  <c r="M310" i="1" s="1"/>
  <c r="N310" i="1" s="1"/>
  <c r="L311" i="1"/>
  <c r="M311" i="1" s="1"/>
  <c r="N311" i="1" s="1"/>
  <c r="L312" i="1"/>
  <c r="M312" i="1" s="1"/>
  <c r="N312" i="1" s="1"/>
  <c r="L313" i="1"/>
  <c r="M313" i="1" s="1"/>
  <c r="N313" i="1" s="1"/>
  <c r="L314" i="1"/>
  <c r="M314" i="1" s="1"/>
  <c r="N314" i="1" s="1"/>
  <c r="L315" i="1"/>
  <c r="M315" i="1" s="1"/>
  <c r="N315" i="1" s="1"/>
  <c r="L316" i="1"/>
  <c r="M316" i="1" s="1"/>
  <c r="N316" i="1" s="1"/>
  <c r="L317" i="1"/>
  <c r="M317" i="1" s="1"/>
  <c r="N317" i="1" s="1"/>
  <c r="L318" i="1"/>
  <c r="M318" i="1" s="1"/>
  <c r="N318" i="1" s="1"/>
  <c r="L319" i="1"/>
  <c r="M319" i="1" s="1"/>
  <c r="N319" i="1" s="1"/>
  <c r="L320" i="1"/>
  <c r="M320" i="1" s="1"/>
  <c r="N320" i="1" s="1"/>
  <c r="L321" i="1"/>
  <c r="M321" i="1" s="1"/>
  <c r="N321" i="1" s="1"/>
  <c r="L322" i="1"/>
  <c r="L323" i="1"/>
  <c r="M323" i="1" s="1"/>
  <c r="N323" i="1" s="1"/>
  <c r="L324" i="1"/>
  <c r="M324" i="1" s="1"/>
  <c r="N324" i="1" s="1"/>
  <c r="L325" i="1"/>
  <c r="M325" i="1" s="1"/>
  <c r="N325" i="1" s="1"/>
  <c r="L326" i="1"/>
  <c r="M326" i="1" s="1"/>
  <c r="N326" i="1" s="1"/>
  <c r="L327" i="1"/>
  <c r="M327" i="1" s="1"/>
  <c r="N327" i="1" s="1"/>
  <c r="L328" i="1"/>
  <c r="M328" i="1" s="1"/>
  <c r="N328" i="1" s="1"/>
  <c r="L329" i="1"/>
  <c r="L330" i="1"/>
  <c r="L331" i="1"/>
  <c r="M331" i="1" s="1"/>
  <c r="N331" i="1" s="1"/>
  <c r="L332" i="1"/>
  <c r="M332" i="1" s="1"/>
  <c r="N332" i="1" s="1"/>
  <c r="L333" i="1"/>
  <c r="M333" i="1" s="1"/>
  <c r="N333" i="1" s="1"/>
  <c r="L334" i="1"/>
  <c r="M334" i="1" s="1"/>
  <c r="N334" i="1" s="1"/>
  <c r="L335" i="1"/>
  <c r="M335" i="1" s="1"/>
  <c r="N335" i="1" s="1"/>
  <c r="L336" i="1"/>
  <c r="M336" i="1" s="1"/>
  <c r="N336" i="1" s="1"/>
  <c r="L337" i="1"/>
  <c r="M337" i="1" s="1"/>
  <c r="N337" i="1" s="1"/>
  <c r="L338" i="1"/>
  <c r="M338" i="1" s="1"/>
  <c r="N338" i="1" s="1"/>
  <c r="L339" i="1"/>
  <c r="M339" i="1" s="1"/>
  <c r="N339" i="1" s="1"/>
  <c r="L340" i="1"/>
  <c r="M340" i="1" s="1"/>
  <c r="N340" i="1" s="1"/>
  <c r="L341" i="1"/>
  <c r="M341" i="1" s="1"/>
  <c r="N341" i="1" s="1"/>
  <c r="L342" i="1"/>
  <c r="M342" i="1" s="1"/>
  <c r="N342" i="1" s="1"/>
  <c r="L343" i="1"/>
  <c r="M343" i="1" s="1"/>
  <c r="N343" i="1" s="1"/>
  <c r="L344" i="1"/>
  <c r="M344" i="1" s="1"/>
  <c r="N344" i="1" s="1"/>
  <c r="L345" i="1"/>
  <c r="M345" i="1" s="1"/>
  <c r="N345" i="1" s="1"/>
  <c r="L346" i="1"/>
  <c r="M346" i="1" s="1"/>
  <c r="N346" i="1" s="1"/>
  <c r="L347" i="1"/>
  <c r="M347" i="1" s="1"/>
  <c r="N347" i="1" s="1"/>
  <c r="L348" i="1"/>
  <c r="L349" i="1"/>
  <c r="M349" i="1" s="1"/>
  <c r="N349" i="1" s="1"/>
  <c r="L350" i="1"/>
  <c r="M350" i="1" s="1"/>
  <c r="N350" i="1" s="1"/>
  <c r="L351" i="1"/>
  <c r="M351" i="1" s="1"/>
  <c r="N351" i="1" s="1"/>
  <c r="L352" i="1"/>
  <c r="M352" i="1" s="1"/>
  <c r="N352" i="1" s="1"/>
  <c r="L353" i="1"/>
  <c r="M353" i="1" s="1"/>
  <c r="N353" i="1" s="1"/>
  <c r="L354" i="1"/>
  <c r="M354" i="1" s="1"/>
  <c r="N354" i="1" s="1"/>
  <c r="L355" i="1"/>
  <c r="M355" i="1" s="1"/>
  <c r="N355" i="1" s="1"/>
  <c r="L356" i="1"/>
  <c r="M356" i="1" s="1"/>
  <c r="N356" i="1" s="1"/>
  <c r="L357" i="1"/>
  <c r="M357" i="1" s="1"/>
  <c r="N357" i="1" s="1"/>
  <c r="L358" i="1"/>
  <c r="M358" i="1" s="1"/>
  <c r="N358" i="1" s="1"/>
  <c r="L359" i="1"/>
  <c r="M359" i="1" s="1"/>
  <c r="N359" i="1" s="1"/>
  <c r="L360" i="1"/>
  <c r="M360" i="1" s="1"/>
  <c r="N360" i="1" s="1"/>
  <c r="L361" i="1"/>
  <c r="M361" i="1" s="1"/>
  <c r="N361" i="1" s="1"/>
  <c r="L362" i="1"/>
  <c r="M362" i="1" s="1"/>
  <c r="N362" i="1" s="1"/>
  <c r="L363" i="1"/>
  <c r="M363" i="1" s="1"/>
  <c r="N363" i="1" s="1"/>
  <c r="L364" i="1"/>
  <c r="M364" i="1" s="1"/>
  <c r="N364" i="1" s="1"/>
  <c r="L365" i="1"/>
  <c r="M365" i="1" s="1"/>
  <c r="N365" i="1" s="1"/>
  <c r="L366" i="1"/>
  <c r="M366" i="1" s="1"/>
  <c r="N366" i="1" s="1"/>
  <c r="L367" i="1"/>
  <c r="M367" i="1" s="1"/>
  <c r="N367" i="1" s="1"/>
  <c r="L368" i="1"/>
  <c r="M368" i="1" s="1"/>
  <c r="N368" i="1" s="1"/>
  <c r="L369" i="1"/>
  <c r="M369" i="1" s="1"/>
  <c r="N369" i="1" s="1"/>
  <c r="L370" i="1"/>
  <c r="M370" i="1" s="1"/>
  <c r="N370" i="1" s="1"/>
  <c r="L371" i="1"/>
  <c r="M371" i="1" s="1"/>
  <c r="N371" i="1" s="1"/>
  <c r="L372" i="1"/>
  <c r="M372" i="1" s="1"/>
  <c r="N372" i="1" s="1"/>
  <c r="L373" i="1"/>
  <c r="M373" i="1" s="1"/>
  <c r="N373" i="1" s="1"/>
  <c r="L374" i="1"/>
  <c r="M374" i="1" s="1"/>
  <c r="N374" i="1" s="1"/>
  <c r="L375" i="1"/>
  <c r="M375" i="1" s="1"/>
  <c r="N375" i="1" s="1"/>
  <c r="L376" i="1"/>
  <c r="M376" i="1" s="1"/>
  <c r="N376" i="1" s="1"/>
  <c r="L377" i="1"/>
  <c r="M377" i="1" s="1"/>
  <c r="N377" i="1" s="1"/>
  <c r="L378" i="1"/>
  <c r="M378" i="1" s="1"/>
  <c r="N378" i="1" s="1"/>
  <c r="L379" i="1"/>
  <c r="M379" i="1" s="1"/>
  <c r="N379" i="1" s="1"/>
  <c r="L380" i="1"/>
  <c r="M380" i="1" s="1"/>
  <c r="N380" i="1" s="1"/>
  <c r="L381" i="1"/>
  <c r="M381" i="1" s="1"/>
  <c r="N381" i="1" s="1"/>
  <c r="L382" i="1"/>
  <c r="M382" i="1" s="1"/>
  <c r="N382" i="1" s="1"/>
  <c r="L383" i="1"/>
  <c r="M383" i="1" s="1"/>
  <c r="N383" i="1" s="1"/>
  <c r="L384" i="1"/>
  <c r="L385" i="1"/>
  <c r="M385" i="1" s="1"/>
  <c r="N385" i="1" s="1"/>
  <c r="L386" i="1"/>
  <c r="M386" i="1" s="1"/>
  <c r="N386" i="1" s="1"/>
  <c r="L387" i="1"/>
  <c r="M387" i="1" s="1"/>
  <c r="N387" i="1" s="1"/>
  <c r="L388" i="1"/>
  <c r="M388" i="1" s="1"/>
  <c r="N388" i="1" s="1"/>
  <c r="L389" i="1"/>
  <c r="M389" i="1" s="1"/>
  <c r="N389" i="1" s="1"/>
  <c r="L390" i="1"/>
  <c r="M390" i="1" s="1"/>
  <c r="N390" i="1" s="1"/>
  <c r="L391" i="1"/>
  <c r="M391" i="1" s="1"/>
  <c r="N391" i="1" s="1"/>
  <c r="L392" i="1"/>
  <c r="M392" i="1" s="1"/>
  <c r="N392" i="1" s="1"/>
  <c r="L393" i="1"/>
  <c r="M393" i="1" s="1"/>
  <c r="N393" i="1" s="1"/>
  <c r="L394" i="1"/>
  <c r="M394" i="1" s="1"/>
  <c r="N394" i="1" s="1"/>
  <c r="L395" i="1"/>
  <c r="M395" i="1" s="1"/>
  <c r="N395" i="1" s="1"/>
  <c r="L396" i="1"/>
  <c r="M396" i="1" s="1"/>
  <c r="N396" i="1" s="1"/>
  <c r="L397" i="1"/>
  <c r="M397" i="1" s="1"/>
  <c r="N397" i="1" s="1"/>
  <c r="L398" i="1"/>
  <c r="M398" i="1" s="1"/>
  <c r="N398" i="1" s="1"/>
  <c r="L399" i="1"/>
  <c r="M399" i="1" s="1"/>
  <c r="N399" i="1" s="1"/>
  <c r="L400" i="1"/>
  <c r="M400" i="1" s="1"/>
  <c r="N400" i="1" s="1"/>
  <c r="L401" i="1"/>
  <c r="L402" i="1"/>
  <c r="M402" i="1" s="1"/>
  <c r="N402" i="1" s="1"/>
  <c r="L403" i="1"/>
  <c r="M403" i="1" s="1"/>
  <c r="N403" i="1" s="1"/>
  <c r="L404" i="1"/>
  <c r="M404" i="1" s="1"/>
  <c r="N404" i="1" s="1"/>
  <c r="L405" i="1"/>
  <c r="M405" i="1" s="1"/>
  <c r="N405" i="1" s="1"/>
  <c r="L406" i="1"/>
  <c r="L407" i="1"/>
  <c r="M407" i="1" s="1"/>
  <c r="N407" i="1" s="1"/>
  <c r="L408" i="1"/>
  <c r="L409" i="1"/>
  <c r="M409" i="1" s="1"/>
  <c r="N409" i="1" s="1"/>
  <c r="L410" i="1"/>
  <c r="M410" i="1" s="1"/>
  <c r="N410" i="1" s="1"/>
  <c r="L411" i="1"/>
  <c r="M411" i="1" s="1"/>
  <c r="N411" i="1" s="1"/>
  <c r="L412" i="1"/>
  <c r="M412" i="1" s="1"/>
  <c r="N412" i="1" s="1"/>
  <c r="L413" i="1"/>
  <c r="M413" i="1" s="1"/>
  <c r="N413" i="1" s="1"/>
  <c r="L414" i="1"/>
  <c r="M414" i="1" s="1"/>
  <c r="N414" i="1" s="1"/>
  <c r="L415" i="1"/>
  <c r="M415" i="1" s="1"/>
  <c r="N415" i="1" s="1"/>
  <c r="L416" i="1"/>
  <c r="M416" i="1" s="1"/>
  <c r="N416" i="1" s="1"/>
  <c r="L417" i="1"/>
  <c r="M417" i="1" s="1"/>
  <c r="N417" i="1" s="1"/>
  <c r="L418" i="1"/>
  <c r="M418" i="1" s="1"/>
  <c r="N418" i="1" s="1"/>
  <c r="L419" i="1"/>
  <c r="M419" i="1" s="1"/>
  <c r="N419" i="1" s="1"/>
  <c r="L420" i="1"/>
  <c r="M420" i="1" s="1"/>
  <c r="N420" i="1" s="1"/>
  <c r="L421" i="1"/>
  <c r="M421" i="1" s="1"/>
  <c r="N421" i="1" s="1"/>
  <c r="L422" i="1"/>
  <c r="M422" i="1" s="1"/>
  <c r="N422" i="1" s="1"/>
  <c r="L423" i="1"/>
  <c r="M423" i="1" s="1"/>
  <c r="N423" i="1" s="1"/>
  <c r="L424" i="1"/>
  <c r="M424" i="1" s="1"/>
  <c r="N424" i="1" s="1"/>
  <c r="L425" i="1"/>
  <c r="M425" i="1" s="1"/>
  <c r="N425" i="1" s="1"/>
  <c r="L426" i="1"/>
  <c r="M426" i="1" s="1"/>
  <c r="N426" i="1" s="1"/>
  <c r="L427" i="1"/>
  <c r="M427" i="1" s="1"/>
  <c r="N427" i="1" s="1"/>
  <c r="L428" i="1"/>
  <c r="M428" i="1" s="1"/>
  <c r="N428" i="1" s="1"/>
  <c r="L429" i="1"/>
  <c r="M429" i="1" s="1"/>
  <c r="N429" i="1" s="1"/>
  <c r="L430" i="1"/>
  <c r="M430" i="1" s="1"/>
  <c r="N430" i="1" s="1"/>
  <c r="L431" i="1"/>
  <c r="M431" i="1" s="1"/>
  <c r="N431" i="1" s="1"/>
  <c r="L432" i="1"/>
  <c r="L433" i="1"/>
  <c r="M433" i="1" s="1"/>
  <c r="N433" i="1" s="1"/>
  <c r="L434" i="1"/>
  <c r="M434" i="1" s="1"/>
  <c r="N434" i="1" s="1"/>
  <c r="L435" i="1"/>
  <c r="M435" i="1" s="1"/>
  <c r="N435" i="1" s="1"/>
  <c r="L436" i="1"/>
  <c r="M436" i="1" s="1"/>
  <c r="L437" i="1"/>
  <c r="M437" i="1" s="1"/>
  <c r="N437" i="1" s="1"/>
  <c r="L438" i="1"/>
  <c r="M438" i="1" s="1"/>
  <c r="N438" i="1" s="1"/>
  <c r="L439" i="1"/>
  <c r="M439" i="1" s="1"/>
  <c r="N439" i="1" s="1"/>
  <c r="L440" i="1"/>
  <c r="M440" i="1" s="1"/>
  <c r="N440" i="1" s="1"/>
  <c r="L441" i="1"/>
  <c r="M441" i="1" s="1"/>
  <c r="N441" i="1" s="1"/>
  <c r="L442" i="1"/>
  <c r="M442" i="1" s="1"/>
  <c r="N442" i="1" s="1"/>
  <c r="L443" i="1"/>
  <c r="M443" i="1" s="1"/>
  <c r="N443" i="1" s="1"/>
  <c r="L444" i="1"/>
  <c r="L445" i="1"/>
  <c r="M445" i="1" s="1"/>
  <c r="N445" i="1" s="1"/>
  <c r="L446" i="1"/>
  <c r="M446" i="1" s="1"/>
  <c r="N446" i="1" s="1"/>
  <c r="L447" i="1"/>
  <c r="M447" i="1" s="1"/>
  <c r="N447" i="1" s="1"/>
  <c r="L448" i="1"/>
  <c r="M448" i="1" s="1"/>
  <c r="N448" i="1" s="1"/>
  <c r="L449" i="1"/>
  <c r="L450" i="1"/>
  <c r="M450" i="1" s="1"/>
  <c r="N450" i="1" s="1"/>
  <c r="L451" i="1"/>
  <c r="M451" i="1" s="1"/>
  <c r="N451" i="1" s="1"/>
  <c r="L452" i="1"/>
  <c r="M452" i="1" s="1"/>
  <c r="N452" i="1" s="1"/>
  <c r="L453" i="1"/>
  <c r="M453" i="1" s="1"/>
  <c r="N453" i="1" s="1"/>
  <c r="L454" i="1"/>
  <c r="M454" i="1" s="1"/>
  <c r="N454" i="1" s="1"/>
  <c r="L455" i="1"/>
  <c r="M455" i="1" s="1"/>
  <c r="N455" i="1" s="1"/>
  <c r="L456" i="1"/>
  <c r="M456" i="1" s="1"/>
  <c r="N456" i="1" s="1"/>
  <c r="L457" i="1"/>
  <c r="M457" i="1" s="1"/>
  <c r="N457" i="1" s="1"/>
  <c r="L458" i="1"/>
  <c r="M458" i="1" s="1"/>
  <c r="N458" i="1" s="1"/>
  <c r="L459" i="1"/>
  <c r="M459" i="1" s="1"/>
  <c r="N459" i="1" s="1"/>
  <c r="L460" i="1"/>
  <c r="M460" i="1" s="1"/>
  <c r="N460" i="1" s="1"/>
  <c r="L461" i="1"/>
  <c r="M461" i="1" s="1"/>
  <c r="N461" i="1" s="1"/>
  <c r="L462" i="1"/>
  <c r="M462" i="1" s="1"/>
  <c r="N462" i="1" s="1"/>
  <c r="L463" i="1"/>
  <c r="M463" i="1" s="1"/>
  <c r="N463" i="1" s="1"/>
  <c r="L464" i="1"/>
  <c r="M464" i="1" s="1"/>
  <c r="N464" i="1" s="1"/>
  <c r="L465" i="1"/>
  <c r="M465" i="1" s="1"/>
  <c r="N465" i="1" s="1"/>
  <c r="L466" i="1"/>
  <c r="L467" i="1"/>
  <c r="M467" i="1" s="1"/>
  <c r="N467" i="1" s="1"/>
  <c r="L468" i="1"/>
  <c r="M468" i="1" s="1"/>
  <c r="N468" i="1" s="1"/>
  <c r="L469" i="1"/>
  <c r="M469" i="1" s="1"/>
  <c r="N469" i="1" s="1"/>
  <c r="L470" i="1"/>
  <c r="M470" i="1" s="1"/>
  <c r="N470" i="1" s="1"/>
  <c r="L471" i="1"/>
  <c r="M471" i="1" s="1"/>
  <c r="N471" i="1" s="1"/>
  <c r="L472" i="1"/>
  <c r="M472" i="1" s="1"/>
  <c r="N472" i="1" s="1"/>
  <c r="L473" i="1"/>
  <c r="M473" i="1" s="1"/>
  <c r="N473" i="1" s="1"/>
  <c r="L474" i="1"/>
  <c r="M474" i="1" s="1"/>
  <c r="N474" i="1" s="1"/>
  <c r="L475" i="1"/>
  <c r="M475" i="1" s="1"/>
  <c r="N475" i="1" s="1"/>
  <c r="L476" i="1"/>
  <c r="M476" i="1" s="1"/>
  <c r="N476" i="1" s="1"/>
  <c r="L477" i="1"/>
  <c r="M477" i="1" s="1"/>
  <c r="N477" i="1" s="1"/>
  <c r="L478" i="1"/>
  <c r="M478" i="1" s="1"/>
  <c r="N478" i="1" s="1"/>
  <c r="L479" i="1"/>
  <c r="M479" i="1" s="1"/>
  <c r="N479" i="1" s="1"/>
  <c r="L480" i="1"/>
  <c r="M480" i="1" s="1"/>
  <c r="N480" i="1" s="1"/>
  <c r="L481" i="1"/>
  <c r="M481" i="1" s="1"/>
  <c r="N481" i="1" s="1"/>
  <c r="L482" i="1"/>
  <c r="M482" i="1" s="1"/>
  <c r="N482" i="1" s="1"/>
  <c r="L483" i="1"/>
  <c r="M483" i="1" s="1"/>
  <c r="N483" i="1" s="1"/>
  <c r="L484" i="1"/>
  <c r="M484" i="1" s="1"/>
  <c r="N484" i="1" s="1"/>
  <c r="L485" i="1"/>
  <c r="M485" i="1" s="1"/>
  <c r="N485" i="1" s="1"/>
  <c r="L486" i="1"/>
  <c r="M486" i="1" s="1"/>
  <c r="N486" i="1" s="1"/>
  <c r="L487" i="1"/>
  <c r="M487" i="1" s="1"/>
  <c r="N487" i="1" s="1"/>
  <c r="L488" i="1"/>
  <c r="M488" i="1" s="1"/>
  <c r="N488" i="1" s="1"/>
  <c r="L489" i="1"/>
  <c r="M489" i="1" s="1"/>
  <c r="N489" i="1" s="1"/>
  <c r="L490" i="1"/>
  <c r="M490" i="1" s="1"/>
  <c r="N490" i="1" s="1"/>
  <c r="L491" i="1"/>
  <c r="M491" i="1" s="1"/>
  <c r="N491" i="1" s="1"/>
  <c r="L492" i="1"/>
  <c r="M492" i="1" s="1"/>
  <c r="N492" i="1" s="1"/>
  <c r="L493" i="1"/>
  <c r="M493" i="1" s="1"/>
  <c r="N493" i="1" s="1"/>
  <c r="L494" i="1"/>
  <c r="M494" i="1" s="1"/>
  <c r="N494" i="1" s="1"/>
  <c r="L495" i="1"/>
  <c r="M495" i="1" s="1"/>
  <c r="N495" i="1" s="1"/>
  <c r="L496" i="1"/>
  <c r="M496" i="1" s="1"/>
  <c r="N496" i="1" s="1"/>
  <c r="L497" i="1"/>
  <c r="M497" i="1" s="1"/>
  <c r="N497" i="1" s="1"/>
  <c r="L498" i="1"/>
  <c r="M498" i="1" s="1"/>
  <c r="N498" i="1" s="1"/>
  <c r="L499" i="1"/>
  <c r="M499" i="1" s="1"/>
  <c r="N499" i="1" s="1"/>
  <c r="L500" i="1"/>
  <c r="M500" i="1" s="1"/>
  <c r="N500" i="1" s="1"/>
  <c r="L501" i="1"/>
  <c r="M501" i="1" s="1"/>
  <c r="N501" i="1" s="1"/>
  <c r="L502" i="1"/>
  <c r="L503" i="1"/>
  <c r="M503" i="1" s="1"/>
  <c r="N503" i="1" s="1"/>
  <c r="L504" i="1"/>
  <c r="L505" i="1"/>
  <c r="M505" i="1" s="1"/>
  <c r="L506" i="1"/>
  <c r="M506" i="1" s="1"/>
  <c r="N506" i="1" s="1"/>
  <c r="L507" i="1"/>
  <c r="M507" i="1" s="1"/>
  <c r="N507" i="1" s="1"/>
  <c r="L508" i="1"/>
  <c r="M508" i="1" s="1"/>
  <c r="N508" i="1" s="1"/>
  <c r="L509" i="1"/>
  <c r="L510" i="1"/>
  <c r="M510" i="1" s="1"/>
  <c r="N510" i="1" s="1"/>
  <c r="L511" i="1"/>
  <c r="M511" i="1" s="1"/>
  <c r="N511" i="1" s="1"/>
  <c r="L512" i="1"/>
  <c r="M512" i="1" s="1"/>
  <c r="N512" i="1" s="1"/>
  <c r="L513" i="1"/>
  <c r="M513" i="1" s="1"/>
  <c r="N513" i="1" s="1"/>
  <c r="L514" i="1"/>
  <c r="M514" i="1" s="1"/>
  <c r="N514" i="1" s="1"/>
  <c r="L515" i="1"/>
  <c r="M515" i="1" s="1"/>
  <c r="N515" i="1" s="1"/>
  <c r="L516" i="1"/>
  <c r="M516" i="1" s="1"/>
  <c r="N516" i="1" s="1"/>
  <c r="L517" i="1"/>
  <c r="M517" i="1" s="1"/>
  <c r="N517" i="1" s="1"/>
  <c r="L518" i="1"/>
  <c r="M518" i="1" s="1"/>
  <c r="N518" i="1" s="1"/>
  <c r="L519" i="1"/>
  <c r="M519" i="1" s="1"/>
  <c r="N519" i="1" s="1"/>
  <c r="L520" i="1"/>
  <c r="M520" i="1" s="1"/>
  <c r="N520" i="1" s="1"/>
  <c r="L521" i="1"/>
  <c r="M521" i="1" s="1"/>
  <c r="N521" i="1" s="1"/>
  <c r="L522" i="1"/>
  <c r="M522" i="1" s="1"/>
  <c r="N522" i="1" s="1"/>
  <c r="L523" i="1"/>
  <c r="M523" i="1" s="1"/>
  <c r="N523" i="1" s="1"/>
  <c r="L524" i="1"/>
  <c r="M524" i="1" s="1"/>
  <c r="N524" i="1" s="1"/>
  <c r="L525" i="1"/>
  <c r="M525" i="1" s="1"/>
  <c r="N525" i="1" s="1"/>
  <c r="L526" i="1"/>
  <c r="M526" i="1" s="1"/>
  <c r="N526" i="1" s="1"/>
  <c r="L527" i="1"/>
  <c r="M527" i="1" s="1"/>
  <c r="N527" i="1" s="1"/>
  <c r="L528" i="1"/>
  <c r="M528" i="1" s="1"/>
  <c r="N528" i="1" s="1"/>
  <c r="L529" i="1"/>
  <c r="M529" i="1" s="1"/>
  <c r="N529" i="1" s="1"/>
  <c r="L530" i="1"/>
  <c r="M530" i="1" s="1"/>
  <c r="N530" i="1" s="1"/>
  <c r="L531" i="1"/>
  <c r="M531" i="1" s="1"/>
  <c r="N531" i="1" s="1"/>
  <c r="L532" i="1"/>
  <c r="M532" i="1" s="1"/>
  <c r="N532" i="1" s="1"/>
  <c r="L533" i="1"/>
  <c r="M533" i="1" s="1"/>
  <c r="N533" i="1" s="1"/>
  <c r="L534" i="1"/>
  <c r="M534" i="1" s="1"/>
  <c r="N534" i="1" s="1"/>
  <c r="L535" i="1"/>
  <c r="M535" i="1" s="1"/>
  <c r="N535" i="1" s="1"/>
  <c r="L536" i="1"/>
  <c r="M536" i="1" s="1"/>
  <c r="N536" i="1" s="1"/>
  <c r="L537" i="1"/>
  <c r="M537" i="1" s="1"/>
  <c r="N537" i="1" s="1"/>
  <c r="L538" i="1"/>
  <c r="M538" i="1" s="1"/>
  <c r="N538" i="1" s="1"/>
  <c r="L539" i="1"/>
  <c r="M539" i="1" s="1"/>
  <c r="N539" i="1" s="1"/>
  <c r="L540" i="1"/>
  <c r="L541" i="1"/>
  <c r="L542" i="1"/>
  <c r="L543" i="1"/>
  <c r="M543" i="1" s="1"/>
  <c r="N543" i="1" s="1"/>
  <c r="L544" i="1"/>
  <c r="L545" i="1"/>
  <c r="L546" i="1"/>
  <c r="M546" i="1" s="1"/>
  <c r="N546" i="1" s="1"/>
  <c r="L547" i="1"/>
  <c r="M547" i="1" s="1"/>
  <c r="N547" i="1" s="1"/>
  <c r="L548" i="1"/>
  <c r="M548" i="1" s="1"/>
  <c r="N548" i="1" s="1"/>
  <c r="L549" i="1"/>
  <c r="M549" i="1" s="1"/>
  <c r="N549" i="1" s="1"/>
  <c r="L550" i="1"/>
  <c r="M550" i="1" s="1"/>
  <c r="N550" i="1" s="1"/>
  <c r="L551" i="1"/>
  <c r="M551" i="1" s="1"/>
  <c r="N551" i="1" s="1"/>
  <c r="L552" i="1"/>
  <c r="M552" i="1" s="1"/>
  <c r="N552" i="1" s="1"/>
  <c r="L553" i="1"/>
  <c r="M553" i="1" s="1"/>
  <c r="N553" i="1" s="1"/>
  <c r="L554" i="1"/>
  <c r="M554" i="1" s="1"/>
  <c r="N554" i="1" s="1"/>
  <c r="L555" i="1"/>
  <c r="M555" i="1" s="1"/>
  <c r="N555" i="1" s="1"/>
  <c r="L556" i="1"/>
  <c r="L557" i="1"/>
  <c r="M557" i="1" s="1"/>
  <c r="N557" i="1" s="1"/>
  <c r="L558" i="1"/>
  <c r="L559" i="1"/>
  <c r="M559" i="1" s="1"/>
  <c r="N559" i="1" s="1"/>
  <c r="L560" i="1"/>
  <c r="M560" i="1" s="1"/>
  <c r="N560" i="1" s="1"/>
  <c r="L561" i="1"/>
  <c r="M561" i="1" s="1"/>
  <c r="N561" i="1" s="1"/>
  <c r="L562" i="1"/>
  <c r="M562" i="1" s="1"/>
  <c r="N562" i="1" s="1"/>
  <c r="L563" i="1"/>
  <c r="M563" i="1" s="1"/>
  <c r="N563" i="1" s="1"/>
  <c r="L564" i="1"/>
  <c r="M564" i="1" s="1"/>
  <c r="N564" i="1" s="1"/>
  <c r="L565" i="1"/>
  <c r="M565" i="1" s="1"/>
  <c r="N565" i="1" s="1"/>
  <c r="L566" i="1"/>
  <c r="M566" i="1" s="1"/>
  <c r="N566" i="1" s="1"/>
  <c r="L567" i="1"/>
  <c r="M567" i="1" s="1"/>
  <c r="N567" i="1" s="1"/>
  <c r="L568" i="1"/>
  <c r="M568" i="1" s="1"/>
  <c r="N568" i="1" s="1"/>
  <c r="L569" i="1"/>
  <c r="M569" i="1" s="1"/>
  <c r="N569" i="1" s="1"/>
  <c r="L570" i="1"/>
  <c r="M570" i="1" s="1"/>
  <c r="N570" i="1" s="1"/>
  <c r="L571" i="1"/>
  <c r="M571" i="1" s="1"/>
  <c r="N571" i="1" s="1"/>
  <c r="L572" i="1"/>
  <c r="M572" i="1" s="1"/>
  <c r="N572" i="1" s="1"/>
  <c r="L573" i="1"/>
  <c r="M573" i="1" s="1"/>
  <c r="N573" i="1" s="1"/>
  <c r="L574" i="1"/>
  <c r="M574" i="1" s="1"/>
  <c r="N574" i="1" s="1"/>
  <c r="L575" i="1"/>
  <c r="M575" i="1" s="1"/>
  <c r="N575" i="1" s="1"/>
  <c r="L576" i="1"/>
  <c r="M576" i="1" s="1"/>
  <c r="N576" i="1" s="1"/>
  <c r="L577" i="1"/>
  <c r="M577" i="1" s="1"/>
  <c r="N577" i="1" s="1"/>
  <c r="L578" i="1"/>
  <c r="M578" i="1" s="1"/>
  <c r="N578" i="1" s="1"/>
  <c r="L579" i="1"/>
  <c r="M579" i="1" s="1"/>
  <c r="N579" i="1" s="1"/>
  <c r="L580" i="1"/>
  <c r="M580" i="1" s="1"/>
  <c r="N580" i="1" s="1"/>
  <c r="L581" i="1"/>
  <c r="M581" i="1" s="1"/>
  <c r="N581" i="1" s="1"/>
  <c r="L582" i="1"/>
  <c r="M582" i="1" s="1"/>
  <c r="N582" i="1" s="1"/>
  <c r="L583" i="1"/>
  <c r="M583" i="1" s="1"/>
  <c r="N583" i="1" s="1"/>
  <c r="L584" i="1"/>
  <c r="M584" i="1" s="1"/>
  <c r="N584" i="1" s="1"/>
  <c r="L585" i="1"/>
  <c r="M585" i="1" s="1"/>
  <c r="N585" i="1" s="1"/>
  <c r="L586" i="1"/>
  <c r="M586" i="1" s="1"/>
  <c r="N586" i="1" s="1"/>
  <c r="L587" i="1"/>
  <c r="M587" i="1" s="1"/>
  <c r="N587" i="1" s="1"/>
  <c r="L588" i="1"/>
  <c r="L589" i="1"/>
  <c r="L590" i="1"/>
  <c r="L591" i="1"/>
  <c r="M591" i="1" s="1"/>
  <c r="N591" i="1" s="1"/>
  <c r="L592" i="1"/>
  <c r="L593" i="1"/>
  <c r="L594" i="1"/>
  <c r="M594" i="1" s="1"/>
  <c r="N594" i="1" s="1"/>
  <c r="L595" i="1"/>
  <c r="M595" i="1" s="1"/>
  <c r="N595" i="1" s="1"/>
  <c r="L596" i="1"/>
  <c r="M596" i="1" s="1"/>
  <c r="N596" i="1" s="1"/>
  <c r="L597" i="1"/>
  <c r="M597" i="1" s="1"/>
  <c r="N597" i="1" s="1"/>
  <c r="L598" i="1"/>
  <c r="M598" i="1" s="1"/>
  <c r="N598" i="1" s="1"/>
  <c r="L599" i="1"/>
  <c r="M599" i="1" s="1"/>
  <c r="N599" i="1" s="1"/>
  <c r="L600" i="1"/>
  <c r="M600" i="1" s="1"/>
  <c r="N600" i="1" s="1"/>
  <c r="L601" i="1"/>
  <c r="M601" i="1" s="1"/>
  <c r="N601" i="1" s="1"/>
  <c r="L602" i="1"/>
  <c r="M602" i="1" s="1"/>
  <c r="N602" i="1" s="1"/>
  <c r="L603" i="1"/>
  <c r="M603" i="1" s="1"/>
  <c r="N603" i="1" s="1"/>
  <c r="L604" i="1"/>
  <c r="M604" i="1" s="1"/>
  <c r="N604" i="1" s="1"/>
  <c r="L605" i="1"/>
  <c r="M605" i="1" s="1"/>
  <c r="N605" i="1" s="1"/>
  <c r="L606" i="1"/>
  <c r="M606" i="1" s="1"/>
  <c r="N606" i="1" s="1"/>
  <c r="L607" i="1"/>
  <c r="M607" i="1" s="1"/>
  <c r="N607" i="1" s="1"/>
  <c r="L608" i="1"/>
  <c r="M608" i="1" s="1"/>
  <c r="N608" i="1" s="1"/>
  <c r="L609" i="1"/>
  <c r="M609" i="1" s="1"/>
  <c r="N609" i="1" s="1"/>
  <c r="L610" i="1"/>
  <c r="M610" i="1" s="1"/>
  <c r="N610" i="1" s="1"/>
  <c r="L611" i="1"/>
  <c r="M611" i="1" s="1"/>
  <c r="N611" i="1" s="1"/>
  <c r="L612" i="1"/>
  <c r="M612" i="1" s="1"/>
  <c r="N612" i="1" s="1"/>
  <c r="L613" i="1"/>
  <c r="M613" i="1" s="1"/>
  <c r="N613" i="1" s="1"/>
  <c r="L614" i="1"/>
  <c r="M614" i="1" s="1"/>
  <c r="N614" i="1" s="1"/>
  <c r="L615" i="1"/>
  <c r="M615" i="1" s="1"/>
  <c r="N615" i="1" s="1"/>
  <c r="L616" i="1"/>
  <c r="M616" i="1" s="1"/>
  <c r="N616" i="1" s="1"/>
  <c r="L617" i="1"/>
  <c r="M617" i="1" s="1"/>
  <c r="N617" i="1" s="1"/>
  <c r="L618" i="1"/>
  <c r="M618" i="1" s="1"/>
  <c r="N618" i="1" s="1"/>
  <c r="L619" i="1"/>
  <c r="M619" i="1" s="1"/>
  <c r="N619" i="1" s="1"/>
  <c r="L620" i="1"/>
  <c r="M620" i="1" s="1"/>
  <c r="N620" i="1" s="1"/>
  <c r="L621" i="1"/>
  <c r="M621" i="1" s="1"/>
  <c r="N621" i="1" s="1"/>
  <c r="L622" i="1"/>
  <c r="M622" i="1" s="1"/>
  <c r="N622" i="1" s="1"/>
  <c r="L623" i="1"/>
  <c r="M623" i="1" s="1"/>
  <c r="N623" i="1" s="1"/>
  <c r="L624" i="1"/>
  <c r="M624" i="1" s="1"/>
  <c r="N624" i="1" s="1"/>
  <c r="L625" i="1"/>
  <c r="M625" i="1" s="1"/>
  <c r="N625" i="1" s="1"/>
  <c r="L626" i="1"/>
  <c r="L627" i="1"/>
  <c r="L628" i="1"/>
  <c r="L629" i="1"/>
  <c r="M629" i="1" s="1"/>
  <c r="N629" i="1" s="1"/>
  <c r="L630" i="1"/>
  <c r="M630" i="1" s="1"/>
  <c r="N630" i="1" s="1"/>
  <c r="L631" i="1"/>
  <c r="M631" i="1" s="1"/>
  <c r="N631" i="1" s="1"/>
  <c r="L632" i="1"/>
  <c r="M632" i="1" s="1"/>
  <c r="N632" i="1" s="1"/>
  <c r="L633" i="1"/>
  <c r="M633" i="1" s="1"/>
  <c r="N633" i="1" s="1"/>
  <c r="L634" i="1"/>
  <c r="M634" i="1" s="1"/>
  <c r="N634" i="1" s="1"/>
  <c r="L635" i="1"/>
  <c r="M635" i="1" s="1"/>
  <c r="N635" i="1" s="1"/>
  <c r="L636" i="1"/>
  <c r="M636" i="1" s="1"/>
  <c r="N636" i="1" s="1"/>
  <c r="L637" i="1"/>
  <c r="M637" i="1" s="1"/>
  <c r="N637" i="1" s="1"/>
  <c r="L638" i="1"/>
  <c r="M638" i="1" s="1"/>
  <c r="N638" i="1" s="1"/>
  <c r="L639" i="1"/>
  <c r="M639" i="1" s="1"/>
  <c r="N639" i="1" s="1"/>
  <c r="L640" i="1"/>
  <c r="L641" i="1"/>
  <c r="L642" i="1"/>
  <c r="M642" i="1" s="1"/>
  <c r="N642" i="1" s="1"/>
  <c r="L643" i="1"/>
  <c r="M643" i="1" s="1"/>
  <c r="N643" i="1" s="1"/>
  <c r="L644" i="1"/>
  <c r="M644" i="1" s="1"/>
  <c r="N644" i="1" s="1"/>
  <c r="L645" i="1"/>
  <c r="M645" i="1" s="1"/>
  <c r="N645" i="1" s="1"/>
  <c r="L646" i="1"/>
  <c r="M646" i="1" s="1"/>
  <c r="N646" i="1" s="1"/>
  <c r="L647" i="1"/>
  <c r="M647" i="1" s="1"/>
  <c r="N647" i="1" s="1"/>
  <c r="L648" i="1"/>
  <c r="L649" i="1"/>
  <c r="M649" i="1" s="1"/>
  <c r="N649" i="1" s="1"/>
  <c r="L650" i="1"/>
  <c r="M650" i="1" s="1"/>
  <c r="N650" i="1" s="1"/>
  <c r="L651" i="1"/>
  <c r="M651" i="1" s="1"/>
  <c r="N651" i="1" s="1"/>
  <c r="L652" i="1"/>
  <c r="M652" i="1" s="1"/>
  <c r="N652" i="1" s="1"/>
  <c r="L653" i="1"/>
  <c r="M653" i="1" s="1"/>
  <c r="N653" i="1" s="1"/>
  <c r="L654" i="1"/>
  <c r="M654" i="1" s="1"/>
  <c r="N654" i="1" s="1"/>
  <c r="L655" i="1"/>
  <c r="M655" i="1" s="1"/>
  <c r="N655" i="1" s="1"/>
  <c r="L656" i="1"/>
  <c r="M656" i="1" s="1"/>
  <c r="N656" i="1" s="1"/>
  <c r="L657" i="1"/>
  <c r="M657" i="1" s="1"/>
  <c r="N657" i="1" s="1"/>
  <c r="L658" i="1"/>
  <c r="M658" i="1" s="1"/>
  <c r="N658" i="1" s="1"/>
  <c r="L659" i="1"/>
  <c r="M659" i="1" s="1"/>
  <c r="N659" i="1" s="1"/>
  <c r="L660" i="1"/>
  <c r="L661" i="1"/>
  <c r="M661" i="1" s="1"/>
  <c r="N661" i="1" s="1"/>
  <c r="L662" i="1"/>
  <c r="M662" i="1" s="1"/>
  <c r="N662" i="1" s="1"/>
  <c r="L663" i="1"/>
  <c r="M663" i="1" s="1"/>
  <c r="N663" i="1" s="1"/>
  <c r="L664" i="1"/>
  <c r="M664" i="1" s="1"/>
  <c r="N664" i="1" s="1"/>
  <c r="L665" i="1"/>
  <c r="M665" i="1" s="1"/>
  <c r="N665" i="1" s="1"/>
  <c r="L666" i="1"/>
  <c r="M666" i="1" s="1"/>
  <c r="N666" i="1" s="1"/>
  <c r="L667" i="1"/>
  <c r="M667" i="1" s="1"/>
  <c r="N667" i="1" s="1"/>
  <c r="L668" i="1"/>
  <c r="M668" i="1" s="1"/>
  <c r="N668" i="1" s="1"/>
  <c r="L669" i="1"/>
  <c r="M669" i="1" s="1"/>
  <c r="N669" i="1" s="1"/>
  <c r="L670" i="1"/>
  <c r="M670" i="1" s="1"/>
  <c r="N670" i="1" s="1"/>
  <c r="L671" i="1"/>
  <c r="M671" i="1" s="1"/>
  <c r="N671" i="1" s="1"/>
  <c r="L672" i="1"/>
  <c r="M672" i="1" s="1"/>
  <c r="L673" i="1"/>
  <c r="M673" i="1" s="1"/>
  <c r="N673" i="1" s="1"/>
  <c r="L674" i="1"/>
  <c r="M674" i="1" s="1"/>
  <c r="N674" i="1" s="1"/>
  <c r="L675" i="1"/>
  <c r="M675" i="1" s="1"/>
  <c r="N675" i="1" s="1"/>
  <c r="L676" i="1"/>
  <c r="M676" i="1" s="1"/>
  <c r="N676" i="1" s="1"/>
  <c r="L677" i="1"/>
  <c r="M677" i="1" s="1"/>
  <c r="N677" i="1" s="1"/>
  <c r="L678" i="1"/>
  <c r="M678" i="1" s="1"/>
  <c r="N678" i="1" s="1"/>
  <c r="L679" i="1"/>
  <c r="M679" i="1" s="1"/>
  <c r="N679" i="1" s="1"/>
  <c r="L680" i="1"/>
  <c r="M680" i="1" s="1"/>
  <c r="N680" i="1" s="1"/>
  <c r="L681" i="1"/>
  <c r="M681" i="1" s="1"/>
  <c r="N681" i="1" s="1"/>
  <c r="L682" i="1"/>
  <c r="M682" i="1" s="1"/>
  <c r="N682" i="1" s="1"/>
  <c r="L683" i="1"/>
  <c r="M683" i="1" s="1"/>
  <c r="N683" i="1" s="1"/>
  <c r="L684" i="1"/>
  <c r="L685" i="1"/>
  <c r="L686" i="1"/>
  <c r="M686" i="1" s="1"/>
  <c r="N686" i="1" s="1"/>
  <c r="L687" i="1"/>
  <c r="M687" i="1" s="1"/>
  <c r="N687" i="1" s="1"/>
  <c r="L688" i="1"/>
  <c r="M688" i="1" s="1"/>
  <c r="N688" i="1" s="1"/>
  <c r="L689" i="1"/>
  <c r="M689" i="1" s="1"/>
  <c r="N689" i="1" s="1"/>
  <c r="L690" i="1"/>
  <c r="M690" i="1" s="1"/>
  <c r="N690" i="1" s="1"/>
  <c r="L691" i="1"/>
  <c r="M691" i="1" s="1"/>
  <c r="N691" i="1" s="1"/>
  <c r="L692" i="1"/>
  <c r="M692" i="1" s="1"/>
  <c r="N692" i="1" s="1"/>
  <c r="L693" i="1"/>
  <c r="M693" i="1" s="1"/>
  <c r="N693" i="1" s="1"/>
  <c r="L694" i="1"/>
  <c r="M694" i="1" s="1"/>
  <c r="N694" i="1" s="1"/>
  <c r="L695" i="1"/>
  <c r="M695" i="1" s="1"/>
  <c r="N695" i="1" s="1"/>
  <c r="L696" i="1"/>
  <c r="L697" i="1"/>
  <c r="L698" i="1"/>
  <c r="L699" i="1"/>
  <c r="M699" i="1" s="1"/>
  <c r="N699" i="1" s="1"/>
  <c r="L700" i="1"/>
  <c r="L701" i="1"/>
  <c r="M701" i="1" s="1"/>
  <c r="N701" i="1" s="1"/>
  <c r="L702" i="1"/>
  <c r="M702" i="1" s="1"/>
  <c r="N702" i="1" s="1"/>
  <c r="L703" i="1"/>
  <c r="M703" i="1" s="1"/>
  <c r="N703" i="1" s="1"/>
  <c r="L704" i="1"/>
  <c r="M704" i="1" s="1"/>
  <c r="N704" i="1" s="1"/>
  <c r="L705" i="1"/>
  <c r="M705" i="1" s="1"/>
  <c r="N705" i="1" s="1"/>
  <c r="L706" i="1"/>
  <c r="M706" i="1" s="1"/>
  <c r="N706" i="1" s="1"/>
  <c r="L707" i="1"/>
  <c r="M707" i="1" s="1"/>
  <c r="N707" i="1" s="1"/>
  <c r="L708" i="1"/>
  <c r="M708" i="1" s="1"/>
  <c r="N708" i="1" s="1"/>
  <c r="L709" i="1"/>
  <c r="M709" i="1" s="1"/>
  <c r="N709" i="1" s="1"/>
  <c r="L710" i="1"/>
  <c r="M710" i="1" s="1"/>
  <c r="N710" i="1" s="1"/>
  <c r="L711" i="1"/>
  <c r="M711" i="1" s="1"/>
  <c r="N711" i="1" s="1"/>
  <c r="L712" i="1"/>
  <c r="M712" i="1" s="1"/>
  <c r="N712" i="1" s="1"/>
  <c r="L713" i="1"/>
  <c r="M713" i="1" s="1"/>
  <c r="N713" i="1" s="1"/>
  <c r="L714" i="1"/>
  <c r="M714" i="1" s="1"/>
  <c r="N714" i="1" s="1"/>
  <c r="L715" i="1"/>
  <c r="M715" i="1" s="1"/>
  <c r="N715" i="1" s="1"/>
  <c r="L716" i="1"/>
  <c r="M716" i="1" s="1"/>
  <c r="N716" i="1" s="1"/>
  <c r="L717" i="1"/>
  <c r="M717" i="1" s="1"/>
  <c r="N717" i="1" s="1"/>
  <c r="L718" i="1"/>
  <c r="M718" i="1" s="1"/>
  <c r="N718" i="1" s="1"/>
  <c r="L719" i="1"/>
  <c r="M719" i="1" s="1"/>
  <c r="N719" i="1" s="1"/>
  <c r="L720" i="1"/>
  <c r="M720" i="1" s="1"/>
  <c r="N720" i="1" s="1"/>
  <c r="L721" i="1"/>
  <c r="M721" i="1" s="1"/>
  <c r="N721" i="1" s="1"/>
  <c r="L722" i="1"/>
  <c r="M722" i="1" s="1"/>
  <c r="N722" i="1" s="1"/>
  <c r="L723" i="1"/>
  <c r="M723" i="1" s="1"/>
  <c r="N723" i="1" s="1"/>
  <c r="L724" i="1"/>
  <c r="M724" i="1" s="1"/>
  <c r="N724" i="1" s="1"/>
  <c r="L725" i="1"/>
  <c r="M725" i="1" s="1"/>
  <c r="N725" i="1" s="1"/>
  <c r="L726" i="1"/>
  <c r="M726" i="1" s="1"/>
  <c r="N726" i="1" s="1"/>
  <c r="L727" i="1"/>
  <c r="M727" i="1" s="1"/>
  <c r="N727" i="1" s="1"/>
  <c r="L728" i="1"/>
  <c r="M728" i="1" s="1"/>
  <c r="N728" i="1" s="1"/>
  <c r="L729" i="1"/>
  <c r="M729" i="1" s="1"/>
  <c r="N729" i="1" s="1"/>
  <c r="L730" i="1"/>
  <c r="M730" i="1" s="1"/>
  <c r="N730" i="1" s="1"/>
  <c r="L731" i="1"/>
  <c r="M731" i="1" s="1"/>
  <c r="N731" i="1" s="1"/>
  <c r="L732" i="1"/>
  <c r="M732" i="1" s="1"/>
  <c r="N732" i="1" s="1"/>
  <c r="L733" i="1"/>
  <c r="M733" i="1" s="1"/>
  <c r="N733" i="1" s="1"/>
  <c r="L734" i="1"/>
  <c r="M734" i="1" s="1"/>
  <c r="N734" i="1" s="1"/>
  <c r="L735" i="1"/>
  <c r="M735" i="1" s="1"/>
  <c r="N735" i="1" s="1"/>
  <c r="L736" i="1"/>
  <c r="M736" i="1" s="1"/>
  <c r="N736" i="1" s="1"/>
  <c r="L737" i="1"/>
  <c r="M737" i="1" s="1"/>
  <c r="N737" i="1" s="1"/>
  <c r="L738" i="1"/>
  <c r="M738" i="1" s="1"/>
  <c r="N738" i="1" s="1"/>
  <c r="L739" i="1"/>
  <c r="M739" i="1" s="1"/>
  <c r="N739" i="1" s="1"/>
  <c r="L740" i="1"/>
  <c r="M740" i="1" s="1"/>
  <c r="N740" i="1" s="1"/>
  <c r="L741" i="1"/>
  <c r="M741" i="1" s="1"/>
  <c r="N741" i="1" s="1"/>
  <c r="L742" i="1"/>
  <c r="M742" i="1" s="1"/>
  <c r="N742" i="1" s="1"/>
  <c r="L743" i="1"/>
  <c r="M743" i="1" s="1"/>
  <c r="N743" i="1" s="1"/>
  <c r="L744" i="1"/>
  <c r="L745" i="1"/>
  <c r="M745" i="1" s="1"/>
  <c r="N745" i="1" s="1"/>
  <c r="L746" i="1"/>
  <c r="L747" i="1"/>
  <c r="L748" i="1"/>
  <c r="L749" i="1"/>
  <c r="M749" i="1" s="1"/>
  <c r="N749" i="1" s="1"/>
  <c r="L750" i="1"/>
  <c r="M750" i="1" s="1"/>
  <c r="N750" i="1" s="1"/>
  <c r="L751" i="1"/>
  <c r="M751" i="1" s="1"/>
  <c r="N751" i="1" s="1"/>
  <c r="L752" i="1"/>
  <c r="M752" i="1" s="1"/>
  <c r="N752" i="1" s="1"/>
  <c r="L753" i="1"/>
  <c r="M753" i="1" s="1"/>
  <c r="N753" i="1" s="1"/>
  <c r="L754" i="1"/>
  <c r="M754" i="1" s="1"/>
  <c r="N754" i="1" s="1"/>
  <c r="L755" i="1"/>
  <c r="M755" i="1" s="1"/>
  <c r="N755" i="1" s="1"/>
  <c r="L756" i="1"/>
  <c r="M756" i="1" s="1"/>
  <c r="N756" i="1" s="1"/>
  <c r="L757" i="1"/>
  <c r="M757" i="1" s="1"/>
  <c r="N757" i="1" s="1"/>
  <c r="L758" i="1"/>
  <c r="M758" i="1" s="1"/>
  <c r="N758" i="1" s="1"/>
  <c r="L759" i="1"/>
  <c r="M759" i="1" s="1"/>
  <c r="N759" i="1" s="1"/>
  <c r="L760" i="1"/>
  <c r="M760" i="1" s="1"/>
  <c r="N760" i="1" s="1"/>
  <c r="L761" i="1"/>
  <c r="M761" i="1" s="1"/>
  <c r="N761" i="1" s="1"/>
  <c r="L762" i="1"/>
  <c r="M762" i="1" s="1"/>
  <c r="N762" i="1" s="1"/>
  <c r="L763" i="1"/>
  <c r="M763" i="1" s="1"/>
  <c r="N763" i="1" s="1"/>
  <c r="L764" i="1"/>
  <c r="M764" i="1" s="1"/>
  <c r="N764" i="1" s="1"/>
  <c r="L765" i="1"/>
  <c r="M765" i="1" s="1"/>
  <c r="N765" i="1" s="1"/>
  <c r="L766" i="1"/>
  <c r="M766" i="1" s="1"/>
  <c r="N766" i="1" s="1"/>
  <c r="L767" i="1"/>
  <c r="M767" i="1" s="1"/>
  <c r="N767" i="1" s="1"/>
  <c r="L768" i="1"/>
  <c r="M768" i="1" s="1"/>
  <c r="N768" i="1" s="1"/>
  <c r="L769" i="1"/>
  <c r="M769" i="1" s="1"/>
  <c r="N769" i="1" s="1"/>
  <c r="L770" i="1"/>
  <c r="L771" i="1"/>
  <c r="L772" i="1"/>
  <c r="M772" i="1" s="1"/>
  <c r="L773" i="1"/>
  <c r="M773" i="1" s="1"/>
  <c r="N773" i="1" s="1"/>
  <c r="L774" i="1"/>
  <c r="M774" i="1" s="1"/>
  <c r="N774" i="1" s="1"/>
  <c r="L775" i="1"/>
  <c r="M775" i="1" s="1"/>
  <c r="N775" i="1" s="1"/>
  <c r="L776" i="1"/>
  <c r="M776" i="1" s="1"/>
  <c r="N776" i="1" s="1"/>
  <c r="L777" i="1"/>
  <c r="M777" i="1" s="1"/>
  <c r="N777" i="1" s="1"/>
  <c r="L778" i="1"/>
  <c r="M778" i="1" s="1"/>
  <c r="N778" i="1" s="1"/>
  <c r="L779" i="1"/>
  <c r="M779" i="1" s="1"/>
  <c r="N779" i="1" s="1"/>
  <c r="L780" i="1"/>
  <c r="M780" i="1" s="1"/>
  <c r="L781" i="1"/>
  <c r="M781" i="1" s="1"/>
  <c r="L782" i="1"/>
  <c r="M782" i="1" s="1"/>
  <c r="L783" i="1"/>
  <c r="L784" i="1"/>
  <c r="L785" i="1"/>
  <c r="L786" i="1"/>
  <c r="M786" i="1" s="1"/>
  <c r="N786" i="1" s="1"/>
  <c r="L787" i="1"/>
  <c r="M787" i="1" s="1"/>
  <c r="N787" i="1" s="1"/>
  <c r="L788" i="1"/>
  <c r="M788" i="1" s="1"/>
  <c r="N788" i="1" s="1"/>
  <c r="L789" i="1"/>
  <c r="M789" i="1" s="1"/>
  <c r="N789" i="1" s="1"/>
  <c r="L790" i="1"/>
  <c r="M790" i="1" s="1"/>
  <c r="N790" i="1" s="1"/>
  <c r="L791" i="1"/>
  <c r="M791" i="1" s="1"/>
  <c r="N791" i="1" s="1"/>
  <c r="L792" i="1"/>
  <c r="M792" i="1" s="1"/>
  <c r="N792" i="1" s="1"/>
  <c r="L793" i="1"/>
  <c r="M793" i="1" s="1"/>
  <c r="N793" i="1" s="1"/>
  <c r="L794" i="1"/>
  <c r="M794" i="1" s="1"/>
  <c r="N794" i="1" s="1"/>
  <c r="L795" i="1"/>
  <c r="M795" i="1" s="1"/>
  <c r="N795" i="1" s="1"/>
  <c r="L796" i="1"/>
  <c r="L797" i="1"/>
  <c r="L798" i="1"/>
  <c r="M798" i="1" s="1"/>
  <c r="N798" i="1" s="1"/>
  <c r="L799" i="1"/>
  <c r="M799" i="1" s="1"/>
  <c r="N799" i="1" s="1"/>
  <c r="L800" i="1"/>
  <c r="M800" i="1" s="1"/>
  <c r="N800" i="1" s="1"/>
  <c r="L801" i="1"/>
  <c r="M801" i="1" s="1"/>
  <c r="N801" i="1" s="1"/>
  <c r="L802" i="1"/>
  <c r="M802" i="1" s="1"/>
  <c r="N802" i="1" s="1"/>
  <c r="L803" i="1"/>
  <c r="M803" i="1" s="1"/>
  <c r="L804" i="1"/>
  <c r="M804" i="1" s="1"/>
  <c r="N804" i="1" s="1"/>
  <c r="L805" i="1"/>
  <c r="M805" i="1" s="1"/>
  <c r="N805" i="1" s="1"/>
  <c r="L806" i="1"/>
  <c r="M806" i="1" s="1"/>
  <c r="N806" i="1" s="1"/>
  <c r="L807" i="1"/>
  <c r="M807" i="1" s="1"/>
  <c r="N807" i="1" s="1"/>
  <c r="L808" i="1"/>
  <c r="M808" i="1" s="1"/>
  <c r="N808" i="1" s="1"/>
  <c r="L809" i="1"/>
  <c r="M809" i="1" s="1"/>
  <c r="N809" i="1" s="1"/>
  <c r="L810" i="1"/>
  <c r="M810" i="1" s="1"/>
  <c r="N810" i="1" s="1"/>
  <c r="L811" i="1"/>
  <c r="M811" i="1" s="1"/>
  <c r="N811" i="1" s="1"/>
  <c r="L812" i="1"/>
  <c r="M812" i="1" s="1"/>
  <c r="N812" i="1" s="1"/>
  <c r="L813" i="1"/>
  <c r="M813" i="1" s="1"/>
  <c r="N813" i="1" s="1"/>
  <c r="L814" i="1"/>
  <c r="M814" i="1" s="1"/>
  <c r="N814" i="1" s="1"/>
  <c r="L815" i="1"/>
  <c r="M815" i="1" s="1"/>
  <c r="N815" i="1" s="1"/>
  <c r="L816" i="1"/>
  <c r="M816" i="1" s="1"/>
  <c r="N816" i="1" s="1"/>
  <c r="L817" i="1"/>
  <c r="M817" i="1" s="1"/>
  <c r="N817" i="1" s="1"/>
  <c r="L818" i="1"/>
  <c r="M818" i="1" s="1"/>
  <c r="N818" i="1" s="1"/>
  <c r="L819" i="1"/>
  <c r="M819" i="1" s="1"/>
  <c r="N819" i="1" s="1"/>
  <c r="L820" i="1"/>
  <c r="M820" i="1" s="1"/>
  <c r="N820" i="1" s="1"/>
  <c r="L821" i="1"/>
  <c r="M821" i="1" s="1"/>
  <c r="N821" i="1" s="1"/>
  <c r="L822" i="1"/>
  <c r="M822" i="1" s="1"/>
  <c r="N822" i="1" s="1"/>
  <c r="L823" i="1"/>
  <c r="M823" i="1" s="1"/>
  <c r="N823" i="1" s="1"/>
  <c r="L824" i="1"/>
  <c r="M824" i="1" s="1"/>
  <c r="N824" i="1" s="1"/>
  <c r="L825" i="1"/>
  <c r="M825" i="1" s="1"/>
  <c r="N825" i="1" s="1"/>
  <c r="L826" i="1"/>
  <c r="M826" i="1" s="1"/>
  <c r="N826" i="1" s="1"/>
  <c r="L827" i="1"/>
  <c r="M827" i="1" s="1"/>
  <c r="N827" i="1" s="1"/>
  <c r="L828" i="1"/>
  <c r="L829" i="1"/>
  <c r="L830" i="1"/>
  <c r="L831" i="1"/>
  <c r="M831" i="1" s="1"/>
  <c r="N831" i="1" s="1"/>
  <c r="L832" i="1"/>
  <c r="L833" i="1"/>
  <c r="L834" i="1"/>
  <c r="M834" i="1" s="1"/>
  <c r="N834" i="1" s="1"/>
  <c r="L835" i="1"/>
  <c r="M835" i="1" s="1"/>
  <c r="N835" i="1" s="1"/>
  <c r="L836" i="1"/>
  <c r="M836" i="1" s="1"/>
  <c r="N836" i="1" s="1"/>
  <c r="L837" i="1"/>
  <c r="M837" i="1" s="1"/>
  <c r="N837" i="1" s="1"/>
  <c r="L838" i="1"/>
  <c r="L839" i="1"/>
  <c r="M839" i="1" s="1"/>
  <c r="N839" i="1" s="1"/>
  <c r="L840" i="1"/>
  <c r="M840" i="1" s="1"/>
  <c r="N840" i="1" s="1"/>
  <c r="L841" i="1"/>
  <c r="M841" i="1" s="1"/>
  <c r="N841" i="1" s="1"/>
  <c r="L842" i="1"/>
  <c r="M842" i="1" s="1"/>
  <c r="N842" i="1" s="1"/>
  <c r="L843" i="1"/>
  <c r="M843" i="1" s="1"/>
  <c r="N843" i="1" s="1"/>
  <c r="L844" i="1"/>
  <c r="M844" i="1" s="1"/>
  <c r="N844" i="1" s="1"/>
  <c r="L845" i="1"/>
  <c r="M845" i="1" s="1"/>
  <c r="N845" i="1" s="1"/>
  <c r="L846" i="1"/>
  <c r="M846" i="1" s="1"/>
  <c r="N846" i="1" s="1"/>
  <c r="L847" i="1"/>
  <c r="M847" i="1" s="1"/>
  <c r="N847" i="1" s="1"/>
  <c r="L848" i="1"/>
  <c r="M848" i="1" s="1"/>
  <c r="N848" i="1" s="1"/>
  <c r="L849" i="1"/>
  <c r="M849" i="1" s="1"/>
  <c r="N849" i="1" s="1"/>
  <c r="L850" i="1"/>
  <c r="M850" i="1" s="1"/>
  <c r="N850" i="1" s="1"/>
  <c r="L851" i="1"/>
  <c r="M851" i="1" s="1"/>
  <c r="N851" i="1" s="1"/>
  <c r="L852" i="1"/>
  <c r="M852" i="1" s="1"/>
  <c r="N852" i="1" s="1"/>
  <c r="L853" i="1"/>
  <c r="M853" i="1" s="1"/>
  <c r="N853" i="1" s="1"/>
  <c r="L854" i="1"/>
  <c r="M854" i="1" s="1"/>
  <c r="N854" i="1" s="1"/>
  <c r="L855" i="1"/>
  <c r="M855" i="1" s="1"/>
  <c r="N855" i="1" s="1"/>
  <c r="L856" i="1"/>
  <c r="M856" i="1" s="1"/>
  <c r="N856" i="1" s="1"/>
  <c r="L857" i="1"/>
  <c r="M857" i="1" s="1"/>
  <c r="N857" i="1" s="1"/>
  <c r="L858" i="1"/>
  <c r="M858" i="1" s="1"/>
  <c r="N858" i="1" s="1"/>
  <c r="L859" i="1"/>
  <c r="M859" i="1" s="1"/>
  <c r="N859" i="1" s="1"/>
  <c r="L860" i="1"/>
  <c r="M860" i="1" s="1"/>
  <c r="N860" i="1" s="1"/>
  <c r="L861" i="1"/>
  <c r="M861" i="1" s="1"/>
  <c r="N861" i="1" s="1"/>
  <c r="L862" i="1"/>
  <c r="M862" i="1" s="1"/>
  <c r="L863" i="1"/>
  <c r="M863" i="1" s="1"/>
  <c r="N863" i="1" s="1"/>
  <c r="L864" i="1"/>
  <c r="M864" i="1" s="1"/>
  <c r="N864" i="1" s="1"/>
  <c r="L865" i="1"/>
  <c r="M865" i="1" s="1"/>
  <c r="N865" i="1" s="1"/>
  <c r="L866" i="1"/>
  <c r="M866" i="1" s="1"/>
  <c r="N866" i="1" s="1"/>
  <c r="L867" i="1"/>
  <c r="L868" i="1"/>
  <c r="L869" i="1"/>
  <c r="L870" i="1"/>
  <c r="M870" i="1" s="1"/>
  <c r="N870" i="1" s="1"/>
  <c r="L871" i="1"/>
  <c r="M871" i="1" s="1"/>
  <c r="N871" i="1" s="1"/>
  <c r="L872" i="1"/>
  <c r="M872" i="1" s="1"/>
  <c r="N872" i="1" s="1"/>
  <c r="L873" i="1"/>
  <c r="M873" i="1" s="1"/>
  <c r="N873" i="1" s="1"/>
  <c r="L874" i="1"/>
  <c r="M874" i="1" s="1"/>
  <c r="N874" i="1" s="1"/>
  <c r="L875" i="1"/>
  <c r="M875" i="1" s="1"/>
  <c r="N875" i="1" s="1"/>
  <c r="L876" i="1"/>
  <c r="L877" i="1"/>
  <c r="M877" i="1" s="1"/>
  <c r="N877" i="1" s="1"/>
  <c r="L878" i="1"/>
  <c r="M878" i="1" s="1"/>
  <c r="N878" i="1" s="1"/>
  <c r="L879" i="1"/>
  <c r="M879" i="1" s="1"/>
  <c r="N879" i="1" s="1"/>
  <c r="L880" i="1"/>
  <c r="L881" i="1"/>
  <c r="M881" i="1" s="1"/>
  <c r="N881" i="1" s="1"/>
  <c r="L882" i="1"/>
  <c r="M882" i="1" s="1"/>
  <c r="N882" i="1" s="1"/>
  <c r="L883" i="1"/>
  <c r="M883" i="1" s="1"/>
  <c r="N883" i="1" s="1"/>
  <c r="L884" i="1"/>
  <c r="M884" i="1" s="1"/>
  <c r="N884" i="1" s="1"/>
  <c r="L885" i="1"/>
  <c r="M885" i="1" s="1"/>
  <c r="N885" i="1" s="1"/>
  <c r="L886" i="1"/>
  <c r="M886" i="1" s="1"/>
  <c r="N886" i="1" s="1"/>
  <c r="L887" i="1"/>
  <c r="M887" i="1" s="1"/>
  <c r="N887" i="1" s="1"/>
  <c r="L888" i="1"/>
  <c r="M888" i="1" s="1"/>
  <c r="N888" i="1" s="1"/>
  <c r="L889" i="1"/>
  <c r="M889" i="1" s="1"/>
  <c r="N889" i="1" s="1"/>
  <c r="L890" i="1"/>
  <c r="M890" i="1" s="1"/>
  <c r="N890" i="1" s="1"/>
  <c r="L891" i="1"/>
  <c r="L892" i="1"/>
  <c r="L893" i="1"/>
  <c r="M893" i="1" s="1"/>
  <c r="N893" i="1" s="1"/>
  <c r="L894" i="1"/>
  <c r="M894" i="1" s="1"/>
  <c r="N894" i="1" s="1"/>
  <c r="L895" i="1"/>
  <c r="M895" i="1" s="1"/>
  <c r="N895" i="1" s="1"/>
  <c r="L896" i="1"/>
  <c r="M896" i="1" s="1"/>
  <c r="N896" i="1" s="1"/>
  <c r="L897" i="1"/>
  <c r="M897" i="1" s="1"/>
  <c r="N897" i="1" s="1"/>
  <c r="L898" i="1"/>
  <c r="M898" i="1" s="1"/>
  <c r="N898" i="1" s="1"/>
  <c r="L899" i="1"/>
  <c r="M899" i="1" s="1"/>
  <c r="N899" i="1" s="1"/>
  <c r="L900" i="1"/>
  <c r="M900" i="1" s="1"/>
  <c r="N900" i="1" s="1"/>
  <c r="L901" i="1"/>
  <c r="M901" i="1" s="1"/>
  <c r="N901" i="1" s="1"/>
  <c r="L902" i="1"/>
  <c r="M902" i="1" s="1"/>
  <c r="N902" i="1" s="1"/>
  <c r="L903" i="1"/>
  <c r="M903" i="1" s="1"/>
  <c r="N903" i="1" s="1"/>
  <c r="L904" i="1"/>
  <c r="M904" i="1" s="1"/>
  <c r="N904" i="1" s="1"/>
  <c r="L905" i="1"/>
  <c r="M905" i="1" s="1"/>
  <c r="N905" i="1" s="1"/>
  <c r="L906" i="1"/>
  <c r="M906" i="1" s="1"/>
  <c r="N906" i="1" s="1"/>
  <c r="L907" i="1"/>
  <c r="M907" i="1" s="1"/>
  <c r="N907" i="1" s="1"/>
  <c r="L908" i="1"/>
  <c r="M908" i="1" s="1"/>
  <c r="N908" i="1" s="1"/>
  <c r="L909" i="1"/>
  <c r="M909" i="1" s="1"/>
  <c r="N909" i="1" s="1"/>
  <c r="L910" i="1"/>
  <c r="M910" i="1" s="1"/>
  <c r="N910" i="1" s="1"/>
  <c r="L911" i="1"/>
  <c r="M911" i="1" s="1"/>
  <c r="N911" i="1" s="1"/>
  <c r="L912" i="1"/>
  <c r="M912" i="1" s="1"/>
  <c r="N912" i="1" s="1"/>
  <c r="L913" i="1"/>
  <c r="M913" i="1" s="1"/>
  <c r="N913" i="1" s="1"/>
  <c r="L914" i="1"/>
  <c r="L915" i="1"/>
  <c r="L916" i="1"/>
  <c r="L917" i="1"/>
  <c r="M917" i="1" s="1"/>
  <c r="N917" i="1" s="1"/>
  <c r="L918" i="1"/>
  <c r="M918" i="1" s="1"/>
  <c r="N918" i="1" s="1"/>
  <c r="L919" i="1"/>
  <c r="M919" i="1" s="1"/>
  <c r="N919" i="1" s="1"/>
  <c r="L920" i="1"/>
  <c r="M920" i="1" s="1"/>
  <c r="N920" i="1" s="1"/>
  <c r="L921" i="1"/>
  <c r="M921" i="1" s="1"/>
  <c r="N921" i="1" s="1"/>
  <c r="L922" i="1"/>
  <c r="M922" i="1" s="1"/>
  <c r="N922" i="1" s="1"/>
  <c r="L923" i="1"/>
  <c r="M923" i="1" s="1"/>
  <c r="N923" i="1" s="1"/>
  <c r="L924" i="1"/>
  <c r="M924" i="1" s="1"/>
  <c r="N924" i="1" s="1"/>
  <c r="L925" i="1"/>
  <c r="M925" i="1" s="1"/>
  <c r="N925" i="1" s="1"/>
  <c r="L926" i="1"/>
  <c r="M926" i="1" s="1"/>
  <c r="N926" i="1" s="1"/>
  <c r="L927" i="1"/>
  <c r="M927" i="1" s="1"/>
  <c r="N927" i="1" s="1"/>
  <c r="L928" i="1"/>
  <c r="M928" i="1" s="1"/>
  <c r="N928" i="1" s="1"/>
  <c r="L929" i="1"/>
  <c r="M929" i="1" s="1"/>
  <c r="N929" i="1" s="1"/>
  <c r="L930" i="1"/>
  <c r="M930" i="1" s="1"/>
  <c r="N930" i="1" s="1"/>
  <c r="L931" i="1"/>
  <c r="M931" i="1" s="1"/>
  <c r="N931" i="1" s="1"/>
  <c r="L932" i="1"/>
  <c r="M932" i="1" s="1"/>
  <c r="N932" i="1" s="1"/>
  <c r="L933" i="1"/>
  <c r="M933" i="1" s="1"/>
  <c r="N933" i="1" s="1"/>
  <c r="L934" i="1"/>
  <c r="M934" i="1" s="1"/>
  <c r="N934" i="1" s="1"/>
  <c r="L935" i="1"/>
  <c r="M935" i="1" s="1"/>
  <c r="N935" i="1" s="1"/>
  <c r="L936" i="1"/>
  <c r="M936" i="1" s="1"/>
  <c r="N936" i="1" s="1"/>
  <c r="L937" i="1"/>
  <c r="M937" i="1" s="1"/>
  <c r="N937" i="1" s="1"/>
  <c r="L938" i="1"/>
  <c r="M938" i="1" s="1"/>
  <c r="N938" i="1" s="1"/>
  <c r="L939" i="1"/>
  <c r="L940" i="1"/>
  <c r="L941" i="1"/>
  <c r="L942" i="1"/>
  <c r="M942" i="1" s="1"/>
  <c r="N942" i="1" s="1"/>
  <c r="L943" i="1"/>
  <c r="M943" i="1" s="1"/>
  <c r="N943" i="1" s="1"/>
  <c r="L944" i="1"/>
  <c r="M944" i="1" s="1"/>
  <c r="N944" i="1" s="1"/>
  <c r="L945" i="1"/>
  <c r="M945" i="1" s="1"/>
  <c r="N945" i="1" s="1"/>
  <c r="L946" i="1"/>
  <c r="M946" i="1" s="1"/>
  <c r="N946" i="1" s="1"/>
  <c r="L947" i="1"/>
  <c r="M947" i="1" s="1"/>
  <c r="N947" i="1" s="1"/>
  <c r="L948" i="1"/>
  <c r="M948" i="1" s="1"/>
  <c r="N948" i="1" s="1"/>
  <c r="L949" i="1"/>
  <c r="M949" i="1" s="1"/>
  <c r="N949" i="1" s="1"/>
  <c r="L950" i="1"/>
  <c r="L951" i="1"/>
  <c r="M951" i="1" s="1"/>
  <c r="N951" i="1" s="1"/>
  <c r="L952" i="1"/>
  <c r="L953" i="1"/>
  <c r="L954" i="1"/>
  <c r="M954" i="1" s="1"/>
  <c r="N954" i="1" s="1"/>
  <c r="L955" i="1"/>
  <c r="M955" i="1" s="1"/>
  <c r="N955" i="1" s="1"/>
  <c r="L956" i="1"/>
  <c r="M956" i="1" s="1"/>
  <c r="N956" i="1" s="1"/>
  <c r="L957" i="1"/>
  <c r="M957" i="1" s="1"/>
  <c r="N957" i="1" s="1"/>
  <c r="L958" i="1"/>
  <c r="M958" i="1" s="1"/>
  <c r="N958" i="1" s="1"/>
  <c r="L959" i="1"/>
  <c r="M959" i="1" s="1"/>
  <c r="N959" i="1" s="1"/>
  <c r="L960" i="1"/>
  <c r="M960" i="1" s="1"/>
  <c r="N960" i="1" s="1"/>
  <c r="L961" i="1"/>
  <c r="M961" i="1" s="1"/>
  <c r="N961" i="1" s="1"/>
  <c r="L962" i="1"/>
  <c r="M962" i="1" s="1"/>
  <c r="N962" i="1" s="1"/>
  <c r="L963" i="1"/>
  <c r="M963" i="1" s="1"/>
  <c r="N963" i="1" s="1"/>
  <c r="L964" i="1"/>
  <c r="M964" i="1" s="1"/>
  <c r="N964" i="1" s="1"/>
  <c r="L965" i="1"/>
  <c r="M965" i="1" s="1"/>
  <c r="N965" i="1" s="1"/>
  <c r="L966" i="1"/>
  <c r="M966" i="1" s="1"/>
  <c r="N966" i="1" s="1"/>
  <c r="L967" i="1"/>
  <c r="M967" i="1" s="1"/>
  <c r="N967" i="1" s="1"/>
  <c r="L968" i="1"/>
  <c r="M968" i="1" s="1"/>
  <c r="N968" i="1" s="1"/>
  <c r="L969" i="1"/>
  <c r="M969" i="1" s="1"/>
  <c r="N969" i="1" s="1"/>
  <c r="L970" i="1"/>
  <c r="M970" i="1" s="1"/>
  <c r="N970" i="1" s="1"/>
  <c r="L971" i="1"/>
  <c r="M971" i="1" s="1"/>
  <c r="N971" i="1" s="1"/>
  <c r="L972" i="1"/>
  <c r="M972" i="1" s="1"/>
  <c r="N972" i="1" s="1"/>
  <c r="L973" i="1"/>
  <c r="L974" i="1"/>
  <c r="L975" i="1"/>
  <c r="M975" i="1" s="1"/>
  <c r="N975" i="1" s="1"/>
  <c r="L976" i="1"/>
  <c r="L977" i="1"/>
  <c r="L978" i="1"/>
  <c r="M978" i="1" s="1"/>
  <c r="N978" i="1" s="1"/>
  <c r="L979" i="1"/>
  <c r="M979" i="1" s="1"/>
  <c r="N979" i="1" s="1"/>
  <c r="L980" i="1"/>
  <c r="M980" i="1" s="1"/>
  <c r="N980" i="1" s="1"/>
  <c r="L981" i="1"/>
  <c r="M981" i="1" s="1"/>
  <c r="N981" i="1" s="1"/>
  <c r="L982" i="1"/>
  <c r="M982" i="1" s="1"/>
  <c r="N982" i="1" s="1"/>
  <c r="L983" i="1"/>
  <c r="M983" i="1" s="1"/>
  <c r="N983" i="1" s="1"/>
  <c r="L984" i="1"/>
  <c r="M984" i="1" s="1"/>
  <c r="N984" i="1" s="1"/>
  <c r="L985" i="1"/>
  <c r="M985" i="1" s="1"/>
  <c r="N985" i="1" s="1"/>
  <c r="L986" i="1"/>
  <c r="M986" i="1" s="1"/>
  <c r="N986" i="1" s="1"/>
  <c r="L987" i="1"/>
  <c r="M987" i="1" s="1"/>
  <c r="N987" i="1" s="1"/>
  <c r="L988" i="1"/>
  <c r="M988" i="1" s="1"/>
  <c r="N988" i="1" s="1"/>
  <c r="L989" i="1"/>
  <c r="M989" i="1" s="1"/>
  <c r="N989" i="1" s="1"/>
  <c r="L990" i="1"/>
  <c r="M990" i="1" s="1"/>
  <c r="N990" i="1" s="1"/>
  <c r="L991" i="1"/>
  <c r="M991" i="1" s="1"/>
  <c r="N991" i="1" s="1"/>
  <c r="L992" i="1"/>
  <c r="M992" i="1" s="1"/>
  <c r="N992" i="1" s="1"/>
  <c r="L993" i="1"/>
  <c r="M993" i="1" s="1"/>
  <c r="N993" i="1" s="1"/>
  <c r="L994" i="1"/>
  <c r="M994" i="1" s="1"/>
  <c r="N994" i="1" s="1"/>
  <c r="L995" i="1"/>
  <c r="M995" i="1" s="1"/>
  <c r="N995" i="1" s="1"/>
  <c r="L996" i="1"/>
  <c r="L997" i="1"/>
  <c r="L998" i="1"/>
  <c r="M998" i="1" s="1"/>
  <c r="N998" i="1" s="1"/>
  <c r="L999" i="1"/>
  <c r="M999" i="1" s="1"/>
  <c r="N999" i="1" s="1"/>
  <c r="L1000" i="1"/>
  <c r="M1000" i="1" s="1"/>
  <c r="N1000" i="1" s="1"/>
  <c r="L1001" i="1"/>
  <c r="M1001" i="1" s="1"/>
  <c r="N1001" i="1" s="1"/>
  <c r="L1002" i="1"/>
  <c r="M1002" i="1" s="1"/>
  <c r="N1002" i="1" s="1"/>
  <c r="L1003" i="1"/>
  <c r="M1003" i="1" s="1"/>
  <c r="N1003" i="1" s="1"/>
  <c r="L1004" i="1"/>
  <c r="M1004" i="1" s="1"/>
  <c r="N1004" i="1" s="1"/>
  <c r="L1005" i="1"/>
  <c r="M1005" i="1" s="1"/>
  <c r="N1005" i="1" s="1"/>
  <c r="L1006" i="1"/>
  <c r="M1006" i="1" s="1"/>
  <c r="N1006" i="1" s="1"/>
  <c r="L1007" i="1"/>
  <c r="M1007" i="1" s="1"/>
  <c r="N1007" i="1" s="1"/>
  <c r="L1008" i="1"/>
  <c r="M1008" i="1" s="1"/>
  <c r="L1009" i="1"/>
  <c r="M1009" i="1" s="1"/>
  <c r="L1010" i="1"/>
  <c r="M1010" i="1" s="1"/>
  <c r="N1010" i="1" s="1"/>
  <c r="L1011" i="1"/>
  <c r="M1011" i="1" s="1"/>
  <c r="N1011" i="1" s="1"/>
  <c r="L1012" i="1"/>
  <c r="M1012" i="1" s="1"/>
  <c r="N1012" i="1" s="1"/>
  <c r="L1013" i="1"/>
  <c r="M1013" i="1" s="1"/>
  <c r="N1013" i="1" s="1"/>
  <c r="L1014" i="1"/>
  <c r="M1014" i="1" s="1"/>
  <c r="N1014" i="1" s="1"/>
  <c r="L1015" i="1"/>
  <c r="M1015" i="1" s="1"/>
  <c r="N1015" i="1" s="1"/>
  <c r="L1016" i="1"/>
  <c r="M1016" i="1" s="1"/>
  <c r="N1016" i="1" s="1"/>
  <c r="L1017" i="1"/>
  <c r="M1017" i="1" s="1"/>
  <c r="N1017" i="1" s="1"/>
  <c r="L1018" i="1"/>
  <c r="M1018" i="1" s="1"/>
  <c r="N1018" i="1" s="1"/>
  <c r="L1019" i="1"/>
  <c r="M1019" i="1" s="1"/>
  <c r="N1019" i="1" s="1"/>
  <c r="L1020" i="1"/>
  <c r="L1021" i="1"/>
  <c r="L1022" i="1"/>
  <c r="L1023" i="1"/>
  <c r="M1023" i="1" s="1"/>
  <c r="L1024" i="1"/>
  <c r="L1025" i="1"/>
  <c r="L1026" i="1"/>
  <c r="M1026" i="1" s="1"/>
  <c r="N1026" i="1" s="1"/>
  <c r="L1027" i="1"/>
  <c r="M1027" i="1" s="1"/>
  <c r="N1027" i="1" s="1"/>
  <c r="L1028" i="1"/>
  <c r="M1028" i="1" s="1"/>
  <c r="N1028" i="1" s="1"/>
  <c r="L1029" i="1"/>
  <c r="M1029" i="1" s="1"/>
  <c r="N1029" i="1" s="1"/>
  <c r="L1030" i="1"/>
  <c r="L1031" i="1"/>
  <c r="M1031" i="1" s="1"/>
  <c r="N1031" i="1" s="1"/>
  <c r="L1032" i="1"/>
  <c r="M1032" i="1" s="1"/>
  <c r="N1032" i="1" s="1"/>
  <c r="L1033" i="1"/>
  <c r="M1033" i="1" s="1"/>
  <c r="L1034" i="1"/>
  <c r="M1034" i="1" s="1"/>
  <c r="N1034" i="1" s="1"/>
  <c r="L1035" i="1"/>
  <c r="L1036" i="1"/>
  <c r="M1036" i="1" s="1"/>
  <c r="N1036" i="1" s="1"/>
  <c r="L1037" i="1"/>
  <c r="M1037" i="1" s="1"/>
  <c r="N1037" i="1" s="1"/>
  <c r="L1038" i="1"/>
  <c r="M1038" i="1" s="1"/>
  <c r="N1038" i="1" s="1"/>
  <c r="L1039" i="1"/>
  <c r="M1039" i="1" s="1"/>
  <c r="N1039" i="1" s="1"/>
  <c r="L1040" i="1"/>
  <c r="M1040" i="1" s="1"/>
  <c r="N1040" i="1" s="1"/>
  <c r="L1041" i="1"/>
  <c r="M1041" i="1" s="1"/>
  <c r="N1041" i="1" s="1"/>
  <c r="L1042" i="1"/>
  <c r="M1042" i="1" s="1"/>
  <c r="N1042" i="1" s="1"/>
  <c r="L1043" i="1"/>
  <c r="M1043" i="1" s="1"/>
  <c r="N1043" i="1" s="1"/>
  <c r="L1044" i="1"/>
  <c r="M1044" i="1" s="1"/>
  <c r="N1044" i="1" s="1"/>
  <c r="L1045" i="1"/>
  <c r="M1045" i="1" s="1"/>
  <c r="N1045" i="1" s="1"/>
  <c r="L1046" i="1"/>
  <c r="M1046" i="1" s="1"/>
  <c r="N1046" i="1" s="1"/>
  <c r="L1047" i="1"/>
  <c r="M1047" i="1" s="1"/>
  <c r="N1047" i="1" s="1"/>
  <c r="L1048" i="1"/>
  <c r="M1048" i="1" s="1"/>
  <c r="N1048" i="1" s="1"/>
  <c r="L1049" i="1"/>
  <c r="M1049" i="1" s="1"/>
  <c r="N1049" i="1" s="1"/>
  <c r="L1050" i="1"/>
  <c r="M1050" i="1" s="1"/>
  <c r="N1050" i="1" s="1"/>
  <c r="L1051" i="1"/>
  <c r="M1051" i="1" s="1"/>
  <c r="N1051" i="1" s="1"/>
  <c r="L1052" i="1"/>
  <c r="M1052" i="1" s="1"/>
  <c r="N1052" i="1" s="1"/>
  <c r="L1053" i="1"/>
  <c r="M1053" i="1" s="1"/>
  <c r="N1053" i="1" s="1"/>
  <c r="L1054" i="1"/>
  <c r="M1054" i="1" s="1"/>
  <c r="N1054" i="1" s="1"/>
  <c r="L1055" i="1"/>
  <c r="M1055" i="1" s="1"/>
  <c r="N1055" i="1" s="1"/>
  <c r="L1056" i="1"/>
  <c r="L1057" i="1"/>
  <c r="M1057" i="1" s="1"/>
  <c r="N1057" i="1" s="1"/>
  <c r="L1058" i="1"/>
  <c r="M1058" i="1" s="1"/>
  <c r="N1058" i="1" s="1"/>
  <c r="L1059" i="1"/>
  <c r="M1059" i="1" s="1"/>
  <c r="N1059" i="1" s="1"/>
  <c r="L1060" i="1"/>
  <c r="L1061" i="1"/>
  <c r="M1061" i="1" s="1"/>
  <c r="N1061" i="1" s="1"/>
  <c r="L1062" i="1"/>
  <c r="M1062" i="1" s="1"/>
  <c r="N1062" i="1" s="1"/>
  <c r="L1063" i="1"/>
  <c r="M1063" i="1" s="1"/>
  <c r="N1063" i="1" s="1"/>
  <c r="L1064" i="1"/>
  <c r="M1064" i="1" s="1"/>
  <c r="N1064" i="1" s="1"/>
  <c r="L1065" i="1"/>
  <c r="M1065" i="1" s="1"/>
  <c r="N1065" i="1" s="1"/>
  <c r="L1066" i="1"/>
  <c r="M1066" i="1" s="1"/>
  <c r="N1066" i="1" s="1"/>
  <c r="L1067" i="1"/>
  <c r="L1068" i="1"/>
  <c r="L1069" i="1"/>
  <c r="M1069" i="1" s="1"/>
  <c r="N1069" i="1" s="1"/>
  <c r="L1070" i="1"/>
  <c r="L1071" i="1"/>
  <c r="L1072" i="1"/>
  <c r="M1072" i="1" s="1"/>
  <c r="N1072" i="1" s="1"/>
  <c r="L1073" i="1"/>
  <c r="M1073" i="1" s="1"/>
  <c r="N1073" i="1" s="1"/>
  <c r="L1074" i="1"/>
  <c r="M1074" i="1" s="1"/>
  <c r="N1074" i="1" s="1"/>
  <c r="L1075" i="1"/>
  <c r="M1075" i="1" s="1"/>
  <c r="N1075" i="1" s="1"/>
  <c r="L1076" i="1"/>
  <c r="M1076" i="1" s="1"/>
  <c r="N1076" i="1" s="1"/>
  <c r="L1077" i="1"/>
  <c r="M1077" i="1" s="1"/>
  <c r="N1077" i="1" s="1"/>
  <c r="L1078" i="1"/>
  <c r="M1078" i="1" s="1"/>
  <c r="N1078" i="1" s="1"/>
  <c r="L1079" i="1"/>
  <c r="M1079" i="1" s="1"/>
  <c r="N1079" i="1" s="1"/>
  <c r="L1080" i="1"/>
  <c r="M1080" i="1" s="1"/>
  <c r="N1080" i="1" s="1"/>
  <c r="L1081" i="1"/>
  <c r="M1081" i="1" s="1"/>
  <c r="N1081" i="1" s="1"/>
  <c r="L1082" i="1"/>
  <c r="M1082" i="1" s="1"/>
  <c r="L1083" i="1"/>
  <c r="M1083" i="1" s="1"/>
  <c r="N1083" i="1" s="1"/>
  <c r="L1084" i="1"/>
  <c r="M1084" i="1" s="1"/>
  <c r="N1084" i="1" s="1"/>
  <c r="L1085" i="1"/>
  <c r="M1085" i="1" s="1"/>
  <c r="N1085" i="1" s="1"/>
  <c r="L1086" i="1"/>
  <c r="M1086" i="1" s="1"/>
  <c r="N1086" i="1" s="1"/>
  <c r="L1087" i="1"/>
  <c r="M1087" i="1" s="1"/>
  <c r="N1087" i="1" s="1"/>
  <c r="L1088" i="1"/>
  <c r="M1088" i="1" s="1"/>
  <c r="N1088" i="1" s="1"/>
  <c r="L1089" i="1"/>
  <c r="M1089" i="1" s="1"/>
  <c r="N1089" i="1" s="1"/>
  <c r="L1090" i="1"/>
  <c r="M1090" i="1" s="1"/>
  <c r="N1090" i="1" s="1"/>
  <c r="L1091" i="1"/>
  <c r="M1091" i="1" s="1"/>
  <c r="N1091" i="1" s="1"/>
  <c r="L1092" i="1"/>
  <c r="L1093" i="1"/>
  <c r="M1093" i="1" s="1"/>
  <c r="N1093" i="1" s="1"/>
  <c r="L1094" i="1"/>
  <c r="L1095" i="1"/>
  <c r="L1096" i="1"/>
  <c r="L1097" i="1"/>
  <c r="M1097" i="1" s="1"/>
  <c r="N1097" i="1" s="1"/>
  <c r="L1098" i="1"/>
  <c r="M1098" i="1" s="1"/>
  <c r="N1098" i="1" s="1"/>
  <c r="L1099" i="1"/>
  <c r="M1099" i="1" s="1"/>
  <c r="N1099" i="1" s="1"/>
  <c r="L1100" i="1"/>
  <c r="M1100" i="1" s="1"/>
  <c r="N1100" i="1" s="1"/>
  <c r="L1101" i="1"/>
  <c r="M1101" i="1" s="1"/>
  <c r="N1101" i="1" s="1"/>
  <c r="L1102" i="1"/>
  <c r="L1103" i="1"/>
  <c r="L1104" i="1"/>
  <c r="M1104" i="1" s="1"/>
  <c r="N1104" i="1" s="1"/>
  <c r="L1105" i="1"/>
  <c r="M1105" i="1" s="1"/>
  <c r="N1105" i="1" s="1"/>
  <c r="L1106" i="1"/>
  <c r="M1106" i="1" s="1"/>
  <c r="N1106" i="1" s="1"/>
  <c r="L1107" i="1"/>
  <c r="M1107" i="1" s="1"/>
  <c r="N1107" i="1" s="1"/>
  <c r="L1108" i="1"/>
  <c r="M1108" i="1" s="1"/>
  <c r="N1108" i="1" s="1"/>
  <c r="L1109" i="1"/>
  <c r="M1109" i="1" s="1"/>
  <c r="N1109" i="1" s="1"/>
  <c r="L1110" i="1"/>
  <c r="M1110" i="1" s="1"/>
  <c r="N1110" i="1" s="1"/>
  <c r="L1111" i="1"/>
  <c r="M1111" i="1" s="1"/>
  <c r="N1111" i="1" s="1"/>
  <c r="L1112" i="1"/>
  <c r="M1112" i="1" s="1"/>
  <c r="N1112" i="1" s="1"/>
  <c r="L1113" i="1"/>
  <c r="M1113" i="1" s="1"/>
  <c r="N1113" i="1" s="1"/>
  <c r="L1114" i="1"/>
  <c r="M1114" i="1" s="1"/>
  <c r="N1114" i="1" s="1"/>
  <c r="L1115" i="1"/>
  <c r="M1115" i="1" s="1"/>
  <c r="N1115" i="1" s="1"/>
  <c r="L1116" i="1"/>
  <c r="M1116" i="1" s="1"/>
  <c r="N1116" i="1" s="1"/>
  <c r="L1117" i="1"/>
  <c r="M1117" i="1" s="1"/>
  <c r="N1117" i="1" s="1"/>
  <c r="L1118" i="1"/>
  <c r="M1118" i="1" s="1"/>
  <c r="N1118" i="1" s="1"/>
  <c r="L1119" i="1"/>
  <c r="M1119" i="1" s="1"/>
  <c r="N1119" i="1" s="1"/>
  <c r="L1120" i="1"/>
  <c r="M1120" i="1" s="1"/>
  <c r="N1120" i="1" s="1"/>
  <c r="L1121" i="1"/>
  <c r="M1121" i="1" s="1"/>
  <c r="N1121" i="1" s="1"/>
  <c r="L1122" i="1"/>
  <c r="M1122" i="1" s="1"/>
  <c r="L1123" i="1"/>
  <c r="M1123" i="1" s="1"/>
  <c r="N1123" i="1" s="1"/>
  <c r="L1124" i="1"/>
  <c r="M1124" i="1" s="1"/>
  <c r="N1124" i="1" s="1"/>
  <c r="L1125" i="1"/>
  <c r="M1125" i="1" s="1"/>
  <c r="N1125" i="1" s="1"/>
  <c r="L1126" i="1"/>
  <c r="M1126" i="1" s="1"/>
  <c r="N1126" i="1" s="1"/>
  <c r="L1127" i="1"/>
  <c r="M1127" i="1" s="1"/>
  <c r="N1127" i="1" s="1"/>
  <c r="L1128" i="1"/>
  <c r="M1128" i="1" s="1"/>
  <c r="N1128" i="1" s="1"/>
  <c r="L1129" i="1"/>
  <c r="M1129" i="1" s="1"/>
  <c r="N1129" i="1" s="1"/>
  <c r="L1130" i="1"/>
  <c r="M1130" i="1" s="1"/>
  <c r="N1130" i="1" s="1"/>
  <c r="L1131" i="1"/>
  <c r="M1131" i="1" s="1"/>
  <c r="N1131" i="1" s="1"/>
  <c r="L1132" i="1"/>
  <c r="M1132" i="1" s="1"/>
  <c r="N1132" i="1" s="1"/>
  <c r="L1133" i="1"/>
  <c r="M1133" i="1" s="1"/>
  <c r="N1133" i="1" s="1"/>
  <c r="L1134" i="1"/>
  <c r="M1134" i="1" s="1"/>
  <c r="N1134" i="1" s="1"/>
  <c r="L1135" i="1"/>
  <c r="M1135" i="1" s="1"/>
  <c r="N1135" i="1" s="1"/>
  <c r="L1136" i="1"/>
  <c r="M1136" i="1" s="1"/>
  <c r="N1136" i="1" s="1"/>
  <c r="L1137" i="1"/>
  <c r="M1137" i="1" s="1"/>
  <c r="N1137" i="1" s="1"/>
  <c r="L1138" i="1"/>
  <c r="M1138" i="1" s="1"/>
  <c r="N1138" i="1" s="1"/>
  <c r="L1139" i="1"/>
  <c r="M1139" i="1" s="1"/>
  <c r="N1139" i="1" s="1"/>
  <c r="L1140" i="1"/>
  <c r="L1141" i="1"/>
  <c r="M1141" i="1" s="1"/>
  <c r="N1141" i="1" s="1"/>
  <c r="L1142" i="1"/>
  <c r="L1143" i="1"/>
  <c r="L1144" i="1"/>
  <c r="L1145" i="1"/>
  <c r="M1145" i="1" s="1"/>
  <c r="N1145" i="1" s="1"/>
  <c r="L1146" i="1"/>
  <c r="M1146" i="1" s="1"/>
  <c r="N1146" i="1" s="1"/>
  <c r="L1147" i="1"/>
  <c r="M1147" i="1" s="1"/>
  <c r="N1147" i="1" s="1"/>
  <c r="L1148" i="1"/>
  <c r="M1148" i="1" s="1"/>
  <c r="N1148" i="1" s="1"/>
  <c r="L1149" i="1"/>
  <c r="M1149" i="1" s="1"/>
  <c r="N1149" i="1" s="1"/>
  <c r="L1150" i="1"/>
  <c r="M1150" i="1" s="1"/>
  <c r="N1150" i="1" s="1"/>
  <c r="L1151" i="1"/>
  <c r="M1151" i="1" s="1"/>
  <c r="N1151" i="1" s="1"/>
  <c r="L1152" i="1"/>
  <c r="M1152" i="1" s="1"/>
  <c r="N1152" i="1" s="1"/>
  <c r="L1153" i="1"/>
  <c r="M1153" i="1" s="1"/>
  <c r="N1153" i="1" s="1"/>
  <c r="L1154" i="1"/>
  <c r="M1154" i="1" s="1"/>
  <c r="N1154" i="1" s="1"/>
  <c r="L1155" i="1"/>
  <c r="M1155" i="1" s="1"/>
  <c r="N1155" i="1" s="1"/>
  <c r="L1156" i="1"/>
  <c r="M1156" i="1" s="1"/>
  <c r="N1156" i="1" s="1"/>
  <c r="L1157" i="1"/>
  <c r="M1157" i="1" s="1"/>
  <c r="N1157" i="1" s="1"/>
  <c r="L1158" i="1"/>
  <c r="M1158" i="1" s="1"/>
  <c r="N1158" i="1" s="1"/>
  <c r="L1159" i="1"/>
  <c r="M1159" i="1" s="1"/>
  <c r="N1159" i="1" s="1"/>
  <c r="L1160" i="1"/>
  <c r="M1160" i="1" s="1"/>
  <c r="N1160" i="1" s="1"/>
  <c r="L1161" i="1"/>
  <c r="M1161" i="1" s="1"/>
  <c r="N1161" i="1" s="1"/>
  <c r="L1162" i="1"/>
  <c r="M1162" i="1" s="1"/>
  <c r="N1162" i="1" s="1"/>
  <c r="L1163" i="1"/>
  <c r="M1163" i="1" s="1"/>
  <c r="N1163" i="1" s="1"/>
  <c r="L1164" i="1"/>
  <c r="M1164" i="1" s="1"/>
  <c r="N1164" i="1" s="1"/>
  <c r="L1165" i="1"/>
  <c r="M1165" i="1" s="1"/>
  <c r="N1165" i="1" s="1"/>
  <c r="L1166" i="1"/>
  <c r="L1167" i="1"/>
  <c r="M1167" i="1" s="1"/>
  <c r="N1167" i="1" s="1"/>
  <c r="L1168" i="1"/>
  <c r="M1168" i="1" s="1"/>
  <c r="N1168" i="1" s="1"/>
  <c r="L1169" i="1"/>
  <c r="M1169" i="1" s="1"/>
  <c r="N1169" i="1" s="1"/>
  <c r="L1170" i="1"/>
  <c r="M1170" i="1" s="1"/>
  <c r="N1170" i="1" s="1"/>
  <c r="L1171" i="1"/>
  <c r="M1171" i="1" s="1"/>
  <c r="N1171" i="1" s="1"/>
  <c r="L1172" i="1"/>
  <c r="M1172" i="1" s="1"/>
  <c r="N1172" i="1" s="1"/>
  <c r="L1173" i="1"/>
  <c r="M1173" i="1" s="1"/>
  <c r="N1173" i="1" s="1"/>
  <c r="L1174" i="1"/>
  <c r="M1174" i="1" s="1"/>
  <c r="N1174" i="1" s="1"/>
  <c r="L1175" i="1"/>
  <c r="M1175" i="1" s="1"/>
  <c r="N1175" i="1" s="1"/>
  <c r="L1176" i="1"/>
  <c r="M1176" i="1" s="1"/>
  <c r="N1176" i="1" s="1"/>
  <c r="L1177" i="1"/>
  <c r="M1177" i="1" s="1"/>
  <c r="N1177" i="1" s="1"/>
  <c r="L1178" i="1"/>
  <c r="M1178" i="1" s="1"/>
  <c r="N1178" i="1" s="1"/>
  <c r="L1179" i="1"/>
  <c r="M1179" i="1" s="1"/>
  <c r="N1179" i="1" s="1"/>
  <c r="L1180" i="1"/>
  <c r="L1181" i="1"/>
  <c r="M1181" i="1" s="1"/>
  <c r="N1181" i="1" s="1"/>
  <c r="L1182" i="1"/>
  <c r="M1182" i="1" s="1"/>
  <c r="N1182" i="1" s="1"/>
  <c r="L1183" i="1"/>
  <c r="M1183" i="1" s="1"/>
  <c r="N1183" i="1" s="1"/>
  <c r="L1184" i="1"/>
  <c r="M1184" i="1" s="1"/>
  <c r="N1184" i="1" s="1"/>
  <c r="L1185" i="1"/>
  <c r="M1185" i="1" s="1"/>
  <c r="N1185" i="1" s="1"/>
  <c r="L1186" i="1"/>
  <c r="M1186" i="1" s="1"/>
  <c r="N1186" i="1" s="1"/>
  <c r="L1187" i="1"/>
  <c r="M1187" i="1" s="1"/>
  <c r="N1187" i="1" s="1"/>
  <c r="L1188" i="1"/>
  <c r="L1189" i="1"/>
  <c r="M1189" i="1" s="1"/>
  <c r="N1189" i="1" s="1"/>
  <c r="L1190" i="1"/>
  <c r="L1191" i="1"/>
  <c r="M1191" i="1" s="1"/>
  <c r="N1191" i="1" s="1"/>
  <c r="L1192" i="1"/>
  <c r="M1192" i="1" s="1"/>
  <c r="N1192" i="1" s="1"/>
  <c r="L1193" i="1"/>
  <c r="M1193" i="1" s="1"/>
  <c r="N1193" i="1" s="1"/>
  <c r="L1194" i="1"/>
  <c r="M1194" i="1" s="1"/>
  <c r="N1194" i="1" s="1"/>
  <c r="L1195" i="1"/>
  <c r="M1195" i="1" s="1"/>
  <c r="N1195" i="1" s="1"/>
  <c r="L1196" i="1"/>
  <c r="M1196" i="1" s="1"/>
  <c r="N1196" i="1" s="1"/>
  <c r="L1197" i="1"/>
  <c r="M1197" i="1" s="1"/>
  <c r="N1197" i="1" s="1"/>
  <c r="L1198" i="1"/>
  <c r="M1198" i="1" s="1"/>
  <c r="N1198" i="1" s="1"/>
  <c r="L1199" i="1"/>
  <c r="M1199" i="1" s="1"/>
  <c r="N1199" i="1" s="1"/>
  <c r="L1200" i="1"/>
  <c r="M1200" i="1" s="1"/>
  <c r="N1200" i="1" s="1"/>
  <c r="L1201" i="1"/>
  <c r="M1201" i="1" s="1"/>
  <c r="N1201" i="1" s="1"/>
  <c r="L1202" i="1"/>
  <c r="M1202" i="1" s="1"/>
  <c r="N1202" i="1" s="1"/>
  <c r="L1203" i="1"/>
  <c r="M1203" i="1" s="1"/>
  <c r="N1203" i="1" s="1"/>
  <c r="L1204" i="1"/>
  <c r="M1204" i="1" s="1"/>
  <c r="N1204" i="1" s="1"/>
  <c r="L1205" i="1"/>
  <c r="M1205" i="1" s="1"/>
  <c r="N1205" i="1" s="1"/>
  <c r="L1206" i="1"/>
  <c r="M1206" i="1" s="1"/>
  <c r="N1206" i="1" s="1"/>
  <c r="L1207" i="1"/>
  <c r="M1207" i="1" s="1"/>
  <c r="N1207" i="1" s="1"/>
  <c r="L1208" i="1"/>
  <c r="M1208" i="1" s="1"/>
  <c r="N1208" i="1" s="1"/>
  <c r="L1209" i="1"/>
  <c r="M1209" i="1" s="1"/>
  <c r="N1209" i="1" s="1"/>
  <c r="L1210" i="1"/>
  <c r="M1210" i="1" s="1"/>
  <c r="N1210" i="1" s="1"/>
  <c r="L1211" i="1"/>
  <c r="M1211" i="1" s="1"/>
  <c r="N1211" i="1" s="1"/>
  <c r="L1212" i="1"/>
  <c r="L1213" i="1"/>
  <c r="M1213" i="1" s="1"/>
  <c r="N1213" i="1" s="1"/>
  <c r="L1214" i="1"/>
  <c r="L1215" i="1"/>
  <c r="L1216" i="1"/>
  <c r="L1217" i="1"/>
  <c r="M1217" i="1" s="1"/>
  <c r="N1217" i="1" s="1"/>
  <c r="L1218" i="1"/>
  <c r="M1218" i="1" s="1"/>
  <c r="N1218" i="1" s="1"/>
  <c r="L1219" i="1"/>
  <c r="M1219" i="1" s="1"/>
  <c r="N1219" i="1" s="1"/>
  <c r="L1220" i="1"/>
  <c r="M1220" i="1" s="1"/>
  <c r="N1220" i="1" s="1"/>
  <c r="L1221" i="1"/>
  <c r="M1221" i="1" s="1"/>
  <c r="N1221" i="1" s="1"/>
  <c r="L1222" i="1"/>
  <c r="M1222" i="1" s="1"/>
  <c r="N1222" i="1" s="1"/>
  <c r="L1223" i="1"/>
  <c r="M1223" i="1" s="1"/>
  <c r="N1223" i="1" s="1"/>
  <c r="L1224" i="1"/>
  <c r="M1224" i="1" s="1"/>
  <c r="N1224" i="1" s="1"/>
  <c r="L1225" i="1"/>
  <c r="M1225" i="1" s="1"/>
  <c r="N1225" i="1" s="1"/>
  <c r="L1226" i="1"/>
  <c r="M1226" i="1" s="1"/>
  <c r="N1226" i="1" s="1"/>
  <c r="L1227" i="1"/>
  <c r="M1227" i="1" s="1"/>
  <c r="N1227" i="1" s="1"/>
  <c r="L1228" i="1"/>
  <c r="L1229" i="1"/>
  <c r="M1229" i="1" s="1"/>
  <c r="N1229" i="1" s="1"/>
  <c r="L1230" i="1"/>
  <c r="L1231" i="1"/>
  <c r="M1231" i="1" s="1"/>
  <c r="N1231" i="1" s="1"/>
  <c r="L1232" i="1"/>
  <c r="M1232" i="1" s="1"/>
  <c r="N1232" i="1" s="1"/>
  <c r="L1233" i="1"/>
  <c r="M1233" i="1" s="1"/>
  <c r="N1233" i="1" s="1"/>
  <c r="L1234" i="1"/>
  <c r="M1234" i="1" s="1"/>
  <c r="N1234" i="1" s="1"/>
  <c r="L1235" i="1"/>
  <c r="M1235" i="1" s="1"/>
  <c r="N1235" i="1" s="1"/>
  <c r="L1236" i="1"/>
  <c r="M1236" i="1" s="1"/>
  <c r="N1236" i="1" s="1"/>
  <c r="L1237" i="1"/>
  <c r="M1237" i="1" s="1"/>
  <c r="N1237" i="1" s="1"/>
  <c r="L1238" i="1"/>
  <c r="M1238" i="1" s="1"/>
  <c r="N1238" i="1" s="1"/>
  <c r="L1239" i="1"/>
  <c r="M1239" i="1" s="1"/>
  <c r="N1239" i="1" s="1"/>
  <c r="L1240" i="1"/>
  <c r="L1241" i="1"/>
  <c r="M1241" i="1" s="1"/>
  <c r="N1241" i="1" s="1"/>
  <c r="L1242" i="1"/>
  <c r="M1242" i="1" s="1"/>
  <c r="N1242" i="1" s="1"/>
  <c r="L1243" i="1"/>
  <c r="M1243" i="1" s="1"/>
  <c r="N1243" i="1" s="1"/>
  <c r="L1244" i="1"/>
  <c r="M1244" i="1" s="1"/>
  <c r="N1244" i="1" s="1"/>
  <c r="L1245" i="1"/>
  <c r="M1245" i="1" s="1"/>
  <c r="N1245" i="1" s="1"/>
  <c r="L1246" i="1"/>
  <c r="M1246" i="1" s="1"/>
  <c r="N1246" i="1" s="1"/>
  <c r="L1247" i="1"/>
  <c r="M1247" i="1" s="1"/>
  <c r="N1247" i="1" s="1"/>
  <c r="L1248" i="1"/>
  <c r="M1248" i="1" s="1"/>
  <c r="N1248" i="1" s="1"/>
  <c r="L1249" i="1"/>
  <c r="M1249" i="1" s="1"/>
  <c r="N1249" i="1" s="1"/>
  <c r="L1250" i="1"/>
  <c r="M1250" i="1" s="1"/>
  <c r="N1250" i="1" s="1"/>
  <c r="L1251" i="1"/>
  <c r="M1251" i="1" s="1"/>
  <c r="N1251" i="1" s="1"/>
  <c r="L1252" i="1"/>
  <c r="M1252" i="1" s="1"/>
  <c r="N1252" i="1" s="1"/>
  <c r="L1253" i="1"/>
  <c r="M1253" i="1" s="1"/>
  <c r="N1253" i="1" s="1"/>
  <c r="L1254" i="1"/>
  <c r="M1254" i="1" s="1"/>
  <c r="N1254" i="1" s="1"/>
  <c r="L1255" i="1"/>
  <c r="M1255" i="1" s="1"/>
  <c r="N1255" i="1" s="1"/>
  <c r="L1256" i="1"/>
  <c r="M1256" i="1" s="1"/>
  <c r="N1256" i="1" s="1"/>
  <c r="L1257" i="1"/>
  <c r="M1257" i="1" s="1"/>
  <c r="N1257" i="1" s="1"/>
  <c r="L1258" i="1"/>
  <c r="M1258" i="1" s="1"/>
  <c r="N1258" i="1" s="1"/>
  <c r="L1259" i="1"/>
  <c r="M1259" i="1" s="1"/>
  <c r="N1259" i="1" s="1"/>
  <c r="L1260" i="1"/>
  <c r="L1261" i="1"/>
  <c r="M1261" i="1" s="1"/>
  <c r="N1261" i="1" s="1"/>
  <c r="L1262" i="1"/>
  <c r="L1263" i="1"/>
  <c r="M1263" i="1" s="1"/>
  <c r="N1263" i="1" s="1"/>
  <c r="L1264" i="1"/>
  <c r="M1264" i="1" s="1"/>
  <c r="L1265" i="1"/>
  <c r="M1265" i="1" s="1"/>
  <c r="N1265" i="1" s="1"/>
  <c r="L1266" i="1"/>
  <c r="M1266" i="1" s="1"/>
  <c r="N1266" i="1" s="1"/>
  <c r="L1267" i="1"/>
  <c r="M1267" i="1" s="1"/>
  <c r="N1267" i="1" s="1"/>
  <c r="L1268" i="1"/>
  <c r="M1268" i="1" s="1"/>
  <c r="N1268" i="1" s="1"/>
  <c r="L1269" i="1"/>
  <c r="M1269" i="1" s="1"/>
  <c r="N1269" i="1" s="1"/>
  <c r="L1270" i="1"/>
  <c r="M1270" i="1" s="1"/>
  <c r="N1270" i="1" s="1"/>
  <c r="L1271" i="1"/>
  <c r="M1271" i="1" s="1"/>
  <c r="N1271" i="1" s="1"/>
  <c r="L1272" i="1"/>
  <c r="M1272" i="1" s="1"/>
  <c r="L1273" i="1"/>
  <c r="M1273" i="1" s="1"/>
  <c r="N1273" i="1" s="1"/>
  <c r="L1274" i="1"/>
  <c r="M1274" i="1" s="1"/>
  <c r="N1274" i="1" s="1"/>
  <c r="L1275" i="1"/>
  <c r="M1275" i="1" s="1"/>
  <c r="N1275" i="1" s="1"/>
  <c r="L1276" i="1"/>
  <c r="L1277" i="1"/>
  <c r="M1277" i="1" s="1"/>
  <c r="N1277" i="1" s="1"/>
  <c r="L1278" i="1"/>
  <c r="M1278" i="1" s="1"/>
  <c r="N1278" i="1" s="1"/>
  <c r="L1279" i="1"/>
  <c r="M1279" i="1" s="1"/>
  <c r="N1279" i="1" s="1"/>
  <c r="L1280" i="1"/>
  <c r="M1280" i="1" s="1"/>
  <c r="N1280" i="1" s="1"/>
  <c r="L1281" i="1"/>
  <c r="M1281" i="1" s="1"/>
  <c r="N1281" i="1" s="1"/>
  <c r="L1282" i="1"/>
  <c r="L1283" i="1"/>
  <c r="L1284" i="1"/>
  <c r="L1285" i="1"/>
  <c r="M1285" i="1" s="1"/>
  <c r="N1285" i="1" s="1"/>
  <c r="L1286" i="1"/>
  <c r="M1286" i="1" s="1"/>
  <c r="N1286" i="1" s="1"/>
  <c r="L1287" i="1"/>
  <c r="M1287" i="1" s="1"/>
  <c r="N1287" i="1" s="1"/>
  <c r="L1288" i="1"/>
  <c r="M1288" i="1" s="1"/>
  <c r="N1288" i="1" s="1"/>
  <c r="L1289" i="1"/>
  <c r="M1289" i="1" s="1"/>
  <c r="N1289" i="1" s="1"/>
  <c r="L1290" i="1"/>
  <c r="M1290" i="1" s="1"/>
  <c r="N1290" i="1" s="1"/>
  <c r="L1291" i="1"/>
  <c r="M1291" i="1" s="1"/>
  <c r="N1291" i="1" s="1"/>
  <c r="L1292" i="1"/>
  <c r="M1292" i="1" s="1"/>
  <c r="N1292" i="1" s="1"/>
  <c r="L1293" i="1"/>
  <c r="M1293" i="1" s="1"/>
  <c r="N1293" i="1" s="1"/>
  <c r="L1294" i="1"/>
  <c r="M1294" i="1" s="1"/>
  <c r="N1294" i="1" s="1"/>
  <c r="L1295" i="1"/>
  <c r="M1295" i="1" s="1"/>
  <c r="N1295" i="1" s="1"/>
  <c r="L1296" i="1"/>
  <c r="M1296" i="1" s="1"/>
  <c r="N1296" i="1" s="1"/>
  <c r="L1297" i="1"/>
  <c r="M1297" i="1" s="1"/>
  <c r="N1297" i="1" s="1"/>
  <c r="L1298" i="1"/>
  <c r="M1298" i="1" s="1"/>
  <c r="N1298" i="1" s="1"/>
  <c r="L1299" i="1"/>
  <c r="L1300" i="1"/>
  <c r="L1301" i="1"/>
  <c r="M1301" i="1" s="1"/>
  <c r="L1302" i="1"/>
  <c r="M1302" i="1" s="1"/>
  <c r="N1302" i="1" s="1"/>
  <c r="L1303" i="1"/>
  <c r="M1303" i="1" s="1"/>
  <c r="N1303" i="1" s="1"/>
  <c r="L1304" i="1"/>
  <c r="M1304" i="1" s="1"/>
  <c r="N1304" i="1" s="1"/>
  <c r="L1305" i="1"/>
  <c r="M1305" i="1" s="1"/>
  <c r="N1305" i="1" s="1"/>
  <c r="L1306" i="1"/>
  <c r="M1306" i="1" s="1"/>
  <c r="N1306" i="1" s="1"/>
  <c r="L1307" i="1"/>
  <c r="M1307" i="1" s="1"/>
  <c r="N1307" i="1" s="1"/>
  <c r="L1308" i="1"/>
  <c r="L1309" i="1"/>
  <c r="L1310" i="1"/>
  <c r="L1311" i="1"/>
  <c r="M1311" i="1" s="1"/>
  <c r="N1311" i="1" s="1"/>
  <c r="L1312" i="1"/>
  <c r="L1313" i="1"/>
  <c r="M1313" i="1" s="1"/>
  <c r="N1313" i="1" s="1"/>
  <c r="L1314" i="1"/>
  <c r="M1314" i="1" s="1"/>
  <c r="N1314" i="1" s="1"/>
  <c r="L1315" i="1"/>
  <c r="M1315" i="1" s="1"/>
  <c r="N1315" i="1" s="1"/>
  <c r="L1316" i="1"/>
  <c r="M1316" i="1" s="1"/>
  <c r="N1316" i="1" s="1"/>
  <c r="L1317" i="1"/>
  <c r="M1317" i="1" s="1"/>
  <c r="N1317" i="1" s="1"/>
  <c r="L1318" i="1"/>
  <c r="M1318" i="1" s="1"/>
  <c r="N1318" i="1" s="1"/>
  <c r="L1319" i="1"/>
  <c r="M1319" i="1" s="1"/>
  <c r="L1320" i="1"/>
  <c r="M1320" i="1" s="1"/>
  <c r="L1321" i="1"/>
  <c r="M1321" i="1" s="1"/>
  <c r="N1321" i="1" s="1"/>
  <c r="L1322" i="1"/>
  <c r="M1322" i="1" s="1"/>
  <c r="N1322" i="1" s="1"/>
  <c r="L1323" i="1"/>
  <c r="M1323" i="1" s="1"/>
  <c r="N1323" i="1" s="1"/>
  <c r="L1324" i="1"/>
  <c r="M1324" i="1" s="1"/>
  <c r="N1324" i="1" s="1"/>
  <c r="L1325" i="1"/>
  <c r="M1325" i="1" s="1"/>
  <c r="L1326" i="1"/>
  <c r="M1326" i="1" s="1"/>
  <c r="N1326" i="1" s="1"/>
  <c r="L1327" i="1"/>
  <c r="M1327" i="1" s="1"/>
  <c r="N1327" i="1" s="1"/>
  <c r="L1328" i="1"/>
  <c r="M1328" i="1" s="1"/>
  <c r="N1328" i="1" s="1"/>
  <c r="L1329" i="1"/>
  <c r="M1329" i="1" s="1"/>
  <c r="N1329" i="1" s="1"/>
  <c r="L1330" i="1"/>
  <c r="M1330" i="1" s="1"/>
  <c r="N1330" i="1" s="1"/>
  <c r="L1331" i="1"/>
  <c r="M1331" i="1" s="1"/>
  <c r="N1331" i="1" s="1"/>
  <c r="L1332" i="1"/>
  <c r="M1332" i="1" s="1"/>
  <c r="N1332" i="1" s="1"/>
  <c r="L1333" i="1"/>
  <c r="M1333" i="1" s="1"/>
  <c r="N1333" i="1" s="1"/>
  <c r="L1334" i="1"/>
  <c r="M1334" i="1" s="1"/>
  <c r="N1334" i="1" s="1"/>
  <c r="L1335" i="1"/>
  <c r="M1335" i="1" s="1"/>
  <c r="N1335" i="1" s="1"/>
  <c r="L1336" i="1"/>
  <c r="M1336" i="1" s="1"/>
  <c r="N1336" i="1" s="1"/>
  <c r="L1337" i="1"/>
  <c r="M1337" i="1" s="1"/>
  <c r="N1337" i="1" s="1"/>
  <c r="L1338" i="1"/>
  <c r="M1338" i="1" s="1"/>
  <c r="N1338" i="1" s="1"/>
  <c r="L1339" i="1"/>
  <c r="M1339" i="1" s="1"/>
  <c r="N1339" i="1" s="1"/>
  <c r="L1340" i="1"/>
  <c r="M1340" i="1" s="1"/>
  <c r="N1340" i="1" s="1"/>
  <c r="L1341" i="1"/>
  <c r="M1341" i="1" s="1"/>
  <c r="N1341" i="1" s="1"/>
  <c r="L1342" i="1"/>
  <c r="M1342" i="1" s="1"/>
  <c r="N1342" i="1" s="1"/>
  <c r="L1343" i="1"/>
  <c r="M1343" i="1" s="1"/>
  <c r="N1343" i="1" s="1"/>
  <c r="L1344" i="1"/>
  <c r="M1344" i="1" s="1"/>
  <c r="N1344" i="1" s="1"/>
  <c r="L1345" i="1"/>
  <c r="M1345" i="1" s="1"/>
  <c r="N1345" i="1" s="1"/>
  <c r="L1346" i="1"/>
  <c r="L1347" i="1"/>
  <c r="L1348" i="1"/>
  <c r="L1349" i="1"/>
  <c r="M1349" i="1" s="1"/>
  <c r="N1349" i="1" s="1"/>
  <c r="L1350" i="1"/>
  <c r="M1350" i="1" s="1"/>
  <c r="N1350" i="1" s="1"/>
  <c r="L1351" i="1"/>
  <c r="M1351" i="1" s="1"/>
  <c r="N1351" i="1" s="1"/>
  <c r="L1352" i="1"/>
  <c r="M1352" i="1" s="1"/>
  <c r="N1352" i="1" s="1"/>
  <c r="L1353" i="1"/>
  <c r="M1353" i="1" s="1"/>
  <c r="N1353" i="1" s="1"/>
  <c r="L1354" i="1"/>
  <c r="M1354" i="1" s="1"/>
  <c r="N1354" i="1" s="1"/>
  <c r="L1355" i="1"/>
  <c r="M1355" i="1" s="1"/>
  <c r="N1355" i="1" s="1"/>
  <c r="L1356" i="1"/>
  <c r="M1356" i="1" s="1"/>
  <c r="N1356" i="1" s="1"/>
  <c r="L1357" i="1"/>
  <c r="M1357" i="1" s="1"/>
  <c r="N1357" i="1" s="1"/>
  <c r="L1358" i="1"/>
  <c r="M1358" i="1" s="1"/>
  <c r="N1358" i="1" s="1"/>
  <c r="L1359" i="1"/>
  <c r="M1359" i="1" s="1"/>
  <c r="N1359" i="1" s="1"/>
  <c r="L1360" i="1"/>
  <c r="L1361" i="1"/>
  <c r="M1361" i="1" s="1"/>
  <c r="N1361" i="1" s="1"/>
  <c r="L1362" i="1"/>
  <c r="M1362" i="1" s="1"/>
  <c r="N1362" i="1" s="1"/>
  <c r="L1363" i="1"/>
  <c r="M1363" i="1" s="1"/>
  <c r="N1363" i="1" s="1"/>
  <c r="L1364" i="1"/>
  <c r="M1364" i="1" s="1"/>
  <c r="N1364" i="1" s="1"/>
  <c r="L1365" i="1"/>
  <c r="M1365" i="1" s="1"/>
  <c r="N1365" i="1" s="1"/>
  <c r="L1366" i="1"/>
  <c r="M1366" i="1" s="1"/>
  <c r="N1366" i="1" s="1"/>
  <c r="L1367" i="1"/>
  <c r="M1367" i="1" s="1"/>
  <c r="N1367" i="1" s="1"/>
  <c r="L1368" i="1"/>
  <c r="M1368" i="1" s="1"/>
  <c r="N1368" i="1" s="1"/>
  <c r="L1369" i="1"/>
  <c r="L1370" i="1"/>
  <c r="M1370" i="1" s="1"/>
  <c r="N1370" i="1" s="1"/>
  <c r="L1371" i="1"/>
  <c r="M1371" i="1" s="1"/>
  <c r="N1371" i="1" s="1"/>
  <c r="L1372" i="1"/>
  <c r="M1372" i="1" s="1"/>
  <c r="N1372" i="1" s="1"/>
  <c r="L1373" i="1"/>
  <c r="M1373" i="1" s="1"/>
  <c r="N1373" i="1" s="1"/>
  <c r="L1374" i="1"/>
  <c r="M1374" i="1" s="1"/>
  <c r="N1374" i="1" s="1"/>
  <c r="L1375" i="1"/>
  <c r="M1375" i="1" s="1"/>
  <c r="N1375" i="1" s="1"/>
  <c r="L1376" i="1"/>
  <c r="M1376" i="1" s="1"/>
  <c r="N1376" i="1" s="1"/>
  <c r="L1377" i="1"/>
  <c r="M1377" i="1" s="1"/>
  <c r="N1377" i="1" s="1"/>
  <c r="L1378" i="1"/>
  <c r="M1378" i="1" s="1"/>
  <c r="N1378" i="1" s="1"/>
  <c r="L1379" i="1"/>
  <c r="M1379" i="1" s="1"/>
  <c r="N1379" i="1" s="1"/>
  <c r="L1380" i="1"/>
  <c r="L1381" i="1"/>
  <c r="M1381" i="1" s="1"/>
  <c r="N1381" i="1" s="1"/>
  <c r="L1382" i="1"/>
  <c r="M1382" i="1" s="1"/>
  <c r="N1382" i="1" s="1"/>
  <c r="L1383" i="1"/>
  <c r="M1383" i="1" s="1"/>
  <c r="N1383" i="1" s="1"/>
  <c r="L1384" i="1"/>
  <c r="M1384" i="1" s="1"/>
  <c r="L1385" i="1"/>
  <c r="M1385" i="1" s="1"/>
  <c r="N1385" i="1" s="1"/>
  <c r="L1386" i="1"/>
  <c r="M1386" i="1" s="1"/>
  <c r="N1386" i="1" s="1"/>
  <c r="L1387" i="1"/>
  <c r="M1387" i="1" s="1"/>
  <c r="N1387" i="1" s="1"/>
  <c r="L1388" i="1"/>
  <c r="M1388" i="1" s="1"/>
  <c r="N1388" i="1" s="1"/>
  <c r="L1389" i="1"/>
  <c r="M1389" i="1" s="1"/>
  <c r="N1389" i="1" s="1"/>
  <c r="L1390" i="1"/>
  <c r="M1390" i="1" s="1"/>
  <c r="N1390" i="1" s="1"/>
  <c r="L1391" i="1"/>
  <c r="M1391" i="1" s="1"/>
  <c r="N1391" i="1" s="1"/>
  <c r="L1392" i="1"/>
  <c r="L1393" i="1"/>
  <c r="M1393" i="1" s="1"/>
  <c r="N1393" i="1" s="1"/>
  <c r="L1394" i="1"/>
  <c r="M1394" i="1" s="1"/>
  <c r="N1394" i="1" s="1"/>
  <c r="L1395" i="1"/>
  <c r="M1395" i="1" s="1"/>
  <c r="N1395" i="1" s="1"/>
  <c r="L1396" i="1"/>
  <c r="M1396" i="1" s="1"/>
  <c r="N1396" i="1" s="1"/>
  <c r="L1397" i="1"/>
  <c r="M1397" i="1" s="1"/>
  <c r="N1397" i="1" s="1"/>
  <c r="L1398" i="1"/>
  <c r="M1398" i="1" s="1"/>
  <c r="N1398" i="1" s="1"/>
  <c r="L1399" i="1"/>
  <c r="M1399" i="1" s="1"/>
  <c r="N1399" i="1" s="1"/>
  <c r="L1400" i="1"/>
  <c r="M1400" i="1" s="1"/>
  <c r="N1400" i="1" s="1"/>
  <c r="L1401" i="1"/>
  <c r="M1401" i="1" s="1"/>
  <c r="N1401" i="1" s="1"/>
  <c r="L1402" i="1"/>
  <c r="M1402" i="1" s="1"/>
  <c r="N1402" i="1" s="1"/>
  <c r="L1403" i="1"/>
  <c r="M1403" i="1" s="1"/>
  <c r="N1403" i="1" s="1"/>
  <c r="L1404" i="1"/>
  <c r="L1405" i="1"/>
  <c r="L1406" i="1"/>
  <c r="M1406" i="1" s="1"/>
  <c r="N1406" i="1" s="1"/>
  <c r="L1407" i="1"/>
  <c r="M1407" i="1" s="1"/>
  <c r="N1407" i="1" s="1"/>
  <c r="L1408" i="1"/>
  <c r="M1408" i="1" s="1"/>
  <c r="N1408" i="1" s="1"/>
  <c r="L1409" i="1"/>
  <c r="M1409" i="1" s="1"/>
  <c r="N1409" i="1" s="1"/>
  <c r="L1410" i="1"/>
  <c r="M1410" i="1" s="1"/>
  <c r="N1410" i="1" s="1"/>
  <c r="L1411" i="1"/>
  <c r="M1411" i="1" s="1"/>
  <c r="N1411" i="1" s="1"/>
  <c r="L1412" i="1"/>
  <c r="M1412" i="1" s="1"/>
  <c r="N1412" i="1" s="1"/>
  <c r="L1413" i="1"/>
  <c r="M1413" i="1" s="1"/>
  <c r="N1413" i="1" s="1"/>
  <c r="L1414" i="1"/>
  <c r="M1414" i="1" s="1"/>
  <c r="N1414" i="1" s="1"/>
  <c r="L1415" i="1"/>
  <c r="M1415" i="1" s="1"/>
  <c r="L1416" i="1"/>
  <c r="M1416" i="1" s="1"/>
  <c r="N1416" i="1" s="1"/>
  <c r="L1417" i="1"/>
  <c r="M1417" i="1" s="1"/>
  <c r="N1417" i="1" s="1"/>
  <c r="L1418" i="1"/>
  <c r="M1418" i="1" s="1"/>
  <c r="N1418" i="1" s="1"/>
  <c r="L1419" i="1"/>
  <c r="M1419" i="1" s="1"/>
  <c r="N1419" i="1" s="1"/>
  <c r="L1420" i="1"/>
  <c r="M1420" i="1" s="1"/>
  <c r="N1420" i="1" s="1"/>
  <c r="L1421" i="1"/>
  <c r="M1421" i="1" s="1"/>
  <c r="N1421" i="1" s="1"/>
  <c r="L1422" i="1"/>
  <c r="M1422" i="1" s="1"/>
  <c r="N1422" i="1" s="1"/>
  <c r="L1423" i="1"/>
  <c r="M1423" i="1" s="1"/>
  <c r="N1423" i="1" s="1"/>
  <c r="L1424" i="1"/>
  <c r="M1424" i="1" s="1"/>
  <c r="N1424" i="1" s="1"/>
  <c r="L1425" i="1"/>
  <c r="M1425" i="1" s="1"/>
  <c r="N1425" i="1" s="1"/>
  <c r="L1426" i="1"/>
  <c r="M1426" i="1" s="1"/>
  <c r="N1426" i="1" s="1"/>
  <c r="L1427" i="1"/>
  <c r="M1427" i="1" s="1"/>
  <c r="N1427" i="1" s="1"/>
  <c r="L1428" i="1"/>
  <c r="L1429" i="1"/>
  <c r="M1429" i="1" s="1"/>
  <c r="N1429" i="1" s="1"/>
  <c r="L1430" i="1"/>
  <c r="M1430" i="1" s="1"/>
  <c r="N1430" i="1" s="1"/>
  <c r="L1431" i="1"/>
  <c r="M1431" i="1" s="1"/>
  <c r="N1431" i="1" s="1"/>
  <c r="L1432" i="1"/>
  <c r="L1433" i="1"/>
  <c r="M1433" i="1" s="1"/>
  <c r="N1433" i="1" s="1"/>
  <c r="L1434" i="1"/>
  <c r="M1434" i="1" s="1"/>
  <c r="N1434" i="1" s="1"/>
  <c r="L1435" i="1"/>
  <c r="M1435" i="1" s="1"/>
  <c r="N1435" i="1" s="1"/>
  <c r="L1436" i="1"/>
  <c r="M1436" i="1" s="1"/>
  <c r="N1436" i="1" s="1"/>
  <c r="L1437" i="1"/>
  <c r="M1437" i="1" s="1"/>
  <c r="N1437" i="1" s="1"/>
  <c r="L1438" i="1"/>
  <c r="M1438" i="1" s="1"/>
  <c r="N1438" i="1" s="1"/>
  <c r="L1439" i="1"/>
  <c r="M1439" i="1" s="1"/>
  <c r="N1439" i="1" s="1"/>
  <c r="L1440" i="1"/>
  <c r="M1440" i="1" s="1"/>
  <c r="N1440" i="1" s="1"/>
  <c r="L1441" i="1"/>
  <c r="M1441" i="1" s="1"/>
  <c r="N1441" i="1" s="1"/>
  <c r="L1442" i="1"/>
  <c r="M1442" i="1" s="1"/>
  <c r="N1442" i="1" s="1"/>
  <c r="L1443" i="1"/>
  <c r="M1443" i="1" s="1"/>
  <c r="N1443" i="1" s="1"/>
  <c r="L1444" i="1"/>
  <c r="M1444" i="1" s="1"/>
  <c r="N1444" i="1" s="1"/>
  <c r="L1445" i="1"/>
  <c r="M1445" i="1" s="1"/>
  <c r="N1445" i="1" s="1"/>
  <c r="L1446" i="1"/>
  <c r="M1446" i="1" s="1"/>
  <c r="N1446" i="1" s="1"/>
  <c r="L1447" i="1"/>
  <c r="M1447" i="1" s="1"/>
  <c r="N1447" i="1" s="1"/>
  <c r="L1448" i="1"/>
  <c r="M1448" i="1" s="1"/>
  <c r="N1448" i="1" s="1"/>
  <c r="L1449" i="1"/>
  <c r="M1449" i="1" s="1"/>
  <c r="N1449" i="1" s="1"/>
  <c r="L1450" i="1"/>
  <c r="M1450" i="1" s="1"/>
  <c r="N1450" i="1" s="1"/>
  <c r="L1451" i="1"/>
  <c r="L1452" i="1"/>
  <c r="M1452" i="1" s="1"/>
  <c r="N1452" i="1" s="1"/>
  <c r="L1453" i="1"/>
  <c r="M1453" i="1" s="1"/>
  <c r="N1453" i="1" s="1"/>
  <c r="L1454" i="1"/>
  <c r="M1454" i="1" s="1"/>
  <c r="N1454" i="1" s="1"/>
  <c r="L1455" i="1"/>
  <c r="M1455" i="1" s="1"/>
  <c r="N1455" i="1" s="1"/>
  <c r="L1456" i="1"/>
  <c r="M1456" i="1" s="1"/>
  <c r="N1456" i="1" s="1"/>
  <c r="L1457" i="1"/>
  <c r="M1457" i="1" s="1"/>
  <c r="N1457" i="1" s="1"/>
  <c r="L1458" i="1"/>
  <c r="M1458" i="1" s="1"/>
  <c r="N1458" i="1" s="1"/>
  <c r="L1459" i="1"/>
  <c r="M1459" i="1" s="1"/>
  <c r="N1459" i="1" s="1"/>
  <c r="L1460" i="1"/>
  <c r="M1460" i="1" s="1"/>
  <c r="N1460" i="1" s="1"/>
  <c r="L1461" i="1"/>
  <c r="M1461" i="1" s="1"/>
  <c r="N1461" i="1" s="1"/>
  <c r="L1462" i="1"/>
  <c r="M1462" i="1" s="1"/>
  <c r="N1462" i="1" s="1"/>
  <c r="L1463" i="1"/>
  <c r="M1463" i="1" s="1"/>
  <c r="N1463" i="1" s="1"/>
  <c r="L1464" i="1"/>
  <c r="M1464" i="1" s="1"/>
  <c r="L1465" i="1"/>
  <c r="M1465" i="1" s="1"/>
  <c r="N1465" i="1" s="1"/>
  <c r="L1466" i="1"/>
  <c r="M1466" i="1" s="1"/>
  <c r="N1466" i="1" s="1"/>
  <c r="L1467" i="1"/>
  <c r="M1467" i="1" s="1"/>
  <c r="N1467" i="1" s="1"/>
  <c r="L1468" i="1"/>
  <c r="L1469" i="1"/>
  <c r="L1470" i="1"/>
  <c r="L1471" i="1"/>
  <c r="M1471" i="1" s="1"/>
  <c r="N1471" i="1" s="1"/>
  <c r="L1472" i="1"/>
  <c r="M1472" i="1" s="1"/>
  <c r="N1472" i="1" s="1"/>
  <c r="L1473" i="1"/>
  <c r="M1473" i="1" s="1"/>
  <c r="N1473" i="1" s="1"/>
  <c r="L1474" i="1"/>
  <c r="M1474" i="1" s="1"/>
  <c r="N1474" i="1" s="1"/>
  <c r="L1475" i="1"/>
  <c r="M1475" i="1" s="1"/>
  <c r="N1475" i="1" s="1"/>
  <c r="L1476" i="1"/>
  <c r="M1476" i="1" s="1"/>
  <c r="N1476" i="1" s="1"/>
  <c r="L1477" i="1"/>
  <c r="M1477" i="1" s="1"/>
  <c r="N1477" i="1" s="1"/>
  <c r="L1478" i="1"/>
  <c r="M1478" i="1" s="1"/>
  <c r="N1478" i="1" s="1"/>
  <c r="L1479" i="1"/>
  <c r="M1479" i="1" s="1"/>
  <c r="N1479" i="1" s="1"/>
  <c r="L1480" i="1"/>
  <c r="L1481" i="1"/>
  <c r="L1482" i="1"/>
  <c r="M1482" i="1" s="1"/>
  <c r="N1482" i="1" s="1"/>
  <c r="L1483" i="1"/>
  <c r="M1483" i="1" s="1"/>
  <c r="N1483" i="1" s="1"/>
  <c r="L1484" i="1"/>
  <c r="M1484" i="1" s="1"/>
  <c r="N1484" i="1" s="1"/>
  <c r="L1485" i="1"/>
  <c r="M1485" i="1" s="1"/>
  <c r="N1485" i="1" s="1"/>
  <c r="L1486" i="1"/>
  <c r="M1486" i="1" s="1"/>
  <c r="N1486" i="1" s="1"/>
  <c r="L1487" i="1"/>
  <c r="M1487" i="1" s="1"/>
  <c r="N1487" i="1" s="1"/>
  <c r="L1488" i="1"/>
  <c r="M1488" i="1" s="1"/>
  <c r="N1488" i="1" s="1"/>
  <c r="L1489" i="1"/>
  <c r="M1489" i="1" s="1"/>
  <c r="N1489" i="1" s="1"/>
  <c r="L1490" i="1"/>
  <c r="M1490" i="1" s="1"/>
  <c r="N1490" i="1" s="1"/>
  <c r="L1491" i="1"/>
  <c r="M1491" i="1" s="1"/>
  <c r="N1491" i="1" s="1"/>
  <c r="L1492" i="1"/>
  <c r="M1492" i="1" s="1"/>
  <c r="N1492" i="1" s="1"/>
  <c r="L1493" i="1"/>
  <c r="M1493" i="1" s="1"/>
  <c r="N1493" i="1" s="1"/>
  <c r="L1494" i="1"/>
  <c r="M1494" i="1" s="1"/>
  <c r="N1494" i="1" s="1"/>
  <c r="L1495" i="1"/>
  <c r="M1495" i="1" s="1"/>
  <c r="N1495" i="1" s="1"/>
  <c r="L1496" i="1"/>
  <c r="M1496" i="1" s="1"/>
  <c r="N1496" i="1" s="1"/>
  <c r="L1497" i="1"/>
  <c r="M1497" i="1" s="1"/>
  <c r="N1497" i="1" s="1"/>
  <c r="L1498" i="1"/>
  <c r="M1498" i="1" s="1"/>
  <c r="N1498" i="1" s="1"/>
  <c r="L1499" i="1"/>
  <c r="M1499" i="1" s="1"/>
  <c r="N1499" i="1" s="1"/>
  <c r="L1500" i="1"/>
  <c r="M1500" i="1" s="1"/>
  <c r="N1500" i="1" s="1"/>
  <c r="L1501" i="1"/>
  <c r="M1501" i="1" s="1"/>
  <c r="N1501" i="1" s="1"/>
  <c r="L1502" i="1"/>
  <c r="M1502" i="1" s="1"/>
  <c r="N1502" i="1" s="1"/>
  <c r="L1503" i="1"/>
  <c r="M1503" i="1" s="1"/>
  <c r="N1503" i="1" s="1"/>
  <c r="L1504" i="1"/>
  <c r="M1504" i="1" s="1"/>
  <c r="N1504" i="1" s="1"/>
  <c r="L1505" i="1"/>
  <c r="M1505" i="1" s="1"/>
  <c r="N1505" i="1" s="1"/>
  <c r="L1506" i="1"/>
  <c r="M1506" i="1" s="1"/>
  <c r="N1506" i="1" s="1"/>
  <c r="L1507" i="1"/>
  <c r="M1507" i="1" s="1"/>
  <c r="N1507" i="1" s="1"/>
  <c r="L1508" i="1"/>
  <c r="M1508" i="1" s="1"/>
  <c r="N1508" i="1" s="1"/>
  <c r="L1509" i="1"/>
  <c r="M1509" i="1" s="1"/>
  <c r="N1509" i="1" s="1"/>
  <c r="L1510" i="1"/>
  <c r="M1510" i="1" s="1"/>
  <c r="N1510" i="1" s="1"/>
  <c r="L1511" i="1"/>
  <c r="M1511" i="1" s="1"/>
  <c r="N1511" i="1" s="1"/>
  <c r="L1512" i="1"/>
  <c r="L1513" i="1"/>
  <c r="L1514" i="1"/>
  <c r="L1515" i="1"/>
  <c r="M1515" i="1" s="1"/>
  <c r="N1515" i="1" s="1"/>
  <c r="L1516" i="1"/>
  <c r="L1517" i="1"/>
  <c r="L1518" i="1"/>
  <c r="M1518" i="1" s="1"/>
  <c r="N1518" i="1" s="1"/>
  <c r="L1519" i="1"/>
  <c r="M1519" i="1" s="1"/>
  <c r="N1519" i="1" s="1"/>
  <c r="L1520" i="1"/>
  <c r="M1520" i="1" s="1"/>
  <c r="N1520" i="1" s="1"/>
  <c r="L1521" i="1"/>
  <c r="M1521" i="1" s="1"/>
  <c r="N1521" i="1" s="1"/>
  <c r="L1522" i="1"/>
  <c r="M1522" i="1" s="1"/>
  <c r="L1523" i="1"/>
  <c r="M1523" i="1" s="1"/>
  <c r="N1523" i="1" s="1"/>
  <c r="L1524" i="1"/>
  <c r="L1525" i="1"/>
  <c r="L1526" i="1"/>
  <c r="M1526" i="1" s="1"/>
  <c r="N1526" i="1" s="1"/>
  <c r="L1527" i="1"/>
  <c r="M1527" i="1" s="1"/>
  <c r="N1527" i="1" s="1"/>
  <c r="L1528" i="1"/>
  <c r="M1528" i="1" s="1"/>
  <c r="N1528" i="1" s="1"/>
  <c r="L1529" i="1"/>
  <c r="M1529" i="1" s="1"/>
  <c r="N1529" i="1" s="1"/>
  <c r="L1530" i="1"/>
  <c r="M1530" i="1" s="1"/>
  <c r="N1530" i="1" s="1"/>
  <c r="L1531" i="1"/>
  <c r="M1531" i="1" s="1"/>
  <c r="N1531" i="1" s="1"/>
  <c r="L1532" i="1"/>
  <c r="M1532" i="1" s="1"/>
  <c r="N1532" i="1" s="1"/>
  <c r="L1533" i="1"/>
  <c r="M1533" i="1" s="1"/>
  <c r="N1533" i="1" s="1"/>
  <c r="L1534" i="1"/>
  <c r="M1534" i="1" s="1"/>
  <c r="N1534" i="1" s="1"/>
  <c r="L1535" i="1"/>
  <c r="M1535" i="1" s="1"/>
  <c r="N1535" i="1" s="1"/>
  <c r="L1536" i="1"/>
  <c r="M1536" i="1" s="1"/>
  <c r="N1536" i="1" s="1"/>
  <c r="L1537" i="1"/>
  <c r="M1537" i="1" s="1"/>
  <c r="N1537" i="1" s="1"/>
  <c r="L1538" i="1"/>
  <c r="M1538" i="1" s="1"/>
  <c r="N1538" i="1" s="1"/>
  <c r="L1539" i="1"/>
  <c r="M1539" i="1" s="1"/>
  <c r="N1539" i="1" s="1"/>
  <c r="L1540" i="1"/>
  <c r="L1541" i="1"/>
  <c r="L1542" i="1"/>
  <c r="M1542" i="1" s="1"/>
  <c r="N1542" i="1" s="1"/>
  <c r="L1543" i="1"/>
  <c r="M1543" i="1" s="1"/>
  <c r="N1543" i="1" s="1"/>
  <c r="L1544" i="1"/>
  <c r="M1544" i="1" s="1"/>
  <c r="N1544" i="1" s="1"/>
  <c r="L1545" i="1"/>
  <c r="M1545" i="1" s="1"/>
  <c r="N1545" i="1" s="1"/>
  <c r="L1546" i="1"/>
  <c r="M1546" i="1" s="1"/>
  <c r="N1546" i="1" s="1"/>
  <c r="L1547" i="1"/>
  <c r="M1547" i="1" s="1"/>
  <c r="N1547" i="1" s="1"/>
  <c r="L1548" i="1"/>
  <c r="M1548" i="1" s="1"/>
  <c r="N1548" i="1" s="1"/>
  <c r="L1549" i="1"/>
  <c r="M1549" i="1" s="1"/>
  <c r="N1549" i="1" s="1"/>
  <c r="L1550" i="1"/>
  <c r="M1550" i="1" s="1"/>
  <c r="N1550" i="1" s="1"/>
  <c r="L1551" i="1"/>
  <c r="L1552" i="1"/>
  <c r="L1553" i="1"/>
  <c r="L1554" i="1"/>
  <c r="M1554" i="1" s="1"/>
  <c r="N1554" i="1" s="1"/>
  <c r="L1555" i="1"/>
  <c r="M1555" i="1" s="1"/>
  <c r="N1555" i="1" s="1"/>
  <c r="L1556" i="1"/>
  <c r="M1556" i="1" s="1"/>
  <c r="N1556" i="1" s="1"/>
  <c r="L1557" i="1"/>
  <c r="M1557" i="1" s="1"/>
  <c r="N1557" i="1" s="1"/>
  <c r="L1558" i="1"/>
  <c r="M1558" i="1" s="1"/>
  <c r="N1558" i="1" s="1"/>
  <c r="L1559" i="1"/>
  <c r="M1559" i="1" s="1"/>
  <c r="N1559" i="1" s="1"/>
  <c r="L1560" i="1"/>
  <c r="M1560" i="1" s="1"/>
  <c r="N1560" i="1" s="1"/>
  <c r="L1561" i="1"/>
  <c r="M1561" i="1" s="1"/>
  <c r="N1561" i="1" s="1"/>
  <c r="L1562" i="1"/>
  <c r="M1562" i="1" s="1"/>
  <c r="N1562" i="1" s="1"/>
  <c r="L1563" i="1"/>
  <c r="M1563" i="1" s="1"/>
  <c r="N1563" i="1" s="1"/>
  <c r="L1564" i="1"/>
  <c r="M1564" i="1" s="1"/>
  <c r="N1564" i="1" s="1"/>
  <c r="L1565" i="1"/>
  <c r="M1565" i="1" s="1"/>
  <c r="N1565" i="1" s="1"/>
  <c r="L1566" i="1"/>
  <c r="M1566" i="1" s="1"/>
  <c r="N1566" i="1" s="1"/>
  <c r="L1567" i="1"/>
  <c r="M1567" i="1" s="1"/>
  <c r="N1567" i="1" s="1"/>
  <c r="L1568" i="1"/>
  <c r="M1568" i="1" s="1"/>
  <c r="N1568" i="1" s="1"/>
  <c r="L1569" i="1"/>
  <c r="M1569" i="1" s="1"/>
  <c r="N1569" i="1" s="1"/>
  <c r="L1570" i="1"/>
  <c r="M1570" i="1" s="1"/>
  <c r="N1570" i="1" s="1"/>
  <c r="L1571" i="1"/>
  <c r="M1571" i="1" s="1"/>
  <c r="N1571" i="1" s="1"/>
  <c r="L1572" i="1"/>
  <c r="L1573" i="1"/>
  <c r="M1573" i="1" s="1"/>
  <c r="N1573" i="1" s="1"/>
  <c r="L1574" i="1"/>
  <c r="M1574" i="1" s="1"/>
  <c r="N1574" i="1" s="1"/>
  <c r="L1575" i="1"/>
  <c r="M1575" i="1" s="1"/>
  <c r="N1575" i="1" s="1"/>
  <c r="L1576" i="1"/>
  <c r="M1576" i="1" s="1"/>
  <c r="N1576" i="1" s="1"/>
  <c r="L1577" i="1"/>
  <c r="M1577" i="1" s="1"/>
  <c r="N1577" i="1" s="1"/>
  <c r="L1578" i="1"/>
  <c r="M1578" i="1" s="1"/>
  <c r="N1578" i="1" s="1"/>
  <c r="L1579" i="1"/>
  <c r="M1579" i="1" s="1"/>
  <c r="N1579" i="1" s="1"/>
  <c r="L1580" i="1"/>
  <c r="M1580" i="1" s="1"/>
  <c r="N1580" i="1" s="1"/>
  <c r="L1581" i="1"/>
  <c r="M1581" i="1" s="1"/>
  <c r="N1581" i="1" s="1"/>
  <c r="L1582" i="1"/>
  <c r="M1582" i="1" s="1"/>
  <c r="N1582" i="1" s="1"/>
  <c r="L1583" i="1"/>
  <c r="M1583" i="1" s="1"/>
  <c r="N1583" i="1" s="1"/>
  <c r="L1584" i="1"/>
  <c r="L1585" i="1"/>
  <c r="L1586" i="1"/>
  <c r="L1587" i="1"/>
  <c r="L1588" i="1"/>
  <c r="L1589" i="1"/>
  <c r="L1590" i="1"/>
  <c r="M1590" i="1" s="1"/>
  <c r="N1590" i="1" s="1"/>
  <c r="L1591" i="1"/>
  <c r="M1591" i="1" s="1"/>
  <c r="N1591" i="1" s="1"/>
  <c r="L1592" i="1"/>
  <c r="M1592" i="1" s="1"/>
  <c r="N1592" i="1" s="1"/>
  <c r="L1593" i="1"/>
  <c r="M1593" i="1" s="1"/>
  <c r="N1593" i="1" s="1"/>
  <c r="L1594" i="1"/>
  <c r="M1594" i="1" s="1"/>
  <c r="N1594" i="1" s="1"/>
  <c r="L1595" i="1"/>
  <c r="M1595" i="1" s="1"/>
  <c r="N1595" i="1" s="1"/>
  <c r="L1596" i="1"/>
  <c r="M1596" i="1" s="1"/>
  <c r="N1596" i="1" s="1"/>
  <c r="L1597" i="1"/>
  <c r="M1597" i="1" s="1"/>
  <c r="N1597" i="1" s="1"/>
  <c r="L1598" i="1"/>
  <c r="M1598" i="1" s="1"/>
  <c r="N1598" i="1" s="1"/>
  <c r="L1599" i="1"/>
  <c r="M1599" i="1" s="1"/>
  <c r="N1599" i="1" s="1"/>
  <c r="L1600" i="1"/>
  <c r="M1600" i="1" s="1"/>
  <c r="N1600" i="1" s="1"/>
  <c r="L1601" i="1"/>
  <c r="M1601" i="1" s="1"/>
  <c r="N1601" i="1" s="1"/>
  <c r="L1602" i="1"/>
  <c r="M1602" i="1" s="1"/>
  <c r="N1602" i="1" s="1"/>
  <c r="L1603" i="1"/>
  <c r="M1603" i="1" s="1"/>
  <c r="N1603" i="1" s="1"/>
  <c r="L1604" i="1"/>
  <c r="M1604" i="1" s="1"/>
  <c r="N1604" i="1" s="1"/>
  <c r="L1605" i="1"/>
  <c r="M1605" i="1" s="1"/>
  <c r="N1605" i="1" s="1"/>
  <c r="L1606" i="1"/>
  <c r="M1606" i="1" s="1"/>
  <c r="N1606" i="1" s="1"/>
  <c r="L1607" i="1"/>
  <c r="M1607" i="1" s="1"/>
  <c r="N1607" i="1" s="1"/>
  <c r="L1608" i="1"/>
  <c r="M1608" i="1" s="1"/>
  <c r="N1608" i="1" s="1"/>
  <c r="L1609" i="1"/>
  <c r="M1609" i="1" s="1"/>
  <c r="N1609" i="1" s="1"/>
  <c r="L1610" i="1"/>
  <c r="L1611" i="1"/>
  <c r="L1612" i="1"/>
  <c r="L1613" i="1"/>
  <c r="L1614" i="1"/>
  <c r="M1614" i="1" s="1"/>
  <c r="N1614" i="1" s="1"/>
  <c r="L1615" i="1"/>
  <c r="M1615" i="1" s="1"/>
  <c r="N1615" i="1" s="1"/>
  <c r="L1616" i="1"/>
  <c r="M1616" i="1" s="1"/>
  <c r="N1616" i="1" s="1"/>
  <c r="L1617" i="1"/>
  <c r="M1617" i="1" s="1"/>
  <c r="N1617" i="1" s="1"/>
  <c r="L1618" i="1"/>
  <c r="M1618" i="1" s="1"/>
  <c r="L1619" i="1"/>
  <c r="M1619" i="1" s="1"/>
  <c r="N1619" i="1" s="1"/>
  <c r="L1620" i="1"/>
  <c r="M1620" i="1" s="1"/>
  <c r="N1620" i="1" s="1"/>
  <c r="L1621" i="1"/>
  <c r="M1621" i="1" s="1"/>
  <c r="L1622" i="1"/>
  <c r="M1622" i="1" s="1"/>
  <c r="N1622" i="1" s="1"/>
  <c r="L1623" i="1"/>
  <c r="L1624" i="1"/>
  <c r="L1625" i="1"/>
  <c r="L1626" i="1"/>
  <c r="M1626" i="1" s="1"/>
  <c r="N1626" i="1" s="1"/>
  <c r="L1627" i="1"/>
  <c r="M1627" i="1" s="1"/>
  <c r="N1627" i="1" s="1"/>
  <c r="L1628" i="1"/>
  <c r="M1628" i="1" s="1"/>
  <c r="N1628" i="1" s="1"/>
  <c r="L1629" i="1"/>
  <c r="M1629" i="1" s="1"/>
  <c r="N1629" i="1" s="1"/>
  <c r="L1630" i="1"/>
  <c r="M1630" i="1" s="1"/>
  <c r="N1630" i="1" s="1"/>
  <c r="L1631" i="1"/>
  <c r="M1631" i="1" s="1"/>
  <c r="N1631" i="1" s="1"/>
  <c r="L1632" i="1"/>
  <c r="M1632" i="1" s="1"/>
  <c r="N1632" i="1" s="1"/>
  <c r="L1633" i="1"/>
  <c r="M1633" i="1" s="1"/>
  <c r="N1633" i="1" s="1"/>
  <c r="L1634" i="1"/>
  <c r="M1634" i="1" s="1"/>
  <c r="L1635" i="1"/>
  <c r="M1635" i="1" s="1"/>
  <c r="L1636" i="1"/>
  <c r="M1636" i="1" s="1"/>
  <c r="N1636" i="1" s="1"/>
  <c r="L1637" i="1"/>
  <c r="M1637" i="1" s="1"/>
  <c r="N1637" i="1" s="1"/>
  <c r="L1638" i="1"/>
  <c r="M1638" i="1" s="1"/>
  <c r="N1638" i="1" s="1"/>
  <c r="L1639" i="1"/>
  <c r="M1639" i="1" s="1"/>
  <c r="N1639" i="1" s="1"/>
  <c r="L1640" i="1"/>
  <c r="M1640" i="1" s="1"/>
  <c r="N1640" i="1" s="1"/>
  <c r="L1641" i="1"/>
  <c r="M1641" i="1" s="1"/>
  <c r="N1641" i="1" s="1"/>
  <c r="L1642" i="1"/>
  <c r="M1642" i="1" s="1"/>
  <c r="N1642" i="1" s="1"/>
  <c r="L1643" i="1"/>
  <c r="M1643" i="1" s="1"/>
  <c r="N1643" i="1" s="1"/>
  <c r="L1644" i="1"/>
  <c r="L1645" i="1"/>
  <c r="L1646" i="1"/>
  <c r="L1647" i="1"/>
  <c r="L1648" i="1"/>
  <c r="M1648" i="1" s="1"/>
  <c r="N1648" i="1" s="1"/>
  <c r="L1649" i="1"/>
  <c r="M1649" i="1" s="1"/>
  <c r="N1649" i="1" s="1"/>
  <c r="L1650" i="1"/>
  <c r="M1650" i="1" s="1"/>
  <c r="N1650" i="1" s="1"/>
  <c r="L1651" i="1"/>
  <c r="M1651" i="1" s="1"/>
  <c r="N1651" i="1" s="1"/>
  <c r="L1652" i="1"/>
  <c r="M1652" i="1" s="1"/>
  <c r="N1652" i="1" s="1"/>
  <c r="L1653" i="1"/>
  <c r="M1653" i="1" s="1"/>
  <c r="N1653" i="1" s="1"/>
  <c r="L1654" i="1"/>
  <c r="M1654" i="1" s="1"/>
  <c r="N1654" i="1" s="1"/>
  <c r="L1655" i="1"/>
  <c r="M1655" i="1" s="1"/>
  <c r="N1655" i="1" s="1"/>
  <c r="L1656" i="1"/>
  <c r="L1657" i="1"/>
  <c r="L1658" i="1"/>
  <c r="L1659" i="1"/>
  <c r="M1659" i="1" s="1"/>
  <c r="N1659" i="1" s="1"/>
  <c r="L1660" i="1"/>
  <c r="M1660" i="1" s="1"/>
  <c r="N1660" i="1" s="1"/>
  <c r="L1661" i="1"/>
  <c r="M1661" i="1" s="1"/>
  <c r="N1661" i="1" s="1"/>
  <c r="L1662" i="1"/>
  <c r="M1662" i="1" s="1"/>
  <c r="N1662" i="1" s="1"/>
  <c r="L1663" i="1"/>
  <c r="M1663" i="1" s="1"/>
  <c r="N1663" i="1" s="1"/>
  <c r="L1664" i="1"/>
  <c r="M1664" i="1" s="1"/>
  <c r="N1664" i="1" s="1"/>
  <c r="L1665" i="1"/>
  <c r="M1665" i="1" s="1"/>
  <c r="N1665" i="1" s="1"/>
  <c r="L1666" i="1"/>
  <c r="M1666" i="1" s="1"/>
  <c r="N1666" i="1" s="1"/>
  <c r="L1667" i="1"/>
  <c r="M1667" i="1" s="1"/>
  <c r="N1667" i="1" s="1"/>
  <c r="L1668" i="1"/>
  <c r="M1668" i="1" s="1"/>
  <c r="N1668" i="1" s="1"/>
  <c r="L1669" i="1"/>
  <c r="L1670" i="1"/>
  <c r="M1670" i="1" s="1"/>
  <c r="N1670" i="1" s="1"/>
  <c r="L1671" i="1"/>
  <c r="M1671" i="1" s="1"/>
  <c r="N1671" i="1" s="1"/>
  <c r="L1672" i="1"/>
  <c r="L1673" i="1"/>
  <c r="L1674" i="1"/>
  <c r="M1674" i="1" s="1"/>
  <c r="N1674" i="1" s="1"/>
  <c r="L1675" i="1"/>
  <c r="M1675" i="1" s="1"/>
  <c r="N1675" i="1" s="1"/>
  <c r="L1676" i="1"/>
  <c r="M1676" i="1" s="1"/>
  <c r="N1676" i="1" s="1"/>
  <c r="L1677" i="1"/>
  <c r="M1677" i="1" s="1"/>
  <c r="N1677" i="1" s="1"/>
  <c r="L1678" i="1"/>
  <c r="M1678" i="1" s="1"/>
  <c r="N1678" i="1" s="1"/>
  <c r="L1679" i="1"/>
  <c r="M1679" i="1" s="1"/>
  <c r="N1679" i="1" s="1"/>
  <c r="L1680" i="1"/>
  <c r="M1680" i="1" s="1"/>
  <c r="N1680" i="1" s="1"/>
  <c r="L1681" i="1"/>
  <c r="L1682" i="1"/>
  <c r="L1683" i="1"/>
  <c r="L1684" i="1"/>
  <c r="L1685" i="1"/>
  <c r="M1685" i="1" s="1"/>
  <c r="N1685" i="1" s="1"/>
  <c r="L1686" i="1"/>
  <c r="M1686" i="1" s="1"/>
  <c r="N1686" i="1" s="1"/>
  <c r="L1687" i="1"/>
  <c r="M1687" i="1" s="1"/>
  <c r="N1687" i="1" s="1"/>
  <c r="L1688" i="1"/>
  <c r="M1688" i="1" s="1"/>
  <c r="N1688" i="1" s="1"/>
  <c r="L1689" i="1"/>
  <c r="M1689" i="1" s="1"/>
  <c r="N1689" i="1" s="1"/>
  <c r="L1690" i="1"/>
  <c r="M1690" i="1" s="1"/>
  <c r="N1690" i="1" s="1"/>
  <c r="L1691" i="1"/>
  <c r="M1691" i="1" s="1"/>
  <c r="N1691" i="1" s="1"/>
  <c r="L1692" i="1"/>
  <c r="M1692" i="1" s="1"/>
  <c r="N1692" i="1" s="1"/>
  <c r="L1693" i="1"/>
  <c r="M1693" i="1" s="1"/>
  <c r="N1693" i="1" s="1"/>
  <c r="L1694" i="1"/>
  <c r="M1694" i="1" s="1"/>
  <c r="N1694" i="1" s="1"/>
  <c r="L1695" i="1"/>
  <c r="M1695" i="1" s="1"/>
  <c r="N1695" i="1" s="1"/>
  <c r="L1696" i="1"/>
  <c r="M1696" i="1" s="1"/>
  <c r="N1696" i="1" s="1"/>
  <c r="L1697" i="1"/>
  <c r="M1697" i="1" s="1"/>
  <c r="N1697" i="1" s="1"/>
  <c r="L1698" i="1"/>
  <c r="M1698" i="1" s="1"/>
  <c r="N1698" i="1" s="1"/>
  <c r="L1699" i="1"/>
  <c r="M1699" i="1" s="1"/>
  <c r="N1699" i="1" s="1"/>
  <c r="L1700" i="1"/>
  <c r="M1700" i="1" s="1"/>
  <c r="N1700" i="1" s="1"/>
  <c r="L1701" i="1"/>
  <c r="M1701" i="1" s="1"/>
  <c r="N1701" i="1" s="1"/>
  <c r="L1702" i="1"/>
  <c r="M1702" i="1" s="1"/>
  <c r="N1702" i="1" s="1"/>
  <c r="L1703" i="1"/>
  <c r="M1703" i="1" s="1"/>
  <c r="N1703" i="1" s="1"/>
  <c r="L1704" i="1"/>
  <c r="L1705" i="1"/>
  <c r="L1706" i="1"/>
  <c r="M1706" i="1" s="1"/>
  <c r="N1706" i="1" s="1"/>
  <c r="L1707" i="1"/>
  <c r="M1707" i="1" s="1"/>
  <c r="N1707" i="1" s="1"/>
  <c r="L1708" i="1"/>
  <c r="M1708" i="1" s="1"/>
  <c r="N1708" i="1" s="1"/>
  <c r="L1709" i="1"/>
  <c r="L1710" i="1"/>
  <c r="M1710" i="1" s="1"/>
  <c r="N1710" i="1" s="1"/>
  <c r="L1711" i="1"/>
  <c r="M1711" i="1" s="1"/>
  <c r="N1711" i="1" s="1"/>
  <c r="L1712" i="1"/>
  <c r="M1712" i="1" s="1"/>
  <c r="N1712" i="1" s="1"/>
  <c r="L1713" i="1"/>
  <c r="M1713" i="1" s="1"/>
  <c r="N1713" i="1" s="1"/>
  <c r="L1714" i="1"/>
  <c r="M1714" i="1" s="1"/>
  <c r="N1714" i="1" s="1"/>
  <c r="L1715" i="1"/>
  <c r="M1715" i="1" s="1"/>
  <c r="N1715" i="1" s="1"/>
  <c r="L1716" i="1"/>
  <c r="L1717" i="1"/>
  <c r="L1718" i="1"/>
  <c r="L1719" i="1"/>
  <c r="M1719" i="1" s="1"/>
  <c r="N1719" i="1" s="1"/>
  <c r="L1720" i="1"/>
  <c r="M1720" i="1" s="1"/>
  <c r="N1720" i="1" s="1"/>
  <c r="L1721" i="1"/>
  <c r="M1721" i="1" s="1"/>
  <c r="N1721" i="1" s="1"/>
  <c r="L1722" i="1"/>
  <c r="M1722" i="1" s="1"/>
  <c r="N1722" i="1" s="1"/>
  <c r="L1723" i="1"/>
  <c r="M1723" i="1" s="1"/>
  <c r="N1723" i="1" s="1"/>
  <c r="L1724" i="1"/>
  <c r="M1724" i="1" s="1"/>
  <c r="N1724" i="1" s="1"/>
  <c r="L1725" i="1"/>
  <c r="M1725" i="1" s="1"/>
  <c r="N1725" i="1" s="1"/>
  <c r="L1726" i="1"/>
  <c r="M1726" i="1" s="1"/>
  <c r="N1726" i="1" s="1"/>
  <c r="L1727" i="1"/>
  <c r="M1727" i="1" s="1"/>
  <c r="N1727" i="1" s="1"/>
  <c r="L1728" i="1"/>
  <c r="M1728" i="1" s="1"/>
  <c r="N1728" i="1" s="1"/>
  <c r="L1729" i="1"/>
  <c r="M1729" i="1" s="1"/>
  <c r="N1729" i="1" s="1"/>
  <c r="L1730" i="1"/>
  <c r="M1730" i="1" s="1"/>
  <c r="N1730" i="1" s="1"/>
  <c r="L1731" i="1"/>
  <c r="M1731" i="1" s="1"/>
  <c r="N1731" i="1" s="1"/>
  <c r="L1732" i="1"/>
  <c r="M1732" i="1" s="1"/>
  <c r="N1732" i="1" s="1"/>
  <c r="L1733" i="1"/>
  <c r="M1733" i="1" s="1"/>
  <c r="N1733" i="1" s="1"/>
  <c r="L1734" i="1"/>
  <c r="M1734" i="1" s="1"/>
  <c r="N1734" i="1" s="1"/>
  <c r="L1735" i="1"/>
  <c r="M1735" i="1" s="1"/>
  <c r="N1735" i="1" s="1"/>
  <c r="L1736" i="1"/>
  <c r="M1736" i="1" s="1"/>
  <c r="N1736" i="1" s="1"/>
  <c r="L1737" i="1"/>
  <c r="M1737" i="1" s="1"/>
  <c r="N1737" i="1" s="1"/>
  <c r="L1738" i="1"/>
  <c r="M1738" i="1" s="1"/>
  <c r="N1738" i="1" s="1"/>
  <c r="L1739" i="1"/>
  <c r="M1739" i="1" s="1"/>
  <c r="N1739" i="1" s="1"/>
  <c r="L1740" i="1"/>
  <c r="M1740" i="1" s="1"/>
  <c r="N1740" i="1" s="1"/>
  <c r="L1741" i="1"/>
  <c r="L1742" i="1"/>
  <c r="L1743" i="1"/>
  <c r="L1744" i="1"/>
  <c r="L1745" i="1"/>
  <c r="L1746" i="1"/>
  <c r="L1747" i="1"/>
  <c r="M1747" i="1" s="1"/>
  <c r="N1747" i="1" s="1"/>
  <c r="L1748" i="1"/>
  <c r="M1748" i="1" s="1"/>
  <c r="N1748" i="1" s="1"/>
  <c r="L1749" i="1"/>
  <c r="M1749" i="1" s="1"/>
  <c r="N1749" i="1" s="1"/>
  <c r="L1750" i="1"/>
  <c r="M1750" i="1" s="1"/>
  <c r="N1750" i="1" s="1"/>
  <c r="L1751" i="1"/>
  <c r="M1751" i="1" s="1"/>
  <c r="N1751" i="1" s="1"/>
  <c r="L1752" i="1"/>
  <c r="M1752" i="1" s="1"/>
  <c r="N1752" i="1" s="1"/>
  <c r="L1753" i="1"/>
  <c r="M1753" i="1" s="1"/>
  <c r="N1753" i="1" s="1"/>
  <c r="L1754" i="1"/>
  <c r="M1754" i="1" s="1"/>
  <c r="N1754" i="1" s="1"/>
  <c r="L1755" i="1"/>
  <c r="M1755" i="1" s="1"/>
  <c r="N1755" i="1" s="1"/>
  <c r="L1756" i="1"/>
  <c r="L1757" i="1"/>
  <c r="L1758" i="1"/>
  <c r="M1758" i="1" s="1"/>
  <c r="N1758" i="1" s="1"/>
  <c r="L1759" i="1"/>
  <c r="M1759" i="1" s="1"/>
  <c r="N1759" i="1" s="1"/>
  <c r="L1760" i="1"/>
  <c r="M1760" i="1" s="1"/>
  <c r="N1760" i="1" s="1"/>
  <c r="L1761" i="1"/>
  <c r="M1761" i="1" s="1"/>
  <c r="N1761" i="1" s="1"/>
  <c r="L1762" i="1"/>
  <c r="M1762" i="1" s="1"/>
  <c r="N1762" i="1" s="1"/>
  <c r="L1763" i="1"/>
  <c r="M1763" i="1" s="1"/>
  <c r="N1763" i="1" s="1"/>
  <c r="L1764" i="1"/>
  <c r="M1764" i="1" s="1"/>
  <c r="N1764" i="1" s="1"/>
  <c r="L1765" i="1"/>
  <c r="M1765" i="1" s="1"/>
  <c r="N1765" i="1" s="1"/>
  <c r="L1766" i="1"/>
  <c r="M1766" i="1" s="1"/>
  <c r="N1766" i="1" s="1"/>
  <c r="L1767" i="1"/>
  <c r="M1767" i="1" s="1"/>
  <c r="N1767" i="1" s="1"/>
  <c r="L1768" i="1"/>
  <c r="M1768" i="1" s="1"/>
  <c r="N1768" i="1" s="1"/>
  <c r="L1769" i="1"/>
  <c r="M1769" i="1" s="1"/>
  <c r="N1769" i="1" s="1"/>
  <c r="L1770" i="1"/>
  <c r="M1770" i="1" s="1"/>
  <c r="N1770" i="1" s="1"/>
  <c r="L1771" i="1"/>
  <c r="M1771" i="1" s="1"/>
  <c r="N1771" i="1" s="1"/>
  <c r="L1772" i="1"/>
  <c r="M1772" i="1" s="1"/>
  <c r="N1772" i="1" s="1"/>
  <c r="L1773" i="1"/>
  <c r="M1773" i="1" s="1"/>
  <c r="N1773" i="1" s="1"/>
  <c r="L1774" i="1"/>
  <c r="M1774" i="1" s="1"/>
  <c r="N1774" i="1" s="1"/>
  <c r="L1775" i="1"/>
  <c r="M1775" i="1" s="1"/>
  <c r="N1775" i="1" s="1"/>
  <c r="L1776" i="1"/>
  <c r="L1777" i="1"/>
  <c r="L1778" i="1"/>
  <c r="M1778" i="1" s="1"/>
  <c r="N1778" i="1" s="1"/>
  <c r="L1779" i="1"/>
  <c r="M1779" i="1" s="1"/>
  <c r="N1779" i="1" s="1"/>
  <c r="L1780" i="1"/>
  <c r="M1780" i="1" s="1"/>
  <c r="N1780" i="1" s="1"/>
  <c r="L1781" i="1"/>
  <c r="L1782" i="1"/>
  <c r="M1782" i="1" s="1"/>
  <c r="N1782" i="1" s="1"/>
  <c r="L1783" i="1"/>
  <c r="M1783" i="1" s="1"/>
  <c r="N1783" i="1" s="1"/>
  <c r="L1784" i="1"/>
  <c r="M1784" i="1" s="1"/>
  <c r="N1784" i="1" s="1"/>
  <c r="L1785" i="1"/>
  <c r="M1785" i="1" s="1"/>
  <c r="N1785" i="1" s="1"/>
  <c r="L1786" i="1"/>
  <c r="M1786" i="1" s="1"/>
  <c r="N1786" i="1" s="1"/>
  <c r="L1787" i="1"/>
  <c r="M1787" i="1" s="1"/>
  <c r="N1787" i="1" s="1"/>
  <c r="L1788" i="1"/>
  <c r="M1788" i="1" s="1"/>
  <c r="N1788" i="1" s="1"/>
  <c r="L1789" i="1"/>
  <c r="M1789" i="1" s="1"/>
  <c r="N1789" i="1" s="1"/>
  <c r="L1790" i="1"/>
  <c r="M1790" i="1" s="1"/>
  <c r="N1790" i="1" s="1"/>
  <c r="L1791" i="1"/>
  <c r="M1791" i="1" s="1"/>
  <c r="N1791" i="1" s="1"/>
  <c r="L1792" i="1"/>
  <c r="M1792" i="1" s="1"/>
  <c r="L1793" i="1"/>
  <c r="M1793" i="1" s="1"/>
  <c r="L1794" i="1"/>
  <c r="M1794" i="1" s="1"/>
  <c r="N1794" i="1" s="1"/>
  <c r="L1795" i="1"/>
  <c r="M1795" i="1" s="1"/>
  <c r="N1795" i="1" s="1"/>
  <c r="L1796" i="1"/>
  <c r="M1796" i="1" s="1"/>
  <c r="N1796" i="1" s="1"/>
  <c r="L1797" i="1"/>
  <c r="M1797" i="1" s="1"/>
  <c r="N1797" i="1" s="1"/>
  <c r="L1798" i="1"/>
  <c r="M1798" i="1" s="1"/>
  <c r="N1798" i="1" s="1"/>
  <c r="L1799" i="1"/>
  <c r="M1799" i="1" s="1"/>
  <c r="N1799" i="1" s="1"/>
  <c r="L1800" i="1"/>
  <c r="L1801" i="1"/>
  <c r="L1802" i="1"/>
  <c r="L1803" i="1"/>
  <c r="M1803" i="1" s="1"/>
  <c r="N1803" i="1" s="1"/>
  <c r="L1804" i="1"/>
  <c r="M1804" i="1" s="1"/>
  <c r="N1804" i="1" s="1"/>
  <c r="L1805" i="1"/>
  <c r="M1805" i="1" s="1"/>
  <c r="N1805" i="1" s="1"/>
  <c r="L1806" i="1"/>
  <c r="M1806" i="1" s="1"/>
  <c r="N1806" i="1" s="1"/>
  <c r="L1807" i="1"/>
  <c r="M1807" i="1" s="1"/>
  <c r="N1807" i="1" s="1"/>
  <c r="L1808" i="1"/>
  <c r="M1808" i="1" s="1"/>
  <c r="N1808" i="1" s="1"/>
  <c r="L1809" i="1"/>
  <c r="M1809" i="1" s="1"/>
  <c r="N1809" i="1" s="1"/>
  <c r="L1810" i="1"/>
  <c r="M1810" i="1" s="1"/>
  <c r="N1810" i="1" s="1"/>
  <c r="L1811" i="1"/>
  <c r="M1811" i="1" s="1"/>
  <c r="N1811" i="1" s="1"/>
  <c r="L1812" i="1"/>
  <c r="M1812" i="1" s="1"/>
  <c r="N1812" i="1" s="1"/>
  <c r="L1813" i="1"/>
  <c r="M1813" i="1" s="1"/>
  <c r="N1813" i="1" s="1"/>
  <c r="L1814" i="1"/>
  <c r="L1815" i="1"/>
  <c r="L1816" i="1"/>
  <c r="L1817" i="1"/>
  <c r="L1818" i="1"/>
  <c r="M1818" i="1" s="1"/>
  <c r="N1818" i="1" s="1"/>
  <c r="L1819" i="1"/>
  <c r="M1819" i="1" s="1"/>
  <c r="N1819" i="1" s="1"/>
  <c r="L1820" i="1"/>
  <c r="M1820" i="1" s="1"/>
  <c r="N1820" i="1" s="1"/>
  <c r="L1821" i="1"/>
  <c r="M1821" i="1" s="1"/>
  <c r="N1821" i="1" s="1"/>
  <c r="L1822" i="1"/>
  <c r="M1822" i="1" s="1"/>
  <c r="N1822" i="1" s="1"/>
  <c r="L1823" i="1"/>
  <c r="M1823" i="1" s="1"/>
  <c r="N1823" i="1" s="1"/>
  <c r="L1824" i="1"/>
  <c r="M1824" i="1" s="1"/>
  <c r="N1824" i="1" s="1"/>
  <c r="L1825" i="1"/>
  <c r="M1825" i="1" s="1"/>
  <c r="N1825" i="1" s="1"/>
  <c r="L1826" i="1"/>
  <c r="M1826" i="1" s="1"/>
  <c r="N1826" i="1" s="1"/>
  <c r="L1827" i="1"/>
  <c r="M1827" i="1" s="1"/>
  <c r="N1827" i="1" s="1"/>
  <c r="L1828" i="1"/>
  <c r="L1829" i="1"/>
  <c r="L1830" i="1"/>
  <c r="M1830" i="1" s="1"/>
  <c r="N1830" i="1" s="1"/>
  <c r="L1831" i="1"/>
  <c r="M1831" i="1" s="1"/>
  <c r="N1831" i="1" s="1"/>
  <c r="L1832" i="1"/>
  <c r="M1832" i="1" s="1"/>
  <c r="N1832" i="1" s="1"/>
  <c r="L1833" i="1"/>
  <c r="M1833" i="1" s="1"/>
  <c r="N1833" i="1" s="1"/>
  <c r="L1834" i="1"/>
  <c r="M1834" i="1" s="1"/>
  <c r="N1834" i="1" s="1"/>
  <c r="L1835" i="1"/>
  <c r="M1835" i="1" s="1"/>
  <c r="N1835" i="1" s="1"/>
  <c r="L1836" i="1"/>
  <c r="M1836" i="1" s="1"/>
  <c r="N1836" i="1" s="1"/>
  <c r="L1837" i="1"/>
  <c r="M1837" i="1" s="1"/>
  <c r="N1837" i="1" s="1"/>
  <c r="L1838" i="1"/>
  <c r="M1838" i="1" s="1"/>
  <c r="N1838" i="1" s="1"/>
  <c r="L1839" i="1"/>
  <c r="M1839" i="1" s="1"/>
  <c r="N1839" i="1" s="1"/>
  <c r="L1840" i="1"/>
  <c r="M1840" i="1" s="1"/>
  <c r="N1840" i="1" s="1"/>
  <c r="L1841" i="1"/>
  <c r="M1841" i="1" s="1"/>
  <c r="N1841" i="1" s="1"/>
  <c r="L1842" i="1"/>
  <c r="M1842" i="1" s="1"/>
  <c r="N1842" i="1" s="1"/>
  <c r="L1843" i="1"/>
  <c r="M1843" i="1" s="1"/>
  <c r="N1843" i="1" s="1"/>
  <c r="L1844" i="1"/>
  <c r="M1844" i="1" s="1"/>
  <c r="N1844" i="1" s="1"/>
  <c r="L1845" i="1"/>
  <c r="M1845" i="1" s="1"/>
  <c r="N1845" i="1" s="1"/>
  <c r="L1846" i="1"/>
  <c r="M1846" i="1" s="1"/>
  <c r="N1846" i="1" s="1"/>
  <c r="L1847" i="1"/>
  <c r="M1847" i="1" s="1"/>
  <c r="N1847" i="1" s="1"/>
  <c r="L1848" i="1"/>
  <c r="L1849" i="1"/>
  <c r="L1850" i="1"/>
  <c r="M1850" i="1" s="1"/>
  <c r="N1850" i="1" s="1"/>
  <c r="L1851" i="1"/>
  <c r="M1851" i="1" s="1"/>
  <c r="N1851" i="1" s="1"/>
  <c r="L1852" i="1"/>
  <c r="M1852" i="1" s="1"/>
  <c r="N1852" i="1" s="1"/>
  <c r="L1853" i="1"/>
  <c r="L1854" i="1"/>
  <c r="M1854" i="1" s="1"/>
  <c r="N1854" i="1" s="1"/>
  <c r="L1855" i="1"/>
  <c r="M1855" i="1" s="1"/>
  <c r="N1855" i="1" s="1"/>
  <c r="L1856" i="1"/>
  <c r="M1856" i="1" s="1"/>
  <c r="N1856" i="1" s="1"/>
  <c r="L1857" i="1"/>
  <c r="M1857" i="1" s="1"/>
  <c r="N1857" i="1" s="1"/>
  <c r="L1858" i="1"/>
  <c r="M1858" i="1" s="1"/>
  <c r="N1858" i="1" s="1"/>
  <c r="L1859" i="1"/>
  <c r="M1859" i="1" s="1"/>
  <c r="N1859" i="1" s="1"/>
  <c r="L1860" i="1"/>
  <c r="L1861" i="1"/>
  <c r="M1861" i="1" s="1"/>
  <c r="N1861" i="1" s="1"/>
  <c r="L1862" i="1"/>
  <c r="M1862" i="1" s="1"/>
  <c r="N1862" i="1" s="1"/>
  <c r="L1863" i="1"/>
  <c r="M1863" i="1" s="1"/>
  <c r="N1863" i="1" s="1"/>
  <c r="L1864" i="1"/>
  <c r="M1864" i="1" s="1"/>
  <c r="N1864" i="1" s="1"/>
  <c r="L1865" i="1"/>
  <c r="M1865" i="1" s="1"/>
  <c r="N1865" i="1" s="1"/>
  <c r="L1866" i="1"/>
  <c r="M1866" i="1" s="1"/>
  <c r="N1866" i="1" s="1"/>
  <c r="L1867" i="1"/>
  <c r="M1867" i="1" s="1"/>
  <c r="N1867" i="1" s="1"/>
  <c r="L1868" i="1"/>
  <c r="M1868" i="1" s="1"/>
  <c r="N1868" i="1" s="1"/>
  <c r="L1869" i="1"/>
  <c r="M1869" i="1" s="1"/>
  <c r="N1869" i="1" s="1"/>
  <c r="L1870" i="1"/>
  <c r="M1870" i="1" s="1"/>
  <c r="N1870" i="1" s="1"/>
  <c r="L1871" i="1"/>
  <c r="M1871" i="1" s="1"/>
  <c r="N1871" i="1" s="1"/>
  <c r="L1872" i="1"/>
  <c r="L1873" i="1"/>
  <c r="L1874" i="1"/>
  <c r="M1874" i="1" s="1"/>
  <c r="N1874" i="1" s="1"/>
  <c r="L1875" i="1"/>
  <c r="M1875" i="1" s="1"/>
  <c r="N1875" i="1" s="1"/>
  <c r="L1876" i="1"/>
  <c r="M1876" i="1" s="1"/>
  <c r="N1876" i="1" s="1"/>
  <c r="L1877" i="1"/>
  <c r="M1877" i="1" s="1"/>
  <c r="N1877" i="1" s="1"/>
  <c r="L1878" i="1"/>
  <c r="M1878" i="1" s="1"/>
  <c r="N1878" i="1" s="1"/>
  <c r="L1879" i="1"/>
  <c r="M1879" i="1" s="1"/>
  <c r="N1879" i="1" s="1"/>
  <c r="L1880" i="1"/>
  <c r="M1880" i="1" s="1"/>
  <c r="N1880" i="1" s="1"/>
  <c r="L1881" i="1"/>
  <c r="M1881" i="1" s="1"/>
  <c r="N1881" i="1" s="1"/>
  <c r="L1882" i="1"/>
  <c r="M1882" i="1" s="1"/>
  <c r="N1882" i="1" s="1"/>
  <c r="L1883" i="1"/>
  <c r="M1883" i="1" s="1"/>
  <c r="N1883" i="1" s="1"/>
  <c r="L1884" i="1"/>
  <c r="M1884" i="1" s="1"/>
  <c r="N1884" i="1" s="1"/>
  <c r="L1885" i="1"/>
  <c r="M1885" i="1" s="1"/>
  <c r="N1885" i="1" s="1"/>
  <c r="L1886" i="1"/>
  <c r="M1886" i="1" s="1"/>
  <c r="N1886" i="1" s="1"/>
  <c r="L1887" i="1"/>
  <c r="M1887" i="1" s="1"/>
  <c r="N1887" i="1" s="1"/>
  <c r="L1888" i="1"/>
  <c r="M1888" i="1" s="1"/>
  <c r="N1888" i="1" s="1"/>
  <c r="L1889" i="1"/>
  <c r="M1889" i="1" s="1"/>
  <c r="N1889" i="1" s="1"/>
  <c r="L1890" i="1"/>
  <c r="M1890" i="1" s="1"/>
  <c r="N1890" i="1" s="1"/>
  <c r="L1891" i="1"/>
  <c r="M1891" i="1" s="1"/>
  <c r="N1891" i="1" s="1"/>
  <c r="L1892" i="1"/>
  <c r="M1892" i="1" s="1"/>
  <c r="N1892" i="1" s="1"/>
  <c r="L1893" i="1"/>
  <c r="M1893" i="1" s="1"/>
  <c r="N1893" i="1" s="1"/>
  <c r="L1894" i="1"/>
  <c r="M1894" i="1" s="1"/>
  <c r="N1894" i="1" s="1"/>
  <c r="L1895" i="1"/>
  <c r="M1895" i="1" s="1"/>
  <c r="N1895" i="1" s="1"/>
  <c r="L1896" i="1"/>
  <c r="L1897" i="1"/>
  <c r="M1897" i="1" s="1"/>
  <c r="N1897" i="1" s="1"/>
  <c r="L1898" i="1"/>
  <c r="M1898" i="1" s="1"/>
  <c r="N1898" i="1" s="1"/>
  <c r="L1899" i="1"/>
  <c r="M1899" i="1" s="1"/>
  <c r="N1899" i="1" s="1"/>
  <c r="L1900" i="1"/>
  <c r="L1901" i="1"/>
  <c r="L1902" i="1"/>
  <c r="M1902" i="1" s="1"/>
  <c r="N1902" i="1" s="1"/>
  <c r="L1903" i="1"/>
  <c r="M1903" i="1" s="1"/>
  <c r="N1903" i="1" s="1"/>
  <c r="L1904" i="1"/>
  <c r="M1904" i="1" s="1"/>
  <c r="N1904" i="1" s="1"/>
  <c r="L1905" i="1"/>
  <c r="M1905" i="1" s="1"/>
  <c r="N1905" i="1" s="1"/>
  <c r="L1906" i="1"/>
  <c r="M1906" i="1" s="1"/>
  <c r="N1906" i="1" s="1"/>
  <c r="L1907" i="1"/>
  <c r="M1907" i="1" s="1"/>
  <c r="N1907" i="1" s="1"/>
  <c r="L1908" i="1"/>
  <c r="M1908" i="1" s="1"/>
  <c r="N1908" i="1" s="1"/>
  <c r="L1909" i="1"/>
  <c r="L1910" i="1"/>
  <c r="L1911" i="1"/>
  <c r="L1912" i="1"/>
  <c r="L1913" i="1"/>
  <c r="L1914" i="1"/>
  <c r="L1915" i="1"/>
  <c r="M1915" i="1" s="1"/>
  <c r="N1915" i="1" s="1"/>
  <c r="L1916" i="1"/>
  <c r="M1916" i="1" s="1"/>
  <c r="N1916" i="1" s="1"/>
  <c r="L1917" i="1"/>
  <c r="M1917" i="1" s="1"/>
  <c r="N1917" i="1" s="1"/>
  <c r="L1918" i="1"/>
  <c r="L1919" i="1"/>
  <c r="M1919" i="1" s="1"/>
  <c r="N1919" i="1" s="1"/>
  <c r="L1920" i="1"/>
  <c r="M1920" i="1" s="1"/>
  <c r="N1920" i="1" s="1"/>
  <c r="L1921" i="1"/>
  <c r="M1921" i="1" s="1"/>
  <c r="N1921" i="1" s="1"/>
  <c r="L1922" i="1"/>
  <c r="M1922" i="1" s="1"/>
  <c r="N1922" i="1" s="1"/>
  <c r="L1923" i="1"/>
  <c r="M1923" i="1" s="1"/>
  <c r="N1923" i="1" s="1"/>
  <c r="L1924" i="1"/>
  <c r="M1924" i="1" s="1"/>
  <c r="N1924" i="1" s="1"/>
  <c r="L1925" i="1"/>
  <c r="M1925" i="1" s="1"/>
  <c r="N1925" i="1" s="1"/>
  <c r="L1926" i="1"/>
  <c r="M1926" i="1" s="1"/>
  <c r="N1926" i="1" s="1"/>
  <c r="L1927" i="1"/>
  <c r="M1927" i="1" s="1"/>
  <c r="N1927" i="1" s="1"/>
  <c r="L1928" i="1"/>
  <c r="M1928" i="1" s="1"/>
  <c r="N1928" i="1" s="1"/>
  <c r="L1929" i="1"/>
  <c r="M1929" i="1" s="1"/>
  <c r="N1929" i="1" s="1"/>
  <c r="L1930" i="1"/>
  <c r="M1930" i="1" s="1"/>
  <c r="N1930" i="1" s="1"/>
  <c r="L1931" i="1"/>
  <c r="M1931" i="1" s="1"/>
  <c r="N1931" i="1" s="1"/>
  <c r="L1932" i="1"/>
  <c r="M1932" i="1" s="1"/>
  <c r="N1932" i="1" s="1"/>
  <c r="L1933" i="1"/>
  <c r="M1933" i="1" s="1"/>
  <c r="N1933" i="1" s="1"/>
  <c r="L1934" i="1"/>
  <c r="M1934" i="1" s="1"/>
  <c r="N1934" i="1" s="1"/>
  <c r="L1935" i="1"/>
  <c r="M1935" i="1" s="1"/>
  <c r="N1935" i="1" s="1"/>
  <c r="L1936" i="1"/>
  <c r="L1937" i="1"/>
  <c r="L1938" i="1"/>
  <c r="M1938" i="1" s="1"/>
  <c r="N1938" i="1" s="1"/>
  <c r="L1939" i="1"/>
  <c r="M1939" i="1" s="1"/>
  <c r="N1939" i="1" s="1"/>
  <c r="L1940" i="1"/>
  <c r="M1940" i="1" s="1"/>
  <c r="N1940" i="1" s="1"/>
  <c r="L1941" i="1"/>
  <c r="M1941" i="1" s="1"/>
  <c r="N1941" i="1" s="1"/>
  <c r="L1942" i="1"/>
  <c r="L1943" i="1"/>
  <c r="L1944" i="1"/>
  <c r="M1944" i="1" s="1"/>
  <c r="N1944" i="1" s="1"/>
  <c r="L1945" i="1"/>
  <c r="M1945" i="1" s="1"/>
  <c r="N1945" i="1" s="1"/>
  <c r="L1946" i="1"/>
  <c r="M1946" i="1" s="1"/>
  <c r="N1946" i="1" s="1"/>
  <c r="L1947" i="1"/>
  <c r="M1947" i="1" s="1"/>
  <c r="N1947" i="1" s="1"/>
  <c r="L1948" i="1"/>
  <c r="M1948" i="1" s="1"/>
  <c r="N1948" i="1" s="1"/>
  <c r="L2" i="1"/>
  <c r="M2" i="1" s="1"/>
  <c r="N2" i="1" s="1"/>
  <c r="AW3" i="2"/>
  <c r="AW4" i="2"/>
  <c r="AW5" i="2"/>
  <c r="AW6" i="2"/>
  <c r="AW2" i="2"/>
</calcChain>
</file>

<file path=xl/sharedStrings.xml><?xml version="1.0" encoding="utf-8"?>
<sst xmlns="http://schemas.openxmlformats.org/spreadsheetml/2006/main" count="39104" uniqueCount="6599">
  <si>
    <t>Customer_Name</t>
  </si>
  <si>
    <t>Gender</t>
  </si>
  <si>
    <t>Date</t>
  </si>
  <si>
    <t>Category</t>
  </si>
  <si>
    <t>Product_Name</t>
  </si>
  <si>
    <t>Payment_Method</t>
  </si>
  <si>
    <t>Sales_Channel</t>
  </si>
  <si>
    <t>Units</t>
  </si>
  <si>
    <t>Cost_Price</t>
  </si>
  <si>
    <t>Selling_Price</t>
  </si>
  <si>
    <t>Discount_%</t>
  </si>
  <si>
    <t>Discount_Amount</t>
  </si>
  <si>
    <t>Total_Revenue</t>
  </si>
  <si>
    <t>Profit</t>
  </si>
  <si>
    <t>Return_Status</t>
  </si>
  <si>
    <t>Koushika</t>
  </si>
  <si>
    <t>Female</t>
  </si>
  <si>
    <t>Sportswear</t>
  </si>
  <si>
    <t>T-Shirt</t>
  </si>
  <si>
    <t>Online</t>
  </si>
  <si>
    <t>Offline</t>
  </si>
  <si>
    <t>No</t>
  </si>
  <si>
    <t>Nandhini</t>
  </si>
  <si>
    <t>Outdoor</t>
  </si>
  <si>
    <t>Backpack</t>
  </si>
  <si>
    <t>Card</t>
  </si>
  <si>
    <t>Viraj</t>
  </si>
  <si>
    <t>Male</t>
  </si>
  <si>
    <t>Fitness</t>
  </si>
  <si>
    <t>Yoga Mat</t>
  </si>
  <si>
    <t>Pooja</t>
  </si>
  <si>
    <t>Footwear</t>
  </si>
  <si>
    <t>Running Shoes</t>
  </si>
  <si>
    <t>Yes</t>
  </si>
  <si>
    <t>Srujan</t>
  </si>
  <si>
    <t>Sports</t>
  </si>
  <si>
    <t>Boxing gloves</t>
  </si>
  <si>
    <t>Cash</t>
  </si>
  <si>
    <t>Srinivas</t>
  </si>
  <si>
    <t>Basketball</t>
  </si>
  <si>
    <t>Vikram</t>
  </si>
  <si>
    <t>Football</t>
  </si>
  <si>
    <t>Tejas</t>
  </si>
  <si>
    <t>Tent</t>
  </si>
  <si>
    <t>Saanvi</t>
  </si>
  <si>
    <t>Dumbbells</t>
  </si>
  <si>
    <t>Thanuja</t>
  </si>
  <si>
    <t>Gayatri</t>
  </si>
  <si>
    <t>Shorts</t>
  </si>
  <si>
    <t>Pranay</t>
  </si>
  <si>
    <t>Cricket Bat</t>
  </si>
  <si>
    <t>Aadhya</t>
  </si>
  <si>
    <t>Vijay</t>
  </si>
  <si>
    <t xml:space="preserve"> Praveen</t>
  </si>
  <si>
    <t>Arjun</t>
  </si>
  <si>
    <t>Tracks</t>
  </si>
  <si>
    <t>Arun</t>
  </si>
  <si>
    <t>Sai</t>
  </si>
  <si>
    <t>Skateboard</t>
  </si>
  <si>
    <t>Kalyan</t>
  </si>
  <si>
    <t>Manoj</t>
  </si>
  <si>
    <t>Anudeep</t>
  </si>
  <si>
    <t>Siri</t>
  </si>
  <si>
    <t>Sanjeev</t>
  </si>
  <si>
    <t>Devi Sree</t>
  </si>
  <si>
    <t>Kavya</t>
  </si>
  <si>
    <t>Rohan</t>
  </si>
  <si>
    <t>Rakesh</t>
  </si>
  <si>
    <t>Hema</t>
  </si>
  <si>
    <t>Chandrika</t>
  </si>
  <si>
    <t>Vivaan</t>
  </si>
  <si>
    <t>Leela</t>
  </si>
  <si>
    <t>Jersey</t>
  </si>
  <si>
    <t>Neha</t>
  </si>
  <si>
    <t>Lavanya</t>
  </si>
  <si>
    <t>Anvesh</t>
  </si>
  <si>
    <t>Casual Shoes</t>
  </si>
  <si>
    <t>Vasanth</t>
  </si>
  <si>
    <t>Ananya</t>
  </si>
  <si>
    <t>Swapna</t>
  </si>
  <si>
    <t>Shiva</t>
  </si>
  <si>
    <t>Karthik</t>
  </si>
  <si>
    <t>Harsha</t>
  </si>
  <si>
    <t>Yeshwanth</t>
  </si>
  <si>
    <t>Reavanth</t>
  </si>
  <si>
    <t>Deepak</t>
  </si>
  <si>
    <t>Bharath</t>
  </si>
  <si>
    <t>Cricket Kit</t>
  </si>
  <si>
    <t>Mallesh</t>
  </si>
  <si>
    <t>Sneha</t>
  </si>
  <si>
    <t>Sai Deep</t>
  </si>
  <si>
    <t>Pravalika</t>
  </si>
  <si>
    <t>Aditya</t>
  </si>
  <si>
    <t>Laxmi</t>
  </si>
  <si>
    <t>Lassya</t>
  </si>
  <si>
    <t>Rahul</t>
  </si>
  <si>
    <t>Shivani</t>
  </si>
  <si>
    <t>Anjali</t>
  </si>
  <si>
    <t>Swathi</t>
  </si>
  <si>
    <t>Venu</t>
  </si>
  <si>
    <t>Boxing Bag</t>
  </si>
  <si>
    <t>Swetha</t>
  </si>
  <si>
    <t>Uday</t>
  </si>
  <si>
    <t>Srawani</t>
  </si>
  <si>
    <t>Vinay</t>
  </si>
  <si>
    <t>Devi</t>
  </si>
  <si>
    <t>Aarav</t>
  </si>
  <si>
    <t>Surya</t>
  </si>
  <si>
    <t>Krishna</t>
  </si>
  <si>
    <t>Isha</t>
  </si>
  <si>
    <t>Row Labels</t>
  </si>
  <si>
    <t>Grand Total</t>
  </si>
  <si>
    <t>Count of Return_Status</t>
  </si>
  <si>
    <t>Count of Customer_Name</t>
  </si>
  <si>
    <t>Column Labels</t>
  </si>
  <si>
    <t>Sum of Profit</t>
  </si>
  <si>
    <t>Months</t>
  </si>
  <si>
    <t>(All)</t>
  </si>
  <si>
    <t>Jun</t>
  </si>
  <si>
    <t>Jul</t>
  </si>
  <si>
    <t>Aug</t>
  </si>
  <si>
    <t>Sep</t>
  </si>
  <si>
    <t>Oct</t>
  </si>
  <si>
    <t>Nov</t>
  </si>
  <si>
    <t>Dec</t>
  </si>
  <si>
    <t>PROD446</t>
  </si>
  <si>
    <t>Kompally</t>
  </si>
  <si>
    <t>ORD5202</t>
  </si>
  <si>
    <t>TXN01947</t>
  </si>
  <si>
    <t>CUST1947</t>
  </si>
  <si>
    <t>PROD775</t>
  </si>
  <si>
    <t>ORD4247</t>
  </si>
  <si>
    <t>TXN01946</t>
  </si>
  <si>
    <t>CUST1946</t>
  </si>
  <si>
    <t>PROD397</t>
  </si>
  <si>
    <t>ORD3329</t>
  </si>
  <si>
    <t>TXN01945</t>
  </si>
  <si>
    <t>CUST1945</t>
  </si>
  <si>
    <t>PROD953</t>
  </si>
  <si>
    <t>ORD2320</t>
  </si>
  <si>
    <t>TXN01944</t>
  </si>
  <si>
    <t>CUST1944</t>
  </si>
  <si>
    <t>Tents</t>
  </si>
  <si>
    <t>PROD128</t>
  </si>
  <si>
    <t>ORD9596</t>
  </si>
  <si>
    <t>TXN01943</t>
  </si>
  <si>
    <t>CUST1943</t>
  </si>
  <si>
    <t>PROD278</t>
  </si>
  <si>
    <t>ORD4928</t>
  </si>
  <si>
    <t>TXN01942</t>
  </si>
  <si>
    <t>CUST1942</t>
  </si>
  <si>
    <t>PROD247</t>
  </si>
  <si>
    <t>ORD4866</t>
  </si>
  <si>
    <t>TXN01941</t>
  </si>
  <si>
    <t>CUST1941</t>
  </si>
  <si>
    <t>PROD599</t>
  </si>
  <si>
    <t>ORD9875</t>
  </si>
  <si>
    <t>TXN01940</t>
  </si>
  <si>
    <t>CUST1940</t>
  </si>
  <si>
    <t>Boxing</t>
  </si>
  <si>
    <t>PROD740</t>
  </si>
  <si>
    <t>ORD7345</t>
  </si>
  <si>
    <t>TXN01939</t>
  </si>
  <si>
    <t>CUST1939</t>
  </si>
  <si>
    <t>Backpacks</t>
  </si>
  <si>
    <t>PROD677</t>
  </si>
  <si>
    <t>ORD4939</t>
  </si>
  <si>
    <t>TXN01938</t>
  </si>
  <si>
    <t>CUST1938</t>
  </si>
  <si>
    <t>PROD248</t>
  </si>
  <si>
    <t>ORD2895</t>
  </si>
  <si>
    <t>TXN01937</t>
  </si>
  <si>
    <t>CUST1937</t>
  </si>
  <si>
    <t>PROD205</t>
  </si>
  <si>
    <t>ORD2618</t>
  </si>
  <si>
    <t>TXN01936</t>
  </si>
  <si>
    <t>CUST1936</t>
  </si>
  <si>
    <t>PROD719</t>
  </si>
  <si>
    <t>ORD2974</t>
  </si>
  <si>
    <t>TXN01935</t>
  </si>
  <si>
    <t>CUST1935</t>
  </si>
  <si>
    <t>PROD688</t>
  </si>
  <si>
    <t>ORD9210</t>
  </si>
  <si>
    <t>TXN01934</t>
  </si>
  <si>
    <t>CUST1934</t>
  </si>
  <si>
    <t>PROD441</t>
  </si>
  <si>
    <t>ORD7131</t>
  </si>
  <si>
    <t>TXN01933</t>
  </si>
  <si>
    <t>CUST1933</t>
  </si>
  <si>
    <t>PROD749</t>
  </si>
  <si>
    <t>ORD3338</t>
  </si>
  <si>
    <t>TXN01932</t>
  </si>
  <si>
    <t>CUST1932</t>
  </si>
  <si>
    <t>PROD675</t>
  </si>
  <si>
    <t>ORD4597</t>
  </si>
  <si>
    <t>TXN01931</t>
  </si>
  <si>
    <t>CUST1931</t>
  </si>
  <si>
    <t>PROD417</t>
  </si>
  <si>
    <t>ORD6664</t>
  </si>
  <si>
    <t>TXN01930</t>
  </si>
  <si>
    <t>CUST1930</t>
  </si>
  <si>
    <t>Yoga Mats</t>
  </si>
  <si>
    <t>PROD142</t>
  </si>
  <si>
    <t>ORD4787</t>
  </si>
  <si>
    <t>TXN01929</t>
  </si>
  <si>
    <t>CUST1929</t>
  </si>
  <si>
    <t>PROD990</t>
  </si>
  <si>
    <t>ORD3550</t>
  </si>
  <si>
    <t>TXN01928</t>
  </si>
  <si>
    <t>CUST1928</t>
  </si>
  <si>
    <t>PROD630</t>
  </si>
  <si>
    <t>ORD3343</t>
  </si>
  <si>
    <t>TXN01927</t>
  </si>
  <si>
    <t>CUST1927</t>
  </si>
  <si>
    <t>Cricket</t>
  </si>
  <si>
    <t>PROD102</t>
  </si>
  <si>
    <t>ORD2756</t>
  </si>
  <si>
    <t>TXN01926</t>
  </si>
  <si>
    <t>CUST1926</t>
  </si>
  <si>
    <t>PROD522</t>
  </si>
  <si>
    <t>ORD3854</t>
  </si>
  <si>
    <t>TXN01925</t>
  </si>
  <si>
    <t>CUST1925</t>
  </si>
  <si>
    <t>PROD389</t>
  </si>
  <si>
    <t>ORD2503</t>
  </si>
  <si>
    <t>TXN01924</t>
  </si>
  <si>
    <t>CUST1924</t>
  </si>
  <si>
    <t>PROD529</t>
  </si>
  <si>
    <t>ORD6926</t>
  </si>
  <si>
    <t>TXN01923</t>
  </si>
  <si>
    <t>CUST1923</t>
  </si>
  <si>
    <t>PROD971</t>
  </si>
  <si>
    <t>ORD7419</t>
  </si>
  <si>
    <t>TXN01922</t>
  </si>
  <si>
    <t>CUST1922</t>
  </si>
  <si>
    <t>T-Shirts</t>
  </si>
  <si>
    <t>PROD769</t>
  </si>
  <si>
    <t>ORD5477</t>
  </si>
  <si>
    <t>TXN01921</t>
  </si>
  <si>
    <t>CUST1921</t>
  </si>
  <si>
    <t>PROD894</t>
  </si>
  <si>
    <t>ORD7380</t>
  </si>
  <si>
    <t>TXN01920</t>
  </si>
  <si>
    <t>CUST1920</t>
  </si>
  <si>
    <t>Skateboarding</t>
  </si>
  <si>
    <t>PROD904</t>
  </si>
  <si>
    <t>ORD3785</t>
  </si>
  <si>
    <t>TXN01919</t>
  </si>
  <si>
    <t>CUST1919</t>
  </si>
  <si>
    <t>PROD454</t>
  </si>
  <si>
    <t>ORD5414</t>
  </si>
  <si>
    <t>TXN01918</t>
  </si>
  <si>
    <t>CUST1918</t>
  </si>
  <si>
    <t>Jerseys</t>
  </si>
  <si>
    <t>PROD183</t>
  </si>
  <si>
    <t>ORD4499</t>
  </si>
  <si>
    <t>TXN01917</t>
  </si>
  <si>
    <t>CUST1917</t>
  </si>
  <si>
    <t>PROD556</t>
  </si>
  <si>
    <t>ORD8630</t>
  </si>
  <si>
    <t>TXN01916</t>
  </si>
  <si>
    <t>CUST1916</t>
  </si>
  <si>
    <t>PROD391</t>
  </si>
  <si>
    <t>ORD3263</t>
  </si>
  <si>
    <t>TXN01915</t>
  </si>
  <si>
    <t>CUST1915</t>
  </si>
  <si>
    <t>PROD110</t>
  </si>
  <si>
    <t>ORD8515</t>
  </si>
  <si>
    <t>TXN01914</t>
  </si>
  <si>
    <t>CUST1914</t>
  </si>
  <si>
    <t>PROD306</t>
  </si>
  <si>
    <t>ORD6951</t>
  </si>
  <si>
    <t>TXN01913</t>
  </si>
  <si>
    <t>CUST1913</t>
  </si>
  <si>
    <t>PROD587</t>
  </si>
  <si>
    <t>ORD4364</t>
  </si>
  <si>
    <t>TXN01912</t>
  </si>
  <si>
    <t>CUST1912</t>
  </si>
  <si>
    <t>PROD403</t>
  </si>
  <si>
    <t>ORD5389</t>
  </si>
  <si>
    <t>TXN01911</t>
  </si>
  <si>
    <t>CUST1911</t>
  </si>
  <si>
    <t>PROD686</t>
  </si>
  <si>
    <t>ORD2501</t>
  </si>
  <si>
    <t>TXN01910</t>
  </si>
  <si>
    <t>CUST1910</t>
  </si>
  <si>
    <t>PROD714</t>
  </si>
  <si>
    <t>ORD9155</t>
  </si>
  <si>
    <t>TXN01909</t>
  </si>
  <si>
    <t>CUST1909</t>
  </si>
  <si>
    <t>PROD717</t>
  </si>
  <si>
    <t>ORD5841</t>
  </si>
  <si>
    <t>TXN01908</t>
  </si>
  <si>
    <t>CUST1908</t>
  </si>
  <si>
    <t>PROD949</t>
  </si>
  <si>
    <t>ORD5914</t>
  </si>
  <si>
    <t>TXN01907</t>
  </si>
  <si>
    <t>CUST1907</t>
  </si>
  <si>
    <t>PROD817</t>
  </si>
  <si>
    <t>ORD3606</t>
  </si>
  <si>
    <t>TXN01906</t>
  </si>
  <si>
    <t>CUST1906</t>
  </si>
  <si>
    <t>PROD342</t>
  </si>
  <si>
    <t>ORD8292</t>
  </si>
  <si>
    <t>TXN01905</t>
  </si>
  <si>
    <t>CUST1905</t>
  </si>
  <si>
    <t>PROD767</t>
  </si>
  <si>
    <t>ORD6855</t>
  </si>
  <si>
    <t>TXN01904</t>
  </si>
  <si>
    <t>CUST1904</t>
  </si>
  <si>
    <t>PROD877</t>
  </si>
  <si>
    <t>ORD5170</t>
  </si>
  <si>
    <t>TXN01903</t>
  </si>
  <si>
    <t>CUST1903</t>
  </si>
  <si>
    <t>ORD3746</t>
  </si>
  <si>
    <t>TXN01902</t>
  </si>
  <si>
    <t>CUST1902</t>
  </si>
  <si>
    <t>PROD593</t>
  </si>
  <si>
    <t>ORD2349</t>
  </si>
  <si>
    <t>TXN01901</t>
  </si>
  <si>
    <t>CUST1901</t>
  </si>
  <si>
    <t>PROD118</t>
  </si>
  <si>
    <t>ORD2071</t>
  </si>
  <si>
    <t>TXN01900</t>
  </si>
  <si>
    <t>CUST1900</t>
  </si>
  <si>
    <t>PROD219</t>
  </si>
  <si>
    <t>ORD2462</t>
  </si>
  <si>
    <t>TXN01899</t>
  </si>
  <si>
    <t>CUST1899</t>
  </si>
  <si>
    <t>PROD204</t>
  </si>
  <si>
    <t>ORD9336</t>
  </si>
  <si>
    <t>TXN01898</t>
  </si>
  <si>
    <t>CUST1898</t>
  </si>
  <si>
    <t>PROD794</t>
  </si>
  <si>
    <t>ORD8244</t>
  </si>
  <si>
    <t>TXN01897</t>
  </si>
  <si>
    <t>CUST1897</t>
  </si>
  <si>
    <t>PROD327</t>
  </si>
  <si>
    <t>ORD8590</t>
  </si>
  <si>
    <t>TXN01896</t>
  </si>
  <si>
    <t>CUST1896</t>
  </si>
  <si>
    <t>PROD643</t>
  </si>
  <si>
    <t>ORD1625</t>
  </si>
  <si>
    <t>TXN01895</t>
  </si>
  <si>
    <t>CUST1895</t>
  </si>
  <si>
    <t>PROD348</t>
  </si>
  <si>
    <t>ORD7096</t>
  </si>
  <si>
    <t>TXN01894</t>
  </si>
  <si>
    <t>CUST1894</t>
  </si>
  <si>
    <t>PROD598</t>
  </si>
  <si>
    <t>ORD9866</t>
  </si>
  <si>
    <t>TXN01893</t>
  </si>
  <si>
    <t>CUST1893</t>
  </si>
  <si>
    <t>PROD232</t>
  </si>
  <si>
    <t>TXN01892</t>
  </si>
  <si>
    <t>CUST1892</t>
  </si>
  <si>
    <t>PROD622</t>
  </si>
  <si>
    <t>ORD3013</t>
  </si>
  <si>
    <t>TXN01891</t>
  </si>
  <si>
    <t>CUST1891</t>
  </si>
  <si>
    <t>PROD951</t>
  </si>
  <si>
    <t>ORD8328</t>
  </si>
  <si>
    <t>TXN01890</t>
  </si>
  <si>
    <t>CUST1890</t>
  </si>
  <si>
    <t>PROD345</t>
  </si>
  <si>
    <t>ORD9186</t>
  </si>
  <si>
    <t>TXN01889</t>
  </si>
  <si>
    <t>CUST1889</t>
  </si>
  <si>
    <t>ORD2648</t>
  </si>
  <si>
    <t>TXN01888</t>
  </si>
  <si>
    <t>CUST1888</t>
  </si>
  <si>
    <t>PROD210</t>
  </si>
  <si>
    <t>ORD1756</t>
  </si>
  <si>
    <t>TXN01887</t>
  </si>
  <si>
    <t>CUST1887</t>
  </si>
  <si>
    <t>PROD750</t>
  </si>
  <si>
    <t>ORD2063</t>
  </si>
  <si>
    <t>TXN01886</t>
  </si>
  <si>
    <t>CUST1886</t>
  </si>
  <si>
    <t>PROD808</t>
  </si>
  <si>
    <t>ORD9276</t>
  </si>
  <si>
    <t>TXN01885</t>
  </si>
  <si>
    <t>CUST1885</t>
  </si>
  <si>
    <t>PROD494</t>
  </si>
  <si>
    <t>ORD3276</t>
  </si>
  <si>
    <t>TXN01884</t>
  </si>
  <si>
    <t>CUST1884</t>
  </si>
  <si>
    <t>PROD707</t>
  </si>
  <si>
    <t>ORD9632</t>
  </si>
  <si>
    <t>TXN01883</t>
  </si>
  <si>
    <t>CUST1883</t>
  </si>
  <si>
    <t>PROD822</t>
  </si>
  <si>
    <t>ORD7607</t>
  </si>
  <si>
    <t>TXN01882</t>
  </si>
  <si>
    <t>CUST1882</t>
  </si>
  <si>
    <t>PROD982</t>
  </si>
  <si>
    <t>ORD2695</t>
  </si>
  <si>
    <t>TXN01881</t>
  </si>
  <si>
    <t>CUST1881</t>
  </si>
  <si>
    <t>PROD703</t>
  </si>
  <si>
    <t>ORD1344</t>
  </si>
  <si>
    <t>TXN01880</t>
  </si>
  <si>
    <t>CUST1880</t>
  </si>
  <si>
    <t>PROD902</t>
  </si>
  <si>
    <t>ORD1789</t>
  </si>
  <si>
    <t>TXN01879</t>
  </si>
  <si>
    <t>CUST1879</t>
  </si>
  <si>
    <t>PROD145</t>
  </si>
  <si>
    <t>ORD2227</t>
  </si>
  <si>
    <t>TXN01878</t>
  </si>
  <si>
    <t>CUST1878</t>
  </si>
  <si>
    <t>PROD674</t>
  </si>
  <si>
    <t>ORD3048</t>
  </si>
  <si>
    <t>TXN01877</t>
  </si>
  <si>
    <t>CUST1877</t>
  </si>
  <si>
    <t>PROD526</t>
  </si>
  <si>
    <t>ORD2423</t>
  </si>
  <si>
    <t>TXN01876</t>
  </si>
  <si>
    <t>CUST1876</t>
  </si>
  <si>
    <t>PROD130</t>
  </si>
  <si>
    <t>ORD7801</t>
  </si>
  <si>
    <t>TXN01875</t>
  </si>
  <si>
    <t>CUST1875</t>
  </si>
  <si>
    <t>PROD512</t>
  </si>
  <si>
    <t>ORD2610</t>
  </si>
  <si>
    <t>TXN01874</t>
  </si>
  <si>
    <t>CUST1874</t>
  </si>
  <si>
    <t>PROD462</t>
  </si>
  <si>
    <t>ORD9981</t>
  </si>
  <si>
    <t>TXN01873</t>
  </si>
  <si>
    <t>CUST1873</t>
  </si>
  <si>
    <t>PROD195</t>
  </si>
  <si>
    <t>ORD3446</t>
  </si>
  <si>
    <t>TXN01872</t>
  </si>
  <si>
    <t>CUST1872</t>
  </si>
  <si>
    <t>ORD3521</t>
  </si>
  <si>
    <t>TXN01871</t>
  </si>
  <si>
    <t>CUST1871</t>
  </si>
  <si>
    <t>PROD814</t>
  </si>
  <si>
    <t>ORD1440</t>
  </si>
  <si>
    <t>TXN01870</t>
  </si>
  <si>
    <t>CUST1870</t>
  </si>
  <si>
    <t>PROD503</t>
  </si>
  <si>
    <t>ORD3943</t>
  </si>
  <si>
    <t>TXN01869</t>
  </si>
  <si>
    <t>CUST1869</t>
  </si>
  <si>
    <t>PROD100</t>
  </si>
  <si>
    <t>ORD9542</t>
  </si>
  <si>
    <t>TXN01868</t>
  </si>
  <si>
    <t>CUST1868</t>
  </si>
  <si>
    <t>PROD580</t>
  </si>
  <si>
    <t>ORD9344</t>
  </si>
  <si>
    <t>TXN01867</t>
  </si>
  <si>
    <t>CUST1867</t>
  </si>
  <si>
    <t>PROD957</t>
  </si>
  <si>
    <t>ORD9741</t>
  </si>
  <si>
    <t>TXN01866</t>
  </si>
  <si>
    <t>CUST1866</t>
  </si>
  <si>
    <t>PROD355</t>
  </si>
  <si>
    <t>ORD8369</t>
  </si>
  <si>
    <t>TXN01865</t>
  </si>
  <si>
    <t>CUST1865</t>
  </si>
  <si>
    <t>PROD214</t>
  </si>
  <si>
    <t>ORD2791</t>
  </si>
  <si>
    <t>TXN01864</t>
  </si>
  <si>
    <t>CUST1864</t>
  </si>
  <si>
    <t>PROD396</t>
  </si>
  <si>
    <t>ORD9692</t>
  </si>
  <si>
    <t>TXN01863</t>
  </si>
  <si>
    <t>CUST1863</t>
  </si>
  <si>
    <t>ORD5533</t>
  </si>
  <si>
    <t>TXN01862</t>
  </si>
  <si>
    <t>CUST1862</t>
  </si>
  <si>
    <t>PROD294</t>
  </si>
  <si>
    <t>ORD9930</t>
  </si>
  <si>
    <t>TXN01861</t>
  </si>
  <si>
    <t>CUST1861</t>
  </si>
  <si>
    <t>PROD129</t>
  </si>
  <si>
    <t>ORD9643</t>
  </si>
  <si>
    <t>TXN01860</t>
  </si>
  <si>
    <t>CUST1860</t>
  </si>
  <si>
    <t>PROD424</t>
  </si>
  <si>
    <t>ORD4523</t>
  </si>
  <si>
    <t>TXN01859</t>
  </si>
  <si>
    <t>CUST1859</t>
  </si>
  <si>
    <t>PROD179</t>
  </si>
  <si>
    <t>ORD7854</t>
  </si>
  <si>
    <t>TXN01858</t>
  </si>
  <si>
    <t>CUST1858</t>
  </si>
  <si>
    <t>PROD141</t>
  </si>
  <si>
    <t>ORD7118</t>
  </si>
  <si>
    <t>TXN01857</t>
  </si>
  <si>
    <t>CUST1857</t>
  </si>
  <si>
    <t>PROD644</t>
  </si>
  <si>
    <t>ORD8018</t>
  </si>
  <si>
    <t>TXN01856</t>
  </si>
  <si>
    <t>CUST1856</t>
  </si>
  <si>
    <t>ORD3126</t>
  </si>
  <si>
    <t>TXN01855</t>
  </si>
  <si>
    <t>CUST1855</t>
  </si>
  <si>
    <t>PROD410</t>
  </si>
  <si>
    <t>ORD7842</t>
  </si>
  <si>
    <t>TXN01854</t>
  </si>
  <si>
    <t>CUST1854</t>
  </si>
  <si>
    <t>PROD669</t>
  </si>
  <si>
    <t>ORD5549</t>
  </si>
  <si>
    <t>TXN01853</t>
  </si>
  <si>
    <t>CUST1853</t>
  </si>
  <si>
    <t>PROD520</t>
  </si>
  <si>
    <t>ORD1976</t>
  </si>
  <si>
    <t>TXN01852</t>
  </si>
  <si>
    <t>CUST1852</t>
  </si>
  <si>
    <t>PROD648</t>
  </si>
  <si>
    <t>ORD8323</t>
  </si>
  <si>
    <t>TXN01851</t>
  </si>
  <si>
    <t>CUST1851</t>
  </si>
  <si>
    <t>PROD573</t>
  </si>
  <si>
    <t>ORD6050</t>
  </si>
  <si>
    <t>TXN01850</t>
  </si>
  <si>
    <t>CUST1850</t>
  </si>
  <si>
    <t>PROD544</t>
  </si>
  <si>
    <t>ORD9093</t>
  </si>
  <si>
    <t>TXN01849</t>
  </si>
  <si>
    <t>CUST1849</t>
  </si>
  <si>
    <t>PROD385</t>
  </si>
  <si>
    <t>ORD2220</t>
  </si>
  <si>
    <t>TXN01848</t>
  </si>
  <si>
    <t>CUST1848</t>
  </si>
  <si>
    <t>PROD942</t>
  </si>
  <si>
    <t>ORD5039</t>
  </si>
  <si>
    <t>TXN01847</t>
  </si>
  <si>
    <t>CUST1847</t>
  </si>
  <si>
    <t>PROD170</t>
  </si>
  <si>
    <t>ORD6563</t>
  </si>
  <si>
    <t>TXN01846</t>
  </si>
  <si>
    <t>CUST1846</t>
  </si>
  <si>
    <t>PROD370</t>
  </si>
  <si>
    <t>ORD9801</t>
  </si>
  <si>
    <t>TXN01845</t>
  </si>
  <si>
    <t>CUST1845</t>
  </si>
  <si>
    <t>PROD543</t>
  </si>
  <si>
    <t>ORD2053</t>
  </si>
  <si>
    <t>TXN01844</t>
  </si>
  <si>
    <t>CUST1844</t>
  </si>
  <si>
    <t>PROD851</t>
  </si>
  <si>
    <t>ORD7819</t>
  </si>
  <si>
    <t>TXN01843</t>
  </si>
  <si>
    <t>CUST1843</t>
  </si>
  <si>
    <t>PROD453</t>
  </si>
  <si>
    <t>ORD2994</t>
  </si>
  <si>
    <t>TXN01842</t>
  </si>
  <si>
    <t>CUST1842</t>
  </si>
  <si>
    <t>PROD799</t>
  </si>
  <si>
    <t>ORD7980</t>
  </si>
  <si>
    <t>TXN01841</t>
  </si>
  <si>
    <t>CUST1841</t>
  </si>
  <si>
    <t>PROD411</t>
  </si>
  <si>
    <t>ORD1826</t>
  </si>
  <si>
    <t>TXN01840</t>
  </si>
  <si>
    <t>CUST1840</t>
  </si>
  <si>
    <t>ORD3132</t>
  </si>
  <si>
    <t>TXN01839</t>
  </si>
  <si>
    <t>CUST1839</t>
  </si>
  <si>
    <t>PROD664</t>
  </si>
  <si>
    <t>ORD7267</t>
  </si>
  <si>
    <t>TXN01838</t>
  </si>
  <si>
    <t>CUST1838</t>
  </si>
  <si>
    <t>PROD928</t>
  </si>
  <si>
    <t>ORD8424</t>
  </si>
  <si>
    <t>TXN01837</t>
  </si>
  <si>
    <t>CUST1837</t>
  </si>
  <si>
    <t>PROD271</t>
  </si>
  <si>
    <t>ORD6713</t>
  </si>
  <si>
    <t>TXN01836</t>
  </si>
  <si>
    <t>CUST1836</t>
  </si>
  <si>
    <t>PROD474</t>
  </si>
  <si>
    <t>ORD2600</t>
  </si>
  <si>
    <t>TXN01835</t>
  </si>
  <si>
    <t>CUST1835</t>
  </si>
  <si>
    <t>PROD868</t>
  </si>
  <si>
    <t>ORD7150</t>
  </si>
  <si>
    <t>TXN01834</t>
  </si>
  <si>
    <t>CUST1834</t>
  </si>
  <si>
    <t>PROD906</t>
  </si>
  <si>
    <t>ORD1651</t>
  </si>
  <si>
    <t>TXN01833</t>
  </si>
  <si>
    <t>CUST1833</t>
  </si>
  <si>
    <t>PROD684</t>
  </si>
  <si>
    <t>ORD9100</t>
  </si>
  <si>
    <t>TXN01832</t>
  </si>
  <si>
    <t>CUST1832</t>
  </si>
  <si>
    <t>PROD638</t>
  </si>
  <si>
    <t>ORD9485</t>
  </si>
  <si>
    <t>TXN01831</t>
  </si>
  <si>
    <t>CUST1831</t>
  </si>
  <si>
    <t>PROD987</t>
  </si>
  <si>
    <t>ORD6687</t>
  </si>
  <si>
    <t>TXN01830</t>
  </si>
  <si>
    <t>CUST1830</t>
  </si>
  <si>
    <t>PROD546</t>
  </si>
  <si>
    <t>ORD6310</t>
  </si>
  <si>
    <t>TXN01829</t>
  </si>
  <si>
    <t>CUST1829</t>
  </si>
  <si>
    <t>PROD368</t>
  </si>
  <si>
    <t>ORD6412</t>
  </si>
  <si>
    <t>TXN01828</t>
  </si>
  <si>
    <t>CUST1828</t>
  </si>
  <si>
    <t>PROD490</t>
  </si>
  <si>
    <t>ORD7379</t>
  </si>
  <si>
    <t>TXN01827</t>
  </si>
  <si>
    <t>CUST1827</t>
  </si>
  <si>
    <t>PROD583</t>
  </si>
  <si>
    <t>ORD9775</t>
  </si>
  <si>
    <t>TXN01826</t>
  </si>
  <si>
    <t>CUST1826</t>
  </si>
  <si>
    <t>PROD480</t>
  </si>
  <si>
    <t>ORD7837</t>
  </si>
  <si>
    <t>TXN01825</t>
  </si>
  <si>
    <t>CUST1825</t>
  </si>
  <si>
    <t>PROD435</t>
  </si>
  <si>
    <t>ORD5683</t>
  </si>
  <si>
    <t>TXN01824</t>
  </si>
  <si>
    <t>CUST1824</t>
  </si>
  <si>
    <t>PROD863</t>
  </si>
  <si>
    <t>ORD6205</t>
  </si>
  <si>
    <t>TXN01823</t>
  </si>
  <si>
    <t>CUST1823</t>
  </si>
  <si>
    <t>PROD784</t>
  </si>
  <si>
    <t>ORD6696</t>
  </si>
  <si>
    <t>TXN01822</t>
  </si>
  <si>
    <t>CUST1822</t>
  </si>
  <si>
    <t>ORD1917</t>
  </si>
  <si>
    <t>TXN01821</t>
  </si>
  <si>
    <t>CUST1821</t>
  </si>
  <si>
    <t>ORD4775</t>
  </si>
  <si>
    <t>TXN01820</t>
  </si>
  <si>
    <t>CUST1820</t>
  </si>
  <si>
    <t>PROD697</t>
  </si>
  <si>
    <t>ORD5987</t>
  </si>
  <si>
    <t>TXN01819</t>
  </si>
  <si>
    <t>CUST1819</t>
  </si>
  <si>
    <t>PROD825</t>
  </si>
  <si>
    <t>ORD3977</t>
  </si>
  <si>
    <t>TXN01818</t>
  </si>
  <si>
    <t>CUST1818</t>
  </si>
  <si>
    <t>ORD2537</t>
  </si>
  <si>
    <t>TXN01817</t>
  </si>
  <si>
    <t>CUST1817</t>
  </si>
  <si>
    <t>PROD765</t>
  </si>
  <si>
    <t>ORD3621</t>
  </si>
  <si>
    <t>TXN01816</t>
  </si>
  <si>
    <t>CUST1816</t>
  </si>
  <si>
    <t>PROD781</t>
  </si>
  <si>
    <t>ORD1501</t>
  </si>
  <si>
    <t>TXN01815</t>
  </si>
  <si>
    <t>CUST1815</t>
  </si>
  <si>
    <t>PROD253</t>
  </si>
  <si>
    <t>ORD1699</t>
  </si>
  <si>
    <t>TXN01814</t>
  </si>
  <si>
    <t>CUST1814</t>
  </si>
  <si>
    <t>PROD921</t>
  </si>
  <si>
    <t>ORD6759</t>
  </si>
  <si>
    <t>TXN01813</t>
  </si>
  <si>
    <t>CUST1813</t>
  </si>
  <si>
    <t>PROD282</t>
  </si>
  <si>
    <t>ORD3715</t>
  </si>
  <si>
    <t>TXN01812</t>
  </si>
  <si>
    <t>CUST1812</t>
  </si>
  <si>
    <t>PROD280</t>
  </si>
  <si>
    <t>ORD3996</t>
  </si>
  <si>
    <t>TXN01811</t>
  </si>
  <si>
    <t>CUST1811</t>
  </si>
  <si>
    <t>PROD804</t>
  </si>
  <si>
    <t>ORD3000</t>
  </si>
  <si>
    <t>TXN01810</t>
  </si>
  <si>
    <t>CUST1810</t>
  </si>
  <si>
    <t>PROD924</t>
  </si>
  <si>
    <t>ORD9954</t>
  </si>
  <si>
    <t>TXN01809</t>
  </si>
  <si>
    <t>CUST1809</t>
  </si>
  <si>
    <t>PROD690</t>
  </si>
  <si>
    <t>ORD8701</t>
  </si>
  <si>
    <t>TXN01808</t>
  </si>
  <si>
    <t>CUST1808</t>
  </si>
  <si>
    <t>PROD901</t>
  </si>
  <si>
    <t>ORD9243</t>
  </si>
  <si>
    <t>TXN01807</t>
  </si>
  <si>
    <t>CUST1807</t>
  </si>
  <si>
    <t>ORD3890</t>
  </si>
  <si>
    <t>TXN01806</t>
  </si>
  <si>
    <t>CUST1806</t>
  </si>
  <si>
    <t>PROD384</t>
  </si>
  <si>
    <t>ORD3282</t>
  </si>
  <si>
    <t>TXN01805</t>
  </si>
  <si>
    <t>CUST1805</t>
  </si>
  <si>
    <t>PROD243</t>
  </si>
  <si>
    <t>ORD7660</t>
  </si>
  <si>
    <t>TXN01804</t>
  </si>
  <si>
    <t>CUST1804</t>
  </si>
  <si>
    <t>PROD140</t>
  </si>
  <si>
    <t>ORD4204</t>
  </si>
  <si>
    <t>TXN01803</t>
  </si>
  <si>
    <t>CUST1803</t>
  </si>
  <si>
    <t>PROD620</t>
  </si>
  <si>
    <t>ORD4700</t>
  </si>
  <si>
    <t>TXN01802</t>
  </si>
  <si>
    <t>CUST1802</t>
  </si>
  <si>
    <t>PROD693</t>
  </si>
  <si>
    <t>ORD7145</t>
  </si>
  <si>
    <t>TXN01801</t>
  </si>
  <si>
    <t>CUST1801</t>
  </si>
  <si>
    <t>PROD712</t>
  </si>
  <si>
    <t>ORD7314</t>
  </si>
  <si>
    <t>TXN01800</t>
  </si>
  <si>
    <t>CUST1800</t>
  </si>
  <si>
    <t>ORD7021</t>
  </si>
  <si>
    <t>TXN01799</t>
  </si>
  <si>
    <t>CUST1799</t>
  </si>
  <si>
    <t>PROD733</t>
  </si>
  <si>
    <t>ORD2250</t>
  </si>
  <si>
    <t>TXN01798</t>
  </si>
  <si>
    <t>CUST1798</t>
  </si>
  <si>
    <t>PROD764</t>
  </si>
  <si>
    <t>ORD1819</t>
  </si>
  <si>
    <t>TXN01797</t>
  </si>
  <si>
    <t>CUST1797</t>
  </si>
  <si>
    <t>PROD103</t>
  </si>
  <si>
    <t>ORD8022</t>
  </si>
  <si>
    <t>TXN01796</t>
  </si>
  <si>
    <t>CUST1796</t>
  </si>
  <si>
    <t>PROD276</t>
  </si>
  <si>
    <t>ORD3767</t>
  </si>
  <si>
    <t>TXN01795</t>
  </si>
  <si>
    <t>CUST1795</t>
  </si>
  <si>
    <t>PROD791</t>
  </si>
  <si>
    <t>ORD2467</t>
  </si>
  <si>
    <t>TXN01794</t>
  </si>
  <si>
    <t>CUST1794</t>
  </si>
  <si>
    <t>PROD482</t>
  </si>
  <si>
    <t>ORD4473</t>
  </si>
  <si>
    <t>TXN01793</t>
  </si>
  <si>
    <t>CUST1793</t>
  </si>
  <si>
    <t>PROD661</t>
  </si>
  <si>
    <t>ORD5068</t>
  </si>
  <si>
    <t>TXN01792</t>
  </si>
  <si>
    <t>CUST1792</t>
  </si>
  <si>
    <t>PROD301</t>
  </si>
  <si>
    <t>ORD5231</t>
  </si>
  <si>
    <t>TXN01791</t>
  </si>
  <si>
    <t>CUST1791</t>
  </si>
  <si>
    <t>PROD857</t>
  </si>
  <si>
    <t>ORD1740</t>
  </si>
  <si>
    <t>TXN01790</t>
  </si>
  <si>
    <t>CUST1790</t>
  </si>
  <si>
    <t>PROD776</t>
  </si>
  <si>
    <t>ORD9140</t>
  </si>
  <si>
    <t>TXN01789</t>
  </si>
  <si>
    <t>CUST1789</t>
  </si>
  <si>
    <t>PROD672</t>
  </si>
  <si>
    <t>ORD4805</t>
  </si>
  <si>
    <t>TXN01788</t>
  </si>
  <si>
    <t>CUST1788</t>
  </si>
  <si>
    <t>PROD310</t>
  </si>
  <si>
    <t>ORD1913</t>
  </si>
  <si>
    <t>TXN01787</t>
  </si>
  <si>
    <t>CUST1787</t>
  </si>
  <si>
    <t>PROD937</t>
  </si>
  <si>
    <t>ORD8556</t>
  </si>
  <si>
    <t>TXN01786</t>
  </si>
  <si>
    <t>CUST1786</t>
  </si>
  <si>
    <t>ORD7268</t>
  </si>
  <si>
    <t>TXN01785</t>
  </si>
  <si>
    <t>CUST1785</t>
  </si>
  <si>
    <t>PROD705</t>
  </si>
  <si>
    <t>ORD1612</t>
  </si>
  <si>
    <t>TXN01784</t>
  </si>
  <si>
    <t>CUST1784</t>
  </si>
  <si>
    <t>PROD531</t>
  </si>
  <si>
    <t>ORD7532</t>
  </si>
  <si>
    <t>TXN01783</t>
  </si>
  <si>
    <t>CUST1783</t>
  </si>
  <si>
    <t>PROD948</t>
  </si>
  <si>
    <t>TXN01782</t>
  </si>
  <si>
    <t>CUST1782</t>
  </si>
  <si>
    <t>PROD442</t>
  </si>
  <si>
    <t>ORD2218</t>
  </si>
  <si>
    <t>TXN01781</t>
  </si>
  <si>
    <t>CUST1781</t>
  </si>
  <si>
    <t>ORD8818</t>
  </si>
  <si>
    <t>TXN01780</t>
  </si>
  <si>
    <t>CUST1780</t>
  </si>
  <si>
    <t>PROD104</t>
  </si>
  <si>
    <t>ORD7724</t>
  </si>
  <si>
    <t>TXN01779</t>
  </si>
  <si>
    <t>CUST1779</t>
  </si>
  <si>
    <t>PROD923</t>
  </si>
  <si>
    <t>ORD4286</t>
  </si>
  <si>
    <t>TXN01778</t>
  </si>
  <si>
    <t>CUST1778</t>
  </si>
  <si>
    <t>ORD8275</t>
  </si>
  <si>
    <t>TXN01777</t>
  </si>
  <si>
    <t>CUST1777</t>
  </si>
  <si>
    <t>PROD992</t>
  </si>
  <si>
    <t>ORD7745</t>
  </si>
  <si>
    <t>TXN01776</t>
  </si>
  <si>
    <t>CUST1776</t>
  </si>
  <si>
    <t>PROD640</t>
  </si>
  <si>
    <t>ORD6591</t>
  </si>
  <si>
    <t>TXN01775</t>
  </si>
  <si>
    <t>CUST1775</t>
  </si>
  <si>
    <t>PROD405</t>
  </si>
  <si>
    <t>ORD8951</t>
  </si>
  <si>
    <t>TXN01774</t>
  </si>
  <si>
    <t>CUST1774</t>
  </si>
  <si>
    <t>PROD354</t>
  </si>
  <si>
    <t>ORD4233</t>
  </si>
  <si>
    <t>TXN01773</t>
  </si>
  <si>
    <t>CUST1773</t>
  </si>
  <si>
    <t>PROD978</t>
  </si>
  <si>
    <t>ORD3809</t>
  </si>
  <si>
    <t>TXN01772</t>
  </si>
  <si>
    <t>CUST1772</t>
  </si>
  <si>
    <t>PROD897</t>
  </si>
  <si>
    <t>ORD5395</t>
  </si>
  <si>
    <t>TXN01771</t>
  </si>
  <si>
    <t>CUST1771</t>
  </si>
  <si>
    <t>PROD768</t>
  </si>
  <si>
    <t>ORD8479</t>
  </si>
  <si>
    <t>TXN01770</t>
  </si>
  <si>
    <t>CUST1770</t>
  </si>
  <si>
    <t>PROD213</t>
  </si>
  <si>
    <t>TXN01769</t>
  </si>
  <si>
    <t>CUST1769</t>
  </si>
  <si>
    <t>PROD227</t>
  </si>
  <si>
    <t>ORD3847</t>
  </si>
  <si>
    <t>TXN01768</t>
  </si>
  <si>
    <t>CUST1768</t>
  </si>
  <si>
    <t>PROD241</t>
  </si>
  <si>
    <t>ORD6367</t>
  </si>
  <si>
    <t>TXN01767</t>
  </si>
  <si>
    <t>CUST1767</t>
  </si>
  <si>
    <t>PROD989</t>
  </si>
  <si>
    <t>ORD6750</t>
  </si>
  <si>
    <t>TXN01766</t>
  </si>
  <si>
    <t>CUST1766</t>
  </si>
  <si>
    <t>PROD134</t>
  </si>
  <si>
    <t>ORD8180</t>
  </si>
  <si>
    <t>TXN01765</t>
  </si>
  <si>
    <t>CUST1765</t>
  </si>
  <si>
    <t>ORD7373</t>
  </si>
  <si>
    <t>TXN01764</t>
  </si>
  <si>
    <t>CUST1764</t>
  </si>
  <si>
    <t>PROD854</t>
  </si>
  <si>
    <t>ORD3025</t>
  </si>
  <si>
    <t>TXN01763</t>
  </si>
  <si>
    <t>CUST1763</t>
  </si>
  <si>
    <t>PROD729</t>
  </si>
  <si>
    <t>ORD5783</t>
  </si>
  <si>
    <t>TXN01762</t>
  </si>
  <si>
    <t>CUST1762</t>
  </si>
  <si>
    <t>PROD218</t>
  </si>
  <si>
    <t>ORD9702</t>
  </si>
  <si>
    <t>TXN01761</t>
  </si>
  <si>
    <t>CUST1761</t>
  </si>
  <si>
    <t>PROD257</t>
  </si>
  <si>
    <t>ORD1071</t>
  </si>
  <si>
    <t>TXN01760</t>
  </si>
  <si>
    <t>CUST1760</t>
  </si>
  <si>
    <t>PROD228</t>
  </si>
  <si>
    <t>ORD3102</t>
  </si>
  <si>
    <t>TXN01759</t>
  </si>
  <si>
    <t>CUST1759</t>
  </si>
  <si>
    <t>PROD634</t>
  </si>
  <si>
    <t>ORD1426</t>
  </si>
  <si>
    <t>TXN01758</t>
  </si>
  <si>
    <t>CUST1758</t>
  </si>
  <si>
    <t>ORD3572</t>
  </si>
  <si>
    <t>TXN01757</t>
  </si>
  <si>
    <t>CUST1757</t>
  </si>
  <si>
    <t>PROD429</t>
  </si>
  <si>
    <t>ORD7325</t>
  </si>
  <si>
    <t>TXN01756</t>
  </si>
  <si>
    <t>CUST1756</t>
  </si>
  <si>
    <t>PROD333</t>
  </si>
  <si>
    <t>ORD6473</t>
  </si>
  <si>
    <t>TXN01755</t>
  </si>
  <si>
    <t>CUST1755</t>
  </si>
  <si>
    <t>PROD229</t>
  </si>
  <si>
    <t>ORD7735</t>
  </si>
  <si>
    <t>TXN01754</t>
  </si>
  <si>
    <t>CUST1754</t>
  </si>
  <si>
    <t>PROD756</t>
  </si>
  <si>
    <t>ORD2644</t>
  </si>
  <si>
    <t>TXN01753</t>
  </si>
  <si>
    <t>CUST1753</t>
  </si>
  <si>
    <t>ORD2007</t>
  </si>
  <si>
    <t>TXN01752</t>
  </si>
  <si>
    <t>CUST1752</t>
  </si>
  <si>
    <t>PROD905</t>
  </si>
  <si>
    <t>ORD9501</t>
  </si>
  <si>
    <t>TXN01751</t>
  </si>
  <si>
    <t>CUST1751</t>
  </si>
  <si>
    <t>PROD326</t>
  </si>
  <si>
    <t>ORD6306</t>
  </si>
  <si>
    <t>TXN01750</t>
  </si>
  <si>
    <t>CUST1750</t>
  </si>
  <si>
    <t>PROD404</t>
  </si>
  <si>
    <t>TXN01749</t>
  </si>
  <si>
    <t>CUST1749</t>
  </si>
  <si>
    <t>PROD827</t>
  </si>
  <si>
    <t>ORD7638</t>
  </si>
  <si>
    <t>TXN01748</t>
  </si>
  <si>
    <t>CUST1748</t>
  </si>
  <si>
    <t>PROD826</t>
  </si>
  <si>
    <t>ORD7712</t>
  </si>
  <si>
    <t>TXN01747</t>
  </si>
  <si>
    <t>CUST1747</t>
  </si>
  <si>
    <t>PROD935</t>
  </si>
  <si>
    <t>ORD8243</t>
  </si>
  <si>
    <t>TXN01746</t>
  </si>
  <si>
    <t>CUST1746</t>
  </si>
  <si>
    <t>PROD230</t>
  </si>
  <si>
    <t>ORD7143</t>
  </si>
  <si>
    <t>TXN01745</t>
  </si>
  <si>
    <t>CUST1745</t>
  </si>
  <si>
    <t>ORD1977</t>
  </si>
  <si>
    <t>TXN01744</t>
  </si>
  <si>
    <t>CUST1744</t>
  </si>
  <si>
    <t>PROD771</t>
  </si>
  <si>
    <t>ORD5244</t>
  </si>
  <si>
    <t>TXN01743</t>
  </si>
  <si>
    <t>CUST1743</t>
  </si>
  <si>
    <t>PROD660</t>
  </si>
  <si>
    <t>ORD1496</t>
  </si>
  <si>
    <t>TXN01742</t>
  </si>
  <si>
    <t>CUST1742</t>
  </si>
  <si>
    <t>PROD161</t>
  </si>
  <si>
    <t>ORD3128</t>
  </si>
  <si>
    <t>TXN01741</t>
  </si>
  <si>
    <t>CUST1741</t>
  </si>
  <si>
    <t>PROD654</t>
  </si>
  <si>
    <t>ORD8807</t>
  </si>
  <si>
    <t>TXN01740</t>
  </si>
  <si>
    <t>CUST1740</t>
  </si>
  <si>
    <t>PROD883</t>
  </si>
  <si>
    <t>ORD7834</t>
  </si>
  <si>
    <t>TXN01739</t>
  </si>
  <si>
    <t>CUST1739</t>
  </si>
  <si>
    <t>PROD215</t>
  </si>
  <si>
    <t>ORD6460</t>
  </si>
  <si>
    <t>TXN01738</t>
  </si>
  <si>
    <t>CUST1738</t>
  </si>
  <si>
    <t>PROD289</t>
  </si>
  <si>
    <t>ORD6573</t>
  </si>
  <si>
    <t>TXN01737</t>
  </si>
  <si>
    <t>CUST1737</t>
  </si>
  <si>
    <t>PROD331</t>
  </si>
  <si>
    <t>ORD8193</t>
  </si>
  <si>
    <t>TXN01736</t>
  </si>
  <si>
    <t>CUST1736</t>
  </si>
  <si>
    <t>PROD246</t>
  </si>
  <si>
    <t>ORD8140</t>
  </si>
  <si>
    <t>TXN01735</t>
  </si>
  <si>
    <t>CUST1735</t>
  </si>
  <si>
    <t>PROD647</t>
  </si>
  <si>
    <t>ORD5187</t>
  </si>
  <si>
    <t>TXN01734</t>
  </si>
  <si>
    <t>CUST1734</t>
  </si>
  <si>
    <t>PROD211</t>
  </si>
  <si>
    <t>ORD4262</t>
  </si>
  <si>
    <t>TXN01733</t>
  </si>
  <si>
    <t>CUST1733</t>
  </si>
  <si>
    <t>PROD135</t>
  </si>
  <si>
    <t>ORD5063</t>
  </si>
  <si>
    <t>TXN01732</t>
  </si>
  <si>
    <t>CUST1732</t>
  </si>
  <si>
    <t>ORD5894</t>
  </si>
  <si>
    <t>TXN01731</t>
  </si>
  <si>
    <t>CUST1731</t>
  </si>
  <si>
    <t>ORD7089</t>
  </si>
  <si>
    <t>TXN01730</t>
  </si>
  <si>
    <t>CUST1730</t>
  </si>
  <si>
    <t>PROD890</t>
  </si>
  <si>
    <t>ORD2510</t>
  </si>
  <si>
    <t>TXN01729</t>
  </si>
  <si>
    <t>CUST1729</t>
  </si>
  <si>
    <t>PROD158</t>
  </si>
  <si>
    <t>ORD9300</t>
  </si>
  <si>
    <t>TXN01728</t>
  </si>
  <si>
    <t>CUST1728</t>
  </si>
  <si>
    <t>PROD498</t>
  </si>
  <si>
    <t>ORD1718</t>
  </si>
  <si>
    <t>TXN01727</t>
  </si>
  <si>
    <t>CUST1727</t>
  </si>
  <si>
    <t>PROD226</t>
  </si>
  <si>
    <t>ORD9364</t>
  </si>
  <si>
    <t>TXN01726</t>
  </si>
  <si>
    <t>CUST1726</t>
  </si>
  <si>
    <t>PROD506</t>
  </si>
  <si>
    <t>ORD5350</t>
  </si>
  <si>
    <t>TXN01725</t>
  </si>
  <si>
    <t>CUST1725</t>
  </si>
  <si>
    <t>PROD966</t>
  </si>
  <si>
    <t>ORD2768</t>
  </si>
  <si>
    <t>TXN01724</t>
  </si>
  <si>
    <t>CUST1724</t>
  </si>
  <si>
    <t>PROD439</t>
  </si>
  <si>
    <t>ORD1047</t>
  </si>
  <si>
    <t>TXN01723</t>
  </si>
  <si>
    <t>CUST1723</t>
  </si>
  <si>
    <t>ORD4152</t>
  </si>
  <si>
    <t>TXN01722</t>
  </si>
  <si>
    <t>CUST1722</t>
  </si>
  <si>
    <t>PROD838</t>
  </si>
  <si>
    <t>ORD4134</t>
  </si>
  <si>
    <t>TXN01721</t>
  </si>
  <si>
    <t>CUST1721</t>
  </si>
  <si>
    <t>ORD1341</t>
  </si>
  <si>
    <t>TXN01720</t>
  </si>
  <si>
    <t>CUST1720</t>
  </si>
  <si>
    <t>PROD679</t>
  </si>
  <si>
    <t>ORD6162</t>
  </si>
  <si>
    <t>TXN01719</t>
  </si>
  <si>
    <t>CUST1719</t>
  </si>
  <si>
    <t>PROD466</t>
  </si>
  <si>
    <t>ORD7253</t>
  </si>
  <si>
    <t>TXN01718</t>
  </si>
  <si>
    <t>CUST1718</t>
  </si>
  <si>
    <t>PROD337</t>
  </si>
  <si>
    <t>ORD2626</t>
  </si>
  <si>
    <t>TXN01717</t>
  </si>
  <si>
    <t>CUST1717</t>
  </si>
  <si>
    <t>PROD436</t>
  </si>
  <si>
    <t>ORD8484</t>
  </si>
  <si>
    <t>TXN01716</t>
  </si>
  <si>
    <t>CUST1716</t>
  </si>
  <si>
    <t>PROD986</t>
  </si>
  <si>
    <t>ORD2716</t>
  </si>
  <si>
    <t>TXN01715</t>
  </si>
  <si>
    <t>CUST1715</t>
  </si>
  <si>
    <t>ORD6265</t>
  </si>
  <si>
    <t>TXN01714</t>
  </si>
  <si>
    <t>CUST1714</t>
  </si>
  <si>
    <t>PROD511</t>
  </si>
  <si>
    <t>ORD6187</t>
  </si>
  <si>
    <t>TXN01713</t>
  </si>
  <si>
    <t>CUST1713</t>
  </si>
  <si>
    <t>ORD8248</t>
  </si>
  <si>
    <t>TXN01712</t>
  </si>
  <si>
    <t>CUST1712</t>
  </si>
  <si>
    <t>PROD741</t>
  </si>
  <si>
    <t>ORD5833</t>
  </si>
  <si>
    <t>TXN01711</t>
  </si>
  <si>
    <t>CUST1711</t>
  </si>
  <si>
    <t>ORD4500</t>
  </si>
  <si>
    <t>TXN01710</t>
  </si>
  <si>
    <t>CUST1710</t>
  </si>
  <si>
    <t>PROD258</t>
  </si>
  <si>
    <t>ORD5800</t>
  </si>
  <si>
    <t>TXN01709</t>
  </si>
  <si>
    <t>CUST1709</t>
  </si>
  <si>
    <t>PROD585</t>
  </si>
  <si>
    <t>ORD9693</t>
  </si>
  <si>
    <t>TXN01708</t>
  </si>
  <si>
    <t>CUST1708</t>
  </si>
  <si>
    <t>PROD852</t>
  </si>
  <si>
    <t>ORD4282</t>
  </si>
  <si>
    <t>TXN01707</t>
  </si>
  <si>
    <t>CUST1707</t>
  </si>
  <si>
    <t>PROD256</t>
  </si>
  <si>
    <t>ORD1824</t>
  </si>
  <si>
    <t>TXN01706</t>
  </si>
  <si>
    <t>CUST1706</t>
  </si>
  <si>
    <t>PROD925</t>
  </si>
  <si>
    <t>ORD3291</t>
  </si>
  <si>
    <t>TXN01705</t>
  </si>
  <si>
    <t>CUST1705</t>
  </si>
  <si>
    <t>PROD517</t>
  </si>
  <si>
    <t>ORD3178</t>
  </si>
  <si>
    <t>TXN01704</t>
  </si>
  <si>
    <t>CUST1704</t>
  </si>
  <si>
    <t>ORD8860</t>
  </si>
  <si>
    <t>TXN01703</t>
  </si>
  <si>
    <t>CUST1703</t>
  </si>
  <si>
    <t>PROD245</t>
  </si>
  <si>
    <t>ORD3039</t>
  </si>
  <si>
    <t>TXN01702</t>
  </si>
  <si>
    <t>CUST1702</t>
  </si>
  <si>
    <t>PROD169</t>
  </si>
  <si>
    <t>ORD3630</t>
  </si>
  <si>
    <t>TXN01701</t>
  </si>
  <si>
    <t>CUST1701</t>
  </si>
  <si>
    <t>ORD4226</t>
  </si>
  <si>
    <t>TXN01700</t>
  </si>
  <si>
    <t>CUST1700</t>
  </si>
  <si>
    <t>PROD751</t>
  </si>
  <si>
    <t>ORD4471</t>
  </si>
  <si>
    <t>TXN01699</t>
  </si>
  <si>
    <t>CUST1699</t>
  </si>
  <si>
    <t>ORD3158</t>
  </si>
  <si>
    <t>TXN01698</t>
  </si>
  <si>
    <t>CUST1698</t>
  </si>
  <si>
    <t>ORD3652</t>
  </si>
  <si>
    <t>TXN01697</t>
  </si>
  <si>
    <t>CUST1697</t>
  </si>
  <si>
    <t>PROD710</t>
  </si>
  <si>
    <t>ORD7266</t>
  </si>
  <si>
    <t>TXN01696</t>
  </si>
  <si>
    <t>CUST1696</t>
  </si>
  <si>
    <t>PROD805</t>
  </si>
  <si>
    <t>ORD6501</t>
  </si>
  <si>
    <t>TXN01695</t>
  </si>
  <si>
    <t>CUST1695</t>
  </si>
  <si>
    <t>PROD332</t>
  </si>
  <si>
    <t>TXN01694</t>
  </si>
  <si>
    <t>CUST1694</t>
  </si>
  <si>
    <t>PROD597</t>
  </si>
  <si>
    <t>ORD4785</t>
  </si>
  <si>
    <t>TXN01693</t>
  </si>
  <si>
    <t>CUST1693</t>
  </si>
  <si>
    <t>PROD651</t>
  </si>
  <si>
    <t>ORD4399</t>
  </si>
  <si>
    <t>TXN01692</t>
  </si>
  <si>
    <t>CUST1692</t>
  </si>
  <si>
    <t>PROD627</t>
  </si>
  <si>
    <t>ORD1138</t>
  </si>
  <si>
    <t>TXN01691</t>
  </si>
  <si>
    <t>CUST1691</t>
  </si>
  <si>
    <t>ORD3597</t>
  </si>
  <si>
    <t>TXN01690</t>
  </si>
  <si>
    <t>CUST1690</t>
  </si>
  <si>
    <t>PROD936</t>
  </si>
  <si>
    <t>ORD7747</t>
  </si>
  <si>
    <t>TXN01689</t>
  </si>
  <si>
    <t>CUST1689</t>
  </si>
  <si>
    <t>ORD8640</t>
  </si>
  <si>
    <t>TXN01688</t>
  </si>
  <si>
    <t>CUST1688</t>
  </si>
  <si>
    <t>PROD212</t>
  </si>
  <si>
    <t>ORD2947</t>
  </si>
  <si>
    <t>TXN01687</t>
  </si>
  <si>
    <t>CUST1687</t>
  </si>
  <si>
    <t>PROD402</t>
  </si>
  <si>
    <t>ORD3438</t>
  </si>
  <si>
    <t>TXN01686</t>
  </si>
  <si>
    <t>CUST1686</t>
  </si>
  <si>
    <t>PROD504</t>
  </si>
  <si>
    <t>ORD7026</t>
  </si>
  <si>
    <t>TXN01685</t>
  </si>
  <si>
    <t>CUST1685</t>
  </si>
  <si>
    <t>PROD681</t>
  </si>
  <si>
    <t>ORD4162</t>
  </si>
  <si>
    <t>TXN01684</t>
  </si>
  <si>
    <t>CUST1684</t>
  </si>
  <si>
    <t>PROD291</t>
  </si>
  <si>
    <t>ORD4444</t>
  </si>
  <si>
    <t>TXN01683</t>
  </si>
  <si>
    <t>CUST1683</t>
  </si>
  <si>
    <t>PROD831</t>
  </si>
  <si>
    <t>ORD4397</t>
  </si>
  <si>
    <t>TXN01682</t>
  </si>
  <si>
    <t>CUST1682</t>
  </si>
  <si>
    <t>PROD642</t>
  </si>
  <si>
    <t>ORD6001</t>
  </si>
  <si>
    <t>TXN01681</t>
  </si>
  <si>
    <t>CUST1681</t>
  </si>
  <si>
    <t>ORD5152</t>
  </si>
  <si>
    <t>TXN01680</t>
  </si>
  <si>
    <t>CUST1680</t>
  </si>
  <si>
    <t>PROD778</t>
  </si>
  <si>
    <t>ORD6622</t>
  </si>
  <si>
    <t>TXN01679</t>
  </si>
  <si>
    <t>CUST1679</t>
  </si>
  <si>
    <t>ORD8312</t>
  </si>
  <si>
    <t>TXN01678</t>
  </si>
  <si>
    <t>CUST1678</t>
  </si>
  <si>
    <t>PROD223</t>
  </si>
  <si>
    <t>ORD4959</t>
  </si>
  <si>
    <t>TXN01677</t>
  </si>
  <si>
    <t>CUST1677</t>
  </si>
  <si>
    <t>PROD137</t>
  </si>
  <si>
    <t>ORD6512</t>
  </si>
  <si>
    <t>TXN01676</t>
  </si>
  <si>
    <t>CUST1676</t>
  </si>
  <si>
    <t>PROD922</t>
  </si>
  <si>
    <t>ORD8019</t>
  </si>
  <si>
    <t>TXN01675</t>
  </si>
  <si>
    <t>CUST1675</t>
  </si>
  <si>
    <t>ORD9279</t>
  </si>
  <si>
    <t>TXN01674</t>
  </si>
  <si>
    <t>CUST1674</t>
  </si>
  <si>
    <t>PROD554</t>
  </si>
  <si>
    <t>ORD6344</t>
  </si>
  <si>
    <t>TXN01673</t>
  </si>
  <si>
    <t>CUST1673</t>
  </si>
  <si>
    <t>ORD5432</t>
  </si>
  <si>
    <t>TXN01672</t>
  </si>
  <si>
    <t>CUST1672</t>
  </si>
  <si>
    <t>PROD359</t>
  </si>
  <si>
    <t>ORD1178</t>
  </si>
  <si>
    <t>TXN01671</t>
  </si>
  <si>
    <t>CUST1671</t>
  </si>
  <si>
    <t>PROD390</t>
  </si>
  <si>
    <t>ORD2781</t>
  </si>
  <si>
    <t>TXN01670</t>
  </si>
  <si>
    <t>CUST1670</t>
  </si>
  <si>
    <t>ORD1579</t>
  </si>
  <si>
    <t>TXN01669</t>
  </si>
  <si>
    <t>CUST1669</t>
  </si>
  <si>
    <t>PROD168</t>
  </si>
  <si>
    <t>ORD6738</t>
  </si>
  <si>
    <t>TXN01668</t>
  </si>
  <si>
    <t>CUST1668</t>
  </si>
  <si>
    <t>PROD369</t>
  </si>
  <si>
    <t>ORD6014</t>
  </si>
  <si>
    <t>TXN01667</t>
  </si>
  <si>
    <t>CUST1667</t>
  </si>
  <si>
    <t>ORD6130</t>
  </si>
  <si>
    <t>TXN01666</t>
  </si>
  <si>
    <t>CUST1666</t>
  </si>
  <si>
    <t>PROD770</t>
  </si>
  <si>
    <t>ORD5691</t>
  </si>
  <si>
    <t>TXN01665</t>
  </si>
  <si>
    <t>CUST1665</t>
  </si>
  <si>
    <t>ORD3978</t>
  </si>
  <si>
    <t>TXN01664</t>
  </si>
  <si>
    <t>CUST1664</t>
  </si>
  <si>
    <t>PROD603</t>
  </si>
  <si>
    <t>ORD6906</t>
  </si>
  <si>
    <t>TXN01663</t>
  </si>
  <si>
    <t>CUST1663</t>
  </si>
  <si>
    <t>PROD701</t>
  </si>
  <si>
    <t>ORD5946</t>
  </si>
  <si>
    <t>TXN01662</t>
  </si>
  <si>
    <t>CUST1662</t>
  </si>
  <si>
    <t>PROD563</t>
  </si>
  <si>
    <t>ORD4784</t>
  </si>
  <si>
    <t>TXN01661</t>
  </si>
  <si>
    <t>CUST1661</t>
  </si>
  <si>
    <t>PROD734</t>
  </si>
  <si>
    <t>ORD8368</t>
  </si>
  <si>
    <t>TXN01660</t>
  </si>
  <si>
    <t>CUST1660</t>
  </si>
  <si>
    <t>PROD491</t>
  </si>
  <si>
    <t>ORD6732</t>
  </si>
  <si>
    <t>TXN01659</t>
  </si>
  <si>
    <t>CUST1659</t>
  </si>
  <si>
    <t>PROD798</t>
  </si>
  <si>
    <t>ORD1944</t>
  </si>
  <si>
    <t>TXN01658</t>
  </si>
  <si>
    <t>CUST1658</t>
  </si>
  <si>
    <t>ORD5840</t>
  </si>
  <si>
    <t>TXN01657</t>
  </si>
  <si>
    <t>CUST1657</t>
  </si>
  <si>
    <t>ORD2668</t>
  </si>
  <si>
    <t>TXN01656</t>
  </si>
  <si>
    <t>CUST1656</t>
  </si>
  <si>
    <t>ORD6865</t>
  </si>
  <si>
    <t>TXN01655</t>
  </si>
  <si>
    <t>CUST1655</t>
  </si>
  <si>
    <t>PROD305</t>
  </si>
  <si>
    <t>ORD4128</t>
  </si>
  <si>
    <t>TXN01654</t>
  </si>
  <si>
    <t>CUST1654</t>
  </si>
  <si>
    <t>PROD530</t>
  </si>
  <si>
    <t>ORD3184</t>
  </si>
  <si>
    <t>TXN01653</t>
  </si>
  <si>
    <t>CUST1653</t>
  </si>
  <si>
    <t>ORD6234</t>
  </si>
  <si>
    <t>TXN01652</t>
  </si>
  <si>
    <t>CUST1652</t>
  </si>
  <si>
    <t>ORD8976</t>
  </si>
  <si>
    <t>TXN01651</t>
  </si>
  <si>
    <t>CUST1651</t>
  </si>
  <si>
    <t>PROD549</t>
  </si>
  <si>
    <t>ORD6376</t>
  </si>
  <si>
    <t>TXN01650</t>
  </si>
  <si>
    <t>CUST1650</t>
  </si>
  <si>
    <t>ORD9023</t>
  </si>
  <si>
    <t>TXN01649</t>
  </si>
  <si>
    <t>CUST1649</t>
  </si>
  <si>
    <t>PROD125</t>
  </si>
  <si>
    <t>ORD3258</t>
  </si>
  <si>
    <t>TXN01648</t>
  </si>
  <si>
    <t>CUST1648</t>
  </si>
  <si>
    <t>PROD206</t>
  </si>
  <si>
    <t>ORD8058</t>
  </si>
  <si>
    <t>TXN01647</t>
  </si>
  <si>
    <t>CUST1647</t>
  </si>
  <si>
    <t>ORD3239</t>
  </si>
  <si>
    <t>TXN01646</t>
  </si>
  <si>
    <t>CUST1646</t>
  </si>
  <si>
    <t>PROD171</t>
  </si>
  <si>
    <t>ORD5454</t>
  </si>
  <si>
    <t>TXN01645</t>
  </si>
  <si>
    <t>CUST1645</t>
  </si>
  <si>
    <t>PROD178</t>
  </si>
  <si>
    <t>ORD5280</t>
  </si>
  <si>
    <t>TXN01644</t>
  </si>
  <si>
    <t>CUST1644</t>
  </si>
  <si>
    <t>PROD330</t>
  </si>
  <si>
    <t>ORD4362</t>
  </si>
  <si>
    <t>TXN01643</t>
  </si>
  <si>
    <t>CUST1643</t>
  </si>
  <si>
    <t>PROD533</t>
  </si>
  <si>
    <t>ORD8201</t>
  </si>
  <si>
    <t>TXN01642</t>
  </si>
  <si>
    <t>CUST1642</t>
  </si>
  <si>
    <t>PROD692</t>
  </si>
  <si>
    <t>ORD7420</t>
  </si>
  <si>
    <t>TXN01641</t>
  </si>
  <si>
    <t>CUST1641</t>
  </si>
  <si>
    <t>PROD946</t>
  </si>
  <si>
    <t>ORD4295</t>
  </si>
  <si>
    <t>TXN01640</t>
  </si>
  <si>
    <t>CUST1640</t>
  </si>
  <si>
    <t>PROD988</t>
  </si>
  <si>
    <t>ORD1456</t>
  </si>
  <si>
    <t>TXN01639</t>
  </si>
  <si>
    <t>CUST1639</t>
  </si>
  <si>
    <t>PROD173</t>
  </si>
  <si>
    <t>ORD8933</t>
  </si>
  <si>
    <t>TXN01638</t>
  </si>
  <si>
    <t>CUST1638</t>
  </si>
  <si>
    <t>TXN01637</t>
  </si>
  <si>
    <t>CUST1637</t>
  </si>
  <si>
    <t>PROD234</t>
  </si>
  <si>
    <t>ORD2034</t>
  </si>
  <si>
    <t>TXN01636</t>
  </si>
  <si>
    <t>CUST1636</t>
  </si>
  <si>
    <t>ORD1354</t>
  </si>
  <si>
    <t>TXN01635</t>
  </si>
  <si>
    <t>CUST1635</t>
  </si>
  <si>
    <t>PROD320</t>
  </si>
  <si>
    <t>ORD8173</t>
  </si>
  <si>
    <t>TXN01634</t>
  </si>
  <si>
    <t>CUST1634</t>
  </si>
  <si>
    <t>PROD325</t>
  </si>
  <si>
    <t>ORD3760</t>
  </si>
  <si>
    <t>TXN01633</t>
  </si>
  <si>
    <t>CUST1633</t>
  </si>
  <si>
    <t>ORD9525</t>
  </si>
  <si>
    <t>TXN01632</t>
  </si>
  <si>
    <t>CUST1632</t>
  </si>
  <si>
    <t>PROD284</t>
  </si>
  <si>
    <t>ORD3203</t>
  </si>
  <si>
    <t>TXN01631</t>
  </si>
  <si>
    <t>CUST1631</t>
  </si>
  <si>
    <t>PROD221</t>
  </si>
  <si>
    <t>TXN01630</t>
  </si>
  <si>
    <t>CUST1630</t>
  </si>
  <si>
    <t>PROD621</t>
  </si>
  <si>
    <t>ORD2794</t>
  </si>
  <si>
    <t>TXN01629</t>
  </si>
  <si>
    <t>CUST1629</t>
  </si>
  <si>
    <t>PROD184</t>
  </si>
  <si>
    <t>ORD7802</t>
  </si>
  <si>
    <t>TXN01628</t>
  </si>
  <si>
    <t>CUST1628</t>
  </si>
  <si>
    <t>PROD885</t>
  </si>
  <si>
    <t>ORD3987</t>
  </si>
  <si>
    <t>TXN01627</t>
  </si>
  <si>
    <t>CUST1627</t>
  </si>
  <si>
    <t>PROD879</t>
  </si>
  <si>
    <t>ORD5298</t>
  </si>
  <si>
    <t>TXN01626</t>
  </si>
  <si>
    <t>CUST1626</t>
  </si>
  <si>
    <t>PROD850</t>
  </si>
  <si>
    <t>ORD9179</t>
  </si>
  <si>
    <t>TXN01625</t>
  </si>
  <si>
    <t>CUST1625</t>
  </si>
  <si>
    <t>PROD876</t>
  </si>
  <si>
    <t>ORD7594</t>
  </si>
  <si>
    <t>TXN01624</t>
  </si>
  <si>
    <t>CUST1624</t>
  </si>
  <si>
    <t>ORD1378</t>
  </si>
  <si>
    <t>TXN01623</t>
  </si>
  <si>
    <t>CUST1623</t>
  </si>
  <si>
    <t>PROD636</t>
  </si>
  <si>
    <t>ORD3455</t>
  </si>
  <si>
    <t>TXN01622</t>
  </si>
  <si>
    <t>CUST1622</t>
  </si>
  <si>
    <t>PROD452</t>
  </si>
  <si>
    <t>ORD4777</t>
  </si>
  <si>
    <t>TXN01621</t>
  </si>
  <si>
    <t>CUST1621</t>
  </si>
  <si>
    <t>PROD880</t>
  </si>
  <si>
    <t>ORD6643</t>
  </si>
  <si>
    <t>TXN01620</t>
  </si>
  <si>
    <t>CUST1620</t>
  </si>
  <si>
    <t>PROD139</t>
  </si>
  <si>
    <t>ORD6735</t>
  </si>
  <si>
    <t>TXN01619</t>
  </si>
  <si>
    <t>CUST1619</t>
  </si>
  <si>
    <t>ORD2592</t>
  </si>
  <si>
    <t>TXN01618</t>
  </si>
  <si>
    <t>CUST1618</t>
  </si>
  <si>
    <t>ORD4734</t>
  </si>
  <si>
    <t>TXN01617</t>
  </si>
  <si>
    <t>CUST1617</t>
  </si>
  <si>
    <t>PROD918</t>
  </si>
  <si>
    <t>ORD4486</t>
  </si>
  <si>
    <t>TXN01616</t>
  </si>
  <si>
    <t>CUST1616</t>
  </si>
  <si>
    <t>PROD479</t>
  </si>
  <si>
    <t>ORD2328</t>
  </si>
  <si>
    <t>TXN01615</t>
  </si>
  <si>
    <t>CUST1615</t>
  </si>
  <si>
    <t>PROD394</t>
  </si>
  <si>
    <t>TXN01614</t>
  </si>
  <si>
    <t>CUST1614</t>
  </si>
  <si>
    <t>ORD2188</t>
  </si>
  <si>
    <t>TXN01613</t>
  </si>
  <si>
    <t>CUST1613</t>
  </si>
  <si>
    <t>PROD818</t>
  </si>
  <si>
    <t>ORD8635</t>
  </si>
  <si>
    <t>TXN01612</t>
  </si>
  <si>
    <t>CUST1612</t>
  </si>
  <si>
    <t>PROD696</t>
  </si>
  <si>
    <t>ORD8680</t>
  </si>
  <si>
    <t>TXN01611</t>
  </si>
  <si>
    <t>CUST1611</t>
  </si>
  <si>
    <t>PROD846</t>
  </si>
  <si>
    <t>ORD7857</t>
  </si>
  <si>
    <t>TXN01610</t>
  </si>
  <si>
    <t>CUST1610</t>
  </si>
  <si>
    <t>ORD4947</t>
  </si>
  <si>
    <t>TXN01609</t>
  </si>
  <si>
    <t>CUST1609</t>
  </si>
  <si>
    <t>PROD926</t>
  </si>
  <si>
    <t>TXN01608</t>
  </si>
  <si>
    <t>CUST1608</t>
  </si>
  <si>
    <t>PROD666</t>
  </si>
  <si>
    <t>ORD4153</t>
  </si>
  <si>
    <t>TXN01607</t>
  </si>
  <si>
    <t>CUST1607</t>
  </si>
  <si>
    <t>ORD3817</t>
  </si>
  <si>
    <t>TXN01606</t>
  </si>
  <si>
    <t>CUST1606</t>
  </si>
  <si>
    <t>PROD352</t>
  </si>
  <si>
    <t>TXN01605</t>
  </si>
  <si>
    <t>CUST1605</t>
  </si>
  <si>
    <t>PROD115</t>
  </si>
  <si>
    <t>ORD5760</t>
  </si>
  <si>
    <t>TXN01604</t>
  </si>
  <si>
    <t>CUST1604</t>
  </si>
  <si>
    <t>PROD742</t>
  </si>
  <si>
    <t>ORD4081</t>
  </si>
  <si>
    <t>TXN01603</t>
  </si>
  <si>
    <t>CUST1603</t>
  </si>
  <si>
    <t>ORD7590</t>
  </si>
  <si>
    <t>TXN01602</t>
  </si>
  <si>
    <t>CUST1602</t>
  </si>
  <si>
    <t>ORD8747</t>
  </si>
  <si>
    <t>TXN01601</t>
  </si>
  <si>
    <t>CUST1601</t>
  </si>
  <si>
    <t>ORD1114</t>
  </si>
  <si>
    <t>TXN01600</t>
  </si>
  <si>
    <t>CUST1600</t>
  </si>
  <si>
    <t>PROD848</t>
  </si>
  <si>
    <t>ORD9455</t>
  </si>
  <si>
    <t>TXN01599</t>
  </si>
  <si>
    <t>CUST1599</t>
  </si>
  <si>
    <t>ORD6506</t>
  </si>
  <si>
    <t>TXN01598</t>
  </si>
  <si>
    <t>CUST1598</t>
  </si>
  <si>
    <t>PROD841</t>
  </si>
  <si>
    <t>ORD7142</t>
  </si>
  <si>
    <t>TXN01597</t>
  </si>
  <si>
    <t>CUST1597</t>
  </si>
  <si>
    <t>PROD220</t>
  </si>
  <si>
    <t>ORD4518</t>
  </si>
  <si>
    <t>TXN01596</t>
  </si>
  <si>
    <t>CUST1596</t>
  </si>
  <si>
    <t>PROD738</t>
  </si>
  <si>
    <t>ORD6276</t>
  </si>
  <si>
    <t>TXN01595</t>
  </si>
  <si>
    <t>CUST1595</t>
  </si>
  <si>
    <t>PROD481</t>
  </si>
  <si>
    <t>ORD9864</t>
  </si>
  <si>
    <t>TXN01594</t>
  </si>
  <si>
    <t>CUST1594</t>
  </si>
  <si>
    <t>ORD9253</t>
  </si>
  <si>
    <t>TXN01593</t>
  </si>
  <si>
    <t>CUST1593</t>
  </si>
  <si>
    <t>ORD5826</t>
  </si>
  <si>
    <t>TXN01592</t>
  </si>
  <si>
    <t>CUST1592</t>
  </si>
  <si>
    <t>PROD832</t>
  </si>
  <si>
    <t>ORD3905</t>
  </si>
  <si>
    <t>TXN01591</t>
  </si>
  <si>
    <t>CUST1591</t>
  </si>
  <si>
    <t>PROD888</t>
  </si>
  <si>
    <t>ORD9817</t>
  </si>
  <si>
    <t>TXN01590</t>
  </si>
  <si>
    <t>CUST1590</t>
  </si>
  <si>
    <t>PROD608</t>
  </si>
  <si>
    <t>ORD7932</t>
  </si>
  <si>
    <t>TXN01589</t>
  </si>
  <si>
    <t>CUST1589</t>
  </si>
  <si>
    <t>PROD426</t>
  </si>
  <si>
    <t>ORD1168</t>
  </si>
  <si>
    <t>TXN01588</t>
  </si>
  <si>
    <t>CUST1588</t>
  </si>
  <si>
    <t>PROD795</t>
  </si>
  <si>
    <t>ORD6461</t>
  </si>
  <si>
    <t>TXN01587</t>
  </si>
  <si>
    <t>CUST1587</t>
  </si>
  <si>
    <t>PROD981</t>
  </si>
  <si>
    <t>ORD1200</t>
  </si>
  <si>
    <t>TXN01586</t>
  </si>
  <si>
    <t>CUST1586</t>
  </si>
  <si>
    <t>PROD567</t>
  </si>
  <si>
    <t>ORD5141</t>
  </si>
  <si>
    <t>TXN01585</t>
  </si>
  <si>
    <t>CUST1585</t>
  </si>
  <si>
    <t>PROD816</t>
  </si>
  <si>
    <t>ORD6905</t>
  </si>
  <si>
    <t>TXN01584</t>
  </si>
  <si>
    <t>CUST1584</t>
  </si>
  <si>
    <t>PROD995</t>
  </si>
  <si>
    <t>ORD5837</t>
  </si>
  <si>
    <t>TXN01583</t>
  </si>
  <si>
    <t>CUST1583</t>
  </si>
  <si>
    <t>ORD4609</t>
  </si>
  <si>
    <t>TXN01582</t>
  </si>
  <si>
    <t>CUST1582</t>
  </si>
  <si>
    <t>PROD728</t>
  </si>
  <si>
    <t>ORD5992</t>
  </si>
  <si>
    <t>TXN01581</t>
  </si>
  <si>
    <t>CUST1581</t>
  </si>
  <si>
    <t>ORD3461</t>
  </si>
  <si>
    <t>TXN01580</t>
  </si>
  <si>
    <t>CUST1580</t>
  </si>
  <si>
    <t>ORD7275</t>
  </si>
  <si>
    <t>TXN01579</t>
  </si>
  <si>
    <t>CUST1579</t>
  </si>
  <si>
    <t>PROD662</t>
  </si>
  <si>
    <t>ORD9956</t>
  </si>
  <si>
    <t>TXN01578</t>
  </si>
  <si>
    <t>CUST1578</t>
  </si>
  <si>
    <t>PROD665</t>
  </si>
  <si>
    <t>ORD6110</t>
  </si>
  <si>
    <t>TXN01577</t>
  </si>
  <si>
    <t>CUST1577</t>
  </si>
  <si>
    <t>PROD159</t>
  </si>
  <si>
    <t>ORD7760</t>
  </si>
  <si>
    <t>TXN01576</t>
  </si>
  <si>
    <t>CUST1576</t>
  </si>
  <si>
    <t>PROD715</t>
  </si>
  <si>
    <t>ORD7407</t>
  </si>
  <si>
    <t>TXN01575</t>
  </si>
  <si>
    <t>CUST1575</t>
  </si>
  <si>
    <t>PROD829</t>
  </si>
  <si>
    <t>ORD2436</t>
  </si>
  <si>
    <t>TXN01574</t>
  </si>
  <si>
    <t>CUST1574</t>
  </si>
  <si>
    <t>ORD6668</t>
  </si>
  <si>
    <t>TXN01573</t>
  </si>
  <si>
    <t>CUST1573</t>
  </si>
  <si>
    <t>PROD149</t>
  </si>
  <si>
    <t>ORD3312</t>
  </si>
  <si>
    <t>TXN01572</t>
  </si>
  <si>
    <t>CUST1572</t>
  </si>
  <si>
    <t>ORD5935</t>
  </si>
  <si>
    <t>TXN01571</t>
  </si>
  <si>
    <t>CUST1571</t>
  </si>
  <si>
    <t>PROD812</t>
  </si>
  <si>
    <t>ORD3204</t>
  </si>
  <si>
    <t>TXN01570</t>
  </si>
  <si>
    <t>CUST1570</t>
  </si>
  <si>
    <t>PROD240</t>
  </si>
  <si>
    <t>ORD8308</t>
  </si>
  <si>
    <t>TXN01569</t>
  </si>
  <si>
    <t>CUST1569</t>
  </si>
  <si>
    <t>PROD867</t>
  </si>
  <si>
    <t>ORD6618</t>
  </si>
  <si>
    <t>TXN01568</t>
  </si>
  <si>
    <t>CUST1568</t>
  </si>
  <si>
    <t>PROD344</t>
  </si>
  <si>
    <t>ORD4382</t>
  </si>
  <si>
    <t>TXN01567</t>
  </si>
  <si>
    <t>CUST1567</t>
  </si>
  <si>
    <t>PROD401</t>
  </si>
  <si>
    <t>ORD1965</t>
  </si>
  <si>
    <t>TXN01566</t>
  </si>
  <si>
    <t>CUST1566</t>
  </si>
  <si>
    <t>ORD4641</t>
  </si>
  <si>
    <t>TXN01565</t>
  </si>
  <si>
    <t>CUST1565</t>
  </si>
  <si>
    <t>PROD167</t>
  </si>
  <si>
    <t>ORD5563</t>
  </si>
  <si>
    <t>TXN01564</t>
  </si>
  <si>
    <t>CUST1564</t>
  </si>
  <si>
    <t>PROD763</t>
  </si>
  <si>
    <t>ORD7460</t>
  </si>
  <si>
    <t>TXN01563</t>
  </si>
  <si>
    <t>CUST1563</t>
  </si>
  <si>
    <t>PROD272</t>
  </si>
  <si>
    <t>ORD4054</t>
  </si>
  <si>
    <t>TXN01562</t>
  </si>
  <si>
    <t>CUST1562</t>
  </si>
  <si>
    <t>ORD7321</t>
  </si>
  <si>
    <t>TXN01561</t>
  </si>
  <si>
    <t>CUST1561</t>
  </si>
  <si>
    <t>ORD7992</t>
  </si>
  <si>
    <t>TXN01560</t>
  </si>
  <si>
    <t>CUST1560</t>
  </si>
  <si>
    <t>PROD255</t>
  </si>
  <si>
    <t>ORD8654</t>
  </si>
  <si>
    <t>TXN01559</t>
  </si>
  <si>
    <t>CUST1559</t>
  </si>
  <si>
    <t>PROD668</t>
  </si>
  <si>
    <t>ORD3269</t>
  </si>
  <si>
    <t>TXN01558</t>
  </si>
  <si>
    <t>CUST1558</t>
  </si>
  <si>
    <t>ORD7141</t>
  </si>
  <si>
    <t>TXN01557</t>
  </si>
  <si>
    <t>CUST1557</t>
  </si>
  <si>
    <t>ORD3167</t>
  </si>
  <si>
    <t>TXN01556</t>
  </si>
  <si>
    <t>CUST1556</t>
  </si>
  <si>
    <t>PROD590</t>
  </si>
  <si>
    <t>ORD5748</t>
  </si>
  <si>
    <t>TXN01555</t>
  </si>
  <si>
    <t>CUST1555</t>
  </si>
  <si>
    <t>TXN01554</t>
  </si>
  <si>
    <t>CUST1554</t>
  </si>
  <si>
    <t>ORD6481</t>
  </si>
  <si>
    <t>TXN01553</t>
  </si>
  <si>
    <t>CUST1553</t>
  </si>
  <si>
    <t>ORD4821</t>
  </si>
  <si>
    <t>TXN01552</t>
  </si>
  <si>
    <t>CUST1552</t>
  </si>
  <si>
    <t>PROD399</t>
  </si>
  <si>
    <t>ORD4690</t>
  </si>
  <si>
    <t>TXN01551</t>
  </si>
  <si>
    <t>CUST1551</t>
  </si>
  <si>
    <t>PROD157</t>
  </si>
  <si>
    <t>ORD5093</t>
  </si>
  <si>
    <t>TXN01550</t>
  </si>
  <si>
    <t>CUST1550</t>
  </si>
  <si>
    <t>ORD4942</t>
  </si>
  <si>
    <t>TXN01549</t>
  </si>
  <si>
    <t>CUST1549</t>
  </si>
  <si>
    <t>ORD7838</t>
  </si>
  <si>
    <t>TXN01548</t>
  </si>
  <si>
    <t>CUST1548</t>
  </si>
  <si>
    <t>PROD427</t>
  </si>
  <si>
    <t>ORD3692</t>
  </si>
  <si>
    <t>TXN01547</t>
  </si>
  <si>
    <t>CUST1547</t>
  </si>
  <si>
    <t>PROD297</t>
  </si>
  <si>
    <t>ORD8969</t>
  </si>
  <si>
    <t>TXN01546</t>
  </si>
  <si>
    <t>CUST1546</t>
  </si>
  <si>
    <t>PROD314</t>
  </si>
  <si>
    <t>ORD4822</t>
  </si>
  <si>
    <t>TXN01545</t>
  </si>
  <si>
    <t>CUST1545</t>
  </si>
  <si>
    <t>PROD787</t>
  </si>
  <si>
    <t>ORD3645</t>
  </si>
  <si>
    <t>TXN01544</t>
  </si>
  <si>
    <t>CUST1544</t>
  </si>
  <si>
    <t>ORD4076</t>
  </si>
  <si>
    <t>TXN01543</t>
  </si>
  <si>
    <t>CUST1543</t>
  </si>
  <si>
    <t>PROD469</t>
  </si>
  <si>
    <t>ORD4068</t>
  </si>
  <si>
    <t>TXN01542</t>
  </si>
  <si>
    <t>CUST1542</t>
  </si>
  <si>
    <t>PROD420</t>
  </si>
  <si>
    <t>ORD6175</t>
  </si>
  <si>
    <t>TXN01541</t>
  </si>
  <si>
    <t>CUST1541</t>
  </si>
  <si>
    <t>PROD823</t>
  </si>
  <si>
    <t>ORD7216</t>
  </si>
  <si>
    <t>TXN01540</t>
  </si>
  <si>
    <t>CUST1540</t>
  </si>
  <si>
    <t>PROD878</t>
  </si>
  <si>
    <t>ORD1658</t>
  </si>
  <si>
    <t>TXN01539</t>
  </si>
  <si>
    <t>CUST1539</t>
  </si>
  <si>
    <t>ORD4009</t>
  </si>
  <si>
    <t>TXN01538</t>
  </si>
  <si>
    <t>CUST1538</t>
  </si>
  <si>
    <t>PROD855</t>
  </si>
  <si>
    <t>ORD6548</t>
  </si>
  <si>
    <t>TXN01537</t>
  </si>
  <si>
    <t>CUST1537</t>
  </si>
  <si>
    <t>PROD623</t>
  </si>
  <si>
    <t>ORD6601</t>
  </si>
  <si>
    <t>TXN01536</t>
  </si>
  <si>
    <t>CUST1536</t>
  </si>
  <si>
    <t>ORD3259</t>
  </si>
  <si>
    <t>TXN01535</t>
  </si>
  <si>
    <t>CUST1535</t>
  </si>
  <si>
    <t>ORD2603</t>
  </si>
  <si>
    <t>TXN01534</t>
  </si>
  <si>
    <t>CUST1534</t>
  </si>
  <si>
    <t>PROD811</t>
  </si>
  <si>
    <t>ORD3970</t>
  </si>
  <si>
    <t>TXN01533</t>
  </si>
  <si>
    <t>CUST1533</t>
  </si>
  <si>
    <t>PROD467</t>
  </si>
  <si>
    <t>ORD1888</t>
  </si>
  <si>
    <t>TXN01532</t>
  </si>
  <si>
    <t>CUST1532</t>
  </si>
  <si>
    <t>ORD9840</t>
  </si>
  <si>
    <t>TXN01531</t>
  </si>
  <si>
    <t>CUST1531</t>
  </si>
  <si>
    <t>PROD875</t>
  </si>
  <si>
    <t>ORD2944</t>
  </si>
  <si>
    <t>TXN01530</t>
  </si>
  <si>
    <t>CUST1530</t>
  </si>
  <si>
    <t>PROD709</t>
  </si>
  <si>
    <t>ORD4062</t>
  </si>
  <si>
    <t>TXN01529</t>
  </si>
  <si>
    <t>CUST1529</t>
  </si>
  <si>
    <t>PROD789</t>
  </si>
  <si>
    <t>ORD2731</t>
  </si>
  <si>
    <t>TXN01528</t>
  </si>
  <si>
    <t>CUST1528</t>
  </si>
  <si>
    <t>PROD199</t>
  </si>
  <si>
    <t>ORD4014</t>
  </si>
  <si>
    <t>TXN01527</t>
  </si>
  <si>
    <t>CUST1527</t>
  </si>
  <si>
    <t>ORD5749</t>
  </si>
  <si>
    <t>TXN01526</t>
  </si>
  <si>
    <t>CUST1526</t>
  </si>
  <si>
    <t>PROD111</t>
  </si>
  <si>
    <t>ORD4036</t>
  </si>
  <si>
    <t>TXN01525</t>
  </si>
  <si>
    <t>CUST1525</t>
  </si>
  <si>
    <t>PROD960</t>
  </si>
  <si>
    <t>ORD4136</t>
  </si>
  <si>
    <t>TXN01524</t>
  </si>
  <si>
    <t>CUST1524</t>
  </si>
  <si>
    <t>ORD8472</t>
  </si>
  <si>
    <t>TXN01523</t>
  </si>
  <si>
    <t>CUST1523</t>
  </si>
  <si>
    <t>PROD673</t>
  </si>
  <si>
    <t>ORD8905</t>
  </si>
  <si>
    <t>TXN01522</t>
  </si>
  <si>
    <t>CUST1522</t>
  </si>
  <si>
    <t>PROD224</t>
  </si>
  <si>
    <t>ORD9850</t>
  </si>
  <si>
    <t>TXN01521</t>
  </si>
  <si>
    <t>CUST1521</t>
  </si>
  <si>
    <t>PROD296</t>
  </si>
  <si>
    <t>ORD3092</t>
  </si>
  <si>
    <t>TXN01520</t>
  </si>
  <si>
    <t>CUST1520</t>
  </si>
  <si>
    <t>PROD856</t>
  </si>
  <si>
    <t>ORD1981</t>
  </si>
  <si>
    <t>TXN01519</t>
  </si>
  <si>
    <t>CUST1519</t>
  </si>
  <si>
    <t>PROD177</t>
  </si>
  <si>
    <t>ORD9451</t>
  </si>
  <si>
    <t>TXN01518</t>
  </si>
  <si>
    <t>CUST1518</t>
  </si>
  <si>
    <t>PROD133</t>
  </si>
  <si>
    <t>ORD3813</t>
  </si>
  <si>
    <t>TXN01517</t>
  </si>
  <si>
    <t>CUST1517</t>
  </si>
  <si>
    <t>PROD743</t>
  </si>
  <si>
    <t>ORD7153</t>
  </si>
  <si>
    <t>TXN01516</t>
  </si>
  <si>
    <t>CUST1516</t>
  </si>
  <si>
    <t>PROD351</t>
  </si>
  <si>
    <t>ORD6799</t>
  </si>
  <si>
    <t>TXN01515</t>
  </si>
  <si>
    <t>CUST1515</t>
  </si>
  <si>
    <t>PROD670</t>
  </si>
  <si>
    <t>ORD5514</t>
  </si>
  <si>
    <t>TXN01514</t>
  </si>
  <si>
    <t>CUST1514</t>
  </si>
  <si>
    <t>PROD321</t>
  </si>
  <si>
    <t>ORD1649</t>
  </si>
  <si>
    <t>TXN01513</t>
  </si>
  <si>
    <t>CUST1513</t>
  </si>
  <si>
    <t>ORD8435</t>
  </si>
  <si>
    <t>TXN01512</t>
  </si>
  <si>
    <t>CUST1512</t>
  </si>
  <si>
    <t>PROD998</t>
  </si>
  <si>
    <t>ORD6210</t>
  </si>
  <si>
    <t>TXN01511</t>
  </si>
  <si>
    <t>CUST1511</t>
  </si>
  <si>
    <t>ORD2797</t>
  </si>
  <si>
    <t>TXN01510</t>
  </si>
  <si>
    <t>CUST1510</t>
  </si>
  <si>
    <t>PROD505</t>
  </si>
  <si>
    <t>ORD9363</t>
  </si>
  <si>
    <t>TXN01509</t>
  </si>
  <si>
    <t>CUST1509</t>
  </si>
  <si>
    <t>ORD1245</t>
  </si>
  <si>
    <t>TXN01508</t>
  </si>
  <si>
    <t>CUST1508</t>
  </si>
  <si>
    <t>ORD3519</t>
  </si>
  <si>
    <t>TXN01507</t>
  </si>
  <si>
    <t>CUST1507</t>
  </si>
  <si>
    <t>PROD365</t>
  </si>
  <si>
    <t>ORD8966</t>
  </si>
  <si>
    <t>TXN01506</t>
  </si>
  <si>
    <t>CUST1506</t>
  </si>
  <si>
    <t>PROD376</t>
  </si>
  <si>
    <t>ORD1078</t>
  </si>
  <si>
    <t>TXN01505</t>
  </si>
  <si>
    <t>CUST1505</t>
  </si>
  <si>
    <t>ORD1269</t>
  </si>
  <si>
    <t>TXN01504</t>
  </si>
  <si>
    <t>CUST1504</t>
  </si>
  <si>
    <t>TXN01503</t>
  </si>
  <si>
    <t>CUST1503</t>
  </si>
  <si>
    <t>PROD311</t>
  </si>
  <si>
    <t>ORD1336</t>
  </si>
  <si>
    <t>TXN01502</t>
  </si>
  <si>
    <t>CUST1502</t>
  </si>
  <si>
    <t>PROD274</t>
  </si>
  <si>
    <t>ORD7160</t>
  </si>
  <si>
    <t>TXN01501</t>
  </si>
  <si>
    <t>CUST1501</t>
  </si>
  <si>
    <t>PROD288</t>
  </si>
  <si>
    <t>ORD9598</t>
  </si>
  <si>
    <t>TXN01500</t>
  </si>
  <si>
    <t>CUST1500</t>
  </si>
  <si>
    <t>PROD819</t>
  </si>
  <si>
    <t>ORD4796</t>
  </si>
  <si>
    <t>TXN01499</t>
  </si>
  <si>
    <t>CUST1499</t>
  </si>
  <si>
    <t>PROD624</t>
  </si>
  <si>
    <t>ORD6767</t>
  </si>
  <si>
    <t>TXN01498</t>
  </si>
  <si>
    <t>CUST1498</t>
  </si>
  <si>
    <t>PROD609</t>
  </si>
  <si>
    <t>ORD4741</t>
  </si>
  <si>
    <t>TXN01497</t>
  </si>
  <si>
    <t>CUST1497</t>
  </si>
  <si>
    <t>ORD1293</t>
  </si>
  <si>
    <t>TXN01496</t>
  </si>
  <si>
    <t>CUST1496</t>
  </si>
  <si>
    <t>ORD2397</t>
  </si>
  <si>
    <t>TXN01495</t>
  </si>
  <si>
    <t>CUST1495</t>
  </si>
  <si>
    <t>PROD527</t>
  </si>
  <si>
    <t>ORD3512</t>
  </si>
  <si>
    <t>TXN01494</t>
  </si>
  <si>
    <t>CUST1494</t>
  </si>
  <si>
    <t>PROD632</t>
  </si>
  <si>
    <t>ORD5511</t>
  </si>
  <si>
    <t>TXN01493</t>
  </si>
  <si>
    <t>CUST1493</t>
  </si>
  <si>
    <t>ORD6060</t>
  </si>
  <si>
    <t>TXN01492</t>
  </si>
  <si>
    <t>CUST1492</t>
  </si>
  <si>
    <t>PROD916</t>
  </si>
  <si>
    <t>ORD4276</t>
  </si>
  <si>
    <t>TXN01491</t>
  </si>
  <si>
    <t>CUST1491</t>
  </si>
  <si>
    <t>PROD501</t>
  </si>
  <si>
    <t>ORD6091</t>
  </si>
  <si>
    <t>TXN01490</t>
  </si>
  <si>
    <t>CUST1490</t>
  </si>
  <si>
    <t>ORD8582</t>
  </si>
  <si>
    <t>TXN01489</t>
  </si>
  <si>
    <t>CUST1489</t>
  </si>
  <si>
    <t>PROD473</t>
  </si>
  <si>
    <t>ORD2810</t>
  </si>
  <si>
    <t>TXN01488</t>
  </si>
  <si>
    <t>CUST1488</t>
  </si>
  <si>
    <t>PROD263</t>
  </si>
  <si>
    <t>ORD7725</t>
  </si>
  <si>
    <t>TXN01487</t>
  </si>
  <si>
    <t>CUST1487</t>
  </si>
  <si>
    <t>PROD200</t>
  </si>
  <si>
    <t>ORD9865</t>
  </si>
  <si>
    <t>TXN01486</t>
  </si>
  <si>
    <t>CUST1486</t>
  </si>
  <si>
    <t>ORD2244</t>
  </si>
  <si>
    <t>TXN01485</t>
  </si>
  <si>
    <t>CUST1485</t>
  </si>
  <si>
    <t>ORD3955</t>
  </si>
  <si>
    <t>TXN01484</t>
  </si>
  <si>
    <t>CUST1484</t>
  </si>
  <si>
    <t>PROD431</t>
  </si>
  <si>
    <t>ORD7548</t>
  </si>
  <si>
    <t>TXN01483</t>
  </si>
  <si>
    <t>CUST1483</t>
  </si>
  <si>
    <t>PROD151</t>
  </si>
  <si>
    <t>ORD2090</t>
  </si>
  <si>
    <t>TXN01482</t>
  </si>
  <si>
    <t>CUST1482</t>
  </si>
  <si>
    <t>PROD509</t>
  </si>
  <si>
    <t>ORD1221</t>
  </si>
  <si>
    <t>TXN01481</t>
  </si>
  <si>
    <t>CUST1481</t>
  </si>
  <si>
    <t>ORD2894</t>
  </si>
  <si>
    <t>TXN01480</t>
  </si>
  <si>
    <t>CUST1480</t>
  </si>
  <si>
    <t>ORD5034</t>
  </si>
  <si>
    <t>TXN01479</t>
  </si>
  <si>
    <t>CUST1479</t>
  </si>
  <si>
    <t>PROD377</t>
  </si>
  <si>
    <t>ORD1403</t>
  </si>
  <si>
    <t>TXN01478</t>
  </si>
  <si>
    <t>CUST1478</t>
  </si>
  <si>
    <t>PROD881</t>
  </si>
  <si>
    <t>ORD2734</t>
  </si>
  <si>
    <t>TXN01477</t>
  </si>
  <si>
    <t>CUST1477</t>
  </si>
  <si>
    <t>ORD6338</t>
  </si>
  <si>
    <t>TXN01476</t>
  </si>
  <si>
    <t>CUST1476</t>
  </si>
  <si>
    <t>PROD197</t>
  </si>
  <si>
    <t>ORD9761</t>
  </si>
  <si>
    <t>TXN01475</t>
  </si>
  <si>
    <t>CUST1475</t>
  </si>
  <si>
    <t>ORD3058</t>
  </si>
  <si>
    <t>TXN01474</t>
  </si>
  <si>
    <t>CUST1474</t>
  </si>
  <si>
    <t>ORD8496</t>
  </si>
  <si>
    <t>TXN01473</t>
  </si>
  <si>
    <t>CUST1473</t>
  </si>
  <si>
    <t>ORD3986</t>
  </si>
  <si>
    <t>TXN01472</t>
  </si>
  <si>
    <t>CUST1472</t>
  </si>
  <si>
    <t>ORD4497</t>
  </si>
  <si>
    <t>TXN01471</t>
  </si>
  <si>
    <t>CUST1471</t>
  </si>
  <si>
    <t>PROD322</t>
  </si>
  <si>
    <t>ORD2119</t>
  </si>
  <si>
    <t>TXN01470</t>
  </si>
  <si>
    <t>CUST1470</t>
  </si>
  <si>
    <t>PROD516</t>
  </si>
  <si>
    <t>ORD6215</t>
  </si>
  <si>
    <t>TXN01469</t>
  </si>
  <si>
    <t>CUST1469</t>
  </si>
  <si>
    <t>PROD286</t>
  </si>
  <si>
    <t>ORD8878</t>
  </si>
  <si>
    <t>TXN01468</t>
  </si>
  <si>
    <t>CUST1468</t>
  </si>
  <si>
    <t>ORD3889</t>
  </si>
  <si>
    <t>TXN01467</t>
  </si>
  <si>
    <t>CUST1467</t>
  </si>
  <si>
    <t>PROD437</t>
  </si>
  <si>
    <t>ORD2440</t>
  </si>
  <si>
    <t>TXN01466</t>
  </si>
  <si>
    <t>CUST1466</t>
  </si>
  <si>
    <t>PROD398</t>
  </si>
  <si>
    <t>ORD1220</t>
  </si>
  <si>
    <t>TXN01465</t>
  </si>
  <si>
    <t>CUST1465</t>
  </si>
  <si>
    <t>ORD9698</t>
  </si>
  <si>
    <t>TXN01464</t>
  </si>
  <si>
    <t>CUST1464</t>
  </si>
  <si>
    <t>PROD933</t>
  </si>
  <si>
    <t>ORD8247</t>
  </si>
  <si>
    <t>TXN01463</t>
  </si>
  <si>
    <t>CUST1463</t>
  </si>
  <si>
    <t>ORD6917</t>
  </si>
  <si>
    <t>TXN01462</t>
  </si>
  <si>
    <t>CUST1462</t>
  </si>
  <si>
    <t>PROD947</t>
  </si>
  <si>
    <t>ORD7588</t>
  </si>
  <si>
    <t>TXN01461</t>
  </si>
  <si>
    <t>CUST1461</t>
  </si>
  <si>
    <t>TXN01460</t>
  </si>
  <si>
    <t>CUST1460</t>
  </si>
  <si>
    <t>PROD739</t>
  </si>
  <si>
    <t>ORD1287</t>
  </si>
  <si>
    <t>TXN01459</t>
  </si>
  <si>
    <t>CUST1459</t>
  </si>
  <si>
    <t>ORD8763</t>
  </si>
  <si>
    <t>TXN01458</t>
  </si>
  <si>
    <t>CUST1458</t>
  </si>
  <si>
    <t>ORD1578</t>
  </si>
  <si>
    <t>TXN01457</t>
  </si>
  <si>
    <t>CUST1457</t>
  </si>
  <si>
    <t>PROD766</t>
  </si>
  <si>
    <t>TXN01456</t>
  </si>
  <si>
    <t>CUST1456</t>
  </si>
  <si>
    <t>PROD605</t>
  </si>
  <si>
    <t>ORD3763</t>
  </si>
  <si>
    <t>TXN01455</t>
  </si>
  <si>
    <t>CUST1455</t>
  </si>
  <si>
    <t>ORD3634</t>
  </si>
  <si>
    <t>TXN01454</t>
  </si>
  <si>
    <t>CUST1454</t>
  </si>
  <si>
    <t>PROD830</t>
  </si>
  <si>
    <t>ORD1402</t>
  </si>
  <si>
    <t>TXN01453</t>
  </si>
  <si>
    <t>CUST1453</t>
  </si>
  <si>
    <t>PROD372</t>
  </si>
  <si>
    <t>ORD2780</t>
  </si>
  <si>
    <t>TXN01452</t>
  </si>
  <si>
    <t>CUST1452</t>
  </si>
  <si>
    <t>PROD758</t>
  </si>
  <si>
    <t>ORD6665</t>
  </si>
  <si>
    <t>TXN01451</t>
  </si>
  <si>
    <t>CUST1451</t>
  </si>
  <si>
    <t>ORD6488</t>
  </si>
  <si>
    <t>TXN01450</t>
  </si>
  <si>
    <t>CUST1450</t>
  </si>
  <si>
    <t>ORD8795</t>
  </si>
  <si>
    <t>TXN01449</t>
  </si>
  <si>
    <t>CUST1449</t>
  </si>
  <si>
    <t>PROD853</t>
  </si>
  <si>
    <t>ORD7647</t>
  </si>
  <si>
    <t>TXN01448</t>
  </si>
  <si>
    <t>CUST1448</t>
  </si>
  <si>
    <t>PROD117</t>
  </si>
  <si>
    <t>ORD2820</t>
  </si>
  <si>
    <t>TXN01447</t>
  </si>
  <si>
    <t>CUST1447</t>
  </si>
  <si>
    <t>PROD525</t>
  </si>
  <si>
    <t>ORD7296</t>
  </si>
  <si>
    <t>TXN01446</t>
  </si>
  <si>
    <t>CUST1446</t>
  </si>
  <si>
    <t>PROD468</t>
  </si>
  <si>
    <t>ORD6560</t>
  </si>
  <si>
    <t>TXN01445</t>
  </si>
  <si>
    <t>CUST1445</t>
  </si>
  <si>
    <t>PROD413</t>
  </si>
  <si>
    <t>ORD3910</t>
  </si>
  <si>
    <t>TXN01444</t>
  </si>
  <si>
    <t>CUST1444</t>
  </si>
  <si>
    <t>PROD484</t>
  </si>
  <si>
    <t>ORD7196</t>
  </si>
  <si>
    <t>TXN01443</t>
  </si>
  <si>
    <t>CUST1443</t>
  </si>
  <si>
    <t>ORD4489</t>
  </si>
  <si>
    <t>TXN01442</t>
  </si>
  <si>
    <t>CUST1442</t>
  </si>
  <si>
    <t>PROD572</t>
  </si>
  <si>
    <t>TXN01441</t>
  </si>
  <si>
    <t>CUST1441</t>
  </si>
  <si>
    <t>ORD8821</t>
  </si>
  <si>
    <t>TXN01440</t>
  </si>
  <si>
    <t>CUST1440</t>
  </si>
  <si>
    <t>PROD698</t>
  </si>
  <si>
    <t>ORD9599</t>
  </si>
  <si>
    <t>TXN01439</t>
  </si>
  <si>
    <t>CUST1439</t>
  </si>
  <si>
    <t>PROD837</t>
  </si>
  <si>
    <t>ORD6382</t>
  </si>
  <si>
    <t>TXN01438</t>
  </si>
  <si>
    <t>CUST1438</t>
  </si>
  <si>
    <t>ORD3551</t>
  </si>
  <si>
    <t>TXN01437</t>
  </si>
  <si>
    <t>CUST1437</t>
  </si>
  <si>
    <t>ORD5337</t>
  </si>
  <si>
    <t>TXN01436</t>
  </si>
  <si>
    <t>CUST1436</t>
  </si>
  <si>
    <t>ORD7093</t>
  </si>
  <si>
    <t>TXN01435</t>
  </si>
  <si>
    <t>CUST1435</t>
  </si>
  <si>
    <t>ORD6810</t>
  </si>
  <si>
    <t>TXN01434</t>
  </si>
  <si>
    <t>CUST1434</t>
  </si>
  <si>
    <t>ORD8468</t>
  </si>
  <si>
    <t>TXN01433</t>
  </si>
  <si>
    <t>CUST1433</t>
  </si>
  <si>
    <t>PROD430</t>
  </si>
  <si>
    <t>ORD3633</t>
  </si>
  <si>
    <t>TXN01432</t>
  </si>
  <si>
    <t>CUST1432</t>
  </si>
  <si>
    <t>ORD2616</t>
  </si>
  <si>
    <t>TXN01431</t>
  </si>
  <si>
    <t>CUST1431</t>
  </si>
  <si>
    <t>ORD1169</t>
  </si>
  <si>
    <t>TXN01430</t>
  </si>
  <si>
    <t>CUST1430</t>
  </si>
  <si>
    <t>PROD984</t>
  </si>
  <si>
    <t>ORD8021</t>
  </si>
  <si>
    <t>TXN01429</t>
  </si>
  <si>
    <t>CUST1429</t>
  </si>
  <si>
    <t>ORD4169</t>
  </si>
  <si>
    <t>TXN01428</t>
  </si>
  <si>
    <t>CUST1428</t>
  </si>
  <si>
    <t>PROD273</t>
  </si>
  <si>
    <t>ORD1357</t>
  </si>
  <si>
    <t>TXN01427</t>
  </si>
  <si>
    <t>CUST1427</t>
  </si>
  <si>
    <t>ORD7446</t>
  </si>
  <si>
    <t>TXN01426</t>
  </si>
  <si>
    <t>CUST1426</t>
  </si>
  <si>
    <t>PROD510</t>
  </si>
  <si>
    <t>ORD8591</t>
  </si>
  <si>
    <t>TXN01425</t>
  </si>
  <si>
    <t>CUST1425</t>
  </si>
  <si>
    <t>PROD537</t>
  </si>
  <si>
    <t>ORD6038</t>
  </si>
  <si>
    <t>TXN01424</t>
  </si>
  <si>
    <t>CUST1424</t>
  </si>
  <si>
    <t>ORD8179</t>
  </si>
  <si>
    <t>TXN01423</t>
  </si>
  <si>
    <t>CUST1423</t>
  </si>
  <si>
    <t>PROD806</t>
  </si>
  <si>
    <t>ORD7154</t>
  </si>
  <si>
    <t>TXN01422</t>
  </si>
  <si>
    <t>CUST1422</t>
  </si>
  <si>
    <t>ORD6320</t>
  </si>
  <si>
    <t>TXN01421</t>
  </si>
  <si>
    <t>CUST1421</t>
  </si>
  <si>
    <t>ORD3207</t>
  </si>
  <si>
    <t>TXN01420</t>
  </si>
  <si>
    <t>CUST1420</t>
  </si>
  <si>
    <t>PROD277</t>
  </si>
  <si>
    <t>ORD2759</t>
  </si>
  <si>
    <t>TXN01419</t>
  </si>
  <si>
    <t>CUST1419</t>
  </si>
  <si>
    <t>PROD119</t>
  </si>
  <si>
    <t>ORD8458</t>
  </si>
  <si>
    <t>TXN01418</t>
  </si>
  <si>
    <t>CUST1418</t>
  </si>
  <si>
    <t>ORD2804</t>
  </si>
  <si>
    <t>TXN01417</t>
  </si>
  <si>
    <t>CUST1417</t>
  </si>
  <si>
    <t>TXN01416</t>
  </si>
  <si>
    <t>CUST1416</t>
  </si>
  <si>
    <t>ORD4582</t>
  </si>
  <si>
    <t>TXN01415</t>
  </si>
  <si>
    <t>CUST1415</t>
  </si>
  <si>
    <t>PROD999</t>
  </si>
  <si>
    <t>ORD2061</t>
  </si>
  <si>
    <t>TXN01414</t>
  </si>
  <si>
    <t>CUST1414</t>
  </si>
  <si>
    <t>ORD8101</t>
  </si>
  <si>
    <t>TXN01413</t>
  </si>
  <si>
    <t>CUST1413</t>
  </si>
  <si>
    <t>ORD2133</t>
  </si>
  <si>
    <t>TXN01412</t>
  </si>
  <si>
    <t>CUST1412</t>
  </si>
  <si>
    <t>PROD783</t>
  </si>
  <si>
    <t>ORD5319</t>
  </si>
  <si>
    <t>TXN01411</t>
  </si>
  <si>
    <t>CUST1411</t>
  </si>
  <si>
    <t>PROD691</t>
  </si>
  <si>
    <t>ORD4648</t>
  </si>
  <si>
    <t>TXN01410</t>
  </si>
  <si>
    <t>CUST1410</t>
  </si>
  <si>
    <t>ORD2949</t>
  </si>
  <si>
    <t>TXN01409</t>
  </si>
  <si>
    <t>CUST1409</t>
  </si>
  <si>
    <t>ORD6561</t>
  </si>
  <si>
    <t>TXN01408</t>
  </si>
  <si>
    <t>CUST1408</t>
  </si>
  <si>
    <t>ORD3563</t>
  </si>
  <si>
    <t>TXN01407</t>
  </si>
  <si>
    <t>CUST1407</t>
  </si>
  <si>
    <t>PROD685</t>
  </si>
  <si>
    <t>ORD3690</t>
  </si>
  <si>
    <t>TXN01406</t>
  </si>
  <si>
    <t>CUST1406</t>
  </si>
  <si>
    <t>ORD1541</t>
  </si>
  <si>
    <t>TXN01405</t>
  </si>
  <si>
    <t>CUST1405</t>
  </si>
  <si>
    <t>ORD2205</t>
  </si>
  <si>
    <t>TXN01404</t>
  </si>
  <si>
    <t>CUST1404</t>
  </si>
  <si>
    <t>PROD445</t>
  </si>
  <si>
    <t>ORD7139</t>
  </si>
  <si>
    <t>TXN01403</t>
  </si>
  <si>
    <t>CUST1403</t>
  </si>
  <si>
    <t>PROD361</t>
  </si>
  <si>
    <t>ORD3210</t>
  </si>
  <si>
    <t>TXN01402</t>
  </si>
  <si>
    <t>CUST1402</t>
  </si>
  <si>
    <t>PROD865</t>
  </si>
  <si>
    <t>ORD7626</t>
  </si>
  <si>
    <t>TXN01401</t>
  </si>
  <si>
    <t>CUST1401</t>
  </si>
  <si>
    <t>ORD4474</t>
  </si>
  <si>
    <t>TXN01400</t>
  </si>
  <si>
    <t>CUST1400</t>
  </si>
  <si>
    <t>PROD477</t>
  </si>
  <si>
    <t>ORD4243</t>
  </si>
  <si>
    <t>TXN01399</t>
  </si>
  <si>
    <t>CUST1399</t>
  </si>
  <si>
    <t>ORD7453</t>
  </si>
  <si>
    <t>TXN01398</t>
  </si>
  <si>
    <t>CUST1398</t>
  </si>
  <si>
    <t>ORD9070</t>
  </si>
  <si>
    <t>TXN01397</t>
  </si>
  <si>
    <t>CUST1397</t>
  </si>
  <si>
    <t>PROD562</t>
  </si>
  <si>
    <t>ORD2249</t>
  </si>
  <si>
    <t>TXN01396</t>
  </si>
  <si>
    <t>CUST1396</t>
  </si>
  <si>
    <t>PROD412</t>
  </si>
  <si>
    <t>ORD4926</t>
  </si>
  <si>
    <t>TXN01395</t>
  </si>
  <si>
    <t>CUST1395</t>
  </si>
  <si>
    <t>PROD216</t>
  </si>
  <si>
    <t>ORD2833</t>
  </si>
  <si>
    <t>TXN01394</t>
  </si>
  <si>
    <t>CUST1394</t>
  </si>
  <si>
    <t>ORD1337</t>
  </si>
  <si>
    <t>TXN01393</t>
  </si>
  <si>
    <t>CUST1393</t>
  </si>
  <si>
    <t>ORD6973</t>
  </si>
  <si>
    <t>TXN01392</t>
  </si>
  <si>
    <t>CUST1392</t>
  </si>
  <si>
    <t>TXN01391</t>
  </si>
  <si>
    <t>CUST1391</t>
  </si>
  <si>
    <t>PROD753</t>
  </si>
  <si>
    <t>ORD8517</t>
  </si>
  <si>
    <t>TXN01390</t>
  </si>
  <si>
    <t>CUST1390</t>
  </si>
  <si>
    <t>ORD9175</t>
  </si>
  <si>
    <t>TXN01389</t>
  </si>
  <si>
    <t>CUST1389</t>
  </si>
  <si>
    <t>PROD147</t>
  </si>
  <si>
    <t>ORD1679</t>
  </si>
  <si>
    <t>TXN01388</t>
  </si>
  <si>
    <t>CUST1388</t>
  </si>
  <si>
    <t>ORD7636</t>
  </si>
  <si>
    <t>TXN01387</t>
  </si>
  <si>
    <t>CUST1387</t>
  </si>
  <si>
    <t>PROD127</t>
  </si>
  <si>
    <t>ORD3688</t>
  </si>
  <si>
    <t>TXN01386</t>
  </si>
  <si>
    <t>CUST1386</t>
  </si>
  <si>
    <t>ORD5286</t>
  </si>
  <si>
    <t>TXN01385</t>
  </si>
  <si>
    <t>CUST1385</t>
  </si>
  <si>
    <t>ORD5285</t>
  </si>
  <si>
    <t>TXN01384</t>
  </si>
  <si>
    <t>CUST1384</t>
  </si>
  <si>
    <t>PROD493</t>
  </si>
  <si>
    <t>ORD1892</t>
  </si>
  <si>
    <t>TXN01383</t>
  </si>
  <si>
    <t>CUST1383</t>
  </si>
  <si>
    <t>ORD4368</t>
  </si>
  <si>
    <t>TXN01382</t>
  </si>
  <si>
    <t>CUST1382</t>
  </si>
  <si>
    <t>PROD388</t>
  </si>
  <si>
    <t>ORD9746</t>
  </si>
  <si>
    <t>TXN01381</t>
  </si>
  <si>
    <t>CUST1381</t>
  </si>
  <si>
    <t>ORD6305</t>
  </si>
  <si>
    <t>TXN01380</t>
  </si>
  <si>
    <t>CUST1380</t>
  </si>
  <si>
    <t>ORD5175</t>
  </si>
  <si>
    <t>TXN01379</t>
  </si>
  <si>
    <t>CUST1379</t>
  </si>
  <si>
    <t>PROD366</t>
  </si>
  <si>
    <t>ORD4739</t>
  </si>
  <si>
    <t>TXN01378</t>
  </si>
  <si>
    <t>CUST1378</t>
  </si>
  <si>
    <t>PROD433</t>
  </si>
  <si>
    <t>ORD9423</t>
  </si>
  <si>
    <t>TXN01377</t>
  </si>
  <si>
    <t>CUST1377</t>
  </si>
  <si>
    <t>ORD1316</t>
  </si>
  <si>
    <t>TXN01376</t>
  </si>
  <si>
    <t>CUST1376</t>
  </si>
  <si>
    <t>PROD122</t>
  </si>
  <si>
    <t>ORD6033</t>
  </si>
  <si>
    <t>TXN01375</t>
  </si>
  <si>
    <t>CUST1375</t>
  </si>
  <si>
    <t>ORD6731</t>
  </si>
  <si>
    <t>TXN01374</t>
  </si>
  <si>
    <t>CUST1374</t>
  </si>
  <si>
    <t>ORD3087</t>
  </si>
  <si>
    <t>TXN01373</t>
  </si>
  <si>
    <t>CUST1373</t>
  </si>
  <si>
    <t>PROD456</t>
  </si>
  <si>
    <t>ORD9444</t>
  </si>
  <si>
    <t>TXN01372</t>
  </si>
  <si>
    <t>CUST1372</t>
  </si>
  <si>
    <t>PROD619</t>
  </si>
  <si>
    <t>ORD7947</t>
  </si>
  <si>
    <t>TXN01371</t>
  </si>
  <si>
    <t>CUST1371</t>
  </si>
  <si>
    <t>PROD328</t>
  </si>
  <si>
    <t>TXN01370</t>
  </si>
  <si>
    <t>CUST1370</t>
  </si>
  <si>
    <t>PROD629</t>
  </si>
  <si>
    <t>ORD8669</t>
  </si>
  <si>
    <t>TXN01369</t>
  </si>
  <si>
    <t>CUST1369</t>
  </si>
  <si>
    <t>ORD1613</t>
  </si>
  <si>
    <t>TXN01368</t>
  </si>
  <si>
    <t>CUST1368</t>
  </si>
  <si>
    <t>ORD1827</t>
  </si>
  <si>
    <t>TXN01367</t>
  </si>
  <si>
    <t>CUST1367</t>
  </si>
  <si>
    <t>ORD5329</t>
  </si>
  <si>
    <t>TXN01366</t>
  </si>
  <si>
    <t>CUST1366</t>
  </si>
  <si>
    <t>ORD6894</t>
  </si>
  <si>
    <t>TXN01365</t>
  </si>
  <si>
    <t>CUST1365</t>
  </si>
  <si>
    <t>PROD842</t>
  </si>
  <si>
    <t>ORD6386</t>
  </si>
  <si>
    <t>TXN01364</t>
  </si>
  <si>
    <t>CUST1364</t>
  </si>
  <si>
    <t>TXN01363</t>
  </si>
  <si>
    <t>CUST1363</t>
  </si>
  <si>
    <t>PROD792</t>
  </si>
  <si>
    <t>ORD1518</t>
  </si>
  <si>
    <t>TXN01362</t>
  </si>
  <si>
    <t>CUST1362</t>
  </si>
  <si>
    <t>PROD828</t>
  </si>
  <si>
    <t>ORD5713</t>
  </si>
  <si>
    <t>TXN01361</t>
  </si>
  <si>
    <t>CUST1361</t>
  </si>
  <si>
    <t>PROD302</t>
  </si>
  <si>
    <t>ORD9295</t>
  </si>
  <si>
    <t>TXN01360</t>
  </si>
  <si>
    <t>CUST1360</t>
  </si>
  <si>
    <t>ORD6638</t>
  </si>
  <si>
    <t>TXN01359</t>
  </si>
  <si>
    <t>CUST1359</t>
  </si>
  <si>
    <t>ORD2718</t>
  </si>
  <si>
    <t>TXN01358</t>
  </si>
  <si>
    <t>CUST1358</t>
  </si>
  <si>
    <t>PROD298</t>
  </si>
  <si>
    <t>ORD5226</t>
  </si>
  <si>
    <t>TXN01357</t>
  </si>
  <si>
    <t>CUST1357</t>
  </si>
  <si>
    <t>PROD800</t>
  </si>
  <si>
    <t>ORD9003</t>
  </si>
  <si>
    <t>TXN01356</t>
  </si>
  <si>
    <t>CUST1356</t>
  </si>
  <si>
    <t>ORD1860</t>
  </si>
  <si>
    <t>TXN01355</t>
  </si>
  <si>
    <t>CUST1355</t>
  </si>
  <si>
    <t>ORD8475</t>
  </si>
  <si>
    <t>TXN01354</t>
  </si>
  <si>
    <t>CUST1354</t>
  </si>
  <si>
    <t>PROD496</t>
  </si>
  <si>
    <t>ORD9869</t>
  </si>
  <si>
    <t>TXN01353</t>
  </si>
  <si>
    <t>CUST1353</t>
  </si>
  <si>
    <t>TXN01352</t>
  </si>
  <si>
    <t>CUST1352</t>
  </si>
  <si>
    <t>TXN01351</t>
  </si>
  <si>
    <t>CUST1351</t>
  </si>
  <si>
    <t>PROD101</t>
  </si>
  <si>
    <t>ORD2818</t>
  </si>
  <si>
    <t>TXN01350</t>
  </si>
  <si>
    <t>CUST1350</t>
  </si>
  <si>
    <t>ORD5982</t>
  </si>
  <si>
    <t>TXN01349</t>
  </si>
  <si>
    <t>CUST1349</t>
  </si>
  <si>
    <t>PROD561</t>
  </si>
  <si>
    <t>ORD5182</t>
  </si>
  <si>
    <t>TXN01348</t>
  </si>
  <si>
    <t>CUST1348</t>
  </si>
  <si>
    <t>ORD3231</t>
  </si>
  <si>
    <t>TXN01347</t>
  </si>
  <si>
    <t>CUST1347</t>
  </si>
  <si>
    <t>PROD347</t>
  </si>
  <si>
    <t>ORD7271</t>
  </si>
  <si>
    <t>TXN01346</t>
  </si>
  <si>
    <t>CUST1346</t>
  </si>
  <si>
    <t>PROD687</t>
  </si>
  <si>
    <t>ORD4272</t>
  </si>
  <si>
    <t>TXN01345</t>
  </si>
  <si>
    <t>CUST1345</t>
  </si>
  <si>
    <t>PROD381</t>
  </si>
  <si>
    <t>ORD2040</t>
  </si>
  <si>
    <t>TXN01344</t>
  </si>
  <si>
    <t>CUST1344</t>
  </si>
  <si>
    <t>PROD538</t>
  </si>
  <si>
    <t>ORD5993</t>
  </si>
  <si>
    <t>TXN01343</t>
  </si>
  <si>
    <t>CUST1343</t>
  </si>
  <si>
    <t>PROD547</t>
  </si>
  <si>
    <t>ORD6331</t>
  </si>
  <si>
    <t>TXN01342</t>
  </si>
  <si>
    <t>CUST1342</t>
  </si>
  <si>
    <t>PROD304</t>
  </si>
  <si>
    <t>ORD7485</t>
  </si>
  <si>
    <t>TXN01341</t>
  </si>
  <si>
    <t>CUST1341</t>
  </si>
  <si>
    <t>PROD575</t>
  </si>
  <si>
    <t>ORD3700</t>
  </si>
  <si>
    <t>TXN01340</t>
  </si>
  <si>
    <t>CUST1340</t>
  </si>
  <si>
    <t>PROD866</t>
  </si>
  <si>
    <t>ORD9983</t>
  </si>
  <si>
    <t>TXN01339</t>
  </si>
  <si>
    <t>CUST1339</t>
  </si>
  <si>
    <t>PROD713</t>
  </si>
  <si>
    <t>ORD6479</t>
  </si>
  <si>
    <t>TXN01338</t>
  </si>
  <si>
    <t>CUST1338</t>
  </si>
  <si>
    <t>PROD350</t>
  </si>
  <si>
    <t>ORD6935</t>
  </si>
  <si>
    <t>TXN01337</t>
  </si>
  <si>
    <t>CUST1337</t>
  </si>
  <si>
    <t>ORD9663</t>
  </si>
  <si>
    <t>TXN01336</t>
  </si>
  <si>
    <t>CUST1336</t>
  </si>
  <si>
    <t>PROD631</t>
  </si>
  <si>
    <t>ORD7890</t>
  </si>
  <si>
    <t>TXN01335</t>
  </si>
  <si>
    <t>CUST1335</t>
  </si>
  <si>
    <t>ORD3399</t>
  </si>
  <si>
    <t>TXN01334</t>
  </si>
  <si>
    <t>CUST1334</t>
  </si>
  <si>
    <t>PROD155</t>
  </si>
  <si>
    <t>ORD6433</t>
  </si>
  <si>
    <t>TXN01333</t>
  </si>
  <si>
    <t>CUST1333</t>
  </si>
  <si>
    <t>ORD7488</t>
  </si>
  <si>
    <t>TXN01332</t>
  </si>
  <si>
    <t>CUST1332</t>
  </si>
  <si>
    <t>ORD9304</t>
  </si>
  <si>
    <t>TXN01331</t>
  </si>
  <si>
    <t>CUST1331</t>
  </si>
  <si>
    <t>ORD6808</t>
  </si>
  <si>
    <t>TXN01330</t>
  </si>
  <si>
    <t>CUST1330</t>
  </si>
  <si>
    <t>PROD737</t>
  </si>
  <si>
    <t>ORD8220</t>
  </si>
  <si>
    <t>TXN01329</t>
  </si>
  <si>
    <t>CUST1329</t>
  </si>
  <si>
    <t>ORD7950</t>
  </si>
  <si>
    <t>TXN01328</t>
  </si>
  <si>
    <t>CUST1328</t>
  </si>
  <si>
    <t>ORD1404</t>
  </si>
  <si>
    <t>TXN01327</t>
  </si>
  <si>
    <t>CUST1327</t>
  </si>
  <si>
    <t>PROD353</t>
  </si>
  <si>
    <t>ORD3968</t>
  </si>
  <si>
    <t>TXN01326</t>
  </si>
  <si>
    <t>CUST1326</t>
  </si>
  <si>
    <t>ORD3961</t>
  </si>
  <si>
    <t>TXN01325</t>
  </si>
  <si>
    <t>CUST1325</t>
  </si>
  <si>
    <t>PROD635</t>
  </si>
  <si>
    <t>ORD4482</t>
  </si>
  <si>
    <t>TXN01324</t>
  </si>
  <si>
    <t>CUST1324</t>
  </si>
  <si>
    <t>PROD931</t>
  </si>
  <si>
    <t>ORD5006</t>
  </si>
  <si>
    <t>TXN01323</t>
  </si>
  <si>
    <t>CUST1323</t>
  </si>
  <si>
    <t>PROD188</t>
  </si>
  <si>
    <t>ORD5643</t>
  </si>
  <si>
    <t>TXN01322</t>
  </si>
  <si>
    <t>CUST1322</t>
  </si>
  <si>
    <t>PROD871</t>
  </si>
  <si>
    <t>ORD6375</t>
  </si>
  <si>
    <t>TXN01321</t>
  </si>
  <si>
    <t>CUST1321</t>
  </si>
  <si>
    <t>PROD116</t>
  </si>
  <si>
    <t>ORD2012</t>
  </si>
  <si>
    <t>TXN01320</t>
  </si>
  <si>
    <t>CUST1320</t>
  </si>
  <si>
    <t>PROD126</t>
  </si>
  <si>
    <t>ORD3362</t>
  </si>
  <si>
    <t>TXN01319</t>
  </si>
  <si>
    <t>CUST1319</t>
  </si>
  <si>
    <t>ORD2883</t>
  </si>
  <si>
    <t>TXN01318</t>
  </si>
  <si>
    <t>CUST1318</t>
  </si>
  <si>
    <t>ORD9302</t>
  </si>
  <si>
    <t>TXN01317</t>
  </si>
  <si>
    <t>CUST1317</t>
  </si>
  <si>
    <t>PROD156</t>
  </si>
  <si>
    <t>ORD3224</t>
  </si>
  <si>
    <t>TXN01316</t>
  </si>
  <si>
    <t>CUST1316</t>
  </si>
  <si>
    <t>ORD9071</t>
  </si>
  <si>
    <t>TXN01315</t>
  </si>
  <si>
    <t>CUST1315</t>
  </si>
  <si>
    <t>ORD6016</t>
  </si>
  <si>
    <t>TXN01314</t>
  </si>
  <si>
    <t>CUST1314</t>
  </si>
  <si>
    <t>ORD2033</t>
  </si>
  <si>
    <t>TXN01313</t>
  </si>
  <si>
    <t>CUST1313</t>
  </si>
  <si>
    <t>PROD732</t>
  </si>
  <si>
    <t>TXN01312</t>
  </si>
  <si>
    <t>CUST1312</t>
  </si>
  <si>
    <t>PROD409</t>
  </si>
  <si>
    <t>ORD3870</t>
  </si>
  <si>
    <t>TXN01311</t>
  </si>
  <si>
    <t>CUST1311</t>
  </si>
  <si>
    <t>ORD7362</t>
  </si>
  <si>
    <t>TXN01310</t>
  </si>
  <si>
    <t>CUST1310</t>
  </si>
  <si>
    <t>ORD9994</t>
  </si>
  <si>
    <t>TXN01309</t>
  </si>
  <si>
    <t>CUST1309</t>
  </si>
  <si>
    <t>PROD317</t>
  </si>
  <si>
    <t>ORD3107</t>
  </si>
  <si>
    <t>TXN01308</t>
  </si>
  <si>
    <t>CUST1308</t>
  </si>
  <si>
    <t>ORD6119</t>
  </si>
  <si>
    <t>TXN01307</t>
  </si>
  <si>
    <t>CUST1307</t>
  </si>
  <si>
    <t>ORD1828</t>
  </si>
  <si>
    <t>TXN01306</t>
  </si>
  <si>
    <t>CUST1306</t>
  </si>
  <si>
    <t>PROD594</t>
  </si>
  <si>
    <t>ORD1041</t>
  </si>
  <si>
    <t>TXN01305</t>
  </si>
  <si>
    <t>CUST1305</t>
  </si>
  <si>
    <t>PROD596</t>
  </si>
  <si>
    <t>TXN01304</t>
  </si>
  <si>
    <t>CUST1304</t>
  </si>
  <si>
    <t>ORD6327</t>
  </si>
  <si>
    <t>TXN01303</t>
  </si>
  <si>
    <t>CUST1303</t>
  </si>
  <si>
    <t>PROD956</t>
  </si>
  <si>
    <t>ORD8658</t>
  </si>
  <si>
    <t>TXN01302</t>
  </si>
  <si>
    <t>CUST1302</t>
  </si>
  <si>
    <t>ORD1678</t>
  </si>
  <si>
    <t>TXN01301</t>
  </si>
  <si>
    <t>CUST1301</t>
  </si>
  <si>
    <t>ORD2765</t>
  </si>
  <si>
    <t>TXN01300</t>
  </si>
  <si>
    <t>CUST1300</t>
  </si>
  <si>
    <t>ORD9909</t>
  </si>
  <si>
    <t>TXN01299</t>
  </si>
  <si>
    <t>CUST1299</t>
  </si>
  <si>
    <t>ORD4096</t>
  </si>
  <si>
    <t>TXN01298</t>
  </si>
  <si>
    <t>CUST1298</t>
  </si>
  <si>
    <t>ORD6149</t>
  </si>
  <si>
    <t>TXN01297</t>
  </si>
  <si>
    <t>CUST1297</t>
  </si>
  <si>
    <t>ORD5902</t>
  </si>
  <si>
    <t>TXN01296</t>
  </si>
  <si>
    <t>CUST1296</t>
  </si>
  <si>
    <t>PROD954</t>
  </si>
  <si>
    <t>ORD7898</t>
  </si>
  <si>
    <t>TXN01295</t>
  </si>
  <si>
    <t>CUST1295</t>
  </si>
  <si>
    <t>ORD4546</t>
  </si>
  <si>
    <t>TXN01294</t>
  </si>
  <si>
    <t>CUST1294</t>
  </si>
  <si>
    <t>ORD3794</t>
  </si>
  <si>
    <t>TXN01293</t>
  </si>
  <si>
    <t>CUST1293</t>
  </si>
  <si>
    <t>PROD146</t>
  </si>
  <si>
    <t>ORD2965</t>
  </si>
  <si>
    <t>TXN01292</t>
  </si>
  <si>
    <t>CUST1292</t>
  </si>
  <si>
    <t>ORD7457</t>
  </si>
  <si>
    <t>TXN01291</t>
  </si>
  <si>
    <t>CUST1291</t>
  </si>
  <si>
    <t>PROD618</t>
  </si>
  <si>
    <t>ORD4602</t>
  </si>
  <si>
    <t>TXN01290</t>
  </si>
  <si>
    <t>CUST1290</t>
  </si>
  <si>
    <t>PROD292</t>
  </si>
  <si>
    <t>ORD1914</t>
  </si>
  <si>
    <t>TXN01289</t>
  </si>
  <si>
    <t>CUST1289</t>
  </si>
  <si>
    <t>ORD3774</t>
  </si>
  <si>
    <t>TXN01288</t>
  </si>
  <si>
    <t>CUST1288</t>
  </si>
  <si>
    <t>PROD415</t>
  </si>
  <si>
    <t>ORD8838</t>
  </si>
  <si>
    <t>TXN01287</t>
  </si>
  <si>
    <t>CUST1287</t>
  </si>
  <si>
    <t>ORD6599</t>
  </si>
  <si>
    <t>TXN01286</t>
  </si>
  <si>
    <t>CUST1286</t>
  </si>
  <si>
    <t>PROD500</t>
  </si>
  <si>
    <t>ORD7213</t>
  </si>
  <si>
    <t>TXN01285</t>
  </si>
  <si>
    <t>CUST1285</t>
  </si>
  <si>
    <t>ORD1203</t>
  </si>
  <si>
    <t>TXN01284</t>
  </si>
  <si>
    <t>CUST1284</t>
  </si>
  <si>
    <t>PROD991</t>
  </si>
  <si>
    <t>ORD3393</t>
  </si>
  <si>
    <t>TXN01283</t>
  </si>
  <si>
    <t>CUST1283</t>
  </si>
  <si>
    <t>ORD6714</t>
  </si>
  <si>
    <t>TXN01282</t>
  </si>
  <si>
    <t>CUST1282</t>
  </si>
  <si>
    <t>PROD268</t>
  </si>
  <si>
    <t>ORD6811</t>
  </si>
  <si>
    <t>TXN01281</t>
  </si>
  <si>
    <t>CUST1281</t>
  </si>
  <si>
    <t>PROD201</t>
  </si>
  <si>
    <t>ORD4514</t>
  </si>
  <si>
    <t>TXN01280</t>
  </si>
  <si>
    <t>CUST1280</t>
  </si>
  <si>
    <t>PROD252</t>
  </si>
  <si>
    <t>ORD5124</t>
  </si>
  <si>
    <t>TXN01279</t>
  </si>
  <si>
    <t>CUST1279</t>
  </si>
  <si>
    <t>ORD8834</t>
  </si>
  <si>
    <t>TXN01278</t>
  </si>
  <si>
    <t>CUST1278</t>
  </si>
  <si>
    <t>PROD909</t>
  </si>
  <si>
    <t>ORD4449</t>
  </si>
  <si>
    <t>TXN01277</t>
  </si>
  <si>
    <t>CUST1277</t>
  </si>
  <si>
    <t>PROD913</t>
  </si>
  <si>
    <t>ORD8565</t>
  </si>
  <si>
    <t>TXN01276</t>
  </si>
  <si>
    <t>CUST1276</t>
  </si>
  <si>
    <t>PROD782</t>
  </si>
  <si>
    <t>ORD6076</t>
  </si>
  <si>
    <t>TXN01275</t>
  </si>
  <si>
    <t>CUST1275</t>
  </si>
  <si>
    <t>ORD3040</t>
  </si>
  <si>
    <t>TXN01274</t>
  </si>
  <si>
    <t>CUST1274</t>
  </si>
  <si>
    <t>PROD559</t>
  </si>
  <si>
    <t>TXN01273</t>
  </si>
  <si>
    <t>CUST1273</t>
  </si>
  <si>
    <t>PROD615</t>
  </si>
  <si>
    <t>ORD8464</t>
  </si>
  <si>
    <t>TXN01272</t>
  </si>
  <si>
    <t>CUST1272</t>
  </si>
  <si>
    <t>ORD8652</t>
  </si>
  <si>
    <t>TXN01271</t>
  </si>
  <si>
    <t>CUST1271</t>
  </si>
  <si>
    <t>ORD9408</t>
  </si>
  <si>
    <t>TXN01270</t>
  </si>
  <si>
    <t>CUST1270</t>
  </si>
  <si>
    <t>ORD6969</t>
  </si>
  <si>
    <t>TXN01269</t>
  </si>
  <si>
    <t>CUST1269</t>
  </si>
  <si>
    <t>ORD2593</t>
  </si>
  <si>
    <t>TXN01268</t>
  </si>
  <si>
    <t>CUST1268</t>
  </si>
  <si>
    <t>PROD222</t>
  </si>
  <si>
    <t>ORD2460</t>
  </si>
  <si>
    <t>TXN01267</t>
  </si>
  <si>
    <t>CUST1267</t>
  </si>
  <si>
    <t>PROD449</t>
  </si>
  <si>
    <t>ORD4463</t>
  </si>
  <si>
    <t>TXN01266</t>
  </si>
  <si>
    <t>CUST1266</t>
  </si>
  <si>
    <t>PROD108</t>
  </si>
  <si>
    <t>ORD1673</t>
  </si>
  <si>
    <t>TXN01265</t>
  </si>
  <si>
    <t>CUST1265</t>
  </si>
  <si>
    <t>ORD9476</t>
  </si>
  <si>
    <t>TXN01264</t>
  </si>
  <si>
    <t>CUST1264</t>
  </si>
  <si>
    <t>ORD8407</t>
  </si>
  <si>
    <t>TXN01263</t>
  </si>
  <si>
    <t>CUST1263</t>
  </si>
  <si>
    <t>ORD6222</t>
  </si>
  <si>
    <t>TXN01262</t>
  </si>
  <si>
    <t>CUST1262</t>
  </si>
  <si>
    <t>ORD9829</t>
  </si>
  <si>
    <t>TXN01261</t>
  </si>
  <si>
    <t>CUST1261</t>
  </si>
  <si>
    <t>ORD7677</t>
  </si>
  <si>
    <t>TXN01260</t>
  </si>
  <si>
    <t>CUST1260</t>
  </si>
  <si>
    <t>ORD4102</t>
  </si>
  <si>
    <t>TXN01259</t>
  </si>
  <si>
    <t>CUST1259</t>
  </si>
  <si>
    <t>PROD166</t>
  </si>
  <si>
    <t>ORD1343</t>
  </si>
  <si>
    <t>TXN01258</t>
  </si>
  <si>
    <t>CUST1258</t>
  </si>
  <si>
    <t>ORD8141</t>
  </si>
  <si>
    <t>TXN01257</t>
  </si>
  <si>
    <t>CUST1257</t>
  </si>
  <si>
    <t>ORD5029</t>
  </si>
  <si>
    <t>TXN01256</t>
  </si>
  <si>
    <t>CUST1256</t>
  </si>
  <si>
    <t>ORD8650</t>
  </si>
  <si>
    <t>TXN01255</t>
  </si>
  <si>
    <t>CUST1255</t>
  </si>
  <si>
    <t>ORD5409</t>
  </si>
  <si>
    <t>TXN01254</t>
  </si>
  <si>
    <t>CUST1254</t>
  </si>
  <si>
    <t>ORD3421</t>
  </si>
  <si>
    <t>TXN01253</t>
  </si>
  <si>
    <t>CUST1253</t>
  </si>
  <si>
    <t>PROD528</t>
  </si>
  <si>
    <t>ORD4618</t>
  </si>
  <si>
    <t>TXN01252</t>
  </si>
  <si>
    <t>CUST1252</t>
  </si>
  <si>
    <t>PROD124</t>
  </si>
  <si>
    <t>ORD2076</t>
  </si>
  <si>
    <t>TXN01251</t>
  </si>
  <si>
    <t>CUST1251</t>
  </si>
  <si>
    <t>PROD336</t>
  </si>
  <si>
    <t>ORD7337</t>
  </si>
  <si>
    <t>TXN01250</t>
  </si>
  <si>
    <t>CUST1250</t>
  </si>
  <si>
    <t>ORD5050</t>
  </si>
  <si>
    <t>TXN01249</t>
  </si>
  <si>
    <t>CUST1249</t>
  </si>
  <si>
    <t>PROD910</t>
  </si>
  <si>
    <t>ORD1318</t>
  </si>
  <si>
    <t>TXN01248</t>
  </si>
  <si>
    <t>CUST1248</t>
  </si>
  <si>
    <t>PROD581</t>
  </si>
  <si>
    <t>ORD5768</t>
  </si>
  <si>
    <t>TXN01247</t>
  </si>
  <si>
    <t>CUST1247</t>
  </si>
  <si>
    <t>PROD518</t>
  </si>
  <si>
    <t>ORD6964</t>
  </si>
  <si>
    <t>TXN01246</t>
  </si>
  <si>
    <t>CUST1246</t>
  </si>
  <si>
    <t>PROD985</t>
  </si>
  <si>
    <t>ORD2175</t>
  </si>
  <si>
    <t>TXN01245</t>
  </si>
  <si>
    <t>CUST1245</t>
  </si>
  <si>
    <t>PROD566</t>
  </si>
  <si>
    <t>ORD3448</t>
  </si>
  <si>
    <t>TXN01244</t>
  </si>
  <si>
    <t>CUST1244</t>
  </si>
  <si>
    <t>PROD392</t>
  </si>
  <si>
    <t>TXN01243</t>
  </si>
  <si>
    <t>CUST1243</t>
  </si>
  <si>
    <t>ORD6583</t>
  </si>
  <si>
    <t>TXN01242</t>
  </si>
  <si>
    <t>CUST1242</t>
  </si>
  <si>
    <t>ORD2368</t>
  </si>
  <si>
    <t>TXN01241</t>
  </si>
  <si>
    <t>CUST1241</t>
  </si>
  <si>
    <t>PROD576</t>
  </si>
  <si>
    <t>ORD8063</t>
  </si>
  <si>
    <t>TXN01240</t>
  </si>
  <si>
    <t>CUST1240</t>
  </si>
  <si>
    <t>ORD2594</t>
  </si>
  <si>
    <t>TXN01239</t>
  </si>
  <si>
    <t>CUST1239</t>
  </si>
  <si>
    <t>PROD460</t>
  </si>
  <si>
    <t>ORD2935</t>
  </si>
  <si>
    <t>TXN01238</t>
  </si>
  <si>
    <t>CUST1238</t>
  </si>
  <si>
    <t>PROD438</t>
  </si>
  <si>
    <t>TXN01237</t>
  </si>
  <si>
    <t>CUST1237</t>
  </si>
  <si>
    <t>ORD1155</t>
  </si>
  <si>
    <t>TXN01236</t>
  </si>
  <si>
    <t>CUST1236</t>
  </si>
  <si>
    <t>PROD745</t>
  </si>
  <si>
    <t>ORD9291</t>
  </si>
  <si>
    <t>TXN01235</t>
  </si>
  <si>
    <t>CUST1235</t>
  </si>
  <si>
    <t>PROD418</t>
  </si>
  <si>
    <t>ORD6932</t>
  </si>
  <si>
    <t>TXN01234</t>
  </si>
  <si>
    <t>CUST1234</t>
  </si>
  <si>
    <t>ORD3716</t>
  </si>
  <si>
    <t>TXN01233</t>
  </si>
  <si>
    <t>CUST1233</t>
  </si>
  <si>
    <t>ORD7822</t>
  </si>
  <si>
    <t>TXN01232</t>
  </si>
  <si>
    <t>CUST1232</t>
  </si>
  <si>
    <t>ORD4654</t>
  </si>
  <si>
    <t>TXN01231</t>
  </si>
  <si>
    <t>CUST1231</t>
  </si>
  <si>
    <t>PROD950</t>
  </si>
  <si>
    <t>ORD7332</t>
  </si>
  <si>
    <t>TXN01230</t>
  </si>
  <si>
    <t>CUST1230</t>
  </si>
  <si>
    <t>ORD5161</t>
  </si>
  <si>
    <t>TXN01229</t>
  </si>
  <si>
    <t>CUST1229</t>
  </si>
  <si>
    <t>ORD5371</t>
  </si>
  <si>
    <t>TXN01228</t>
  </si>
  <si>
    <t>CUST1228</t>
  </si>
  <si>
    <t>ORD1889</t>
  </si>
  <si>
    <t>TXN01227</t>
  </si>
  <si>
    <t>CUST1227</t>
  </si>
  <si>
    <t>TXN01226</t>
  </si>
  <si>
    <t>CUST1226</t>
  </si>
  <si>
    <t>ORD1469</t>
  </si>
  <si>
    <t>TXN01225</t>
  </si>
  <si>
    <t>CUST1225</t>
  </si>
  <si>
    <t>ORD7843</t>
  </si>
  <si>
    <t>TXN01224</t>
  </si>
  <si>
    <t>CUST1224</t>
  </si>
  <si>
    <t>PROD797</t>
  </si>
  <si>
    <t>ORD4037</t>
  </si>
  <si>
    <t>TXN01223</t>
  </si>
  <si>
    <t>CUST1223</t>
  </si>
  <si>
    <t>PROD423</t>
  </si>
  <si>
    <t>ORD2027</t>
  </si>
  <si>
    <t>TXN01222</t>
  </si>
  <si>
    <t>CUST1222</t>
  </si>
  <si>
    <t>PROD944</t>
  </si>
  <si>
    <t>ORD1523</t>
  </si>
  <si>
    <t>TXN01221</t>
  </si>
  <si>
    <t>CUST1221</t>
  </si>
  <si>
    <t>ORD4994</t>
  </si>
  <si>
    <t>TXN01220</t>
  </si>
  <si>
    <t>CUST1220</t>
  </si>
  <si>
    <t>ORD5651</t>
  </si>
  <si>
    <t>TXN01219</t>
  </si>
  <si>
    <t>CUST1219</t>
  </si>
  <si>
    <t>ORD6416</t>
  </si>
  <si>
    <t>TXN01218</t>
  </si>
  <si>
    <t>CUST1218</t>
  </si>
  <si>
    <t>PROD489</t>
  </si>
  <si>
    <t>ORD1383</t>
  </si>
  <si>
    <t>TXN01217</t>
  </si>
  <si>
    <t>CUST1217</t>
  </si>
  <si>
    <t>PROD887</t>
  </si>
  <si>
    <t>ORD5081</t>
  </si>
  <si>
    <t>TXN01216</t>
  </si>
  <si>
    <t>CUST1216</t>
  </si>
  <si>
    <t>ORD1736</t>
  </si>
  <si>
    <t>TXN01215</t>
  </si>
  <si>
    <t>CUST1215</t>
  </si>
  <si>
    <t>PROD374</t>
  </si>
  <si>
    <t>ORD8544</t>
  </si>
  <si>
    <t>TXN01214</t>
  </si>
  <si>
    <t>CUST1214</t>
  </si>
  <si>
    <t>ORD6450</t>
  </si>
  <si>
    <t>TXN01213</t>
  </si>
  <si>
    <t>CUST1213</t>
  </si>
  <si>
    <t>ORD3355</t>
  </si>
  <si>
    <t>TXN01212</t>
  </si>
  <si>
    <t>CUST1212</t>
  </si>
  <si>
    <t>ORD2898</t>
  </si>
  <si>
    <t>TXN01211</t>
  </si>
  <si>
    <t>CUST1211</t>
  </si>
  <si>
    <t>PROD656</t>
  </si>
  <si>
    <t>ORD7241</t>
  </si>
  <si>
    <t>TXN01210</t>
  </si>
  <si>
    <t>CUST1210</t>
  </si>
  <si>
    <t>ORD5001</t>
  </si>
  <si>
    <t>TXN01209</t>
  </si>
  <si>
    <t>CUST1209</t>
  </si>
  <si>
    <t>ORD7007</t>
  </si>
  <si>
    <t>TXN01208</t>
  </si>
  <si>
    <t>CUST1208</t>
  </si>
  <si>
    <t>TXN01207</t>
  </si>
  <si>
    <t>CUST1207</t>
  </si>
  <si>
    <t>PROD943</t>
  </si>
  <si>
    <t>ORD1267</t>
  </si>
  <si>
    <t>TXN01206</t>
  </si>
  <si>
    <t>CUST1206</t>
  </si>
  <si>
    <t>ORD9733</t>
  </si>
  <si>
    <t>TXN01205</t>
  </si>
  <si>
    <t>CUST1205</t>
  </si>
  <si>
    <t>ORD5779</t>
  </si>
  <si>
    <t>TXN01204</t>
  </si>
  <si>
    <t>CUST1204</t>
  </si>
  <si>
    <t>PROD625</t>
  </si>
  <si>
    <t>ORD6358</t>
  </si>
  <si>
    <t>TXN01203</t>
  </si>
  <si>
    <t>CUST1203</t>
  </si>
  <si>
    <t>PROD569</t>
  </si>
  <si>
    <t>ORD1007</t>
  </si>
  <si>
    <t>TXN01202</t>
  </si>
  <si>
    <t>CUST1202</t>
  </si>
  <si>
    <t>ORD4950</t>
  </si>
  <si>
    <t>TXN01201</t>
  </si>
  <si>
    <t>CUST1201</t>
  </si>
  <si>
    <t>TXN01200</t>
  </si>
  <si>
    <t>CUST1200</t>
  </si>
  <si>
    <t>ORD2449</t>
  </si>
  <si>
    <t>TXN01199</t>
  </si>
  <si>
    <t>CUST1199</t>
  </si>
  <si>
    <t>PROD815</t>
  </si>
  <si>
    <t>ORD9695</t>
  </si>
  <si>
    <t>TXN01198</t>
  </si>
  <si>
    <t>CUST1198</t>
  </si>
  <si>
    <t>TXN01197</t>
  </si>
  <si>
    <t>CUST1197</t>
  </si>
  <si>
    <t>PROD940</t>
  </si>
  <si>
    <t>ORD7589</t>
  </si>
  <si>
    <t>TXN01196</t>
  </si>
  <si>
    <t>CUST1196</t>
  </si>
  <si>
    <t>PROD550</t>
  </si>
  <si>
    <t>ORD5827</t>
  </si>
  <si>
    <t>TXN01195</t>
  </si>
  <si>
    <t>CUST1195</t>
  </si>
  <si>
    <t>PROD545</t>
  </si>
  <si>
    <t>ORD3973</t>
  </si>
  <si>
    <t>TXN01194</t>
  </si>
  <si>
    <t>CUST1194</t>
  </si>
  <si>
    <t>TXN01193</t>
  </si>
  <si>
    <t>CUST1193</t>
  </si>
  <si>
    <t>ORD7687</t>
  </si>
  <si>
    <t>TXN01192</t>
  </si>
  <si>
    <t>CUST1192</t>
  </si>
  <si>
    <t>ORD7197</t>
  </si>
  <si>
    <t>TXN01191</t>
  </si>
  <si>
    <t>CUST1191</t>
  </si>
  <si>
    <t>PROD444</t>
  </si>
  <si>
    <t>ORD9458</t>
  </si>
  <si>
    <t>TXN01190</t>
  </si>
  <si>
    <t>CUST1190</t>
  </si>
  <si>
    <t>PROD244</t>
  </si>
  <si>
    <t>ORD9145</t>
  </si>
  <si>
    <t>TXN01189</t>
  </si>
  <si>
    <t>CUST1189</t>
  </si>
  <si>
    <t>ORD8520</t>
  </si>
  <si>
    <t>TXN01188</t>
  </si>
  <si>
    <t>CUST1188</t>
  </si>
  <si>
    <t>PROD143</t>
  </si>
  <si>
    <t>ORD5303</t>
  </si>
  <si>
    <t>TXN01187</t>
  </si>
  <si>
    <t>CUST1187</t>
  </si>
  <si>
    <t>PROD519</t>
  </si>
  <si>
    <t>ORD9421</t>
  </si>
  <si>
    <t>TXN01186</t>
  </si>
  <si>
    <t>CUST1186</t>
  </si>
  <si>
    <t>ORD9483</t>
  </si>
  <si>
    <t>TXN01185</t>
  </si>
  <si>
    <t>CUST1185</t>
  </si>
  <si>
    <t>PROD293</t>
  </si>
  <si>
    <t>ORD4403</t>
  </si>
  <si>
    <t>TXN01184</t>
  </si>
  <si>
    <t>CUST1184</t>
  </si>
  <si>
    <t>PROD889</t>
  </si>
  <si>
    <t>ORD7455</t>
  </si>
  <si>
    <t>TXN01183</t>
  </si>
  <si>
    <t>CUST1183</t>
  </si>
  <si>
    <t>TXN01182</t>
  </si>
  <si>
    <t>CUST1182</t>
  </si>
  <si>
    <t>PROD659</t>
  </si>
  <si>
    <t>ORD7498</t>
  </si>
  <si>
    <t>TXN01181</t>
  </si>
  <si>
    <t>CUST1181</t>
  </si>
  <si>
    <t>PROD722</t>
  </si>
  <si>
    <t>ORD3444</t>
  </si>
  <si>
    <t>TXN01180</t>
  </si>
  <si>
    <t>CUST1180</t>
  </si>
  <si>
    <t>PROD235</t>
  </si>
  <si>
    <t>ORD2050</t>
  </si>
  <si>
    <t>TXN01179</t>
  </si>
  <si>
    <t>CUST1179</t>
  </si>
  <si>
    <t>ORD7697</t>
  </si>
  <si>
    <t>TXN01178</t>
  </si>
  <si>
    <t>CUST1178</t>
  </si>
  <si>
    <t>ORD7998</t>
  </si>
  <si>
    <t>TXN01177</t>
  </si>
  <si>
    <t>CUST1177</t>
  </si>
  <si>
    <t>ORD4202</t>
  </si>
  <si>
    <t>TXN01176</t>
  </si>
  <si>
    <t>CUST1176</t>
  </si>
  <si>
    <t>ORD6418</t>
  </si>
  <si>
    <t>TXN01175</t>
  </si>
  <si>
    <t>CUST1175</t>
  </si>
  <si>
    <t>ORD6657</t>
  </si>
  <si>
    <t>TXN01174</t>
  </si>
  <si>
    <t>CUST1174</t>
  </si>
  <si>
    <t>PROD524</t>
  </si>
  <si>
    <t>ORD4357</t>
  </si>
  <si>
    <t>TXN01173</t>
  </si>
  <si>
    <t>CUST1173</t>
  </si>
  <si>
    <t>ORD3279</t>
  </si>
  <si>
    <t>TXN01172</t>
  </si>
  <si>
    <t>CUST1172</t>
  </si>
  <si>
    <t>ORD4315</t>
  </si>
  <si>
    <t>TXN01171</t>
  </si>
  <si>
    <t>CUST1171</t>
  </si>
  <si>
    <t>PROD895</t>
  </si>
  <si>
    <t>ORD4316</t>
  </si>
  <si>
    <t>TXN01170</t>
  </si>
  <si>
    <t>CUST1170</t>
  </si>
  <si>
    <t>ORD7550</t>
  </si>
  <si>
    <t>TXN01169</t>
  </si>
  <si>
    <t>CUST1169</t>
  </si>
  <si>
    <t>PROD131</t>
  </si>
  <si>
    <t>ORD1992</t>
  </si>
  <si>
    <t>TXN01168</t>
  </si>
  <si>
    <t>CUST1168</t>
  </si>
  <si>
    <t>ORD6290</t>
  </si>
  <si>
    <t>TXN01167</t>
  </si>
  <si>
    <t>CUST1167</t>
  </si>
  <si>
    <t>ORD9836</t>
  </si>
  <si>
    <t>TXN01166</t>
  </si>
  <si>
    <t>CUST1166</t>
  </si>
  <si>
    <t>PROD121</t>
  </si>
  <si>
    <t>ORD3408</t>
  </si>
  <si>
    <t>TXN01165</t>
  </si>
  <si>
    <t>CUST1165</t>
  </si>
  <si>
    <t>ORD1652</t>
  </si>
  <si>
    <t>TXN01164</t>
  </si>
  <si>
    <t>CUST1164</t>
  </si>
  <si>
    <t>ORD9323</t>
  </si>
  <si>
    <t>TXN01163</t>
  </si>
  <si>
    <t>CUST1163</t>
  </si>
  <si>
    <t>PROD378</t>
  </si>
  <si>
    <t>ORD7805</t>
  </si>
  <si>
    <t>TXN01162</t>
  </si>
  <si>
    <t>CUST1162</t>
  </si>
  <si>
    <t>PROD929</t>
  </si>
  <si>
    <t>ORD8902</t>
  </si>
  <si>
    <t>TXN01161</t>
  </si>
  <si>
    <t>CUST1161</t>
  </si>
  <si>
    <t>ORD4018</t>
  </si>
  <si>
    <t>TXN01160</t>
  </si>
  <si>
    <t>CUST1160</t>
  </si>
  <si>
    <t>ORD2446</t>
  </si>
  <si>
    <t>TXN01159</t>
  </si>
  <si>
    <t>CUST1159</t>
  </si>
  <si>
    <t>PROD434</t>
  </si>
  <si>
    <t>ORD6196</t>
  </si>
  <si>
    <t>TXN01158</t>
  </si>
  <si>
    <t>CUST1158</t>
  </si>
  <si>
    <t>ORD5772</t>
  </si>
  <si>
    <t>TXN01157</t>
  </si>
  <si>
    <t>CUST1157</t>
  </si>
  <si>
    <t>ORD9497</t>
  </si>
  <si>
    <t>TXN01156</t>
  </si>
  <si>
    <t>CUST1156</t>
  </si>
  <si>
    <t>PROD908</t>
  </si>
  <si>
    <t>ORD2098</t>
  </si>
  <si>
    <t>TXN01155</t>
  </si>
  <si>
    <t>CUST1155</t>
  </si>
  <si>
    <t>PROD416</t>
  </si>
  <si>
    <t>ORD5488</t>
  </si>
  <si>
    <t>TXN01154</t>
  </si>
  <si>
    <t>CUST1154</t>
  </si>
  <si>
    <t>PROD813</t>
  </si>
  <si>
    <t>ORD3289</t>
  </si>
  <si>
    <t>TXN01153</t>
  </si>
  <si>
    <t>CUST1153</t>
  </si>
  <si>
    <t>ORD9305</t>
  </si>
  <si>
    <t>TXN01152</t>
  </si>
  <si>
    <t>CUST1152</t>
  </si>
  <si>
    <t>PROD809</t>
  </si>
  <si>
    <t>ORD6856</t>
  </si>
  <si>
    <t>TXN01151</t>
  </si>
  <si>
    <t>CUST1151</t>
  </si>
  <si>
    <t>ORD3227</t>
  </si>
  <si>
    <t>TXN01150</t>
  </si>
  <si>
    <t>CUST1150</t>
  </si>
  <si>
    <t>ORD9554</t>
  </si>
  <si>
    <t>TXN01149</t>
  </si>
  <si>
    <t>CUST1149</t>
  </si>
  <si>
    <t>TXN01148</t>
  </si>
  <si>
    <t>CUST1148</t>
  </si>
  <si>
    <t>ORD9634</t>
  </si>
  <si>
    <t>TXN01147</t>
  </si>
  <si>
    <t>CUST1147</t>
  </si>
  <si>
    <t>ORD9313</t>
  </si>
  <si>
    <t>TXN01146</t>
  </si>
  <si>
    <t>CUST1146</t>
  </si>
  <si>
    <t>ORD3237</t>
  </si>
  <si>
    <t>TXN01145</t>
  </si>
  <si>
    <t>CUST1145</t>
  </si>
  <si>
    <t>ORD7280</t>
  </si>
  <si>
    <t>TXN01144</t>
  </si>
  <si>
    <t>CUST1144</t>
  </si>
  <si>
    <t>ORD1565</t>
  </si>
  <si>
    <t>TXN01143</t>
  </si>
  <si>
    <t>CUST1143</t>
  </si>
  <si>
    <t>ORD5291</t>
  </si>
  <si>
    <t>TXN01142</t>
  </si>
  <si>
    <t>CUST1142</t>
  </si>
  <si>
    <t>PROD637</t>
  </si>
  <si>
    <t>ORD8832</t>
  </si>
  <si>
    <t>TXN01141</t>
  </si>
  <si>
    <t>CUST1141</t>
  </si>
  <si>
    <t>PROD785</t>
  </si>
  <si>
    <t>TXN01140</t>
  </si>
  <si>
    <t>CUST1140</t>
  </si>
  <si>
    <t>PROD513</t>
  </si>
  <si>
    <t>ORD7997</t>
  </si>
  <si>
    <t>TXN01139</t>
  </si>
  <si>
    <t>CUST1139</t>
  </si>
  <si>
    <t>TXN01138</t>
  </si>
  <si>
    <t>CUST1138</t>
  </si>
  <si>
    <t>PROD239</t>
  </si>
  <si>
    <t>ORD9965</t>
  </si>
  <si>
    <t>TXN01137</t>
  </si>
  <si>
    <t>CUST1137</t>
  </si>
  <si>
    <t>ORD9228</t>
  </si>
  <si>
    <t>TXN01136</t>
  </si>
  <si>
    <t>CUST1136</t>
  </si>
  <si>
    <t>ORD4987</t>
  </si>
  <si>
    <t>TXN01135</t>
  </si>
  <si>
    <t>CUST1135</t>
  </si>
  <si>
    <t>PROD364</t>
  </si>
  <si>
    <t>ORD5507</t>
  </si>
  <si>
    <t>TXN01134</t>
  </si>
  <si>
    <t>CUST1134</t>
  </si>
  <si>
    <t>PROD202</t>
  </si>
  <si>
    <t>ORD8842</t>
  </si>
  <si>
    <t>TXN01133</t>
  </si>
  <si>
    <t>CUST1133</t>
  </si>
  <si>
    <t>ORD7499</t>
  </si>
  <si>
    <t>TXN01132</t>
  </si>
  <si>
    <t>CUST1132</t>
  </si>
  <si>
    <t>ORD2669</t>
  </si>
  <si>
    <t>TXN01131</t>
  </si>
  <si>
    <t>CUST1131</t>
  </si>
  <si>
    <t>ORD9343</t>
  </si>
  <si>
    <t>TXN01130</t>
  </si>
  <si>
    <t>CUST1130</t>
  </si>
  <si>
    <t>ORD3799</t>
  </si>
  <si>
    <t>TXN01129</t>
  </si>
  <si>
    <t>CUST1129</t>
  </si>
  <si>
    <t>PROD160</t>
  </si>
  <si>
    <t>ORD2384</t>
  </si>
  <si>
    <t>TXN01128</t>
  </si>
  <si>
    <t>CUST1128</t>
  </si>
  <si>
    <t>PROD774</t>
  </si>
  <si>
    <t>ORD5065</t>
  </si>
  <si>
    <t>TXN01127</t>
  </si>
  <si>
    <t>CUST1127</t>
  </si>
  <si>
    <t>PROD165</t>
  </si>
  <si>
    <t>ORD4210</t>
  </si>
  <si>
    <t>TXN01126</t>
  </si>
  <si>
    <t>CUST1126</t>
  </si>
  <si>
    <t>ORD6012</t>
  </si>
  <si>
    <t>TXN01125</t>
  </si>
  <si>
    <t>CUST1125</t>
  </si>
  <si>
    <t>PROD515</t>
  </si>
  <si>
    <t>TXN01124</t>
  </si>
  <si>
    <t>CUST1124</t>
  </si>
  <si>
    <t>PROD387</t>
  </si>
  <si>
    <t>ORD8626</t>
  </si>
  <si>
    <t>TXN01123</t>
  </si>
  <si>
    <t>CUST1123</t>
  </si>
  <si>
    <t>PROD164</t>
  </si>
  <si>
    <t>ORD6480</t>
  </si>
  <si>
    <t>TXN01122</t>
  </si>
  <si>
    <t>CUST1122</t>
  </si>
  <si>
    <t>ORD2683</t>
  </si>
  <si>
    <t>TXN01121</t>
  </si>
  <si>
    <t>CUST1121</t>
  </si>
  <si>
    <t>ORD5755</t>
  </si>
  <si>
    <t>TXN01120</t>
  </si>
  <si>
    <t>CUST1120</t>
  </si>
  <si>
    <t>ORD8113</t>
  </si>
  <si>
    <t>TXN01119</t>
  </si>
  <si>
    <t>CUST1119</t>
  </si>
  <si>
    <t>PROD237</t>
  </si>
  <si>
    <t>TXN01118</t>
  </si>
  <si>
    <t>CUST1118</t>
  </si>
  <si>
    <t>ORD4643</t>
  </si>
  <si>
    <t>TXN01117</t>
  </si>
  <si>
    <t>CUST1117</t>
  </si>
  <si>
    <t>PROD407</t>
  </si>
  <si>
    <t>ORD4046</t>
  </si>
  <si>
    <t>TXN01116</t>
  </si>
  <si>
    <t>CUST1116</t>
  </si>
  <si>
    <t>PROD600</t>
  </si>
  <si>
    <t>ORD2089</t>
  </si>
  <si>
    <t>TXN01115</t>
  </si>
  <si>
    <t>CUST1115</t>
  </si>
  <si>
    <t>ORD4573</t>
  </si>
  <si>
    <t>TXN01114</t>
  </si>
  <si>
    <t>CUST1114</t>
  </si>
  <si>
    <t>PROD592</t>
  </si>
  <si>
    <t>ORD8753</t>
  </si>
  <si>
    <t>TXN01113</t>
  </si>
  <si>
    <t>CUST1113</t>
  </si>
  <si>
    <t>PROD980</t>
  </si>
  <si>
    <t>ORD5989</t>
  </si>
  <si>
    <t>TXN01112</t>
  </si>
  <si>
    <t>CUST1112</t>
  </si>
  <si>
    <t>PROD144</t>
  </si>
  <si>
    <t>ORD9234</t>
  </si>
  <si>
    <t>TXN01111</t>
  </si>
  <si>
    <t>CUST1111</t>
  </si>
  <si>
    <t>ORD1947</t>
  </si>
  <si>
    <t>TXN01110</t>
  </si>
  <si>
    <t>CUST1110</t>
  </si>
  <si>
    <t>PROD553</t>
  </si>
  <si>
    <t>ORD5375</t>
  </si>
  <si>
    <t>TXN01109</t>
  </si>
  <si>
    <t>CUST1109</t>
  </si>
  <si>
    <t>PROD186</t>
  </si>
  <si>
    <t>ORD4185</t>
  </si>
  <si>
    <t>TXN01108</t>
  </si>
  <si>
    <t>CUST1108</t>
  </si>
  <si>
    <t>ORD4797</t>
  </si>
  <si>
    <t>TXN01107</t>
  </si>
  <si>
    <t>CUST1107</t>
  </si>
  <si>
    <t>ORD9128</t>
  </si>
  <si>
    <t>TXN01106</t>
  </si>
  <si>
    <t>CUST1106</t>
  </si>
  <si>
    <t>ORD6235</t>
  </si>
  <si>
    <t>TXN01105</t>
  </si>
  <si>
    <t>CUST1105</t>
  </si>
  <si>
    <t>ORD7056</t>
  </si>
  <si>
    <t>TXN01104</t>
  </si>
  <si>
    <t>CUST1104</t>
  </si>
  <si>
    <t>PROD464</t>
  </si>
  <si>
    <t>ORD5026</t>
  </si>
  <si>
    <t>TXN01103</t>
  </si>
  <si>
    <t>CUST1103</t>
  </si>
  <si>
    <t>ORD3201</t>
  </si>
  <si>
    <t>TXN01102</t>
  </si>
  <si>
    <t>CUST1102</t>
  </si>
  <si>
    <t>ORD3811</t>
  </si>
  <si>
    <t>TXN01101</t>
  </si>
  <si>
    <t>CUST1101</t>
  </si>
  <si>
    <t>PROD882</t>
  </si>
  <si>
    <t>ORD4530</t>
  </si>
  <si>
    <t>TXN01100</t>
  </si>
  <si>
    <t>CUST1100</t>
  </si>
  <si>
    <t>PROD198</t>
  </si>
  <si>
    <t>ORD7469</t>
  </si>
  <si>
    <t>TXN01099</t>
  </si>
  <si>
    <t>CUST1099</t>
  </si>
  <si>
    <t>ORD1391</t>
  </si>
  <si>
    <t>TXN01098</t>
  </si>
  <si>
    <t>CUST1098</t>
  </si>
  <si>
    <t>PROD283</t>
  </si>
  <si>
    <t>ORD1332</t>
  </si>
  <si>
    <t>TXN01097</t>
  </si>
  <si>
    <t>CUST1097</t>
  </si>
  <si>
    <t>PROD735</t>
  </si>
  <si>
    <t>ORD9181</t>
  </si>
  <si>
    <t>TXN01096</t>
  </si>
  <si>
    <t>CUST1096</t>
  </si>
  <si>
    <t>ORD9916</t>
  </si>
  <si>
    <t>TXN01095</t>
  </si>
  <si>
    <t>CUST1095</t>
  </si>
  <si>
    <t>PROD371</t>
  </si>
  <si>
    <t>ORD5211</t>
  </si>
  <si>
    <t>TXN01094</t>
  </si>
  <si>
    <t>CUST1094</t>
  </si>
  <si>
    <t>TXN01093</t>
  </si>
  <si>
    <t>CUST1093</t>
  </si>
  <si>
    <t>PROD334</t>
  </si>
  <si>
    <t>TXN01092</t>
  </si>
  <si>
    <t>CUST1092</t>
  </si>
  <si>
    <t>ORD9463</t>
  </si>
  <si>
    <t>TXN01091</t>
  </si>
  <si>
    <t>CUST1091</t>
  </si>
  <si>
    <t>TXN01090</t>
  </si>
  <si>
    <t>CUST1090</t>
  </si>
  <si>
    <t>PROD540</t>
  </si>
  <si>
    <t>ORD9778</t>
  </si>
  <si>
    <t>TXN01089</t>
  </si>
  <si>
    <t>CUST1089</t>
  </si>
  <si>
    <t>PROD577</t>
  </si>
  <si>
    <t>ORD2456</t>
  </si>
  <si>
    <t>TXN01088</t>
  </si>
  <si>
    <t>CUST1088</t>
  </si>
  <si>
    <t>TXN01087</t>
  </si>
  <si>
    <t>CUST1087</t>
  </si>
  <si>
    <t>PROD892</t>
  </si>
  <si>
    <t>ORD8710</t>
  </si>
  <si>
    <t>TXN01086</t>
  </si>
  <si>
    <t>CUST1086</t>
  </si>
  <si>
    <t>ORD6015</t>
  </si>
  <si>
    <t>TXN01085</t>
  </si>
  <si>
    <t>CUST1085</t>
  </si>
  <si>
    <t>ORD4387</t>
  </si>
  <si>
    <t>TXN01084</t>
  </si>
  <si>
    <t>CUST1084</t>
  </si>
  <si>
    <t>ORD6099</t>
  </si>
  <si>
    <t>TXN01083</t>
  </si>
  <si>
    <t>CUST1083</t>
  </si>
  <si>
    <t>PROD840</t>
  </si>
  <si>
    <t>ORD3188</t>
  </si>
  <si>
    <t>TXN01082</t>
  </si>
  <si>
    <t>CUST1082</t>
  </si>
  <si>
    <t>PROD824</t>
  </si>
  <si>
    <t>ORD8583</t>
  </si>
  <si>
    <t>TXN01081</t>
  </si>
  <si>
    <t>CUST1081</t>
  </si>
  <si>
    <t>ORD1540</t>
  </si>
  <si>
    <t>TXN01080</t>
  </si>
  <si>
    <t>CUST1080</t>
  </si>
  <si>
    <t>ORD2979</t>
  </si>
  <si>
    <t>TXN01079</t>
  </si>
  <si>
    <t>CUST1079</t>
  </si>
  <si>
    <t>PROD586</t>
  </si>
  <si>
    <t>TXN01078</t>
  </si>
  <si>
    <t>CUST1078</t>
  </si>
  <si>
    <t>ORD5886</t>
  </si>
  <si>
    <t>TXN01077</t>
  </si>
  <si>
    <t>CUST1077</t>
  </si>
  <si>
    <t>ORD9706</t>
  </si>
  <si>
    <t>TXN01076</t>
  </si>
  <si>
    <t>CUST1076</t>
  </si>
  <si>
    <t>TXN01075</t>
  </si>
  <si>
    <t>CUST1075</t>
  </si>
  <si>
    <t>ORD6182</t>
  </si>
  <si>
    <t>TXN01074</t>
  </si>
  <si>
    <t>CUST1074</t>
  </si>
  <si>
    <t>PROD132</t>
  </si>
  <si>
    <t>ORD6089</t>
  </si>
  <si>
    <t>TXN01073</t>
  </si>
  <si>
    <t>CUST1073</t>
  </si>
  <si>
    <t>ORD7351</t>
  </si>
  <si>
    <t>TXN01072</t>
  </si>
  <si>
    <t>CUST1072</t>
  </si>
  <si>
    <t>PROD658</t>
  </si>
  <si>
    <t>ORD1242</t>
  </si>
  <si>
    <t>TXN01071</t>
  </si>
  <si>
    <t>CUST1071</t>
  </si>
  <si>
    <t>ORD5023</t>
  </si>
  <si>
    <t>TXN01070</t>
  </si>
  <si>
    <t>CUST1070</t>
  </si>
  <si>
    <t>ORD2477</t>
  </si>
  <si>
    <t>TXN01069</t>
  </si>
  <si>
    <t>CUST1069</t>
  </si>
  <si>
    <t>ORD7526</t>
  </si>
  <si>
    <t>TXN01068</t>
  </si>
  <si>
    <t>CUST1068</t>
  </si>
  <si>
    <t>TXN01067</t>
  </si>
  <si>
    <t>CUST1067</t>
  </si>
  <si>
    <t>ORD1171</t>
  </si>
  <si>
    <t>TXN01066</t>
  </si>
  <si>
    <t>CUST1066</t>
  </si>
  <si>
    <t>ORD5990</t>
  </si>
  <si>
    <t>TXN01065</t>
  </si>
  <si>
    <t>CUST1065</t>
  </si>
  <si>
    <t>PROD726</t>
  </si>
  <si>
    <t>ORD1940</t>
  </si>
  <si>
    <t>TXN01064</t>
  </si>
  <si>
    <t>CUST1064</t>
  </si>
  <si>
    <t>TXN01063</t>
  </si>
  <si>
    <t>CUST1063</t>
  </si>
  <si>
    <t>PROD448</t>
  </si>
  <si>
    <t>ORD9884</t>
  </si>
  <si>
    <t>TXN01062</t>
  </si>
  <si>
    <t>CUST1062</t>
  </si>
  <si>
    <t>ORD2579</t>
  </si>
  <si>
    <t>TXN01061</t>
  </si>
  <si>
    <t>CUST1061</t>
  </si>
  <si>
    <t>ORD7615</t>
  </si>
  <si>
    <t>TXN01060</t>
  </si>
  <si>
    <t>CUST1060</t>
  </si>
  <si>
    <t>ORD9874</t>
  </si>
  <si>
    <t>TXN01059</t>
  </si>
  <si>
    <t>CUST1059</t>
  </si>
  <si>
    <t>PROD699</t>
  </si>
  <si>
    <t>ORD1948</t>
  </si>
  <si>
    <t>TXN01058</t>
  </si>
  <si>
    <t>CUST1058</t>
  </si>
  <si>
    <t>ORD4222</t>
  </si>
  <si>
    <t>TXN01057</t>
  </si>
  <si>
    <t>CUST1057</t>
  </si>
  <si>
    <t>ORD3836</t>
  </si>
  <si>
    <t>TXN01056</t>
  </si>
  <si>
    <t>CUST1056</t>
  </si>
  <si>
    <t>PROD836</t>
  </si>
  <si>
    <t>ORD3625</t>
  </si>
  <si>
    <t>TXN01055</t>
  </si>
  <si>
    <t>CUST1055</t>
  </si>
  <si>
    <t>ORD5234</t>
  </si>
  <si>
    <t>TXN01054</t>
  </si>
  <si>
    <t>CUST1054</t>
  </si>
  <si>
    <t>PROD375</t>
  </si>
  <si>
    <t>ORD3995</t>
  </si>
  <si>
    <t>TXN01053</t>
  </si>
  <si>
    <t>CUST1053</t>
  </si>
  <si>
    <t>ORD4585</t>
  </si>
  <si>
    <t>TXN01052</t>
  </si>
  <si>
    <t>CUST1052</t>
  </si>
  <si>
    <t>ORD7221</t>
  </si>
  <si>
    <t>TXN01051</t>
  </si>
  <si>
    <t>CUST1051</t>
  </si>
  <si>
    <t>PROD689</t>
  </si>
  <si>
    <t>ORD7755</t>
  </si>
  <si>
    <t>TXN01050</t>
  </si>
  <si>
    <t>CUST1050</t>
  </si>
  <si>
    <t>ORD1711</t>
  </si>
  <si>
    <t>TXN01049</t>
  </si>
  <si>
    <t>CUST1049</t>
  </si>
  <si>
    <t>ORD6497</t>
  </si>
  <si>
    <t>TXN01048</t>
  </si>
  <si>
    <t>CUST1048</t>
  </si>
  <si>
    <t>ORD7808</t>
  </si>
  <si>
    <t>TXN01047</t>
  </si>
  <si>
    <t>CUST1047</t>
  </si>
  <si>
    <t>TXN01046</t>
  </si>
  <si>
    <t>CUST1046</t>
  </si>
  <si>
    <t>ORD8490</t>
  </si>
  <si>
    <t>TXN01045</t>
  </si>
  <si>
    <t>CUST1045</t>
  </si>
  <si>
    <t>ORD2840</t>
  </si>
  <si>
    <t>TXN01044</t>
  </si>
  <si>
    <t>CUST1044</t>
  </si>
  <si>
    <t>PROD927</t>
  </si>
  <si>
    <t>ORD1334</t>
  </si>
  <si>
    <t>TXN01043</t>
  </si>
  <si>
    <t>CUST1043</t>
  </si>
  <si>
    <t>PROD996</t>
  </si>
  <si>
    <t>ORD3430</t>
  </si>
  <si>
    <t>TXN01042</t>
  </si>
  <si>
    <t>CUST1042</t>
  </si>
  <si>
    <t>PROD862</t>
  </si>
  <si>
    <t>ORD5876</t>
  </si>
  <si>
    <t>TXN01041</t>
  </si>
  <si>
    <t>CUST1041</t>
  </si>
  <si>
    <t>ORD8504</t>
  </si>
  <si>
    <t>TXN01040</t>
  </si>
  <si>
    <t>CUST1040</t>
  </si>
  <si>
    <t>PROD570</t>
  </si>
  <si>
    <t>ORD7899</t>
  </si>
  <si>
    <t>TXN01039</t>
  </si>
  <si>
    <t>CUST1039</t>
  </si>
  <si>
    <t>ORD5835</t>
  </si>
  <si>
    <t>TXN01038</t>
  </si>
  <si>
    <t>CUST1038</t>
  </si>
  <si>
    <t>PROD548</t>
  </si>
  <si>
    <t>ORD4279</t>
  </si>
  <si>
    <t>TXN01037</t>
  </si>
  <si>
    <t>CUST1037</t>
  </si>
  <si>
    <t>PROD287</t>
  </si>
  <si>
    <t>ORD8080</t>
  </si>
  <si>
    <t>TXN01036</t>
  </si>
  <si>
    <t>CUST1036</t>
  </si>
  <si>
    <t>PROD262</t>
  </si>
  <si>
    <t>ORD3935</t>
  </si>
  <si>
    <t>TXN01035</t>
  </si>
  <si>
    <t>CUST1035</t>
  </si>
  <si>
    <t>PROD884</t>
  </si>
  <si>
    <t>ORD3880</t>
  </si>
  <si>
    <t>TXN01034</t>
  </si>
  <si>
    <t>CUST1034</t>
  </si>
  <si>
    <t>ORD5318</t>
  </si>
  <si>
    <t>TXN01033</t>
  </si>
  <si>
    <t>CUST1033</t>
  </si>
  <si>
    <t>ORD9526</t>
  </si>
  <si>
    <t>TXN01032</t>
  </si>
  <si>
    <t>CUST1032</t>
  </si>
  <si>
    <t>PROD536</t>
  </si>
  <si>
    <t>ORD5267</t>
  </si>
  <si>
    <t>TXN01031</t>
  </si>
  <si>
    <t>CUST1031</t>
  </si>
  <si>
    <t>ORD3498</t>
  </si>
  <si>
    <t>TXN01030</t>
  </si>
  <si>
    <t>CUST1030</t>
  </si>
  <si>
    <t>ORD8573</t>
  </si>
  <si>
    <t>TXN01029</t>
  </si>
  <si>
    <t>CUST1029</t>
  </si>
  <si>
    <t>ORD3266</t>
  </si>
  <si>
    <t>TXN01028</t>
  </si>
  <si>
    <t>CUST1028</t>
  </si>
  <si>
    <t>ORD4933</t>
  </si>
  <si>
    <t>TXN01027</t>
  </si>
  <si>
    <t>CUST1027</t>
  </si>
  <si>
    <t>ORD5681</t>
  </si>
  <si>
    <t>TXN01026</t>
  </si>
  <si>
    <t>CUST1026</t>
  </si>
  <si>
    <t>ORD5846</t>
  </si>
  <si>
    <t>TXN01025</t>
  </si>
  <si>
    <t>CUST1025</t>
  </si>
  <si>
    <t>PROD653</t>
  </si>
  <si>
    <t>ORD9593</t>
  </si>
  <si>
    <t>TXN01024</t>
  </si>
  <si>
    <t>CUST1024</t>
  </si>
  <si>
    <t>ORD5435</t>
  </si>
  <si>
    <t>TXN01023</t>
  </si>
  <si>
    <t>CUST1023</t>
  </si>
  <si>
    <t>PROD422</t>
  </si>
  <si>
    <t>TXN01022</t>
  </si>
  <si>
    <t>CUST1022</t>
  </si>
  <si>
    <t>ORD7865</t>
  </si>
  <si>
    <t>TXN01021</t>
  </si>
  <si>
    <t>CUST1021</t>
  </si>
  <si>
    <t>PROD521</t>
  </si>
  <si>
    <t>ORD2135</t>
  </si>
  <si>
    <t>TXN01020</t>
  </si>
  <si>
    <t>CUST1020</t>
  </si>
  <si>
    <t>ORD4142</t>
  </si>
  <si>
    <t>TXN01019</t>
  </si>
  <si>
    <t>CUST1019</t>
  </si>
  <si>
    <t>ORD5587</t>
  </si>
  <si>
    <t>TXN01018</t>
  </si>
  <si>
    <t>CUST1018</t>
  </si>
  <si>
    <t>ORD1841</t>
  </si>
  <si>
    <t>TXN01017</t>
  </si>
  <si>
    <t>CUST1017</t>
  </si>
  <si>
    <t>TXN01016</t>
  </si>
  <si>
    <t>CUST1016</t>
  </si>
  <si>
    <t>PROD721</t>
  </si>
  <si>
    <t>ORD1861</t>
  </si>
  <si>
    <t>TXN01015</t>
  </si>
  <si>
    <t>CUST1015</t>
  </si>
  <si>
    <t>ORD8006</t>
  </si>
  <si>
    <t>TXN01014</t>
  </si>
  <si>
    <t>CUST1014</t>
  </si>
  <si>
    <t>ORD4109</t>
  </si>
  <si>
    <t>TXN01013</t>
  </si>
  <si>
    <t>CUST1013</t>
  </si>
  <si>
    <t>ORD3439</t>
  </si>
  <si>
    <t>TXN01012</t>
  </si>
  <si>
    <t>CUST1012</t>
  </si>
  <si>
    <t>PROD254</t>
  </si>
  <si>
    <t>ORD2396</t>
  </si>
  <si>
    <t>TXN01011</t>
  </si>
  <si>
    <t>CUST1011</t>
  </si>
  <si>
    <t>PROD821</t>
  </si>
  <si>
    <t>ORD7688</t>
  </si>
  <si>
    <t>TXN01010</t>
  </si>
  <si>
    <t>CUST1010</t>
  </si>
  <si>
    <t>ORD1843</t>
  </si>
  <si>
    <t>TXN01009</t>
  </si>
  <si>
    <t>CUST1009</t>
  </si>
  <si>
    <t>PROD891</t>
  </si>
  <si>
    <t>ORD6556</t>
  </si>
  <si>
    <t>TXN01008</t>
  </si>
  <si>
    <t>CUST1008</t>
  </si>
  <si>
    <t>ORD1793</t>
  </si>
  <si>
    <t>TXN01007</t>
  </si>
  <si>
    <t>CUST1007</t>
  </si>
  <si>
    <t>ORD6828</t>
  </si>
  <si>
    <t>TXN01006</t>
  </si>
  <si>
    <t>CUST1006</t>
  </si>
  <si>
    <t>ORD6934</t>
  </si>
  <si>
    <t>TXN01005</t>
  </si>
  <si>
    <t>CUST1005</t>
  </si>
  <si>
    <t>PROD907</t>
  </si>
  <si>
    <t>ORD3750</t>
  </si>
  <si>
    <t>TXN01004</t>
  </si>
  <si>
    <t>CUST1004</t>
  </si>
  <si>
    <t>PROD932</t>
  </si>
  <si>
    <t>ORD5700</t>
  </si>
  <si>
    <t>TXN01003</t>
  </si>
  <si>
    <t>CUST1003</t>
  </si>
  <si>
    <t>PROD152</t>
  </si>
  <si>
    <t>TXN01002</t>
  </si>
  <si>
    <t>CUST1002</t>
  </si>
  <si>
    <t>ORD8284</t>
  </si>
  <si>
    <t>TXN01001</t>
  </si>
  <si>
    <t>CUST1001</t>
  </si>
  <si>
    <t>ORD8512</t>
  </si>
  <si>
    <t>TXN01000</t>
  </si>
  <si>
    <t>CUST1000</t>
  </si>
  <si>
    <t>PROD233</t>
  </si>
  <si>
    <t>ORD3786</t>
  </si>
  <si>
    <t>TXN00999</t>
  </si>
  <si>
    <t>CUST0999</t>
  </si>
  <si>
    <t>PROD560</t>
  </si>
  <si>
    <t>ORD8516</t>
  </si>
  <si>
    <t>TXN00998</t>
  </si>
  <si>
    <t>CUST0998</t>
  </si>
  <si>
    <t>ORD8855</t>
  </si>
  <si>
    <t>TXN00997</t>
  </si>
  <si>
    <t>CUST0997</t>
  </si>
  <si>
    <t>ORD8409</t>
  </si>
  <si>
    <t>TXN00996</t>
  </si>
  <si>
    <t>CUST0996</t>
  </si>
  <si>
    <t>PROD120</t>
  </si>
  <si>
    <t>ORD1838</t>
  </si>
  <si>
    <t>TXN00995</t>
  </si>
  <si>
    <t>CUST0995</t>
  </si>
  <si>
    <t>ORD1256</t>
  </si>
  <si>
    <t>TXN00994</t>
  </si>
  <si>
    <t>CUST0994</t>
  </si>
  <si>
    <t>PROD138</t>
  </si>
  <si>
    <t>ORD1015</t>
  </si>
  <si>
    <t>TXN00993</t>
  </si>
  <si>
    <t>CUST0993</t>
  </si>
  <si>
    <t>ORD3285</t>
  </si>
  <si>
    <t>TXN00992</t>
  </si>
  <si>
    <t>CUST0992</t>
  </si>
  <si>
    <t>ORD7124</t>
  </si>
  <si>
    <t>TXN00991</t>
  </si>
  <si>
    <t>CUST0991</t>
  </si>
  <si>
    <t>PROD708</t>
  </si>
  <si>
    <t>TXN00990</t>
  </si>
  <si>
    <t>CUST0990</t>
  </si>
  <si>
    <t>TXN00989</t>
  </si>
  <si>
    <t>CUST0989</t>
  </si>
  <si>
    <t>ORD3768</t>
  </si>
  <si>
    <t>TXN00988</t>
  </si>
  <si>
    <t>CUST0988</t>
  </si>
  <si>
    <t>PROD386</t>
  </si>
  <si>
    <t>ORD3077</t>
  </si>
  <si>
    <t>TXN00987</t>
  </si>
  <si>
    <t>CUST0987</t>
  </si>
  <si>
    <t>PROD265</t>
  </si>
  <si>
    <t>ORD2545</t>
  </si>
  <si>
    <t>TXN00986</t>
  </si>
  <si>
    <t>CUST0986</t>
  </si>
  <si>
    <t>PROD972</t>
  </si>
  <si>
    <t>ORD2984</t>
  </si>
  <si>
    <t>TXN00985</t>
  </si>
  <si>
    <t>CUST0985</t>
  </si>
  <si>
    <t>ORD8554</t>
  </si>
  <si>
    <t>TXN00984</t>
  </si>
  <si>
    <t>CUST0984</t>
  </si>
  <si>
    <t>ORD9920</t>
  </si>
  <si>
    <t>TXN00983</t>
  </si>
  <si>
    <t>CUST0983</t>
  </si>
  <si>
    <t>ORD6576</t>
  </si>
  <si>
    <t>TXN00982</t>
  </si>
  <si>
    <t>CUST0982</t>
  </si>
  <si>
    <t>PROD250</t>
  </si>
  <si>
    <t>ORD6619</t>
  </si>
  <si>
    <t>TXN00981</t>
  </si>
  <si>
    <t>CUST0981</t>
  </si>
  <si>
    <t>ORD8456</t>
  </si>
  <si>
    <t>TXN00980</t>
  </si>
  <si>
    <t>CUST0980</t>
  </si>
  <si>
    <t>ORD3991</t>
  </si>
  <si>
    <t>TXN00979</t>
  </si>
  <si>
    <t>CUST0979</t>
  </si>
  <si>
    <t>PROD514</t>
  </si>
  <si>
    <t>ORD1531</t>
  </si>
  <si>
    <t>TXN00978</t>
  </si>
  <si>
    <t>CUST0978</t>
  </si>
  <si>
    <t>ORD7259</t>
  </si>
  <si>
    <t>TXN00977</t>
  </si>
  <si>
    <t>CUST0977</t>
  </si>
  <si>
    <t>TXN00976</t>
  </si>
  <si>
    <t>CUST0976</t>
  </si>
  <si>
    <t>PROD459</t>
  </si>
  <si>
    <t>TXN00975</t>
  </si>
  <si>
    <t>CUST0975</t>
  </si>
  <si>
    <t>PROD920</t>
  </si>
  <si>
    <t>ORD5961</t>
  </si>
  <si>
    <t>TXN00974</t>
  </si>
  <si>
    <t>CUST0974</t>
  </si>
  <si>
    <t>ORD1972</t>
  </si>
  <si>
    <t>TXN00973</t>
  </si>
  <si>
    <t>CUST0973</t>
  </si>
  <si>
    <t>PROD154</t>
  </si>
  <si>
    <t>ORD2859</t>
  </si>
  <si>
    <t>TXN00972</t>
  </si>
  <si>
    <t>CUST0972</t>
  </si>
  <si>
    <t>PROD591</t>
  </si>
  <si>
    <t>ORD9034</t>
  </si>
  <si>
    <t>TXN00971</t>
  </si>
  <si>
    <t>CUST0971</t>
  </si>
  <si>
    <t>ORD2884</t>
  </si>
  <si>
    <t>TXN00970</t>
  </si>
  <si>
    <t>CUST0970</t>
  </si>
  <si>
    <t>ORD8709</t>
  </si>
  <si>
    <t>TXN00969</t>
  </si>
  <si>
    <t>CUST0969</t>
  </si>
  <si>
    <t>ORD5520</t>
  </si>
  <si>
    <t>TXN00968</t>
  </si>
  <si>
    <t>CUST0968</t>
  </si>
  <si>
    <t>PROD667</t>
  </si>
  <si>
    <t>ORD9322</t>
  </si>
  <si>
    <t>TXN00967</t>
  </si>
  <si>
    <t>CUST0967</t>
  </si>
  <si>
    <t>PROD834</t>
  </si>
  <si>
    <t>ORD3031</t>
  </si>
  <si>
    <t>TXN00966</t>
  </si>
  <si>
    <t>CUST0966</t>
  </si>
  <si>
    <t>PROD872</t>
  </si>
  <si>
    <t>ORD9370</t>
  </si>
  <si>
    <t>TXN00965</t>
  </si>
  <si>
    <t>CUST0965</t>
  </si>
  <si>
    <t>PROD356</t>
  </si>
  <si>
    <t>ORD9091</t>
  </si>
  <si>
    <t>TXN00964</t>
  </si>
  <si>
    <t>CUST0964</t>
  </si>
  <si>
    <t>ORD6211</t>
  </si>
  <si>
    <t>TXN00963</t>
  </si>
  <si>
    <t>CUST0963</t>
  </si>
  <si>
    <t>ORD4043</t>
  </si>
  <si>
    <t>TXN00962</t>
  </si>
  <si>
    <t>CUST0962</t>
  </si>
  <si>
    <t>ORD4691</t>
  </si>
  <si>
    <t>TXN00961</t>
  </si>
  <si>
    <t>CUST0961</t>
  </si>
  <si>
    <t>ORD8208</t>
  </si>
  <si>
    <t>TXN00960</t>
  </si>
  <si>
    <t>CUST0960</t>
  </si>
  <si>
    <t>PROD898</t>
  </si>
  <si>
    <t>ORD9863</t>
  </si>
  <si>
    <t>TXN00959</t>
  </si>
  <si>
    <t>CUST0959</t>
  </si>
  <si>
    <t>PROD486</t>
  </si>
  <si>
    <t>TXN00958</t>
  </si>
  <si>
    <t>CUST0958</t>
  </si>
  <si>
    <t>ORD4970</t>
  </si>
  <si>
    <t>TXN00957</t>
  </si>
  <si>
    <t>CUST0957</t>
  </si>
  <si>
    <t>ORD6891</t>
  </si>
  <si>
    <t>TXN00956</t>
  </si>
  <si>
    <t>CUST0956</t>
  </si>
  <si>
    <t>ORD2352</t>
  </si>
  <si>
    <t>TXN00955</t>
  </si>
  <si>
    <t>CUST0955</t>
  </si>
  <si>
    <t>ORD3070</t>
  </si>
  <si>
    <t>TXN00954</t>
  </si>
  <si>
    <t>CUST0954</t>
  </si>
  <si>
    <t>ORD3920</t>
  </si>
  <si>
    <t>TXN00953</t>
  </si>
  <si>
    <t>CUST0953</t>
  </si>
  <si>
    <t>PROD285</t>
  </si>
  <si>
    <t>ORD6264</t>
  </si>
  <si>
    <t>TXN00952</t>
  </si>
  <si>
    <t>CUST0952</t>
  </si>
  <si>
    <t>ORD4422</t>
  </si>
  <si>
    <t>TXN00951</t>
  </si>
  <si>
    <t>CUST0951</t>
  </si>
  <si>
    <t>ORD3656</t>
  </si>
  <si>
    <t>TXN00950</t>
  </si>
  <si>
    <t>CUST0950</t>
  </si>
  <si>
    <t>ORD7748</t>
  </si>
  <si>
    <t>TXN00949</t>
  </si>
  <si>
    <t>CUST0949</t>
  </si>
  <si>
    <t>ORD5957</t>
  </si>
  <si>
    <t>TXN00948</t>
  </si>
  <si>
    <t>CUST0948</t>
  </si>
  <si>
    <t>ORD6719</t>
  </si>
  <si>
    <t>TXN00947</t>
  </si>
  <si>
    <t>CUST0947</t>
  </si>
  <si>
    <t>ORD8734</t>
  </si>
  <si>
    <t>TXN00946</t>
  </si>
  <si>
    <t>CUST0946</t>
  </si>
  <si>
    <t>ORD4586</t>
  </si>
  <si>
    <t>TXN00945</t>
  </si>
  <si>
    <t>CUST0945</t>
  </si>
  <si>
    <t>ORD7188</t>
  </si>
  <si>
    <t>TXN00944</t>
  </si>
  <si>
    <t>CUST0944</t>
  </si>
  <si>
    <t>ORD5359</t>
  </si>
  <si>
    <t>TXN00943</t>
  </si>
  <si>
    <t>CUST0943</t>
  </si>
  <si>
    <t>ORD8887</t>
  </si>
  <si>
    <t>TXN00942</t>
  </si>
  <si>
    <t>CUST0942</t>
  </si>
  <si>
    <t>PROD414</t>
  </si>
  <si>
    <t>ORD5380</t>
  </si>
  <si>
    <t>TXN00941</t>
  </si>
  <si>
    <t>CUST0941</t>
  </si>
  <si>
    <t>ORD1553</t>
  </si>
  <si>
    <t>TXN00940</t>
  </si>
  <si>
    <t>CUST0940</t>
  </si>
  <si>
    <t>PROD190</t>
  </si>
  <si>
    <t>ORD7964</t>
  </si>
  <si>
    <t>TXN00939</t>
  </si>
  <si>
    <t>CUST0939</t>
  </si>
  <si>
    <t>ORD7206</t>
  </si>
  <si>
    <t>TXN00938</t>
  </si>
  <si>
    <t>CUST0938</t>
  </si>
  <si>
    <t>ORD9430</t>
  </si>
  <si>
    <t>TXN00937</t>
  </si>
  <si>
    <t>CUST0937</t>
  </si>
  <si>
    <t>PROD346</t>
  </si>
  <si>
    <t>ORD8446</t>
  </si>
  <si>
    <t>TXN00936</t>
  </si>
  <si>
    <t>CUST0936</t>
  </si>
  <si>
    <t>ORD2737</t>
  </si>
  <si>
    <t>TXN00935</t>
  </si>
  <si>
    <t>CUST0935</t>
  </si>
  <si>
    <t>ORD6220</t>
  </si>
  <si>
    <t>TXN00934</t>
  </si>
  <si>
    <t>CUST0934</t>
  </si>
  <si>
    <t>ORD7403</t>
  </si>
  <si>
    <t>TXN00933</t>
  </si>
  <si>
    <t>CUST0933</t>
  </si>
  <si>
    <t>PROD695</t>
  </si>
  <si>
    <t>ORD9446</t>
  </si>
  <si>
    <t>TXN00932</t>
  </si>
  <si>
    <t>CUST0932</t>
  </si>
  <si>
    <t>ORD8078</t>
  </si>
  <si>
    <t>TXN00931</t>
  </si>
  <si>
    <t>CUST0931</t>
  </si>
  <si>
    <t>ORD5472</t>
  </si>
  <si>
    <t>TXN00930</t>
  </si>
  <si>
    <t>CUST0930</t>
  </si>
  <si>
    <t>PROD626</t>
  </si>
  <si>
    <t>ORD6425</t>
  </si>
  <si>
    <t>TXN00929</t>
  </si>
  <si>
    <t>CUST0929</t>
  </si>
  <si>
    <t>ORD4984</t>
  </si>
  <si>
    <t>TXN00928</t>
  </si>
  <si>
    <t>CUST0928</t>
  </si>
  <si>
    <t>ORD9027</t>
  </si>
  <si>
    <t>TXN00927</t>
  </si>
  <si>
    <t>CUST0927</t>
  </si>
  <si>
    <t>PROD730</t>
  </si>
  <si>
    <t>TXN00926</t>
  </si>
  <si>
    <t>CUST0926</t>
  </si>
  <si>
    <t>ORD7767</t>
  </si>
  <si>
    <t>TXN00925</t>
  </si>
  <si>
    <t>CUST0925</t>
  </si>
  <si>
    <t>PROD539</t>
  </si>
  <si>
    <t>ORD8793</t>
  </si>
  <si>
    <t>TXN00924</t>
  </si>
  <si>
    <t>CUST0924</t>
  </si>
  <si>
    <t>ORD3702</t>
  </si>
  <si>
    <t>TXN00923</t>
  </si>
  <si>
    <t>CUST0923</t>
  </si>
  <si>
    <t>PROD612</t>
  </si>
  <si>
    <t>ORD6005</t>
  </si>
  <si>
    <t>TXN00922</t>
  </si>
  <si>
    <t>CUST0922</t>
  </si>
  <si>
    <t>TXN00921</t>
  </si>
  <si>
    <t>CUST0921</t>
  </si>
  <si>
    <t>ORD4932</t>
  </si>
  <si>
    <t>TXN00920</t>
  </si>
  <si>
    <t>CUST0920</t>
  </si>
  <si>
    <t>ORD2880</t>
  </si>
  <si>
    <t>TXN00919</t>
  </si>
  <si>
    <t>CUST0919</t>
  </si>
  <si>
    <t>PROD191</t>
  </si>
  <si>
    <t>ORD2399</t>
  </si>
  <si>
    <t>TXN00918</t>
  </si>
  <si>
    <t>CUST0918</t>
  </si>
  <si>
    <t>ORD8333</t>
  </si>
  <si>
    <t>TXN00917</t>
  </si>
  <si>
    <t>CUST0917</t>
  </si>
  <si>
    <t>ORD2523</t>
  </si>
  <si>
    <t>TXN00916</t>
  </si>
  <si>
    <t>CUST0916</t>
  </si>
  <si>
    <t>ORD7232</t>
  </si>
  <si>
    <t>TXN00915</t>
  </si>
  <si>
    <t>CUST0915</t>
  </si>
  <si>
    <t>ORD4328</t>
  </si>
  <si>
    <t>TXN00914</t>
  </si>
  <si>
    <t>CUST0914</t>
  </si>
  <si>
    <t>PROD300</t>
  </si>
  <si>
    <t>ORD3483</t>
  </si>
  <si>
    <t>TXN00913</t>
  </si>
  <si>
    <t>CUST0913</t>
  </si>
  <si>
    <t>ORD2377</t>
  </si>
  <si>
    <t>TXN00912</t>
  </si>
  <si>
    <t>CUST0912</t>
  </si>
  <si>
    <t>PROD952</t>
  </si>
  <si>
    <t>ORD5178</t>
  </si>
  <si>
    <t>TXN00911</t>
  </si>
  <si>
    <t>CUST0911</t>
  </si>
  <si>
    <t>ORD9762</t>
  </si>
  <si>
    <t>TXN00910</t>
  </si>
  <si>
    <t>CUST0910</t>
  </si>
  <si>
    <t>ORD5801</t>
  </si>
  <si>
    <t>TXN00909</t>
  </si>
  <si>
    <t>CUST0909</t>
  </si>
  <si>
    <t>PROD485</t>
  </si>
  <si>
    <t>ORD7762</t>
  </si>
  <si>
    <t>TXN00908</t>
  </si>
  <si>
    <t>CUST0908</t>
  </si>
  <si>
    <t>PROD475</t>
  </si>
  <si>
    <t>ORD1191</t>
  </si>
  <si>
    <t>TXN00907</t>
  </si>
  <si>
    <t>CUST0907</t>
  </si>
  <si>
    <t>ORD6709</t>
  </si>
  <si>
    <t>TXN00906</t>
  </si>
  <si>
    <t>CUST0906</t>
  </si>
  <si>
    <t>PROD565</t>
  </si>
  <si>
    <t>ORD9301</t>
  </si>
  <si>
    <t>TXN00905</t>
  </si>
  <si>
    <t>CUST0905</t>
  </si>
  <si>
    <t>ORD2549</t>
  </si>
  <si>
    <t>TXN00904</t>
  </si>
  <si>
    <t>CUST0904</t>
  </si>
  <si>
    <t>ORD9710</t>
  </si>
  <si>
    <t>TXN00903</t>
  </si>
  <si>
    <t>CUST0903</t>
  </si>
  <si>
    <t>ORD9760</t>
  </si>
  <si>
    <t>TXN00902</t>
  </si>
  <si>
    <t>CUST0902</t>
  </si>
  <si>
    <t>PROD264</t>
  </si>
  <si>
    <t>ORD9134</t>
  </si>
  <si>
    <t>TXN00901</t>
  </si>
  <si>
    <t>CUST0901</t>
  </si>
  <si>
    <t>TXN00900</t>
  </si>
  <si>
    <t>CUST0900</t>
  </si>
  <si>
    <t>ORD7450</t>
  </si>
  <si>
    <t>TXN00899</t>
  </si>
  <si>
    <t>CUST0899</t>
  </si>
  <si>
    <t>ORD4552</t>
  </si>
  <si>
    <t>TXN00898</t>
  </si>
  <si>
    <t>CUST0898</t>
  </si>
  <si>
    <t>PROD861</t>
  </si>
  <si>
    <t>ORD9768</t>
  </si>
  <si>
    <t>TXN00897</t>
  </si>
  <si>
    <t>CUST0897</t>
  </si>
  <si>
    <t>ORD1919</t>
  </si>
  <si>
    <t>TXN00896</t>
  </si>
  <si>
    <t>CUST0896</t>
  </si>
  <si>
    <t>PROD542</t>
  </si>
  <si>
    <t>ORD5611</t>
  </si>
  <si>
    <t>TXN00895</t>
  </si>
  <si>
    <t>CUST0895</t>
  </si>
  <si>
    <t>ORD4616</t>
  </si>
  <si>
    <t>TXN00894</t>
  </si>
  <si>
    <t>CUST0894</t>
  </si>
  <si>
    <t>ORD5191</t>
  </si>
  <si>
    <t>TXN00893</t>
  </si>
  <si>
    <t>CUST0893</t>
  </si>
  <si>
    <t>ORD9560</t>
  </si>
  <si>
    <t>TXN00892</t>
  </si>
  <si>
    <t>CUST0892</t>
  </si>
  <si>
    <t>ORD8847</t>
  </si>
  <si>
    <t>TXN00891</t>
  </si>
  <si>
    <t>CUST0891</t>
  </si>
  <si>
    <t>PROD185</t>
  </si>
  <si>
    <t>ORD3994</t>
  </si>
  <si>
    <t>TXN00890</t>
  </si>
  <si>
    <t>CUST0890</t>
  </si>
  <si>
    <t>PROD725</t>
  </si>
  <si>
    <t>ORD1193</t>
  </si>
  <si>
    <t>TXN00889</t>
  </si>
  <si>
    <t>CUST0889</t>
  </si>
  <si>
    <t>ORD7390</t>
  </si>
  <si>
    <t>TXN00888</t>
  </si>
  <si>
    <t>CUST0888</t>
  </si>
  <si>
    <t>ORD3180</t>
  </si>
  <si>
    <t>TXN00887</t>
  </si>
  <si>
    <t>CUST0887</t>
  </si>
  <si>
    <t>ORD6520</t>
  </si>
  <si>
    <t>TXN00886</t>
  </si>
  <si>
    <t>CUST0886</t>
  </si>
  <si>
    <t>PROD303</t>
  </si>
  <si>
    <t>ORD7013</t>
  </si>
  <si>
    <t>TXN00885</t>
  </si>
  <si>
    <t>CUST0885</t>
  </si>
  <si>
    <t>PROD716</t>
  </si>
  <si>
    <t>ORD2589</t>
  </si>
  <si>
    <t>TXN00884</t>
  </si>
  <si>
    <t>CUST0884</t>
  </si>
  <si>
    <t>ORD6079</t>
  </si>
  <si>
    <t>TXN00883</t>
  </si>
  <si>
    <t>CUST0883</t>
  </si>
  <si>
    <t>ORD2960</t>
  </si>
  <si>
    <t>TXN00882</t>
  </si>
  <si>
    <t>CUST0882</t>
  </si>
  <si>
    <t>ORD7743</t>
  </si>
  <si>
    <t>TXN00881</t>
  </si>
  <si>
    <t>CUST0881</t>
  </si>
  <si>
    <t>ORD9396</t>
  </si>
  <si>
    <t>TXN00880</t>
  </si>
  <si>
    <t>CUST0880</t>
  </si>
  <si>
    <t>ORD3026</t>
  </si>
  <si>
    <t>TXN00879</t>
  </si>
  <si>
    <t>CUST0879</t>
  </si>
  <si>
    <t>PROD969</t>
  </si>
  <si>
    <t>ORD2428</t>
  </si>
  <si>
    <t>TXN00878</t>
  </si>
  <si>
    <t>CUST0878</t>
  </si>
  <si>
    <t>ORD7641</t>
  </si>
  <si>
    <t>TXN00877</t>
  </si>
  <si>
    <t>CUST0877</t>
  </si>
  <si>
    <t>ORD6293</t>
  </si>
  <si>
    <t>TXN00876</t>
  </si>
  <si>
    <t>CUST0876</t>
  </si>
  <si>
    <t>ORD4458</t>
  </si>
  <si>
    <t>TXN00875</t>
  </si>
  <si>
    <t>CUST0875</t>
  </si>
  <si>
    <t>ORD6181</t>
  </si>
  <si>
    <t>TXN00874</t>
  </si>
  <si>
    <t>CUST0874</t>
  </si>
  <si>
    <t>PROD425</t>
  </si>
  <si>
    <t>ORD8514</t>
  </si>
  <si>
    <t>TXN00873</t>
  </si>
  <si>
    <t>CUST0873</t>
  </si>
  <si>
    <t>ORD9355</t>
  </si>
  <si>
    <t>TXN00872</t>
  </si>
  <si>
    <t>CUST0872</t>
  </si>
  <si>
    <t>ORD9189</t>
  </si>
  <si>
    <t>TXN00871</t>
  </si>
  <si>
    <t>CUST0871</t>
  </si>
  <si>
    <t>ORD5048</t>
  </si>
  <si>
    <t>TXN00870</t>
  </si>
  <si>
    <t>CUST0870</t>
  </si>
  <si>
    <t>ORD5111</t>
  </si>
  <si>
    <t>TXN00869</t>
  </si>
  <si>
    <t>CUST0869</t>
  </si>
  <si>
    <t>ORD4030</t>
  </si>
  <si>
    <t>TXN00868</t>
  </si>
  <si>
    <t>CUST0868</t>
  </si>
  <si>
    <t>PROD683</t>
  </si>
  <si>
    <t>ORD3425</t>
  </si>
  <si>
    <t>TXN00867</t>
  </si>
  <si>
    <t>CUST0867</t>
  </si>
  <si>
    <t>ORD4526</t>
  </si>
  <si>
    <t>TXN00866</t>
  </si>
  <si>
    <t>CUST0866</t>
  </si>
  <si>
    <t>PROD788</t>
  </si>
  <si>
    <t>ORD1867</t>
  </si>
  <si>
    <t>TXN00865</t>
  </si>
  <si>
    <t>CUST0865</t>
  </si>
  <si>
    <t>PROD470</t>
  </si>
  <si>
    <t>ORD2435</t>
  </si>
  <si>
    <t>TXN00864</t>
  </si>
  <si>
    <t>CUST0864</t>
  </si>
  <si>
    <t>ORD6385</t>
  </si>
  <si>
    <t>TXN00863</t>
  </si>
  <si>
    <t>CUST0863</t>
  </si>
  <si>
    <t>ORD1064</t>
  </si>
  <si>
    <t>TXN00862</t>
  </si>
  <si>
    <t>CUST0862</t>
  </si>
  <si>
    <t>PROD914</t>
  </si>
  <si>
    <t>ORD6975</t>
  </si>
  <si>
    <t>TXN00861</t>
  </si>
  <si>
    <t>CUST0861</t>
  </si>
  <si>
    <t>PROD917</t>
  </si>
  <si>
    <t>ORD3432</t>
  </si>
  <si>
    <t>TXN00860</t>
  </si>
  <si>
    <t>CUST0860</t>
  </si>
  <si>
    <t>PROD238</t>
  </si>
  <si>
    <t>ORD7300</t>
  </si>
  <si>
    <t>TXN00859</t>
  </si>
  <si>
    <t>CUST0859</t>
  </si>
  <si>
    <t>ORD8096</t>
  </si>
  <si>
    <t>TXN00858</t>
  </si>
  <si>
    <t>CUST0858</t>
  </si>
  <si>
    <t>ORD7939</t>
  </si>
  <si>
    <t>TXN00857</t>
  </si>
  <si>
    <t>CUST0857</t>
  </si>
  <si>
    <t>TXN00856</t>
  </si>
  <si>
    <t>CUST0856</t>
  </si>
  <si>
    <t>ORD7787</t>
  </si>
  <si>
    <t>TXN00855</t>
  </si>
  <si>
    <t>CUST0855</t>
  </si>
  <si>
    <t>PROD843</t>
  </si>
  <si>
    <t>ORD9561</t>
  </si>
  <si>
    <t>TXN00854</t>
  </si>
  <si>
    <t>CUST0854</t>
  </si>
  <si>
    <t>PROD839</t>
  </si>
  <si>
    <t>ORD8149</t>
  </si>
  <si>
    <t>TXN00853</t>
  </si>
  <si>
    <t>CUST0853</t>
  </si>
  <si>
    <t>ORD1436</t>
  </si>
  <si>
    <t>TXN00852</t>
  </si>
  <si>
    <t>CUST0852</t>
  </si>
  <si>
    <t>ORD4662</t>
  </si>
  <si>
    <t>TXN00851</t>
  </si>
  <si>
    <t>CUST0851</t>
  </si>
  <si>
    <t>PROD968</t>
  </si>
  <si>
    <t>ORD1434</t>
  </si>
  <si>
    <t>TXN00850</t>
  </si>
  <si>
    <t>CUST0850</t>
  </si>
  <si>
    <t>ORD1301</t>
  </si>
  <si>
    <t>TXN00849</t>
  </si>
  <si>
    <t>CUST0849</t>
  </si>
  <si>
    <t>ORD6348</t>
  </si>
  <si>
    <t>TXN00848</t>
  </si>
  <si>
    <t>CUST0848</t>
  </si>
  <si>
    <t>ORD7225</t>
  </si>
  <si>
    <t>TXN00847</t>
  </si>
  <si>
    <t>CUST0847</t>
  </si>
  <si>
    <t>TXN00846</t>
  </si>
  <si>
    <t>CUST0846</t>
  </si>
  <si>
    <t>PROD845</t>
  </si>
  <si>
    <t>ORD7741</t>
  </si>
  <si>
    <t>TXN00845</t>
  </si>
  <si>
    <t>CUST0845</t>
  </si>
  <si>
    <t>TXN00844</t>
  </si>
  <si>
    <t>CUST0844</t>
  </si>
  <si>
    <t>ORD7960</t>
  </si>
  <si>
    <t>TXN00843</t>
  </si>
  <si>
    <t>CUST0843</t>
  </si>
  <si>
    <t>ORD8839</t>
  </si>
  <si>
    <t>TXN00842</t>
  </si>
  <si>
    <t>CUST0842</t>
  </si>
  <si>
    <t>ORD8533</t>
  </si>
  <si>
    <t>TXN00841</t>
  </si>
  <si>
    <t>CUST0841</t>
  </si>
  <si>
    <t>PROD700</t>
  </si>
  <si>
    <t>ORD8170</t>
  </si>
  <si>
    <t>TXN00840</t>
  </si>
  <si>
    <t>CUST0840</t>
  </si>
  <si>
    <t>PROD492</t>
  </si>
  <si>
    <t>ORD1508</t>
  </si>
  <si>
    <t>TXN00839</t>
  </si>
  <si>
    <t>CUST0839</t>
  </si>
  <si>
    <t>ORD3481</t>
  </si>
  <si>
    <t>TXN00838</t>
  </si>
  <si>
    <t>CUST0838</t>
  </si>
  <si>
    <t>ORD7482</t>
  </si>
  <si>
    <t>TXN00837</t>
  </si>
  <si>
    <t>CUST0837</t>
  </si>
  <si>
    <t>PROD192</t>
  </si>
  <si>
    <t>ORD6764</t>
  </si>
  <si>
    <t>TXN00836</t>
  </si>
  <si>
    <t>CUST0836</t>
  </si>
  <si>
    <t>ORD2911</t>
  </si>
  <si>
    <t>TXN00835</t>
  </si>
  <si>
    <t>CUST0835</t>
  </si>
  <si>
    <t>PROD440</t>
  </si>
  <si>
    <t>ORD8945</t>
  </si>
  <si>
    <t>TXN00834</t>
  </si>
  <si>
    <t>CUST0834</t>
  </si>
  <si>
    <t>ORD9766</t>
  </si>
  <si>
    <t>TXN00833</t>
  </si>
  <si>
    <t>CUST0833</t>
  </si>
  <si>
    <t>TXN00832</t>
  </si>
  <si>
    <t>CUST0832</t>
  </si>
  <si>
    <t>PROD487</t>
  </si>
  <si>
    <t>TXN00831</t>
  </si>
  <si>
    <t>CUST0831</t>
  </si>
  <si>
    <t>ORD3447</t>
  </si>
  <si>
    <t>TXN00830</t>
  </si>
  <si>
    <t>CUST0830</t>
  </si>
  <si>
    <t>ORD4457</t>
  </si>
  <si>
    <t>TXN00829</t>
  </si>
  <si>
    <t>CUST0829</t>
  </si>
  <si>
    <t>ORD2403</t>
  </si>
  <si>
    <t>TXN00828</t>
  </si>
  <si>
    <t>CUST0828</t>
  </si>
  <si>
    <t>ORD3705</t>
  </si>
  <si>
    <t>TXN00827</t>
  </si>
  <si>
    <t>CUST0827</t>
  </si>
  <si>
    <t>ORD6369</t>
  </si>
  <si>
    <t>TXN00826</t>
  </si>
  <si>
    <t>CUST0826</t>
  </si>
  <si>
    <t>ORD5820</t>
  </si>
  <si>
    <t>TXN00825</t>
  </si>
  <si>
    <t>CUST0825</t>
  </si>
  <si>
    <t>PROD833</t>
  </si>
  <si>
    <t>ORD1032</t>
  </si>
  <si>
    <t>TXN00824</t>
  </si>
  <si>
    <t>CUST0824</t>
  </si>
  <si>
    <t>TXN00823</t>
  </si>
  <si>
    <t>CUST0823</t>
  </si>
  <si>
    <t>ORD5473</t>
  </si>
  <si>
    <t>TXN00822</t>
  </si>
  <si>
    <t>CUST0822</t>
  </si>
  <si>
    <t>PROD911</t>
  </si>
  <si>
    <t>ORD4745</t>
  </si>
  <si>
    <t>TXN00821</t>
  </si>
  <si>
    <t>CUST0821</t>
  </si>
  <si>
    <t>ORD9813</t>
  </si>
  <si>
    <t>TXN00820</t>
  </si>
  <si>
    <t>CUST0820</t>
  </si>
  <si>
    <t>ORD1277</t>
  </si>
  <si>
    <t>TXN00819</t>
  </si>
  <si>
    <t>CUST0819</t>
  </si>
  <si>
    <t>ORD6441</t>
  </si>
  <si>
    <t>TXN00818</t>
  </si>
  <si>
    <t>CUST0818</t>
  </si>
  <si>
    <t>ORD5519</t>
  </si>
  <si>
    <t>TXN00817</t>
  </si>
  <si>
    <t>CUST0817</t>
  </si>
  <si>
    <t>ORD2902</t>
  </si>
  <si>
    <t>TXN00816</t>
  </si>
  <si>
    <t>CUST0816</t>
  </si>
  <si>
    <t>ORD2819</t>
  </si>
  <si>
    <t>TXN00815</t>
  </si>
  <si>
    <t>CUST0815</t>
  </si>
  <si>
    <t>ORD4922</t>
  </si>
  <si>
    <t>TXN00814</t>
  </si>
  <si>
    <t>CUST0814</t>
  </si>
  <si>
    <t>ORD5661</t>
  </si>
  <si>
    <t>TXN00813</t>
  </si>
  <si>
    <t>CUST0813</t>
  </si>
  <si>
    <t>ORD2113</t>
  </si>
  <si>
    <t>TXN00812</t>
  </si>
  <si>
    <t>CUST0812</t>
  </si>
  <si>
    <t>ORD3954</t>
  </si>
  <si>
    <t>TXN00811</t>
  </si>
  <si>
    <t>CUST0811</t>
  </si>
  <si>
    <t>ORD4253</t>
  </si>
  <si>
    <t>TXN00810</t>
  </si>
  <si>
    <t>CUST0810</t>
  </si>
  <si>
    <t>ORD6849</t>
  </si>
  <si>
    <t>TXN00809</t>
  </si>
  <si>
    <t>CUST0809</t>
  </si>
  <si>
    <t>ORD2534</t>
  </si>
  <si>
    <t>TXN00808</t>
  </si>
  <si>
    <t>CUST0808</t>
  </si>
  <si>
    <t>ORD7885</t>
  </si>
  <si>
    <t>TXN00807</t>
  </si>
  <si>
    <t>CUST0807</t>
  </si>
  <si>
    <t>ORD3373</t>
  </si>
  <si>
    <t>TXN00806</t>
  </si>
  <si>
    <t>CUST0806</t>
  </si>
  <si>
    <t>TXN00805</t>
  </si>
  <si>
    <t>CUST0805</t>
  </si>
  <si>
    <t>PROD779</t>
  </si>
  <si>
    <t>TXN00804</t>
  </si>
  <si>
    <t>CUST0804</t>
  </si>
  <si>
    <t>ORD7432</t>
  </si>
  <si>
    <t>TXN00803</t>
  </si>
  <si>
    <t>CUST0803</t>
  </si>
  <si>
    <t>ORD4895</t>
  </si>
  <si>
    <t>TXN00802</t>
  </si>
  <si>
    <t>CUST0802</t>
  </si>
  <si>
    <t>PROD432</t>
  </si>
  <si>
    <t>TXN00801</t>
  </si>
  <si>
    <t>CUST0801</t>
  </si>
  <si>
    <t>ORD6128</t>
  </si>
  <si>
    <t>TXN00800</t>
  </si>
  <si>
    <t>CUST0800</t>
  </si>
  <si>
    <t>TXN00799</t>
  </si>
  <si>
    <t>CUST0799</t>
  </si>
  <si>
    <t>PROD760</t>
  </si>
  <si>
    <t>ORD8917</t>
  </si>
  <si>
    <t>TXN00798</t>
  </si>
  <si>
    <t>CUST0798</t>
  </si>
  <si>
    <t>PROD571</t>
  </si>
  <si>
    <t>ORD1297</t>
  </si>
  <si>
    <t>TXN00797</t>
  </si>
  <si>
    <t>CUST0797</t>
  </si>
  <si>
    <t>ORD7048</t>
  </si>
  <si>
    <t>TXN00796</t>
  </si>
  <si>
    <t>CUST0796</t>
  </si>
  <si>
    <t>ORD2629</t>
  </si>
  <si>
    <t>TXN00795</t>
  </si>
  <si>
    <t>CUST0795</t>
  </si>
  <si>
    <t>TXN00794</t>
  </si>
  <si>
    <t>CUST0794</t>
  </si>
  <si>
    <t>ORD5698</t>
  </si>
  <si>
    <t>TXN00793</t>
  </si>
  <si>
    <t>CUST0793</t>
  </si>
  <si>
    <t>TXN00792</t>
  </si>
  <si>
    <t>CUST0792</t>
  </si>
  <si>
    <t>ORD4532</t>
  </si>
  <si>
    <t>TXN00791</t>
  </si>
  <si>
    <t>CUST0791</t>
  </si>
  <si>
    <t>ORD1677</t>
  </si>
  <si>
    <t>TXN00790</t>
  </si>
  <si>
    <t>CUST0790</t>
  </si>
  <si>
    <t>ORD6505</t>
  </si>
  <si>
    <t>TXN00789</t>
  </si>
  <si>
    <t>CUST0789</t>
  </si>
  <si>
    <t>ORD1388</t>
  </si>
  <si>
    <t>TXN00788</t>
  </si>
  <si>
    <t>CUST0788</t>
  </si>
  <si>
    <t>ORD6165</t>
  </si>
  <si>
    <t>TXN00787</t>
  </si>
  <si>
    <t>CUST0787</t>
  </si>
  <si>
    <t>ORD7639</t>
  </si>
  <si>
    <t>TXN00786</t>
  </si>
  <si>
    <t>CUST0786</t>
  </si>
  <si>
    <t>PROD534</t>
  </si>
  <si>
    <t>ORD2138</t>
  </si>
  <si>
    <t>TXN00785</t>
  </si>
  <si>
    <t>CUST0785</t>
  </si>
  <si>
    <t>PROD406</t>
  </si>
  <si>
    <t>ORD6408</t>
  </si>
  <si>
    <t>TXN00784</t>
  </si>
  <si>
    <t>CUST0784</t>
  </si>
  <si>
    <t>PROD313</t>
  </si>
  <si>
    <t>ORD9499</t>
  </si>
  <si>
    <t>TXN00783</t>
  </si>
  <si>
    <t>CUST0783</t>
  </si>
  <si>
    <t>ORD3766</t>
  </si>
  <si>
    <t>TXN00782</t>
  </si>
  <si>
    <t>CUST0782</t>
  </si>
  <si>
    <t>ORD8814</t>
  </si>
  <si>
    <t>TXN00781</t>
  </si>
  <si>
    <t>CUST0781</t>
  </si>
  <si>
    <t>PROD723</t>
  </si>
  <si>
    <t>ORD3603</t>
  </si>
  <si>
    <t>TXN00780</t>
  </si>
  <si>
    <t>CUST0780</t>
  </si>
  <si>
    <t>ORD7256</t>
  </si>
  <si>
    <t>TXN00779</t>
  </si>
  <si>
    <t>CUST0779</t>
  </si>
  <si>
    <t>ORD9833</t>
  </si>
  <si>
    <t>TXN00778</t>
  </si>
  <si>
    <t>CUST0778</t>
  </si>
  <si>
    <t>ORD1682</t>
  </si>
  <si>
    <t>TXN00777</t>
  </si>
  <si>
    <t>CUST0777</t>
  </si>
  <si>
    <t>ORD4034</t>
  </si>
  <si>
    <t>TXN00776</t>
  </si>
  <si>
    <t>CUST0776</t>
  </si>
  <si>
    <t>PROD773</t>
  </si>
  <si>
    <t>ORD8171</t>
  </si>
  <si>
    <t>TXN00775</t>
  </si>
  <si>
    <t>CUST0775</t>
  </si>
  <si>
    <t>PROD552</t>
  </si>
  <si>
    <t>ORD6843</t>
  </si>
  <si>
    <t>TXN00774</t>
  </si>
  <si>
    <t>CUST0774</t>
  </si>
  <si>
    <t>ORD7926</t>
  </si>
  <si>
    <t>TXN00773</t>
  </si>
  <si>
    <t>CUST0773</t>
  </si>
  <si>
    <t>ORD3367</t>
  </si>
  <si>
    <t>TXN00772</t>
  </si>
  <si>
    <t>CUST0772</t>
  </si>
  <si>
    <t>PROD329</t>
  </si>
  <si>
    <t>ORD7576</t>
  </si>
  <si>
    <t>TXN00771</t>
  </si>
  <si>
    <t>CUST0771</t>
  </si>
  <si>
    <t>ORD8249</t>
  </si>
  <si>
    <t>TXN00770</t>
  </si>
  <si>
    <t>CUST0770</t>
  </si>
  <si>
    <t>PROD523</t>
  </si>
  <si>
    <t>ORD5586</t>
  </si>
  <si>
    <t>TXN00769</t>
  </si>
  <si>
    <t>CUST0769</t>
  </si>
  <si>
    <t>PROD107</t>
  </si>
  <si>
    <t>ORD2300</t>
  </si>
  <si>
    <t>TXN00768</t>
  </si>
  <si>
    <t>CUST0768</t>
  </si>
  <si>
    <t>PROD455</t>
  </si>
  <si>
    <t>ORD3842</t>
  </si>
  <si>
    <t>TXN00767</t>
  </si>
  <si>
    <t>CUST0767</t>
  </si>
  <si>
    <t>ORD2318</t>
  </si>
  <si>
    <t>TXN00766</t>
  </si>
  <si>
    <t>CUST0766</t>
  </si>
  <si>
    <t>ORD6427</t>
  </si>
  <si>
    <t>TXN00765</t>
  </si>
  <si>
    <t>CUST0765</t>
  </si>
  <si>
    <t>ORD9767</t>
  </si>
  <si>
    <t>TXN00764</t>
  </si>
  <si>
    <t>CUST0764</t>
  </si>
  <si>
    <t>ORD7302</t>
  </si>
  <si>
    <t>TXN00763</t>
  </si>
  <si>
    <t>CUST0763</t>
  </si>
  <si>
    <t>PROD639</t>
  </si>
  <si>
    <t>ORD7003</t>
  </si>
  <si>
    <t>TXN00762</t>
  </si>
  <si>
    <t>CUST0762</t>
  </si>
  <si>
    <t>TXN00761</t>
  </si>
  <si>
    <t>CUST0761</t>
  </si>
  <si>
    <t>ORD6398</t>
  </si>
  <si>
    <t>TXN00760</t>
  </si>
  <si>
    <t>CUST0760</t>
  </si>
  <si>
    <t>ORD8585</t>
  </si>
  <si>
    <t>TXN00759</t>
  </si>
  <si>
    <t>CUST0759</t>
  </si>
  <si>
    <t>PROD447</t>
  </si>
  <si>
    <t>ORD4434</t>
  </si>
  <si>
    <t>TXN00758</t>
  </si>
  <si>
    <t>CUST0758</t>
  </si>
  <si>
    <t>PROD602</t>
  </si>
  <si>
    <t>ORD1308</t>
  </si>
  <si>
    <t>TXN00757</t>
  </si>
  <si>
    <t>CUST0757</t>
  </si>
  <si>
    <t>ORD4146</t>
  </si>
  <si>
    <t>TXN00756</t>
  </si>
  <si>
    <t>CUST0756</t>
  </si>
  <si>
    <t>ORD4029</t>
  </si>
  <si>
    <t>TXN00755</t>
  </si>
  <si>
    <t>CUST0755</t>
  </si>
  <si>
    <t>PROD859</t>
  </si>
  <si>
    <t>ORD8060</t>
  </si>
  <si>
    <t>TXN00754</t>
  </si>
  <si>
    <t>CUST0754</t>
  </si>
  <si>
    <t>ORD4545</t>
  </si>
  <si>
    <t>TXN00753</t>
  </si>
  <si>
    <t>CUST0753</t>
  </si>
  <si>
    <t>ORD9648</t>
  </si>
  <si>
    <t>TXN00752</t>
  </si>
  <si>
    <t>CUST0752</t>
  </si>
  <si>
    <t>PROD731</t>
  </si>
  <si>
    <t>ORD4426</t>
  </si>
  <si>
    <t>TXN00751</t>
  </si>
  <si>
    <t>CUST0751</t>
  </si>
  <si>
    <t>ORD5080</t>
  </si>
  <si>
    <t>TXN00750</t>
  </si>
  <si>
    <t>CUST0750</t>
  </si>
  <si>
    <t>TXN00749</t>
  </si>
  <si>
    <t>CUST0749</t>
  </si>
  <si>
    <t>ORD5308</t>
  </si>
  <si>
    <t>TXN00748</t>
  </si>
  <si>
    <t>CUST0748</t>
  </si>
  <si>
    <t>PROD502</t>
  </si>
  <si>
    <t>ORD4818</t>
  </si>
  <si>
    <t>TXN00747</t>
  </si>
  <si>
    <t>CUST0747</t>
  </si>
  <si>
    <t>ORD3202</t>
  </si>
  <si>
    <t>TXN00746</t>
  </si>
  <si>
    <t>CUST0746</t>
  </si>
  <si>
    <t>PROD307</t>
  </si>
  <si>
    <t>ORD7861</t>
  </si>
  <si>
    <t>TXN00745</t>
  </si>
  <si>
    <t>CUST0745</t>
  </si>
  <si>
    <t>ORD3492</t>
  </si>
  <si>
    <t>TXN00744</t>
  </si>
  <si>
    <t>CUST0744</t>
  </si>
  <si>
    <t>ORD9264</t>
  </si>
  <si>
    <t>TXN00743</t>
  </si>
  <si>
    <t>CUST0743</t>
  </si>
  <si>
    <t>ORD6423</t>
  </si>
  <si>
    <t>TXN00742</t>
  </si>
  <si>
    <t>CUST0742</t>
  </si>
  <si>
    <t>PROD802</t>
  </si>
  <si>
    <t>ORD7730</t>
  </si>
  <si>
    <t>TXN00741</t>
  </si>
  <si>
    <t>CUST0741</t>
  </si>
  <si>
    <t>ORD1392</t>
  </si>
  <si>
    <t>TXN00740</t>
  </si>
  <si>
    <t>CUST0740</t>
  </si>
  <si>
    <t>ORD8988</t>
  </si>
  <si>
    <t>TXN00739</t>
  </si>
  <si>
    <t>CUST0739</t>
  </si>
  <si>
    <t>TXN00738</t>
  </si>
  <si>
    <t>CUST0738</t>
  </si>
  <si>
    <t>ORD1820</t>
  </si>
  <si>
    <t>TXN00737</t>
  </si>
  <si>
    <t>CUST0737</t>
  </si>
  <si>
    <t>ORD7858</t>
  </si>
  <si>
    <t>TXN00736</t>
  </si>
  <si>
    <t>CUST0736</t>
  </si>
  <si>
    <t>PROD251</t>
  </si>
  <si>
    <t>ORD3215</t>
  </si>
  <si>
    <t>TXN00735</t>
  </si>
  <si>
    <t>CUST0735</t>
  </si>
  <si>
    <t>ORD5688</t>
  </si>
  <si>
    <t>TXN00734</t>
  </si>
  <si>
    <t>CUST0734</t>
  </si>
  <si>
    <t>ORD2314</t>
  </si>
  <si>
    <t>TXN00733</t>
  </si>
  <si>
    <t>CUST0733</t>
  </si>
  <si>
    <t>PROD428</t>
  </si>
  <si>
    <t>ORD5334</t>
  </si>
  <si>
    <t>TXN00732</t>
  </si>
  <si>
    <t>CUST0732</t>
  </si>
  <si>
    <t>PROD380</t>
  </si>
  <si>
    <t>ORD8441</t>
  </si>
  <si>
    <t>TXN00731</t>
  </si>
  <si>
    <t>CUST0731</t>
  </si>
  <si>
    <t>ORD9247</t>
  </si>
  <si>
    <t>TXN00730</t>
  </si>
  <si>
    <t>CUST0730</t>
  </si>
  <si>
    <t>ORD8770</t>
  </si>
  <si>
    <t>TXN00729</t>
  </si>
  <si>
    <t>CUST0729</t>
  </si>
  <si>
    <t>ORD2721</t>
  </si>
  <si>
    <t>TXN00728</t>
  </si>
  <si>
    <t>CUST0728</t>
  </si>
  <si>
    <t>PROD323</t>
  </si>
  <si>
    <t>ORD4505</t>
  </si>
  <si>
    <t>TXN00727</t>
  </si>
  <si>
    <t>CUST0727</t>
  </si>
  <si>
    <t>PROD316</t>
  </si>
  <si>
    <t>ORD5541</t>
  </si>
  <si>
    <t>TXN00726</t>
  </si>
  <si>
    <t>CUST0726</t>
  </si>
  <si>
    <t>TXN00725</t>
  </si>
  <si>
    <t>CUST0725</t>
  </si>
  <si>
    <t>ORD2060</t>
  </si>
  <si>
    <t>TXN00724</t>
  </si>
  <si>
    <t>CUST0724</t>
  </si>
  <si>
    <t>PROD379</t>
  </si>
  <si>
    <t>ORD1243</t>
  </si>
  <si>
    <t>TXN00723</t>
  </si>
  <si>
    <t>CUST0723</t>
  </si>
  <si>
    <t>ORD6541</t>
  </si>
  <si>
    <t>TXN00722</t>
  </si>
  <si>
    <t>CUST0722</t>
  </si>
  <si>
    <t>PROD163</t>
  </si>
  <si>
    <t>ORD6930</t>
  </si>
  <si>
    <t>TXN00721</t>
  </si>
  <si>
    <t>CUST0721</t>
  </si>
  <si>
    <t>ORD5154</t>
  </si>
  <si>
    <t>TXN00720</t>
  </si>
  <si>
    <t>CUST0720</t>
  </si>
  <si>
    <t>ORD6208</t>
  </si>
  <si>
    <t>TXN00719</t>
  </si>
  <si>
    <t>CUST0719</t>
  </si>
  <si>
    <t>ORD1445</t>
  </si>
  <si>
    <t>TXN00718</t>
  </si>
  <si>
    <t>CUST0718</t>
  </si>
  <si>
    <t>ORD1582</t>
  </si>
  <si>
    <t>TXN00717</t>
  </si>
  <si>
    <t>CUST0717</t>
  </si>
  <si>
    <t>ORD4880</t>
  </si>
  <si>
    <t>TXN00716</t>
  </si>
  <si>
    <t>CUST0716</t>
  </si>
  <si>
    <t>PROD318</t>
  </si>
  <si>
    <t>TXN00715</t>
  </si>
  <si>
    <t>CUST0715</t>
  </si>
  <si>
    <t>ORD3929</t>
  </si>
  <si>
    <t>TXN00714</t>
  </si>
  <si>
    <t>CUST0714</t>
  </si>
  <si>
    <t>ORD5183</t>
  </si>
  <si>
    <t>TXN00713</t>
  </si>
  <si>
    <t>CUST0713</t>
  </si>
  <si>
    <t>PROD451</t>
  </si>
  <si>
    <t>ORD1172</t>
  </si>
  <si>
    <t>TXN00712</t>
  </si>
  <si>
    <t>CUST0712</t>
  </si>
  <si>
    <t>ORD1054</t>
  </si>
  <si>
    <t>TXN00711</t>
  </si>
  <si>
    <t>CUST0711</t>
  </si>
  <si>
    <t>TXN00710</t>
  </si>
  <si>
    <t>CUST0710</t>
  </si>
  <si>
    <t>ORD7377</t>
  </si>
  <si>
    <t>TXN00709</t>
  </si>
  <si>
    <t>CUST0709</t>
  </si>
  <si>
    <t>ORD8072</t>
  </si>
  <si>
    <t>TXN00708</t>
  </si>
  <si>
    <t>CUST0708</t>
  </si>
  <si>
    <t>ORD1994</t>
  </si>
  <si>
    <t>TXN00707</t>
  </si>
  <si>
    <t>CUST0707</t>
  </si>
  <si>
    <t>ORD7664</t>
  </si>
  <si>
    <t>TXN00706</t>
  </si>
  <si>
    <t>CUST0706</t>
  </si>
  <si>
    <t>ORD6156</t>
  </si>
  <si>
    <t>TXN00705</t>
  </si>
  <si>
    <t>CUST0705</t>
  </si>
  <si>
    <t>ORD1016</t>
  </si>
  <si>
    <t>TXN00704</t>
  </si>
  <si>
    <t>CUST0704</t>
  </si>
  <si>
    <t>ORD6675</t>
  </si>
  <si>
    <t>TXN00703</t>
  </si>
  <si>
    <t>CUST0703</t>
  </si>
  <si>
    <t>ORD7108</t>
  </si>
  <si>
    <t>TXN00702</t>
  </si>
  <si>
    <t>CUST0702</t>
  </si>
  <si>
    <t>ORD6888</t>
  </si>
  <si>
    <t>TXN00701</t>
  </si>
  <si>
    <t>CUST0701</t>
  </si>
  <si>
    <t>ORD7646</t>
  </si>
  <si>
    <t>TXN00700</t>
  </si>
  <si>
    <t>CUST0700</t>
  </si>
  <si>
    <t>ORD9673</t>
  </si>
  <si>
    <t>TXN00699</t>
  </si>
  <si>
    <t>CUST0699</t>
  </si>
  <si>
    <t>TXN00698</t>
  </si>
  <si>
    <t>CUST0698</t>
  </si>
  <si>
    <t>ORD1326</t>
  </si>
  <si>
    <t>TXN00697</t>
  </si>
  <si>
    <t>CUST0697</t>
  </si>
  <si>
    <t>PROD965</t>
  </si>
  <si>
    <t>ORD2465</t>
  </si>
  <si>
    <t>TXN00696</t>
  </si>
  <si>
    <t>CUST0696</t>
  </si>
  <si>
    <t>ORD4199</t>
  </si>
  <si>
    <t>TXN00695</t>
  </si>
  <si>
    <t>CUST0695</t>
  </si>
  <si>
    <t>TXN00694</t>
  </si>
  <si>
    <t>CUST0694</t>
  </si>
  <si>
    <t>ORD2937</t>
  </si>
  <si>
    <t>TXN00693</t>
  </si>
  <si>
    <t>CUST0693</t>
  </si>
  <si>
    <t>ORD1110</t>
  </si>
  <si>
    <t>TXN00692</t>
  </si>
  <si>
    <t>CUST0692</t>
  </si>
  <si>
    <t>ORD2932</t>
  </si>
  <si>
    <t>TXN00691</t>
  </si>
  <si>
    <t>CUST0691</t>
  </si>
  <si>
    <t>ORD2803</t>
  </si>
  <si>
    <t>TXN00690</t>
  </si>
  <si>
    <t>CUST0690</t>
  </si>
  <si>
    <t>PROD973</t>
  </si>
  <si>
    <t>ORD9074</t>
  </si>
  <si>
    <t>TXN00689</t>
  </si>
  <si>
    <t>CUST0689</t>
  </si>
  <si>
    <t>PROD655</t>
  </si>
  <si>
    <t>ORD9081</t>
  </si>
  <si>
    <t>TXN00688</t>
  </si>
  <si>
    <t>CUST0688</t>
  </si>
  <si>
    <t>ORD4988</t>
  </si>
  <si>
    <t>TXN00687</t>
  </si>
  <si>
    <t>CUST0687</t>
  </si>
  <si>
    <t>ORD1464</t>
  </si>
  <si>
    <t>TXN00686</t>
  </si>
  <si>
    <t>CUST0686</t>
  </si>
  <si>
    <t>PROD457</t>
  </si>
  <si>
    <t>ORD5685</t>
  </si>
  <si>
    <t>TXN00685</t>
  </si>
  <si>
    <t>CUST0685</t>
  </si>
  <si>
    <t>ORD2052</t>
  </si>
  <si>
    <t>TXN00684</t>
  </si>
  <si>
    <t>CUST0684</t>
  </si>
  <si>
    <t>ORD8788</t>
  </si>
  <si>
    <t>TXN00683</t>
  </si>
  <si>
    <t>CUST0683</t>
  </si>
  <si>
    <t>ORD7706</t>
  </si>
  <si>
    <t>TXN00682</t>
  </si>
  <si>
    <t>CUST0682</t>
  </si>
  <si>
    <t>ORD2519</t>
  </si>
  <si>
    <t>TXN00681</t>
  </si>
  <si>
    <t>CUST0681</t>
  </si>
  <si>
    <t>PROD979</t>
  </si>
  <si>
    <t>ORD3020</t>
  </si>
  <si>
    <t>TXN00680</t>
  </si>
  <si>
    <t>CUST0680</t>
  </si>
  <si>
    <t>PROD408</t>
  </si>
  <si>
    <t>TXN00679</t>
  </si>
  <si>
    <t>CUST0679</t>
  </si>
  <si>
    <t>ORD2198</t>
  </si>
  <si>
    <t>TXN00678</t>
  </si>
  <si>
    <t>CUST0678</t>
  </si>
  <si>
    <t>TXN00677</t>
  </si>
  <si>
    <t>CUST0677</t>
  </si>
  <si>
    <t>PROD746</t>
  </si>
  <si>
    <t>ORD7185</t>
  </si>
  <si>
    <t>TXN00676</t>
  </si>
  <si>
    <t>CUST0676</t>
  </si>
  <si>
    <t>ORD4194</t>
  </si>
  <si>
    <t>TXN00675</t>
  </si>
  <si>
    <t>CUST0675</t>
  </si>
  <si>
    <t>ORD9397</t>
  </si>
  <si>
    <t>TXN00674</t>
  </si>
  <si>
    <t>CUST0674</t>
  </si>
  <si>
    <t>TXN00673</t>
  </si>
  <si>
    <t>CUST0673</t>
  </si>
  <si>
    <t>ORD1719</t>
  </si>
  <si>
    <t>TXN00672</t>
  </si>
  <si>
    <t>CUST0672</t>
  </si>
  <si>
    <t>PROD694</t>
  </si>
  <si>
    <t>TXN00671</t>
  </si>
  <si>
    <t>CUST0671</t>
  </si>
  <si>
    <t>ORD2574</t>
  </si>
  <si>
    <t>TXN00670</t>
  </si>
  <si>
    <t>CUST0670</t>
  </si>
  <si>
    <t>ORD9104</t>
  </si>
  <si>
    <t>TXN00669</t>
  </si>
  <si>
    <t>CUST0669</t>
  </si>
  <si>
    <t>PROD584</t>
  </si>
  <si>
    <t>ORD1845</t>
  </si>
  <si>
    <t>TXN00668</t>
  </si>
  <si>
    <t>CUST0668</t>
  </si>
  <si>
    <t>ORD7101</t>
  </si>
  <si>
    <t>TXN00667</t>
  </si>
  <si>
    <t>CUST0667</t>
  </si>
  <si>
    <t>ORD8803</t>
  </si>
  <si>
    <t>TXN00666</t>
  </si>
  <si>
    <t>CUST0666</t>
  </si>
  <si>
    <t>ORD7278</t>
  </si>
  <si>
    <t>TXN00665</t>
  </si>
  <si>
    <t>CUST0665</t>
  </si>
  <si>
    <t>ORD8676</t>
  </si>
  <si>
    <t>TXN00664</t>
  </si>
  <si>
    <t>CUST0664</t>
  </si>
  <si>
    <t>ORD3963</t>
  </si>
  <si>
    <t>TXN00663</t>
  </si>
  <si>
    <t>CUST0663</t>
  </si>
  <si>
    <t>ORD8643</t>
  </si>
  <si>
    <t>TXN00662</t>
  </si>
  <si>
    <t>CUST0662</t>
  </si>
  <si>
    <t>ORD7195</t>
  </si>
  <si>
    <t>TXN00661</t>
  </si>
  <si>
    <t>CUST0661</t>
  </si>
  <si>
    <t>ORD8221</t>
  </si>
  <si>
    <t>TXN00660</t>
  </si>
  <si>
    <t>CUST0660</t>
  </si>
  <si>
    <t>ORD4379</t>
  </si>
  <si>
    <t>TXN00659</t>
  </si>
  <si>
    <t>CUST0659</t>
  </si>
  <si>
    <t>ORD4911</t>
  </si>
  <si>
    <t>TXN00658</t>
  </si>
  <si>
    <t>CUST0658</t>
  </si>
  <si>
    <t>ORD9327</t>
  </si>
  <si>
    <t>TXN00657</t>
  </si>
  <si>
    <t>CUST0657</t>
  </si>
  <si>
    <t>ORD6847</t>
  </si>
  <si>
    <t>TXN00656</t>
  </si>
  <si>
    <t>CUST0656</t>
  </si>
  <si>
    <t>ORD7855</t>
  </si>
  <si>
    <t>TXN00655</t>
  </si>
  <si>
    <t>CUST0655</t>
  </si>
  <si>
    <t>PROD196</t>
  </si>
  <si>
    <t>ORD1690</t>
  </si>
  <si>
    <t>TXN00654</t>
  </si>
  <si>
    <t>CUST0654</t>
  </si>
  <si>
    <t>PROD123</t>
  </si>
  <si>
    <t>ORD5307</t>
  </si>
  <si>
    <t>TXN00653</t>
  </si>
  <si>
    <t>CUST0653</t>
  </si>
  <si>
    <t>ORD1325</t>
  </si>
  <si>
    <t>TXN00652</t>
  </si>
  <si>
    <t>CUST0652</t>
  </si>
  <si>
    <t>ORD4882</t>
  </si>
  <si>
    <t>TXN00651</t>
  </si>
  <si>
    <t>CUST0651</t>
  </si>
  <si>
    <t>ORD2682</t>
  </si>
  <si>
    <t>TXN00650</t>
  </si>
  <si>
    <t>CUST0650</t>
  </si>
  <si>
    <t>TXN00649</t>
  </si>
  <si>
    <t>CUST0649</t>
  </si>
  <si>
    <t>ORD1376</t>
  </si>
  <si>
    <t>TXN00648</t>
  </si>
  <si>
    <t>CUST0648</t>
  </si>
  <si>
    <t>TXN00647</t>
  </si>
  <si>
    <t>CUST0647</t>
  </si>
  <si>
    <t>ORD6883</t>
  </si>
  <si>
    <t>TXN00646</t>
  </si>
  <si>
    <t>CUST0646</t>
  </si>
  <si>
    <t>PROD976</t>
  </si>
  <si>
    <t>ORD8549</t>
  </si>
  <si>
    <t>TXN00645</t>
  </si>
  <si>
    <t>CUST0645</t>
  </si>
  <si>
    <t>ORD1207</t>
  </si>
  <si>
    <t>TXN00644</t>
  </si>
  <si>
    <t>CUST0644</t>
  </si>
  <si>
    <t>ORD6632</t>
  </si>
  <si>
    <t>TXN00643</t>
  </si>
  <si>
    <t>CUST0643</t>
  </si>
  <si>
    <t>TXN00642</t>
  </si>
  <si>
    <t>CUST0642</t>
  </si>
  <si>
    <t>TXN00641</t>
  </si>
  <si>
    <t>CUST0641</t>
  </si>
  <si>
    <t>ORD5882</t>
  </si>
  <si>
    <t>TXN00640</t>
  </si>
  <si>
    <t>CUST0640</t>
  </si>
  <si>
    <t>TXN00639</t>
  </si>
  <si>
    <t>CUST0639</t>
  </si>
  <si>
    <t>PROD720</t>
  </si>
  <si>
    <t>ORD4528</t>
  </si>
  <si>
    <t>TXN00638</t>
  </si>
  <si>
    <t>CUST0638</t>
  </si>
  <si>
    <t>PROD676</t>
  </si>
  <si>
    <t>ORD4649</t>
  </si>
  <si>
    <t>TXN00637</t>
  </si>
  <si>
    <t>CUST0637</t>
  </si>
  <si>
    <t>PROD650</t>
  </si>
  <si>
    <t>ORD4334</t>
  </si>
  <si>
    <t>TXN00636</t>
  </si>
  <si>
    <t>CUST0636</t>
  </si>
  <si>
    <t>ORD5562</t>
  </si>
  <si>
    <t>TXN00635</t>
  </si>
  <si>
    <t>CUST0635</t>
  </si>
  <si>
    <t>ORD6152</t>
  </si>
  <si>
    <t>TXN00634</t>
  </si>
  <si>
    <t>CUST0634</t>
  </si>
  <si>
    <t>TXN00633</t>
  </si>
  <si>
    <t>CUST0633</t>
  </si>
  <si>
    <t>ORD2652</t>
  </si>
  <si>
    <t>TXN00632</t>
  </si>
  <si>
    <t>CUST0632</t>
  </si>
  <si>
    <t>ORD9927</t>
  </si>
  <si>
    <t>TXN00631</t>
  </si>
  <si>
    <t>CUST0631</t>
  </si>
  <si>
    <t>ORD2958</t>
  </si>
  <si>
    <t>TXN00630</t>
  </si>
  <si>
    <t>CUST0630</t>
  </si>
  <si>
    <t>ORD4751</t>
  </si>
  <si>
    <t>TXN00629</t>
  </si>
  <si>
    <t>CUST0629</t>
  </si>
  <si>
    <t>ORD2890</t>
  </si>
  <si>
    <t>TXN00628</t>
  </si>
  <si>
    <t>CUST0628</t>
  </si>
  <si>
    <t>ORD3241</t>
  </si>
  <si>
    <t>TXN00627</t>
  </si>
  <si>
    <t>CUST0627</t>
  </si>
  <si>
    <t>ORD5296</t>
  </si>
  <si>
    <t>TXN00626</t>
  </si>
  <si>
    <t>CUST0626</t>
  </si>
  <si>
    <t>ORD8975</t>
  </si>
  <si>
    <t>TXN00625</t>
  </si>
  <si>
    <t>CUST0625</t>
  </si>
  <si>
    <t>PROD589</t>
  </si>
  <si>
    <t>ORD1093</t>
  </si>
  <si>
    <t>TXN00624</t>
  </si>
  <si>
    <t>CUST0624</t>
  </si>
  <si>
    <t>ORD3959</t>
  </si>
  <si>
    <t>TXN00623</t>
  </si>
  <si>
    <t>CUST0623</t>
  </si>
  <si>
    <t>ORD3513</t>
  </si>
  <si>
    <t>TXN00622</t>
  </si>
  <si>
    <t>CUST0622</t>
  </si>
  <si>
    <t>ORD4257</t>
  </si>
  <si>
    <t>TXN00621</t>
  </si>
  <si>
    <t>CUST0621</t>
  </si>
  <si>
    <t>PROD762</t>
  </si>
  <si>
    <t>ORD6968</t>
  </si>
  <si>
    <t>TXN00620</t>
  </si>
  <si>
    <t>CUST0620</t>
  </si>
  <si>
    <t>PROD616</t>
  </si>
  <si>
    <t>ORD7983</t>
  </si>
  <si>
    <t>TXN00619</t>
  </si>
  <si>
    <t>CUST0619</t>
  </si>
  <si>
    <t>ORD7465</t>
  </si>
  <si>
    <t>TXN00618</t>
  </si>
  <si>
    <t>CUST0618</t>
  </si>
  <si>
    <t>PROD777</t>
  </si>
  <si>
    <t>ORD5730</t>
  </si>
  <si>
    <t>TXN00617</t>
  </si>
  <si>
    <t>CUST0617</t>
  </si>
  <si>
    <t>ORD5645</t>
  </si>
  <si>
    <t>TXN00616</t>
  </si>
  <si>
    <t>CUST0616</t>
  </si>
  <si>
    <t>PROD338</t>
  </si>
  <si>
    <t>ORD1871</t>
  </si>
  <si>
    <t>TXN00615</t>
  </si>
  <si>
    <t>CUST0615</t>
  </si>
  <si>
    <t>ORD5707</t>
  </si>
  <si>
    <t>TXN00614</t>
  </si>
  <si>
    <t>CUST0614</t>
  </si>
  <si>
    <t>ORD4567</t>
  </si>
  <si>
    <t>TXN00613</t>
  </si>
  <si>
    <t>CUST0613</t>
  </si>
  <si>
    <t>PROD269</t>
  </si>
  <si>
    <t>ORD2393</t>
  </si>
  <si>
    <t>TXN00612</t>
  </si>
  <si>
    <t>CUST0612</t>
  </si>
  <si>
    <t>ORD7203</t>
  </si>
  <si>
    <t>TXN00611</t>
  </si>
  <si>
    <t>CUST0611</t>
  </si>
  <si>
    <t>TXN00610</t>
  </si>
  <si>
    <t>CUST0610</t>
  </si>
  <si>
    <t>ORD6884</t>
  </si>
  <si>
    <t>TXN00609</t>
  </si>
  <si>
    <t>CUST0609</t>
  </si>
  <si>
    <t>PROD628</t>
  </si>
  <si>
    <t>TXN00608</t>
  </si>
  <si>
    <t>CUST0608</t>
  </si>
  <si>
    <t>ORD2190</t>
  </si>
  <si>
    <t>TXN00607</t>
  </si>
  <si>
    <t>CUST0607</t>
  </si>
  <si>
    <t>ORD4981</t>
  </si>
  <si>
    <t>TXN00606</t>
  </si>
  <si>
    <t>CUST0606</t>
  </si>
  <si>
    <t>ORD5462</t>
  </si>
  <si>
    <t>TXN00605</t>
  </si>
  <si>
    <t>CUST0605</t>
  </si>
  <si>
    <t>PROD172</t>
  </si>
  <si>
    <t>TXN00604</t>
  </si>
  <si>
    <t>CUST0604</t>
  </si>
  <si>
    <t>ORD6289</t>
  </si>
  <si>
    <t>TXN00603</t>
  </si>
  <si>
    <t>CUST0603</t>
  </si>
  <si>
    <t>ORD5527</t>
  </si>
  <si>
    <t>TXN00602</t>
  </si>
  <si>
    <t>CUST0602</t>
  </si>
  <si>
    <t>ORD5736</t>
  </si>
  <si>
    <t>TXN00601</t>
  </si>
  <si>
    <t>CUST0601</t>
  </si>
  <si>
    <t>PROD752</t>
  </si>
  <si>
    <t>ORD7557</t>
  </si>
  <si>
    <t>TXN00600</t>
  </si>
  <si>
    <t>CUST0600</t>
  </si>
  <si>
    <t>PROD478</t>
  </si>
  <si>
    <t>ORD3391</t>
  </si>
  <si>
    <t>TXN00599</t>
  </si>
  <si>
    <t>CUST0599</t>
  </si>
  <si>
    <t>ORD3296</t>
  </si>
  <si>
    <t>TXN00598</t>
  </si>
  <si>
    <t>CUST0598</t>
  </si>
  <si>
    <t>ORD2909</t>
  </si>
  <si>
    <t>TXN00597</t>
  </si>
  <si>
    <t>CUST0597</t>
  </si>
  <si>
    <t>TXN00596</t>
  </si>
  <si>
    <t>CUST0596</t>
  </si>
  <si>
    <t>PROD755</t>
  </si>
  <si>
    <t>ORD1956</t>
  </si>
  <si>
    <t>TXN00595</t>
  </si>
  <si>
    <t>CUST0595</t>
  </si>
  <si>
    <t>PROD148</t>
  </si>
  <si>
    <t>ORD2554</t>
  </si>
  <si>
    <t>TXN00594</t>
  </si>
  <si>
    <t>CUST0594</t>
  </si>
  <si>
    <t>ORD9635</t>
  </si>
  <si>
    <t>TXN00593</t>
  </si>
  <si>
    <t>CUST0593</t>
  </si>
  <si>
    <t>ORD5642</t>
  </si>
  <si>
    <t>TXN00592</t>
  </si>
  <si>
    <t>CUST0592</t>
  </si>
  <si>
    <t>PROD362</t>
  </si>
  <si>
    <t>ORD7472</t>
  </si>
  <si>
    <t>TXN00591</t>
  </si>
  <si>
    <t>CUST0591</t>
  </si>
  <si>
    <t>PROD162</t>
  </si>
  <si>
    <t>ORD9697</t>
  </si>
  <si>
    <t>TXN00590</t>
  </si>
  <si>
    <t>CUST0590</t>
  </si>
  <si>
    <t>ORD6189</t>
  </si>
  <si>
    <t>TXN00589</t>
  </si>
  <si>
    <t>CUST0589</t>
  </si>
  <si>
    <t>ORD2018</t>
  </si>
  <si>
    <t>TXN00588</t>
  </si>
  <si>
    <t>CUST0588</t>
  </si>
  <si>
    <t>ORD4676</t>
  </si>
  <si>
    <t>TXN00587</t>
  </si>
  <si>
    <t>CUST0587</t>
  </si>
  <si>
    <t>ORD3489</t>
  </si>
  <si>
    <t>TXN00586</t>
  </si>
  <si>
    <t>CUST0586</t>
  </si>
  <si>
    <t>ORD4735</t>
  </si>
  <si>
    <t>TXN00585</t>
  </si>
  <si>
    <t>CUST0585</t>
  </si>
  <si>
    <t>PROD977</t>
  </si>
  <si>
    <t>TXN00584</t>
  </si>
  <si>
    <t>CUST0584</t>
  </si>
  <si>
    <t>PROD290</t>
  </si>
  <si>
    <t>ORD1695</t>
  </si>
  <si>
    <t>TXN00583</t>
  </si>
  <si>
    <t>CUST0583</t>
  </si>
  <si>
    <t>ORD5777</t>
  </si>
  <si>
    <t>TXN00582</t>
  </si>
  <si>
    <t>CUST0582</t>
  </si>
  <si>
    <t>ORD5248</t>
  </si>
  <si>
    <t>TXN00581</t>
  </si>
  <si>
    <t>CUST0581</t>
  </si>
  <si>
    <t>TXN00580</t>
  </si>
  <si>
    <t>CUST0580</t>
  </si>
  <si>
    <t>ORD7523</t>
  </si>
  <si>
    <t>TXN00579</t>
  </si>
  <si>
    <t>CUST0579</t>
  </si>
  <si>
    <t>ORD7335</t>
  </si>
  <si>
    <t>TXN00578</t>
  </si>
  <si>
    <t>CUST0578</t>
  </si>
  <si>
    <t>TXN00577</t>
  </si>
  <si>
    <t>CUST0577</t>
  </si>
  <si>
    <t>ORD1502</t>
  </si>
  <si>
    <t>TXN00576</t>
  </si>
  <si>
    <t>CUST0576</t>
  </si>
  <si>
    <t>ORD7840</t>
  </si>
  <si>
    <t>TXN00575</t>
  </si>
  <si>
    <t>CUST0575</t>
  </si>
  <si>
    <t>TXN00574</t>
  </si>
  <si>
    <t>CUST0574</t>
  </si>
  <si>
    <t>PROD955</t>
  </si>
  <si>
    <t>ORD5866</t>
  </si>
  <si>
    <t>TXN00573</t>
  </si>
  <si>
    <t>CUST0573</t>
  </si>
  <si>
    <t>ORD5899</t>
  </si>
  <si>
    <t>TXN00572</t>
  </si>
  <si>
    <t>CUST0572</t>
  </si>
  <si>
    <t>ORD2055</t>
  </si>
  <si>
    <t>TXN00571</t>
  </si>
  <si>
    <t>CUST0571</t>
  </si>
  <si>
    <t>ORD2310</t>
  </si>
  <si>
    <t>TXN00570</t>
  </si>
  <si>
    <t>CUST0570</t>
  </si>
  <si>
    <t>ORD6613</t>
  </si>
  <si>
    <t>TXN00569</t>
  </si>
  <si>
    <t>CUST0569</t>
  </si>
  <si>
    <t>ORD4438</t>
  </si>
  <si>
    <t>TXN00568</t>
  </si>
  <si>
    <t>CUST0568</t>
  </si>
  <si>
    <t>ORD5151</t>
  </si>
  <si>
    <t>TXN00567</t>
  </si>
  <si>
    <t>CUST0567</t>
  </si>
  <si>
    <t>ORD5448</t>
  </si>
  <si>
    <t>TXN00566</t>
  </si>
  <si>
    <t>CUST0566</t>
  </si>
  <si>
    <t>ORD9914</t>
  </si>
  <si>
    <t>TXN00565</t>
  </si>
  <si>
    <t>CUST0565</t>
  </si>
  <si>
    <t>ORD9143</t>
  </si>
  <si>
    <t>TXN00564</t>
  </si>
  <si>
    <t>CUST0564</t>
  </si>
  <si>
    <t>PROD919</t>
  </si>
  <si>
    <t>ORD3620</t>
  </si>
  <si>
    <t>TXN00563</t>
  </si>
  <si>
    <t>CUST0563</t>
  </si>
  <si>
    <t>ORD9109</t>
  </si>
  <si>
    <t>TXN00562</t>
  </si>
  <si>
    <t>CUST0562</t>
  </si>
  <si>
    <t>ORD4940</t>
  </si>
  <si>
    <t>TXN00561</t>
  </si>
  <si>
    <t>CUST0561</t>
  </si>
  <si>
    <t>ORD6586</t>
  </si>
  <si>
    <t>TXN00560</t>
  </si>
  <si>
    <t>CUST0560</t>
  </si>
  <si>
    <t>ORD5333</t>
  </si>
  <si>
    <t>TXN00559</t>
  </si>
  <si>
    <t>CUST0559</t>
  </si>
  <si>
    <t>PROD582</t>
  </si>
  <si>
    <t>ORD1751</t>
  </si>
  <si>
    <t>TXN00558</t>
  </si>
  <si>
    <t>CUST0558</t>
  </si>
  <si>
    <t>ORD9242</t>
  </si>
  <si>
    <t>TXN00557</t>
  </si>
  <si>
    <t>CUST0557</t>
  </si>
  <si>
    <t>ORD4706</t>
  </si>
  <si>
    <t>TXN00556</t>
  </si>
  <si>
    <t>CUST0556</t>
  </si>
  <si>
    <t>TXN00555</t>
  </si>
  <si>
    <t>CUST0555</t>
  </si>
  <si>
    <t>ORD6093</t>
  </si>
  <si>
    <t>TXN00554</t>
  </si>
  <si>
    <t>CUST0554</t>
  </si>
  <si>
    <t>ORD5569</t>
  </si>
  <si>
    <t>TXN00553</t>
  </si>
  <si>
    <t>CUST0553</t>
  </si>
  <si>
    <t>ORD2887</t>
  </si>
  <si>
    <t>TXN00552</t>
  </si>
  <si>
    <t>CUST0552</t>
  </si>
  <si>
    <t>ORD1717</t>
  </si>
  <si>
    <t>TXN00551</t>
  </si>
  <si>
    <t>CUST0551</t>
  </si>
  <si>
    <t>ORD6880</t>
  </si>
  <si>
    <t>TXN00550</t>
  </si>
  <si>
    <t>CUST0550</t>
  </si>
  <si>
    <t>ORD6781</t>
  </si>
  <si>
    <t>TXN00549</t>
  </si>
  <si>
    <t>CUST0549</t>
  </si>
  <si>
    <t>ORD2146</t>
  </si>
  <si>
    <t>TXN00548</t>
  </si>
  <si>
    <t>CUST0548</t>
  </si>
  <si>
    <t>ORD1701</t>
  </si>
  <si>
    <t>TXN00547</t>
  </si>
  <si>
    <t>CUST0547</t>
  </si>
  <si>
    <t>PROD903</t>
  </si>
  <si>
    <t>ORD6134</t>
  </si>
  <si>
    <t>TXN00546</t>
  </si>
  <si>
    <t>CUST0546</t>
  </si>
  <si>
    <t>ORD2869</t>
  </si>
  <si>
    <t>TXN00545</t>
  </si>
  <si>
    <t>CUST0545</t>
  </si>
  <si>
    <t>ORD9157</t>
  </si>
  <si>
    <t>TXN00544</t>
  </si>
  <si>
    <t>CUST0544</t>
  </si>
  <si>
    <t>ORD9773</t>
  </si>
  <si>
    <t>TXN00543</t>
  </si>
  <si>
    <t>CUST0543</t>
  </si>
  <si>
    <t>ORD9133</t>
  </si>
  <si>
    <t>TXN00542</t>
  </si>
  <si>
    <t>CUST0542</t>
  </si>
  <si>
    <t>TXN00541</t>
  </si>
  <si>
    <t>CUST0541</t>
  </si>
  <si>
    <t>TXN00540</t>
  </si>
  <si>
    <t>CUST0540</t>
  </si>
  <si>
    <t>PROD896</t>
  </si>
  <si>
    <t>ORD2376</t>
  </si>
  <si>
    <t>TXN00539</t>
  </si>
  <si>
    <t>CUST0539</t>
  </si>
  <si>
    <t>ORD2430</t>
  </si>
  <si>
    <t>TXN00538</t>
  </si>
  <si>
    <t>CUST0538</t>
  </si>
  <si>
    <t>ORD6708</t>
  </si>
  <si>
    <t>TXN00537</t>
  </si>
  <si>
    <t>CUST0537</t>
  </si>
  <si>
    <t>ORD7946</t>
  </si>
  <si>
    <t>TXN00536</t>
  </si>
  <si>
    <t>CUST0536</t>
  </si>
  <si>
    <t>ORD6424</t>
  </si>
  <si>
    <t>TXN00535</t>
  </si>
  <si>
    <t>CUST0535</t>
  </si>
  <si>
    <t>PROD443</t>
  </si>
  <si>
    <t>ORD7704</t>
  </si>
  <si>
    <t>TXN00534</t>
  </si>
  <si>
    <t>CUST0534</t>
  </si>
  <si>
    <t>ORD6965</t>
  </si>
  <si>
    <t>TXN00533</t>
  </si>
  <si>
    <t>CUST0533</t>
  </si>
  <si>
    <t>ORD4090</t>
  </si>
  <si>
    <t>TXN00532</t>
  </si>
  <si>
    <t>CUST0532</t>
  </si>
  <si>
    <t>ORD4017</t>
  </si>
  <si>
    <t>TXN00531</t>
  </si>
  <si>
    <t>CUST0531</t>
  </si>
  <si>
    <t>ORD2769</t>
  </si>
  <si>
    <t>TXN00530</t>
  </si>
  <si>
    <t>CUST0530</t>
  </si>
  <si>
    <t>TXN00529</t>
  </si>
  <si>
    <t>CUST0529</t>
  </si>
  <si>
    <t>ORD9839</t>
  </si>
  <si>
    <t>TXN00528</t>
  </si>
  <si>
    <t>CUST0528</t>
  </si>
  <si>
    <t>PROD641</t>
  </si>
  <si>
    <t>ORD3388</t>
  </si>
  <si>
    <t>TXN00527</t>
  </si>
  <si>
    <t>CUST0527</t>
  </si>
  <si>
    <t>ORD8668</t>
  </si>
  <si>
    <t>TXN00526</t>
  </si>
  <si>
    <t>CUST0526</t>
  </si>
  <si>
    <t>ORD6283</t>
  </si>
  <si>
    <t>TXN00525</t>
  </si>
  <si>
    <t>CUST0525</t>
  </si>
  <si>
    <t>ORD4129</t>
  </si>
  <si>
    <t>TXN00524</t>
  </si>
  <si>
    <t>CUST0524</t>
  </si>
  <si>
    <t>ORD8114</t>
  </si>
  <si>
    <t>TXN00523</t>
  </si>
  <si>
    <t>CUST0523</t>
  </si>
  <si>
    <t>ORD4421</t>
  </si>
  <si>
    <t>TXN00522</t>
  </si>
  <si>
    <t>CUST0522</t>
  </si>
  <si>
    <t>ORD3758</t>
  </si>
  <si>
    <t>TXN00521</t>
  </si>
  <si>
    <t>CUST0521</t>
  </si>
  <si>
    <t>ORD2241</t>
  </si>
  <si>
    <t>TXN00520</t>
  </si>
  <si>
    <t>CUST0520</t>
  </si>
  <si>
    <t>PROD744</t>
  </si>
  <si>
    <t>ORD4511</t>
  </si>
  <si>
    <t>TXN00519</t>
  </si>
  <si>
    <t>CUST0519</t>
  </si>
  <si>
    <t>PROD182</t>
  </si>
  <si>
    <t>ORD2271</t>
  </si>
  <si>
    <t>TXN00518</t>
  </si>
  <si>
    <t>CUST0518</t>
  </si>
  <si>
    <t>ORD6900</t>
  </si>
  <si>
    <t>TXN00517</t>
  </si>
  <si>
    <t>CUST0517</t>
  </si>
  <si>
    <t>TXN00516</t>
  </si>
  <si>
    <t>CUST0516</t>
  </si>
  <si>
    <t>ORD8186</t>
  </si>
  <si>
    <t>TXN00515</t>
  </si>
  <si>
    <t>CUST0515</t>
  </si>
  <si>
    <t>ORD4464</t>
  </si>
  <si>
    <t>TXN00514</t>
  </si>
  <si>
    <t>CUST0514</t>
  </si>
  <si>
    <t>ORD1349</t>
  </si>
  <si>
    <t>TXN00513</t>
  </si>
  <si>
    <t>CUST0513</t>
  </si>
  <si>
    <t>ORD3412</t>
  </si>
  <si>
    <t>TXN00512</t>
  </si>
  <si>
    <t>CUST0512</t>
  </si>
  <si>
    <t>ORD4997</t>
  </si>
  <si>
    <t>TXN00511</t>
  </si>
  <si>
    <t>CUST0511</t>
  </si>
  <si>
    <t>ORD8894</t>
  </si>
  <si>
    <t>TXN00510</t>
  </si>
  <si>
    <t>CUST0510</t>
  </si>
  <si>
    <t>ORD2169</t>
  </si>
  <si>
    <t>TXN00509</t>
  </si>
  <si>
    <t>CUST0509</t>
  </si>
  <si>
    <t>ORD4874</t>
  </si>
  <si>
    <t>TXN00508</t>
  </si>
  <si>
    <t>CUST0508</t>
  </si>
  <si>
    <t>ORD2551</t>
  </si>
  <si>
    <t>TXN00507</t>
  </si>
  <si>
    <t>CUST0507</t>
  </si>
  <si>
    <t>PROD793</t>
  </si>
  <si>
    <t>ORD5694</t>
  </si>
  <si>
    <t>TXN00506</t>
  </si>
  <si>
    <t>CUST0506</t>
  </si>
  <si>
    <t>TXN00505</t>
  </si>
  <si>
    <t>CUST0505</t>
  </si>
  <si>
    <t>ORD4308</t>
  </si>
  <si>
    <t>TXN00504</t>
  </si>
  <si>
    <t>CUST0504</t>
  </si>
  <si>
    <t>ORD5205</t>
  </si>
  <si>
    <t>TXN00503</t>
  </si>
  <si>
    <t>CUST0503</t>
  </si>
  <si>
    <t>TXN00502</t>
  </si>
  <si>
    <t>CUST0502</t>
  </si>
  <si>
    <t>ORD8647</t>
  </si>
  <si>
    <t>TXN00501</t>
  </si>
  <si>
    <t>CUST0501</t>
  </si>
  <si>
    <t>PROD633</t>
  </si>
  <si>
    <t>ORD1162</t>
  </si>
  <si>
    <t>TXN00500</t>
  </si>
  <si>
    <t>CUST0500</t>
  </si>
  <si>
    <t>ORD8610</t>
  </si>
  <si>
    <t>TXN00499</t>
  </si>
  <si>
    <t>CUST0499</t>
  </si>
  <si>
    <t>ORD9547</t>
  </si>
  <si>
    <t>TXN00498</t>
  </si>
  <si>
    <t>CUST0498</t>
  </si>
  <si>
    <t>ORD8184</t>
  </si>
  <si>
    <t>TXN00497</t>
  </si>
  <si>
    <t>CUST0497</t>
  </si>
  <si>
    <t>TXN00496</t>
  </si>
  <si>
    <t>CUST0496</t>
  </si>
  <si>
    <t>ORD6993</t>
  </si>
  <si>
    <t>TXN00495</t>
  </si>
  <si>
    <t>CUST0495</t>
  </si>
  <si>
    <t>ORD2166</t>
  </si>
  <si>
    <t>TXN00494</t>
  </si>
  <si>
    <t>CUST0494</t>
  </si>
  <si>
    <t>PROD970</t>
  </si>
  <si>
    <t>TXN00493</t>
  </si>
  <si>
    <t>CUST0493</t>
  </si>
  <si>
    <t>PROD187</t>
  </si>
  <si>
    <t>ORD1183</t>
  </si>
  <si>
    <t>TXN00492</t>
  </si>
  <si>
    <t>CUST0492</t>
  </si>
  <si>
    <t>TXN00491</t>
  </si>
  <si>
    <t>CUST0491</t>
  </si>
  <si>
    <t>ORD4537</t>
  </si>
  <si>
    <t>TXN00490</t>
  </si>
  <si>
    <t>CUST0490</t>
  </si>
  <si>
    <t>ORD9390</t>
  </si>
  <si>
    <t>TXN00489</t>
  </si>
  <si>
    <t>CUST0489</t>
  </si>
  <si>
    <t>ORD7363</t>
  </si>
  <si>
    <t>TXN00488</t>
  </si>
  <si>
    <t>CUST0488</t>
  </si>
  <si>
    <t>ORD5365</t>
  </si>
  <si>
    <t>TXN00487</t>
  </si>
  <si>
    <t>CUST0487</t>
  </si>
  <si>
    <t>TXN00486</t>
  </si>
  <si>
    <t>CUST0486</t>
  </si>
  <si>
    <t>TXN00485</t>
  </si>
  <si>
    <t>CUST0485</t>
  </si>
  <si>
    <t>ORD8167</t>
  </si>
  <si>
    <t>TXN00484</t>
  </si>
  <si>
    <t>CUST0484</t>
  </si>
  <si>
    <t>ORD8923</t>
  </si>
  <si>
    <t>TXN00483</t>
  </si>
  <si>
    <t>CUST0483</t>
  </si>
  <si>
    <t>PROD497</t>
  </si>
  <si>
    <t>TXN00482</t>
  </si>
  <si>
    <t>CUST0482</t>
  </si>
  <si>
    <t>TXN00481</t>
  </si>
  <si>
    <t>CUST0481</t>
  </si>
  <si>
    <t>ORD8083</t>
  </si>
  <si>
    <t>TXN00480</t>
  </si>
  <si>
    <t>CUST0480</t>
  </si>
  <si>
    <t>PROD207</t>
  </si>
  <si>
    <t>ORD4053</t>
  </si>
  <si>
    <t>TXN00479</t>
  </si>
  <si>
    <t>CUST0479</t>
  </si>
  <si>
    <t>ORD3342</t>
  </si>
  <si>
    <t>TXN00478</t>
  </si>
  <si>
    <t>CUST0478</t>
  </si>
  <si>
    <t>ORD8510</t>
  </si>
  <si>
    <t>TXN00477</t>
  </si>
  <si>
    <t>CUST0477</t>
  </si>
  <si>
    <t>ORD3441</t>
  </si>
  <si>
    <t>TXN00476</t>
  </si>
  <si>
    <t>CUST0476</t>
  </si>
  <si>
    <t>ORD5695</t>
  </si>
  <si>
    <t>TXN00475</t>
  </si>
  <si>
    <t>CUST0475</t>
  </si>
  <si>
    <t>TXN00474</t>
  </si>
  <si>
    <t>CUST0474</t>
  </si>
  <si>
    <t>ORD2064</t>
  </si>
  <si>
    <t>TXN00473</t>
  </si>
  <si>
    <t>CUST0473</t>
  </si>
  <si>
    <t>ORD3780</t>
  </si>
  <si>
    <t>TXN00472</t>
  </si>
  <si>
    <t>CUST0472</t>
  </si>
  <si>
    <t>PROD790</t>
  </si>
  <si>
    <t>ORD2006</t>
  </si>
  <si>
    <t>TXN00471</t>
  </si>
  <si>
    <t>CUST0471</t>
  </si>
  <si>
    <t>PROD607</t>
  </si>
  <si>
    <t>ORD6892</t>
  </si>
  <si>
    <t>TXN00470</t>
  </si>
  <si>
    <t>CUST0470</t>
  </si>
  <si>
    <t>ORD9847</t>
  </si>
  <si>
    <t>TXN00469</t>
  </si>
  <si>
    <t>CUST0469</t>
  </si>
  <si>
    <t>ORD2389</t>
  </si>
  <si>
    <t>TXN00468</t>
  </si>
  <si>
    <t>CUST0468</t>
  </si>
  <si>
    <t>PROD535</t>
  </si>
  <si>
    <t>ORD5701</t>
  </si>
  <si>
    <t>TXN00467</t>
  </si>
  <si>
    <t>CUST0467</t>
  </si>
  <si>
    <t>ORD8820</t>
  </si>
  <si>
    <t>TXN00466</t>
  </si>
  <si>
    <t>CUST0466</t>
  </si>
  <si>
    <t>TXN00465</t>
  </si>
  <si>
    <t>CUST0465</t>
  </si>
  <si>
    <t>ORD2660</t>
  </si>
  <si>
    <t>TXN00464</t>
  </si>
  <si>
    <t>CUST0464</t>
  </si>
  <si>
    <t>ORD1627</t>
  </si>
  <si>
    <t>TXN00463</t>
  </si>
  <si>
    <t>CUST0463</t>
  </si>
  <si>
    <t>PROD610</t>
  </si>
  <si>
    <t>ORD6803</t>
  </si>
  <si>
    <t>TXN00462</t>
  </si>
  <si>
    <t>CUST0462</t>
  </si>
  <si>
    <t>ORD9744</t>
  </si>
  <si>
    <t>TXN00461</t>
  </si>
  <si>
    <t>CUST0461</t>
  </si>
  <si>
    <t>ORD4519</t>
  </si>
  <si>
    <t>TXN00460</t>
  </si>
  <si>
    <t>CUST0460</t>
  </si>
  <si>
    <t>TXN00459</t>
  </si>
  <si>
    <t>CUST0459</t>
  </si>
  <si>
    <t>TXN00458</t>
  </si>
  <si>
    <t>CUST0458</t>
  </si>
  <si>
    <t>PROD421</t>
  </si>
  <si>
    <t>ORD3553</t>
  </si>
  <si>
    <t>TXN00457</t>
  </si>
  <si>
    <t>CUST0457</t>
  </si>
  <si>
    <t>PROD357</t>
  </si>
  <si>
    <t>ORD3477</t>
  </si>
  <si>
    <t>TXN00456</t>
  </si>
  <si>
    <t>CUST0456</t>
  </si>
  <si>
    <t>TXN00455</t>
  </si>
  <si>
    <t>CUST0455</t>
  </si>
  <si>
    <t>ORD8116</t>
  </si>
  <si>
    <t>TXN00454</t>
  </si>
  <si>
    <t>CUST0454</t>
  </si>
  <si>
    <t>PROD786</t>
  </si>
  <si>
    <t>ORD4982</t>
  </si>
  <si>
    <t>TXN00453</t>
  </si>
  <si>
    <t>CUST0453</t>
  </si>
  <si>
    <t>ORD6510</t>
  </si>
  <si>
    <t>TXN00452</t>
  </si>
  <si>
    <t>CUST0452</t>
  </si>
  <si>
    <t>PROD613</t>
  </si>
  <si>
    <t>ORD6101</t>
  </si>
  <si>
    <t>TXN00451</t>
  </si>
  <si>
    <t>CUST0451</t>
  </si>
  <si>
    <t>ORD2261</t>
  </si>
  <si>
    <t>TXN00450</t>
  </si>
  <si>
    <t>CUST0450</t>
  </si>
  <si>
    <t>PROD601</t>
  </si>
  <si>
    <t>ORD3567</t>
  </si>
  <si>
    <t>TXN00449</t>
  </si>
  <si>
    <t>CUST0449</t>
  </si>
  <si>
    <t>ORD2522</t>
  </si>
  <si>
    <t>TXN00448</t>
  </si>
  <si>
    <t>CUST0448</t>
  </si>
  <si>
    <t>ORD3658</t>
  </si>
  <si>
    <t>TXN00447</t>
  </si>
  <si>
    <t>CUST0447</t>
  </si>
  <si>
    <t>TXN00446</t>
  </si>
  <si>
    <t>CUST0446</t>
  </si>
  <si>
    <t>ORD4863</t>
  </si>
  <si>
    <t>TXN00445</t>
  </si>
  <si>
    <t>CUST0445</t>
  </si>
  <si>
    <t>PROD400</t>
  </si>
  <si>
    <t>TXN00444</t>
  </si>
  <si>
    <t>CUST0444</t>
  </si>
  <si>
    <t>TXN00443</t>
  </si>
  <si>
    <t>CUST0443</t>
  </si>
  <si>
    <t>ORD8269</t>
  </si>
  <si>
    <t>TXN00442</t>
  </si>
  <si>
    <t>CUST0442</t>
  </si>
  <si>
    <t>ORD3587</t>
  </si>
  <si>
    <t>TXN00441</t>
  </si>
  <si>
    <t>CUST0441</t>
  </si>
  <si>
    <t>ORD9494</t>
  </si>
  <si>
    <t>TXN00440</t>
  </si>
  <si>
    <t>CUST0440</t>
  </si>
  <si>
    <t>PROD912</t>
  </si>
  <si>
    <t>ORD4475</t>
  </si>
  <si>
    <t>TXN00439</t>
  </si>
  <si>
    <t>CUST0439</t>
  </si>
  <si>
    <t>PROD281</t>
  </si>
  <si>
    <t>ORD9901</t>
  </si>
  <si>
    <t>TXN00438</t>
  </si>
  <si>
    <t>CUST0438</t>
  </si>
  <si>
    <t>ORD8164</t>
  </si>
  <si>
    <t>TXN00437</t>
  </si>
  <si>
    <t>CUST0437</t>
  </si>
  <si>
    <t>ORD3226</t>
  </si>
  <si>
    <t>TXN00436</t>
  </si>
  <si>
    <t>CUST0436</t>
  </si>
  <si>
    <t>ORD2699</t>
  </si>
  <si>
    <t>TXN00435</t>
  </si>
  <si>
    <t>CUST0435</t>
  </si>
  <si>
    <t>ORD7784</t>
  </si>
  <si>
    <t>TXN00434</t>
  </si>
  <si>
    <t>CUST0434</t>
  </si>
  <si>
    <t>ORD8851</t>
  </si>
  <si>
    <t>TXN00433</t>
  </si>
  <si>
    <t>CUST0433</t>
  </si>
  <si>
    <t>PROD579</t>
  </si>
  <si>
    <t>TXN00432</t>
  </si>
  <si>
    <t>CUST0432</t>
  </si>
  <si>
    <t>TXN00431</t>
  </si>
  <si>
    <t>CUST0431</t>
  </si>
  <si>
    <t>ORD5867</t>
  </si>
  <si>
    <t>TXN00430</t>
  </si>
  <si>
    <t>CUST0430</t>
  </si>
  <si>
    <t>ORD5239</t>
  </si>
  <si>
    <t>TXN00429</t>
  </si>
  <si>
    <t>CUST0429</t>
  </si>
  <si>
    <t>PROD136</t>
  </si>
  <si>
    <t>ORD6452</t>
  </si>
  <si>
    <t>TXN00428</t>
  </si>
  <si>
    <t>CUST0428</t>
  </si>
  <si>
    <t>ORD7902</t>
  </si>
  <si>
    <t>TXN00427</t>
  </si>
  <si>
    <t>CUST0427</t>
  </si>
  <si>
    <t>ORD7360</t>
  </si>
  <si>
    <t>TXN00426</t>
  </si>
  <si>
    <t>CUST0426</t>
  </si>
  <si>
    <t>ORD3624</t>
  </si>
  <si>
    <t>TXN00425</t>
  </si>
  <si>
    <t>CUST0425</t>
  </si>
  <si>
    <t>ORD1147</t>
  </si>
  <si>
    <t>TXN00424</t>
  </si>
  <si>
    <t>CUST0424</t>
  </si>
  <si>
    <t>ORD1797</t>
  </si>
  <si>
    <t>TXN00423</t>
  </si>
  <si>
    <t>CUST0423</t>
  </si>
  <si>
    <t>ORD6863</t>
  </si>
  <si>
    <t>TXN00422</t>
  </si>
  <si>
    <t>CUST0422</t>
  </si>
  <si>
    <t>ORD6712</t>
  </si>
  <si>
    <t>TXN00421</t>
  </si>
  <si>
    <t>CUST0421</t>
  </si>
  <si>
    <t>PROD682</t>
  </si>
  <si>
    <t>TXN00420</t>
  </si>
  <si>
    <t>CUST0420</t>
  </si>
  <si>
    <t>ORD1721</t>
  </si>
  <si>
    <t>TXN00419</t>
  </si>
  <si>
    <t>CUST0419</t>
  </si>
  <si>
    <t>ORD7603</t>
  </si>
  <si>
    <t>TXN00418</t>
  </si>
  <si>
    <t>CUST0418</t>
  </si>
  <si>
    <t>TXN00417</t>
  </si>
  <si>
    <t>CUST0417</t>
  </si>
  <si>
    <t>ORD9041</t>
  </si>
  <si>
    <t>TXN00416</t>
  </si>
  <si>
    <t>CUST0416</t>
  </si>
  <si>
    <t>ORD3244</t>
  </si>
  <si>
    <t>TXN00415</t>
  </si>
  <si>
    <t>CUST0415</t>
  </si>
  <si>
    <t>TXN00414</t>
  </si>
  <si>
    <t>CUST0414</t>
  </si>
  <si>
    <t>ORD2253</t>
  </si>
  <si>
    <t>TXN00413</t>
  </si>
  <si>
    <t>CUST0413</t>
  </si>
  <si>
    <t>PROD189</t>
  </si>
  <si>
    <t>ORD3006</t>
  </si>
  <si>
    <t>TXN00412</t>
  </si>
  <si>
    <t>CUST0412</t>
  </si>
  <si>
    <t>ORD6558</t>
  </si>
  <si>
    <t>TXN00411</t>
  </si>
  <si>
    <t>CUST0411</t>
  </si>
  <si>
    <t>ORD1631</t>
  </si>
  <si>
    <t>TXN00410</t>
  </si>
  <si>
    <t>CUST0410</t>
  </si>
  <si>
    <t>ORD8476</t>
  </si>
  <si>
    <t>TXN00409</t>
  </si>
  <si>
    <t>CUST0409</t>
  </si>
  <si>
    <t>ORD2720</t>
  </si>
  <si>
    <t>TXN00408</t>
  </si>
  <si>
    <t>CUST0408</t>
  </si>
  <si>
    <t>ORD3576</t>
  </si>
  <si>
    <t>TXN00407</t>
  </si>
  <si>
    <t>CUST0407</t>
  </si>
  <si>
    <t>PROD959</t>
  </si>
  <si>
    <t>ORD1739</t>
  </si>
  <si>
    <t>TXN00406</t>
  </si>
  <si>
    <t>CUST0406</t>
  </si>
  <si>
    <t>PROD208</t>
  </si>
  <si>
    <t>ORD7981</t>
  </si>
  <si>
    <t>TXN00405</t>
  </si>
  <si>
    <t>CUST0405</t>
  </si>
  <si>
    <t>ORD4192</t>
  </si>
  <si>
    <t>TXN00404</t>
  </si>
  <si>
    <t>CUST0404</t>
  </si>
  <si>
    <t>ORD2821</t>
  </si>
  <si>
    <t>TXN00403</t>
  </si>
  <si>
    <t>CUST0403</t>
  </si>
  <si>
    <t>ORD6902</t>
  </si>
  <si>
    <t>TXN00402</t>
  </si>
  <si>
    <t>CUST0402</t>
  </si>
  <si>
    <t>ORD5479</t>
  </si>
  <si>
    <t>TXN00401</t>
  </si>
  <si>
    <t>CUST0401</t>
  </si>
  <si>
    <t>ORD8868</t>
  </si>
  <si>
    <t>TXN00400</t>
  </si>
  <si>
    <t>CUST0400</t>
  </si>
  <si>
    <t>PROD279</t>
  </si>
  <si>
    <t>ORD5143</t>
  </si>
  <si>
    <t>TXN00399</t>
  </si>
  <si>
    <t>CUST0399</t>
  </si>
  <si>
    <t>TXN00398</t>
  </si>
  <si>
    <t>CUST0398</t>
  </si>
  <si>
    <t>TXN00397</t>
  </si>
  <si>
    <t>CUST0397</t>
  </si>
  <si>
    <t>ORD6772</t>
  </si>
  <si>
    <t>TXN00396</t>
  </si>
  <si>
    <t>CUST0396</t>
  </si>
  <si>
    <t>ORD6519</t>
  </si>
  <si>
    <t>TXN00395</t>
  </si>
  <si>
    <t>CUST0395</t>
  </si>
  <si>
    <t>ORD3062</t>
  </si>
  <si>
    <t>TXN00394</t>
  </si>
  <si>
    <t>CUST0394</t>
  </si>
  <si>
    <t>PROD176</t>
  </si>
  <si>
    <t>ORD2540</t>
  </si>
  <si>
    <t>TXN00393</t>
  </si>
  <si>
    <t>CUST0393</t>
  </si>
  <si>
    <t>ORD9678</t>
  </si>
  <si>
    <t>TXN00392</t>
  </si>
  <si>
    <t>CUST0392</t>
  </si>
  <si>
    <t>ORD3488</t>
  </si>
  <si>
    <t>TXN00391</t>
  </si>
  <si>
    <t>CUST0391</t>
  </si>
  <si>
    <t>TXN00390</t>
  </si>
  <si>
    <t>CUST0390</t>
  </si>
  <si>
    <t>TXN00389</t>
  </si>
  <si>
    <t>CUST0389</t>
  </si>
  <si>
    <t>ORD3593</t>
  </si>
  <si>
    <t>TXN00388</t>
  </si>
  <si>
    <t>CUST0388</t>
  </si>
  <si>
    <t>ORD6823</t>
  </si>
  <si>
    <t>TXN00387</t>
  </si>
  <si>
    <t>CUST0387</t>
  </si>
  <si>
    <t>PROD796</t>
  </si>
  <si>
    <t>ORD4883</t>
  </si>
  <si>
    <t>TXN00386</t>
  </si>
  <si>
    <t>CUST0386</t>
  </si>
  <si>
    <t>PROD532</t>
  </si>
  <si>
    <t>ORD1053</t>
  </si>
  <si>
    <t>TXN00385</t>
  </si>
  <si>
    <t>CUST0385</t>
  </si>
  <si>
    <t>ORD7247</t>
  </si>
  <si>
    <t>TXN00384</t>
  </si>
  <si>
    <t>CUST0384</t>
  </si>
  <si>
    <t>TXN00383</t>
  </si>
  <si>
    <t>CUST0383</t>
  </si>
  <si>
    <t>ORD6062</t>
  </si>
  <si>
    <t>TXN00382</t>
  </si>
  <si>
    <t>CUST0382</t>
  </si>
  <si>
    <t>PROD974</t>
  </si>
  <si>
    <t>ORD5574</t>
  </si>
  <si>
    <t>TXN00381</t>
  </si>
  <si>
    <t>CUST0381</t>
  </si>
  <si>
    <t>ORD5770</t>
  </si>
  <si>
    <t>TXN00380</t>
  </si>
  <si>
    <t>CUST0380</t>
  </si>
  <si>
    <t>ORD9096</t>
  </si>
  <si>
    <t>TXN00379</t>
  </si>
  <si>
    <t>CUST0379</t>
  </si>
  <si>
    <t>TXN00378</t>
  </si>
  <si>
    <t>CUST0378</t>
  </si>
  <si>
    <t>ORD5216</t>
  </si>
  <si>
    <t>TXN00377</t>
  </si>
  <si>
    <t>CUST0377</t>
  </si>
  <si>
    <t>TXN00376</t>
  </si>
  <si>
    <t>CUST0376</t>
  </si>
  <si>
    <t>ORD4817</t>
  </si>
  <si>
    <t>TXN00375</t>
  </si>
  <si>
    <t>CUST0375</t>
  </si>
  <si>
    <t>ORD4756</t>
  </si>
  <si>
    <t>TXN00374</t>
  </si>
  <si>
    <t>CUST0374</t>
  </si>
  <si>
    <t>ORD2985</t>
  </si>
  <si>
    <t>TXN00373</t>
  </si>
  <si>
    <t>CUST0373</t>
  </si>
  <si>
    <t>PROD604</t>
  </si>
  <si>
    <t>ORD3163</t>
  </si>
  <si>
    <t>TXN00372</t>
  </si>
  <si>
    <t>CUST0372</t>
  </si>
  <si>
    <t>ORD8762</t>
  </si>
  <si>
    <t>TXN00371</t>
  </si>
  <si>
    <t>CUST0371</t>
  </si>
  <si>
    <t>ORD4693</t>
  </si>
  <si>
    <t>TXN00370</t>
  </si>
  <si>
    <t>CUST0370</t>
  </si>
  <si>
    <t>ORD5601</t>
  </si>
  <si>
    <t>TXN00369</t>
  </si>
  <si>
    <t>CUST0369</t>
  </si>
  <si>
    <t>TXN00368</t>
  </si>
  <si>
    <t>CUST0368</t>
  </si>
  <si>
    <t>ORD1978</t>
  </si>
  <si>
    <t>TXN00367</t>
  </si>
  <si>
    <t>CUST0367</t>
  </si>
  <si>
    <t>PROD870</t>
  </si>
  <si>
    <t>TXN00366</t>
  </si>
  <si>
    <t>CUST0366</t>
  </si>
  <si>
    <t>TXN00365</t>
  </si>
  <si>
    <t>CUST0365</t>
  </si>
  <si>
    <t>ORD6037</t>
  </si>
  <si>
    <t>TXN00364</t>
  </si>
  <si>
    <t>CUST0364</t>
  </si>
  <si>
    <t>ORD6777</t>
  </si>
  <si>
    <t>TXN00363</t>
  </si>
  <si>
    <t>CUST0363</t>
  </si>
  <si>
    <t>PROD463</t>
  </si>
  <si>
    <t>TXN00362</t>
  </si>
  <si>
    <t>CUST0362</t>
  </si>
  <si>
    <t>ORD9784</t>
  </si>
  <si>
    <t>TXN00361</t>
  </si>
  <si>
    <t>CUST0361</t>
  </si>
  <si>
    <t>ORD5854</t>
  </si>
  <si>
    <t>TXN00360</t>
  </si>
  <si>
    <t>CUST0360</t>
  </si>
  <si>
    <t>ORD4271</t>
  </si>
  <si>
    <t>TXN00359</t>
  </si>
  <si>
    <t>CUST0359</t>
  </si>
  <si>
    <t>ORD4016</t>
  </si>
  <si>
    <t>TXN00358</t>
  </si>
  <si>
    <t>CUST0358</t>
  </si>
  <si>
    <t>ORD6984</t>
  </si>
  <si>
    <t>TXN00357</t>
  </si>
  <si>
    <t>CUST0357</t>
  </si>
  <si>
    <t>PROD112</t>
  </si>
  <si>
    <t>ORD8869</t>
  </si>
  <si>
    <t>TXN00356</t>
  </si>
  <si>
    <t>CUST0356</t>
  </si>
  <si>
    <t>TXN00355</t>
  </si>
  <si>
    <t>CUST0355</t>
  </si>
  <si>
    <t>ORD1095</t>
  </si>
  <si>
    <t>TXN00354</t>
  </si>
  <si>
    <t>CUST0354</t>
  </si>
  <si>
    <t>ORD5613</t>
  </si>
  <si>
    <t>TXN00353</t>
  </si>
  <si>
    <t>CUST0353</t>
  </si>
  <si>
    <t>ORD5095</t>
  </si>
  <si>
    <t>TXN00352</t>
  </si>
  <si>
    <t>CUST0352</t>
  </si>
  <si>
    <t>PROD611</t>
  </si>
  <si>
    <t>ORD4078</t>
  </si>
  <si>
    <t>TXN00351</t>
  </si>
  <si>
    <t>CUST0351</t>
  </si>
  <si>
    <t>TXN00350</t>
  </si>
  <si>
    <t>CUST0350</t>
  </si>
  <si>
    <t>ORD7941</t>
  </si>
  <si>
    <t>TXN00349</t>
  </si>
  <si>
    <t>CUST0349</t>
  </si>
  <si>
    <t>ORD5843</t>
  </si>
  <si>
    <t>TXN00348</t>
  </si>
  <si>
    <t>CUST0348</t>
  </si>
  <si>
    <t>ORD2609</t>
  </si>
  <si>
    <t>TXN00347</t>
  </si>
  <si>
    <t>CUST0347</t>
  </si>
  <si>
    <t>ORD6929</t>
  </si>
  <si>
    <t>TXN00346</t>
  </si>
  <si>
    <t>CUST0346</t>
  </si>
  <si>
    <t>ORD3832</t>
  </si>
  <si>
    <t>TXN00345</t>
  </si>
  <si>
    <t>CUST0345</t>
  </si>
  <si>
    <t>ORD2989</t>
  </si>
  <si>
    <t>TXN00344</t>
  </si>
  <si>
    <t>CUST0344</t>
  </si>
  <si>
    <t>ORD8390</t>
  </si>
  <si>
    <t>TXN00343</t>
  </si>
  <si>
    <t>CUST0343</t>
  </si>
  <si>
    <t>ORD2262</t>
  </si>
  <si>
    <t>TXN00342</t>
  </si>
  <si>
    <t>CUST0342</t>
  </si>
  <si>
    <t>ORD5880</t>
  </si>
  <si>
    <t>TXN00341</t>
  </si>
  <si>
    <t>CUST0341</t>
  </si>
  <si>
    <t>PROD180</t>
  </si>
  <si>
    <t>ORD5167</t>
  </si>
  <si>
    <t>TXN00340</t>
  </si>
  <si>
    <t>CUST0340</t>
  </si>
  <si>
    <t>ORD6391</t>
  </si>
  <si>
    <t>TXN00339</t>
  </si>
  <si>
    <t>CUST0339</t>
  </si>
  <si>
    <t>ORD3856</t>
  </si>
  <si>
    <t>TXN00338</t>
  </si>
  <si>
    <t>CUST0338</t>
  </si>
  <si>
    <t>ORD3304</t>
  </si>
  <si>
    <t>TXN00337</t>
  </si>
  <si>
    <t>CUST0337</t>
  </si>
  <si>
    <t>PROD849</t>
  </si>
  <si>
    <t>TXN00336</t>
  </si>
  <si>
    <t>CUST0336</t>
  </si>
  <si>
    <t>ORD6756</t>
  </si>
  <si>
    <t>TXN00335</t>
  </si>
  <si>
    <t>CUST0335</t>
  </si>
  <si>
    <t>ORD3674</t>
  </si>
  <si>
    <t>TXN00334</t>
  </si>
  <si>
    <t>CUST0334</t>
  </si>
  <si>
    <t>ORD4085</t>
  </si>
  <si>
    <t>TXN00333</t>
  </si>
  <si>
    <t>CUST0333</t>
  </si>
  <si>
    <t>TXN00332</t>
  </si>
  <si>
    <t>CUST0332</t>
  </si>
  <si>
    <t>ORD4948</t>
  </si>
  <si>
    <t>TXN00331</t>
  </si>
  <si>
    <t>CUST0331</t>
  </si>
  <si>
    <t>ORD8183</t>
  </si>
  <si>
    <t>TXN00330</t>
  </si>
  <si>
    <t>CUST0330</t>
  </si>
  <si>
    <t>PROD967</t>
  </si>
  <si>
    <t>TXN00329</t>
  </si>
  <si>
    <t>CUST0329</t>
  </si>
  <si>
    <t>ORD8122</t>
  </si>
  <si>
    <t>TXN00328</t>
  </si>
  <si>
    <t>CUST0328</t>
  </si>
  <si>
    <t>PROD835</t>
  </si>
  <si>
    <t>ORD2678</t>
  </si>
  <si>
    <t>TXN00327</t>
  </si>
  <si>
    <t>CUST0327</t>
  </si>
  <si>
    <t>ORD2611</t>
  </si>
  <si>
    <t>TXN00326</t>
  </si>
  <si>
    <t>CUST0326</t>
  </si>
  <si>
    <t>ORD2137</t>
  </si>
  <si>
    <t>TXN00325</t>
  </si>
  <si>
    <t>CUST0325</t>
  </si>
  <si>
    <t>ORD4569</t>
  </si>
  <si>
    <t>TXN00324</t>
  </si>
  <si>
    <t>CUST0324</t>
  </si>
  <si>
    <t>ORD9119</t>
  </si>
  <si>
    <t>TXN00323</t>
  </si>
  <si>
    <t>CUST0323</t>
  </si>
  <si>
    <t>TXN00322</t>
  </si>
  <si>
    <t>CUST0322</t>
  </si>
  <si>
    <t>TXN00321</t>
  </si>
  <si>
    <t>CUST0321</t>
  </si>
  <si>
    <t>PROD997</t>
  </si>
  <si>
    <t>ORD3709</t>
  </si>
  <si>
    <t>TXN00320</t>
  </si>
  <si>
    <t>CUST0320</t>
  </si>
  <si>
    <t>ORD1350</t>
  </si>
  <si>
    <t>TXN00319</t>
  </si>
  <si>
    <t>CUST0319</t>
  </si>
  <si>
    <t>TXN00318</t>
  </si>
  <si>
    <t>CUST0318</t>
  </si>
  <si>
    <t>TXN00317</t>
  </si>
  <si>
    <t>CUST0317</t>
  </si>
  <si>
    <t>ORD8744</t>
  </si>
  <si>
    <t>TXN00316</t>
  </si>
  <si>
    <t>CUST0316</t>
  </si>
  <si>
    <t>ORD7014</t>
  </si>
  <si>
    <t>TXN00315</t>
  </si>
  <si>
    <t>CUST0315</t>
  </si>
  <si>
    <t>ORD5317</t>
  </si>
  <si>
    <t>TXN00314</t>
  </si>
  <si>
    <t>CUST0314</t>
  </si>
  <si>
    <t>ORD5609</t>
  </si>
  <si>
    <t>TXN00313</t>
  </si>
  <si>
    <t>CUST0313</t>
  </si>
  <si>
    <t>ORD4672</t>
  </si>
  <si>
    <t>TXN00312</t>
  </si>
  <si>
    <t>CUST0312</t>
  </si>
  <si>
    <t>ORD9433</t>
  </si>
  <si>
    <t>TXN00311</t>
  </si>
  <si>
    <t>CUST0311</t>
  </si>
  <si>
    <t>PROD360</t>
  </si>
  <si>
    <t>ORD8879</t>
  </si>
  <si>
    <t>TXN00310</t>
  </si>
  <si>
    <t>CUST0310</t>
  </si>
  <si>
    <t>ORD2147</t>
  </si>
  <si>
    <t>TXN00309</t>
  </si>
  <si>
    <t>CUST0309</t>
  </si>
  <si>
    <t>ORD8289</t>
  </si>
  <si>
    <t>TXN00308</t>
  </si>
  <si>
    <t>CUST0308</t>
  </si>
  <si>
    <t>ORD7181</t>
  </si>
  <si>
    <t>TXN00307</t>
  </si>
  <si>
    <t>CUST0307</t>
  </si>
  <si>
    <t>PROD349</t>
  </si>
  <si>
    <t>ORD4945</t>
  </si>
  <si>
    <t>TXN00306</t>
  </si>
  <si>
    <t>CUST0306</t>
  </si>
  <si>
    <t>TXN00305</t>
  </si>
  <si>
    <t>CUST0305</t>
  </si>
  <si>
    <t>PROD299</t>
  </si>
  <si>
    <t>ORD6946</t>
  </si>
  <si>
    <t>TXN00304</t>
  </si>
  <si>
    <t>CUST0304</t>
  </si>
  <si>
    <t>ORD5083</t>
  </si>
  <si>
    <t>TXN00303</t>
  </si>
  <si>
    <t>CUST0303</t>
  </si>
  <si>
    <t>ORD5024</t>
  </si>
  <si>
    <t>TXN00302</t>
  </si>
  <si>
    <t>CUST0302</t>
  </si>
  <si>
    <t>ORD5792</t>
  </si>
  <si>
    <t>TXN00301</t>
  </si>
  <si>
    <t>CUST0301</t>
  </si>
  <si>
    <t>ORD4713</t>
  </si>
  <si>
    <t>TXN00300</t>
  </si>
  <si>
    <t>CUST0300</t>
  </si>
  <si>
    <t>TXN00299</t>
  </si>
  <si>
    <t>CUST0299</t>
  </si>
  <si>
    <t>ORD2623</t>
  </si>
  <si>
    <t>TXN00298</t>
  </si>
  <si>
    <t>CUST0298</t>
  </si>
  <si>
    <t>ORD5751</t>
  </si>
  <si>
    <t>TXN00297</t>
  </si>
  <si>
    <t>CUST0297</t>
  </si>
  <si>
    <t>ORD6135</t>
  </si>
  <si>
    <t>TXN00296</t>
  </si>
  <si>
    <t>CUST0296</t>
  </si>
  <si>
    <t>ORD2078</t>
  </si>
  <si>
    <t>TXN00295</t>
  </si>
  <si>
    <t>CUST0295</t>
  </si>
  <si>
    <t>PROD242</t>
  </si>
  <si>
    <t>ORD4246</t>
  </si>
  <si>
    <t>TXN00294</t>
  </si>
  <si>
    <t>CUST0294</t>
  </si>
  <si>
    <t>ORD6405</t>
  </si>
  <si>
    <t>TXN00293</t>
  </si>
  <si>
    <t>CUST0293</t>
  </si>
  <si>
    <t>ORD2357</t>
  </si>
  <si>
    <t>TXN00292</t>
  </si>
  <si>
    <t>CUST0292</t>
  </si>
  <si>
    <t>ORD7667</t>
  </si>
  <si>
    <t>TXN00291</t>
  </si>
  <si>
    <t>CUST0291</t>
  </si>
  <si>
    <t>ORD4725</t>
  </si>
  <si>
    <t>TXN00290</t>
  </si>
  <si>
    <t>CUST0290</t>
  </si>
  <si>
    <t>ORD7006</t>
  </si>
  <si>
    <t>TXN00289</t>
  </si>
  <si>
    <t>CUST0289</t>
  </si>
  <si>
    <t>ORD1779</t>
  </si>
  <si>
    <t>TXN00288</t>
  </si>
  <si>
    <t>CUST0288</t>
  </si>
  <si>
    <t>ORD2635</t>
  </si>
  <si>
    <t>TXN00287</t>
  </si>
  <si>
    <t>CUST0287</t>
  </si>
  <si>
    <t>ORD7468</t>
  </si>
  <si>
    <t>TXN00286</t>
  </si>
  <si>
    <t>CUST0286</t>
  </si>
  <si>
    <t>ORD7102</t>
  </si>
  <si>
    <t>TXN00285</t>
  </si>
  <si>
    <t>CUST0285</t>
  </si>
  <si>
    <t>ORD1299</t>
  </si>
  <si>
    <t>TXN00284</t>
  </si>
  <si>
    <t>CUST0284</t>
  </si>
  <si>
    <t>PROD727</t>
  </si>
  <si>
    <t>ORD4918</t>
  </si>
  <si>
    <t>TXN00283</t>
  </si>
  <si>
    <t>CUST0283</t>
  </si>
  <si>
    <t>ORD3883</t>
  </si>
  <si>
    <t>TXN00282</t>
  </si>
  <si>
    <t>CUST0282</t>
  </si>
  <si>
    <t>ORD7620</t>
  </si>
  <si>
    <t>TXN00281</t>
  </si>
  <si>
    <t>CUST0281</t>
  </si>
  <si>
    <t>ORD7381</t>
  </si>
  <si>
    <t>TXN00280</t>
  </si>
  <si>
    <t>CUST0280</t>
  </si>
  <si>
    <t>ORD7616</t>
  </si>
  <si>
    <t>TXN00279</t>
  </si>
  <si>
    <t>CUST0279</t>
  </si>
  <si>
    <t>TXN00278</t>
  </si>
  <si>
    <t>CUST0278</t>
  </si>
  <si>
    <t>ORD9254</t>
  </si>
  <si>
    <t>TXN00277</t>
  </si>
  <si>
    <t>CUST0277</t>
  </si>
  <si>
    <t>ORD4235</t>
  </si>
  <si>
    <t>TXN00276</t>
  </si>
  <si>
    <t>CUST0276</t>
  </si>
  <si>
    <t>TXN00275</t>
  </si>
  <si>
    <t>CUST0275</t>
  </si>
  <si>
    <t>ORD6307</t>
  </si>
  <si>
    <t>TXN00274</t>
  </si>
  <si>
    <t>CUST0274</t>
  </si>
  <si>
    <t>ORD9060</t>
  </si>
  <si>
    <t>TXN00273</t>
  </si>
  <si>
    <t>CUST0273</t>
  </si>
  <si>
    <t>PROD113</t>
  </si>
  <si>
    <t>ORD8981</t>
  </si>
  <si>
    <t>TXN00272</t>
  </si>
  <si>
    <t>CUST0272</t>
  </si>
  <si>
    <t>ORD6415</t>
  </si>
  <si>
    <t>TXN00271</t>
  </si>
  <si>
    <t>CUST0271</t>
  </si>
  <si>
    <t>ORD8334</t>
  </si>
  <si>
    <t>TXN00270</t>
  </si>
  <si>
    <t>CUST0270</t>
  </si>
  <si>
    <t>TXN00269</t>
  </si>
  <si>
    <t>CUST0269</t>
  </si>
  <si>
    <t>ORD3065</t>
  </si>
  <si>
    <t>TXN00268</t>
  </si>
  <si>
    <t>CUST0268</t>
  </si>
  <si>
    <t>ORD3945</t>
  </si>
  <si>
    <t>TXN00267</t>
  </si>
  <si>
    <t>CUST0267</t>
  </si>
  <si>
    <t>PROD606</t>
  </si>
  <si>
    <t>ORD4820</t>
  </si>
  <si>
    <t>TXN00266</t>
  </si>
  <si>
    <t>CUST0266</t>
  </si>
  <si>
    <t>TXN00265</t>
  </si>
  <si>
    <t>CUST0265</t>
  </si>
  <si>
    <t>ORD5159</t>
  </si>
  <si>
    <t>TXN00264</t>
  </si>
  <si>
    <t>CUST0264</t>
  </si>
  <si>
    <t>ORD8550</t>
  </si>
  <si>
    <t>TXN00263</t>
  </si>
  <si>
    <t>CUST0263</t>
  </si>
  <si>
    <t>ORD4571</t>
  </si>
  <si>
    <t>TXN00262</t>
  </si>
  <si>
    <t>CUST0262</t>
  </si>
  <si>
    <t>ORD6725</t>
  </si>
  <si>
    <t>TXN00261</t>
  </si>
  <si>
    <t>CUST0261</t>
  </si>
  <si>
    <t>ORD8302</t>
  </si>
  <si>
    <t>TXN00260</t>
  </si>
  <si>
    <t>CUST0260</t>
  </si>
  <si>
    <t>ORD6688</t>
  </si>
  <si>
    <t>TXN00259</t>
  </si>
  <si>
    <t>CUST0259</t>
  </si>
  <si>
    <t>ORD9331</t>
  </si>
  <si>
    <t>TXN00258</t>
  </si>
  <si>
    <t>CUST0258</t>
  </si>
  <si>
    <t>ORD4113</t>
  </si>
  <si>
    <t>TXN00257</t>
  </si>
  <si>
    <t>CUST0257</t>
  </si>
  <si>
    <t>ORD4381</t>
  </si>
  <si>
    <t>TXN00256</t>
  </si>
  <si>
    <t>CUST0256</t>
  </si>
  <si>
    <t>ORD2711</t>
  </si>
  <si>
    <t>TXN00255</t>
  </si>
  <si>
    <t>CUST0255</t>
  </si>
  <si>
    <t>PROD114</t>
  </si>
  <si>
    <t>ORD3435</t>
  </si>
  <si>
    <t>TXN00254</t>
  </si>
  <si>
    <t>CUST0254</t>
  </si>
  <si>
    <t>ORD9520</t>
  </si>
  <si>
    <t>TXN00253</t>
  </si>
  <si>
    <t>CUST0253</t>
  </si>
  <si>
    <t>ORD9757</t>
  </si>
  <si>
    <t>TXN00252</t>
  </si>
  <si>
    <t>CUST0252</t>
  </si>
  <si>
    <t>ORD9296</t>
  </si>
  <si>
    <t>TXN00251</t>
  </si>
  <si>
    <t>CUST0251</t>
  </si>
  <si>
    <t>ORD7223</t>
  </si>
  <si>
    <t>TXN00250</t>
  </si>
  <si>
    <t>CUST0250</t>
  </si>
  <si>
    <t>ORD5584</t>
  </si>
  <si>
    <t>TXN00249</t>
  </si>
  <si>
    <t>CUST0249</t>
  </si>
  <si>
    <t>ORD5847</t>
  </si>
  <si>
    <t>TXN00248</t>
  </si>
  <si>
    <t>CUST0248</t>
  </si>
  <si>
    <t>ORD3698</t>
  </si>
  <si>
    <t>TXN00247</t>
  </si>
  <si>
    <t>CUST0247</t>
  </si>
  <si>
    <t>PROD373</t>
  </si>
  <si>
    <t>ORD1353</t>
  </si>
  <si>
    <t>TXN00246</t>
  </si>
  <si>
    <t>CUST0246</t>
  </si>
  <si>
    <t>TXN00245</t>
  </si>
  <si>
    <t>CUST0245</t>
  </si>
  <si>
    <t>ORD8291</t>
  </si>
  <si>
    <t>TXN00244</t>
  </si>
  <si>
    <t>CUST0244</t>
  </si>
  <si>
    <t>ORD8439</t>
  </si>
  <si>
    <t>TXN00243</t>
  </si>
  <si>
    <t>CUST0243</t>
  </si>
  <si>
    <t>TXN00242</t>
  </si>
  <si>
    <t>CUST0242</t>
  </si>
  <si>
    <t>ORD8968</t>
  </si>
  <si>
    <t>TXN00241</t>
  </si>
  <si>
    <t>CUST0241</t>
  </si>
  <si>
    <t>PROD367</t>
  </si>
  <si>
    <t>ORD8148</t>
  </si>
  <si>
    <t>TXN00240</t>
  </si>
  <si>
    <t>CUST0240</t>
  </si>
  <si>
    <t>ORD3807</t>
  </si>
  <si>
    <t>TXN00239</t>
  </si>
  <si>
    <t>CUST0239</t>
  </si>
  <si>
    <t>ORD8748</t>
  </si>
  <si>
    <t>TXN00238</t>
  </si>
  <si>
    <t>CUST0238</t>
  </si>
  <si>
    <t>ORD1656</t>
  </si>
  <si>
    <t>TXN00237</t>
  </si>
  <si>
    <t>CUST0237</t>
  </si>
  <si>
    <t>ORD6317</t>
  </si>
  <si>
    <t>TXN00236</t>
  </si>
  <si>
    <t>CUST0236</t>
  </si>
  <si>
    <t>ORD7408</t>
  </si>
  <si>
    <t>TXN00235</t>
  </si>
  <si>
    <t>CUST0235</t>
  </si>
  <si>
    <t>ORD7279</t>
  </si>
  <si>
    <t>TXN00234</t>
  </si>
  <si>
    <t>CUST0234</t>
  </si>
  <si>
    <t>PROD810</t>
  </si>
  <si>
    <t>ORD9338</t>
  </si>
  <si>
    <t>TXN00233</t>
  </si>
  <si>
    <t>CUST0233</t>
  </si>
  <si>
    <t>ORD3568</t>
  </si>
  <si>
    <t>TXN00232</t>
  </si>
  <si>
    <t>CUST0232</t>
  </si>
  <si>
    <t>TXN00231</t>
  </si>
  <si>
    <t>CUST0231</t>
  </si>
  <si>
    <t>TXN00230</t>
  </si>
  <si>
    <t>CUST0230</t>
  </si>
  <si>
    <t>ORD5388</t>
  </si>
  <si>
    <t>TXN00229</t>
  </si>
  <si>
    <t>CUST0229</t>
  </si>
  <si>
    <t>ORD9479</t>
  </si>
  <si>
    <t>TXN00228</t>
  </si>
  <si>
    <t>CUST0228</t>
  </si>
  <si>
    <t>ORD9631</t>
  </si>
  <si>
    <t>TXN00227</t>
  </si>
  <si>
    <t>CUST0227</t>
  </si>
  <si>
    <t>ORD6092</t>
  </si>
  <si>
    <t>TXN00226</t>
  </si>
  <si>
    <t>CUST0226</t>
  </si>
  <si>
    <t>ORD1885</t>
  </si>
  <si>
    <t>TXN00225</t>
  </si>
  <si>
    <t>CUST0225</t>
  </si>
  <si>
    <t>ORD7009</t>
  </si>
  <si>
    <t>TXN00224</t>
  </si>
  <si>
    <t>CUST0224</t>
  </si>
  <si>
    <t>PROD225</t>
  </si>
  <si>
    <t>ORD6342</t>
  </si>
  <si>
    <t>TXN00223</t>
  </si>
  <si>
    <t>CUST0223</t>
  </si>
  <si>
    <t>ORD2299</t>
  </si>
  <si>
    <t>TXN00222</t>
  </si>
  <si>
    <t>CUST0222</t>
  </si>
  <si>
    <t>ORD7378</t>
  </si>
  <si>
    <t>TXN00221</t>
  </si>
  <si>
    <t>CUST0221</t>
  </si>
  <si>
    <t>ORD4766</t>
  </si>
  <si>
    <t>TXN00220</t>
  </si>
  <si>
    <t>CUST0220</t>
  </si>
  <si>
    <t>ORD8112</t>
  </si>
  <si>
    <t>TXN00219</t>
  </si>
  <si>
    <t>CUST0219</t>
  </si>
  <si>
    <t>TXN00218</t>
  </si>
  <si>
    <t>CUST0218</t>
  </si>
  <si>
    <t>ORD4996</t>
  </si>
  <si>
    <t>TXN00217</t>
  </si>
  <si>
    <t>CUST0217</t>
  </si>
  <si>
    <t>ORD9316</t>
  </si>
  <si>
    <t>TXN00216</t>
  </si>
  <si>
    <t>CUST0216</t>
  </si>
  <si>
    <t>ORD4601</t>
  </si>
  <si>
    <t>TXN00215</t>
  </si>
  <si>
    <t>CUST0215</t>
  </si>
  <si>
    <t>ORD6889</t>
  </si>
  <si>
    <t>TXN00214</t>
  </si>
  <si>
    <t>CUST0214</t>
  </si>
  <si>
    <t>TXN00213</t>
  </si>
  <si>
    <t>CUST0213</t>
  </si>
  <si>
    <t>ORD3410</t>
  </si>
  <si>
    <t>TXN00212</t>
  </si>
  <si>
    <t>CUST0212</t>
  </si>
  <si>
    <t>ORD2003</t>
  </si>
  <si>
    <t>TXN00211</t>
  </si>
  <si>
    <t>CUST0211</t>
  </si>
  <si>
    <t>ORD3976</t>
  </si>
  <si>
    <t>TXN00210</t>
  </si>
  <si>
    <t>CUST0210</t>
  </si>
  <si>
    <t>ORD3867</t>
  </si>
  <si>
    <t>TXN00209</t>
  </si>
  <si>
    <t>CUST0209</t>
  </si>
  <si>
    <t>ORD5874</t>
  </si>
  <si>
    <t>TXN00208</t>
  </si>
  <si>
    <t>CUST0208</t>
  </si>
  <si>
    <t>ORD7987</t>
  </si>
  <si>
    <t>TXN00207</t>
  </si>
  <si>
    <t>CUST0207</t>
  </si>
  <si>
    <t>ORD8575</t>
  </si>
  <si>
    <t>TXN00206</t>
  </si>
  <si>
    <t>CUST0206</t>
  </si>
  <si>
    <t>ORD3981</t>
  </si>
  <si>
    <t>TXN00205</t>
  </si>
  <si>
    <t>CUST0205</t>
  </si>
  <si>
    <t>ORD9503</t>
  </si>
  <si>
    <t>TXN00204</t>
  </si>
  <si>
    <t>CUST0204</t>
  </si>
  <si>
    <t>ORD8379</t>
  </si>
  <si>
    <t>TXN00203</t>
  </si>
  <si>
    <t>CUST0203</t>
  </si>
  <si>
    <t>PROD341</t>
  </si>
  <si>
    <t>ORD8495</t>
  </si>
  <si>
    <t>TXN00202</t>
  </si>
  <si>
    <t>CUST0202</t>
  </si>
  <si>
    <t>ORD7969</t>
  </si>
  <si>
    <t>TXN00201</t>
  </si>
  <si>
    <t>CUST0201</t>
  </si>
  <si>
    <t>PROD886</t>
  </si>
  <si>
    <t>ORD2459</t>
  </si>
  <si>
    <t>TXN00200</t>
  </si>
  <si>
    <t>CUST0200</t>
  </si>
  <si>
    <t>TXN00199</t>
  </si>
  <si>
    <t>CUST0199</t>
  </si>
  <si>
    <t>TXN00198</t>
  </si>
  <si>
    <t>CUST0198</t>
  </si>
  <si>
    <t>ORD6528</t>
  </si>
  <si>
    <t>TXN00197</t>
  </si>
  <si>
    <t>CUST0197</t>
  </si>
  <si>
    <t>ORD2373</t>
  </si>
  <si>
    <t>TXN00196</t>
  </si>
  <si>
    <t>CUST0196</t>
  </si>
  <si>
    <t>ORD8388</t>
  </si>
  <si>
    <t>TXN00195</t>
  </si>
  <si>
    <t>CUST0195</t>
  </si>
  <si>
    <t>PROD945</t>
  </si>
  <si>
    <t>TXN00194</t>
  </si>
  <si>
    <t>CUST0194</t>
  </si>
  <si>
    <t>ORD3618</t>
  </si>
  <si>
    <t>TXN00193</t>
  </si>
  <si>
    <t>CUST0193</t>
  </si>
  <si>
    <t>ORD8277</t>
  </si>
  <si>
    <t>TXN00192</t>
  </si>
  <si>
    <t>CUST0192</t>
  </si>
  <si>
    <t>ORD7194</t>
  </si>
  <si>
    <t>TXN00191</t>
  </si>
  <si>
    <t>CUST0191</t>
  </si>
  <si>
    <t>ORD8741</t>
  </si>
  <si>
    <t>TXN00190</t>
  </si>
  <si>
    <t>CUST0190</t>
  </si>
  <si>
    <t>ORD5190</t>
  </si>
  <si>
    <t>TXN00189</t>
  </si>
  <si>
    <t>CUST0189</t>
  </si>
  <si>
    <t>TXN00188</t>
  </si>
  <si>
    <t>CUST0188</t>
  </si>
  <si>
    <t>PROD975</t>
  </si>
  <si>
    <t>TXN00187</t>
  </si>
  <si>
    <t>CUST0187</t>
  </si>
  <si>
    <t>ORD8707</t>
  </si>
  <si>
    <t>TXN00186</t>
  </si>
  <si>
    <t>CUST0186</t>
  </si>
  <si>
    <t>ORD2009</t>
  </si>
  <si>
    <t>TXN00185</t>
  </si>
  <si>
    <t>CUST0185</t>
  </si>
  <si>
    <t>ORD3028</t>
  </si>
  <si>
    <t>TXN00184</t>
  </si>
  <si>
    <t>CUST0184</t>
  </si>
  <si>
    <t>ORD2892</t>
  </si>
  <si>
    <t>TXN00183</t>
  </si>
  <si>
    <t>CUST0183</t>
  </si>
  <si>
    <t>ORD5346</t>
  </si>
  <si>
    <t>TXN00182</t>
  </si>
  <si>
    <t>CUST0182</t>
  </si>
  <si>
    <t>TXN00181</t>
  </si>
  <si>
    <t>CUST0181</t>
  </si>
  <si>
    <t>ORD7333</t>
  </si>
  <si>
    <t>TXN00180</t>
  </si>
  <si>
    <t>CUST0180</t>
  </si>
  <si>
    <t>ORD8728</t>
  </si>
  <si>
    <t>TXN00179</t>
  </si>
  <si>
    <t>CUST0179</t>
  </si>
  <si>
    <t>ORD9407</t>
  </si>
  <si>
    <t>TXN00178</t>
  </si>
  <si>
    <t>CUST0178</t>
  </si>
  <si>
    <t>ORD1373</t>
  </si>
  <si>
    <t>TXN00177</t>
  </si>
  <si>
    <t>CUST0177</t>
  </si>
  <si>
    <t>ORD8806</t>
  </si>
  <si>
    <t>TXN00176</t>
  </si>
  <si>
    <t>CUST0176</t>
  </si>
  <si>
    <t>ORD5608</t>
  </si>
  <si>
    <t>TXN00175</t>
  </si>
  <si>
    <t>CUST0175</t>
  </si>
  <si>
    <t>ORD9092</t>
  </si>
  <si>
    <t>TXN00174</t>
  </si>
  <si>
    <t>CUST0174</t>
  </si>
  <si>
    <t>ORD2238</t>
  </si>
  <si>
    <t>TXN00173</t>
  </si>
  <si>
    <t>CUST0173</t>
  </si>
  <si>
    <t>TXN00172</t>
  </si>
  <si>
    <t>CUST0172</t>
  </si>
  <si>
    <t>ORD9972</t>
  </si>
  <si>
    <t>TXN00171</t>
  </si>
  <si>
    <t>CUST0171</t>
  </si>
  <si>
    <t>ORD6428</t>
  </si>
  <si>
    <t>TXN00170</t>
  </si>
  <si>
    <t>CUST0170</t>
  </si>
  <si>
    <t>ORD6011</t>
  </si>
  <si>
    <t>TXN00169</t>
  </si>
  <si>
    <t>CUST0169</t>
  </si>
  <si>
    <t>ORD5133</t>
  </si>
  <si>
    <t>TXN00168</t>
  </si>
  <si>
    <t>CUST0168</t>
  </si>
  <si>
    <t>TXN00167</t>
  </si>
  <si>
    <t>CUST0167</t>
  </si>
  <si>
    <t>TXN00166</t>
  </si>
  <si>
    <t>CUST0166</t>
  </si>
  <si>
    <t>ORD3595</t>
  </si>
  <si>
    <t>TXN00165</t>
  </si>
  <si>
    <t>CUST0165</t>
  </si>
  <si>
    <t>TXN00164</t>
  </si>
  <si>
    <t>CUST0164</t>
  </si>
  <si>
    <t>ORD8961</t>
  </si>
  <si>
    <t>TXN00163</t>
  </si>
  <si>
    <t>CUST0163</t>
  </si>
  <si>
    <t>ORD7127</t>
  </si>
  <si>
    <t>TXN00162</t>
  </si>
  <si>
    <t>CUST0162</t>
  </si>
  <si>
    <t>ORD7137</t>
  </si>
  <si>
    <t>TXN00161</t>
  </si>
  <si>
    <t>CUST0161</t>
  </si>
  <si>
    <t>ORD1758</t>
  </si>
  <si>
    <t>TXN00160</t>
  </si>
  <si>
    <t>CUST0160</t>
  </si>
  <si>
    <t>ORD6131</t>
  </si>
  <si>
    <t>TXN00159</t>
  </si>
  <si>
    <t>CUST0159</t>
  </si>
  <si>
    <t>ORD3302</t>
  </si>
  <si>
    <t>TXN00158</t>
  </si>
  <si>
    <t>CUST0158</t>
  </si>
  <si>
    <t>ORD3030</t>
  </si>
  <si>
    <t>TXN00157</t>
  </si>
  <si>
    <t>CUST0157</t>
  </si>
  <si>
    <t>TXN00156</t>
  </si>
  <si>
    <t>CUST0156</t>
  </si>
  <si>
    <t>ORD2274</t>
  </si>
  <si>
    <t>TXN00155</t>
  </si>
  <si>
    <t>CUST0155</t>
  </si>
  <si>
    <t>TXN00154</t>
  </si>
  <si>
    <t>CUST0154</t>
  </si>
  <si>
    <t>TXN00153</t>
  </si>
  <si>
    <t>CUST0153</t>
  </si>
  <si>
    <t>ORD6580</t>
  </si>
  <si>
    <t>TXN00152</t>
  </si>
  <si>
    <t>CUST0152</t>
  </si>
  <si>
    <t>ORD3384</t>
  </si>
  <si>
    <t>TXN00151</t>
  </si>
  <si>
    <t>CUST0151</t>
  </si>
  <si>
    <t>ORD1515</t>
  </si>
  <si>
    <t>TXN00150</t>
  </si>
  <si>
    <t>CUST0150</t>
  </si>
  <si>
    <t>PROD315</t>
  </si>
  <si>
    <t>ORD3155</t>
  </si>
  <si>
    <t>TXN00149</t>
  </si>
  <si>
    <t>CUST0149</t>
  </si>
  <si>
    <t>ORD2655</t>
  </si>
  <si>
    <t>TXN00148</t>
  </si>
  <si>
    <t>CUST0148</t>
  </si>
  <si>
    <t>ORD7972</t>
  </si>
  <si>
    <t>TXN00147</t>
  </si>
  <si>
    <t>CUST0147</t>
  </si>
  <si>
    <t>TXN00146</t>
  </si>
  <si>
    <t>CUST0146</t>
  </si>
  <si>
    <t>ORD4143</t>
  </si>
  <si>
    <t>TXN00145</t>
  </si>
  <si>
    <t>CUST0145</t>
  </si>
  <si>
    <t>PROD893</t>
  </si>
  <si>
    <t>ORD4914</t>
  </si>
  <si>
    <t>TXN00144</t>
  </si>
  <si>
    <t>CUST0144</t>
  </si>
  <si>
    <t>ORD7274</t>
  </si>
  <si>
    <t>TXN00143</t>
  </si>
  <si>
    <t>CUST0143</t>
  </si>
  <si>
    <t>ORD4448</t>
  </si>
  <si>
    <t>TXN00142</t>
  </si>
  <si>
    <t>CUST0142</t>
  </si>
  <si>
    <t>ORD6316</t>
  </si>
  <si>
    <t>TXN00141</t>
  </si>
  <si>
    <t>CUST0141</t>
  </si>
  <si>
    <t>ORD6371</t>
  </si>
  <si>
    <t>TXN00140</t>
  </si>
  <si>
    <t>CUST0140</t>
  </si>
  <si>
    <t>PROD578</t>
  </si>
  <si>
    <t>ORD3969</t>
  </si>
  <si>
    <t>TXN00139</t>
  </si>
  <si>
    <t>CUST0139</t>
  </si>
  <si>
    <t>ORD3138</t>
  </si>
  <si>
    <t>TXN00138</t>
  </si>
  <si>
    <t>CUST0138</t>
  </si>
  <si>
    <t>ORD2374</t>
  </si>
  <si>
    <t>TXN00137</t>
  </si>
  <si>
    <t>CUST0137</t>
  </si>
  <si>
    <t>TXN00136</t>
  </si>
  <si>
    <t>CUST0136</t>
  </si>
  <si>
    <t>TXN00135</t>
  </si>
  <si>
    <t>CUST0135</t>
  </si>
  <si>
    <t>ORD6190</t>
  </si>
  <si>
    <t>TXN00134</t>
  </si>
  <si>
    <t>CUST0134</t>
  </si>
  <si>
    <t>ORD8819</t>
  </si>
  <si>
    <t>TXN00133</t>
  </si>
  <si>
    <t>CUST0133</t>
  </si>
  <si>
    <t>ORD5636</t>
  </si>
  <si>
    <t>TXN00132</t>
  </si>
  <si>
    <t>CUST0132</t>
  </si>
  <si>
    <t>ORD5625</t>
  </si>
  <si>
    <t>TXN00131</t>
  </si>
  <si>
    <t>CUST0131</t>
  </si>
  <si>
    <t>ORD8721</t>
  </si>
  <si>
    <t>TXN00130</t>
  </si>
  <si>
    <t>CUST0130</t>
  </si>
  <si>
    <t>TXN00129</t>
  </si>
  <si>
    <t>CUST0129</t>
  </si>
  <si>
    <t>ORD5232</t>
  </si>
  <si>
    <t>TXN00128</t>
  </si>
  <si>
    <t>CUST0128</t>
  </si>
  <si>
    <t>ORD5210</t>
  </si>
  <si>
    <t>TXN00127</t>
  </si>
  <si>
    <t>CUST0127</t>
  </si>
  <si>
    <t>ORD1816</t>
  </si>
  <si>
    <t>TXN00126</t>
  </si>
  <si>
    <t>CUST0126</t>
  </si>
  <si>
    <t>ORD2401</t>
  </si>
  <si>
    <t>TXN00125</t>
  </si>
  <si>
    <t>CUST0125</t>
  </si>
  <si>
    <t>PROD702</t>
  </si>
  <si>
    <t>ORD5101</t>
  </si>
  <si>
    <t>TXN00124</t>
  </si>
  <si>
    <t>CUST0124</t>
  </si>
  <si>
    <t>ORD2659</t>
  </si>
  <si>
    <t>TXN00123</t>
  </si>
  <si>
    <t>CUST0123</t>
  </si>
  <si>
    <t>ORD3123</t>
  </si>
  <si>
    <t>TXN00122</t>
  </si>
  <si>
    <t>CUST0122</t>
  </si>
  <si>
    <t>ORD8115</t>
  </si>
  <si>
    <t>TXN00121</t>
  </si>
  <si>
    <t>CUST0121</t>
  </si>
  <si>
    <t>ORD6542</t>
  </si>
  <si>
    <t>TXN00120</t>
  </si>
  <si>
    <t>CUST0120</t>
  </si>
  <si>
    <t>PROD704</t>
  </si>
  <si>
    <t>ORD1786</t>
  </si>
  <si>
    <t>TXN00119</t>
  </si>
  <si>
    <t>CUST0119</t>
  </si>
  <si>
    <t>ORD8670</t>
  </si>
  <si>
    <t>TXN00118</t>
  </si>
  <si>
    <t>CUST0118</t>
  </si>
  <si>
    <t>ORD2285</t>
  </si>
  <si>
    <t>TXN00117</t>
  </si>
  <si>
    <t>CUST0117</t>
  </si>
  <si>
    <t>ORD1389</t>
  </si>
  <si>
    <t>TXN00116</t>
  </si>
  <si>
    <t>CUST0116</t>
  </si>
  <si>
    <t>TXN00115</t>
  </si>
  <si>
    <t>CUST0115</t>
  </si>
  <si>
    <t>ORD4459</t>
  </si>
  <si>
    <t>TXN00114</t>
  </si>
  <si>
    <t>CUST0114</t>
  </si>
  <si>
    <t>ORD6207</t>
  </si>
  <si>
    <t>TXN00113</t>
  </si>
  <si>
    <t>CUST0113</t>
  </si>
  <si>
    <t>ORD2857</t>
  </si>
  <si>
    <t>TXN00112</t>
  </si>
  <si>
    <t>CUST0112</t>
  </si>
  <si>
    <t>ORD5252</t>
  </si>
  <si>
    <t>TXN00111</t>
  </si>
  <si>
    <t>CUST0111</t>
  </si>
  <si>
    <t>ORD7670</t>
  </si>
  <si>
    <t>TXN00110</t>
  </si>
  <si>
    <t>CUST0110</t>
  </si>
  <si>
    <t>PROD652</t>
  </si>
  <si>
    <t>TXN00109</t>
  </si>
  <si>
    <t>CUST0109</t>
  </si>
  <si>
    <t>PROD309</t>
  </si>
  <si>
    <t>ORD8528</t>
  </si>
  <si>
    <t>TXN00108</t>
  </si>
  <si>
    <t>CUST0108</t>
  </si>
  <si>
    <t>ORD8095</t>
  </si>
  <si>
    <t>TXN00107</t>
  </si>
  <si>
    <t>CUST0107</t>
  </si>
  <si>
    <t>ORD2485</t>
  </si>
  <si>
    <t>TXN00106</t>
  </si>
  <si>
    <t>CUST0106</t>
  </si>
  <si>
    <t>ORD9405</t>
  </si>
  <si>
    <t>TXN00105</t>
  </si>
  <si>
    <t>CUST0105</t>
  </si>
  <si>
    <t>ORD3366</t>
  </si>
  <si>
    <t>TXN00104</t>
  </si>
  <si>
    <t>CUST0104</t>
  </si>
  <si>
    <t>ORD7092</t>
  </si>
  <si>
    <t>TXN00103</t>
  </si>
  <si>
    <t>CUST0103</t>
  </si>
  <si>
    <t>ORD3248</t>
  </si>
  <si>
    <t>TXN00102</t>
  </si>
  <si>
    <t>CUST0102</t>
  </si>
  <si>
    <t>ORD8877</t>
  </si>
  <si>
    <t>TXN00101</t>
  </si>
  <si>
    <t>CUST0101</t>
  </si>
  <si>
    <t>ORD2183</t>
  </si>
  <si>
    <t>TXN00100</t>
  </si>
  <si>
    <t>CUST0100</t>
  </si>
  <si>
    <t>ORD3673</t>
  </si>
  <si>
    <t>TXN00099</t>
  </si>
  <si>
    <t>CUST0099</t>
  </si>
  <si>
    <t>ORD5953</t>
  </si>
  <si>
    <t>TXN00098</t>
  </si>
  <si>
    <t>CUST0098</t>
  </si>
  <si>
    <t>ORD3979</t>
  </si>
  <si>
    <t>TXN00097</t>
  </si>
  <si>
    <t>CUST0097</t>
  </si>
  <si>
    <t>ORD1151</t>
  </si>
  <si>
    <t>TXN00096</t>
  </si>
  <si>
    <t>CUST0096</t>
  </si>
  <si>
    <t>ORD6689</t>
  </si>
  <si>
    <t>TXN00095</t>
  </si>
  <si>
    <t>CUST0095</t>
  </si>
  <si>
    <t>ORD9180</t>
  </si>
  <si>
    <t>TXN00094</t>
  </si>
  <si>
    <t>CUST0094</t>
  </si>
  <si>
    <t>PROD568</t>
  </si>
  <si>
    <t>ORD6529</t>
  </si>
  <si>
    <t>TXN00093</t>
  </si>
  <si>
    <t>CUST0093</t>
  </si>
  <si>
    <t>PROD941</t>
  </si>
  <si>
    <t>ORD3096</t>
  </si>
  <si>
    <t>TXN00092</t>
  </si>
  <si>
    <t>CUST0092</t>
  </si>
  <si>
    <t>ORD9966</t>
  </si>
  <si>
    <t>TXN00091</t>
  </si>
  <si>
    <t>CUST0091</t>
  </si>
  <si>
    <t>ORD2889</t>
  </si>
  <si>
    <t>TXN00090</t>
  </si>
  <si>
    <t>CUST0090</t>
  </si>
  <si>
    <t>ORD5325</t>
  </si>
  <si>
    <t>TXN00089</t>
  </si>
  <si>
    <t>CUST0089</t>
  </si>
  <si>
    <t>ORD9064</t>
  </si>
  <si>
    <t>TXN00088</t>
  </si>
  <si>
    <t>CUST0088</t>
  </si>
  <si>
    <t>ORD8547</t>
  </si>
  <si>
    <t>TXN00087</t>
  </si>
  <si>
    <t>CUST0087</t>
  </si>
  <si>
    <t>ORD3617</t>
  </si>
  <si>
    <t>TXN00086</t>
  </si>
  <si>
    <t>CUST0086</t>
  </si>
  <si>
    <t>ORD5798</t>
  </si>
  <si>
    <t>TXN00085</t>
  </si>
  <si>
    <t>CUST0085</t>
  </si>
  <si>
    <t>ORD1195</t>
  </si>
  <si>
    <t>TXN00084</t>
  </si>
  <si>
    <t>CUST0084</t>
  </si>
  <si>
    <t>PROD860</t>
  </si>
  <si>
    <t>ORD3317</t>
  </si>
  <si>
    <t>TXN00083</t>
  </si>
  <si>
    <t>CUST0083</t>
  </si>
  <si>
    <t>ORD1550</t>
  </si>
  <si>
    <t>TXN00082</t>
  </si>
  <si>
    <t>CUST0082</t>
  </si>
  <si>
    <t>TXN00081</t>
  </si>
  <si>
    <t>CUST0081</t>
  </si>
  <si>
    <t>PROD339</t>
  </si>
  <si>
    <t>ORD1720</t>
  </si>
  <si>
    <t>TXN00080</t>
  </si>
  <si>
    <t>CUST0080</t>
  </si>
  <si>
    <t>PROD564</t>
  </si>
  <si>
    <t>ORD3591</t>
  </si>
  <si>
    <t>TXN00079</t>
  </si>
  <si>
    <t>CUST0079</t>
  </si>
  <si>
    <t>ORD9335</t>
  </si>
  <si>
    <t>TXN00078</t>
  </si>
  <si>
    <t>CUST0078</t>
  </si>
  <si>
    <t>ORD1014</t>
  </si>
  <si>
    <t>TXN00077</t>
  </si>
  <si>
    <t>CUST0077</t>
  </si>
  <si>
    <t>ORD6669</t>
  </si>
  <si>
    <t>TXN00076</t>
  </si>
  <si>
    <t>CUST0076</t>
  </si>
  <si>
    <t>ORD6604</t>
  </si>
  <si>
    <t>TXN00075</t>
  </si>
  <si>
    <t>CUST0075</t>
  </si>
  <si>
    <t>PROD803</t>
  </si>
  <si>
    <t>TXN00074</t>
  </si>
  <si>
    <t>CUST0074</t>
  </si>
  <si>
    <t>ORD9165</t>
  </si>
  <si>
    <t>TXN00073</t>
  </si>
  <si>
    <t>CUST0073</t>
  </si>
  <si>
    <t>ORD8653</t>
  </si>
  <si>
    <t>TXN00072</t>
  </si>
  <si>
    <t>CUST0072</t>
  </si>
  <si>
    <t>ORD8864</t>
  </si>
  <si>
    <t>TXN00071</t>
  </si>
  <si>
    <t>CUST0071</t>
  </si>
  <si>
    <t>ORD8784</t>
  </si>
  <si>
    <t>TXN00070</t>
  </si>
  <si>
    <t>CUST0070</t>
  </si>
  <si>
    <t>PROD993</t>
  </si>
  <si>
    <t>ORD5119</t>
  </si>
  <si>
    <t>TXN00069</t>
  </si>
  <si>
    <t>CUST0069</t>
  </si>
  <si>
    <t>TXN00068</t>
  </si>
  <si>
    <t>CUST0068</t>
  </si>
  <si>
    <t>ORD2086</t>
  </si>
  <si>
    <t>TXN00067</t>
  </si>
  <si>
    <t>CUST0067</t>
  </si>
  <si>
    <t>ORD8683</t>
  </si>
  <si>
    <t>TXN00066</t>
  </si>
  <si>
    <t>CUST0066</t>
  </si>
  <si>
    <t>ORD4927</t>
  </si>
  <si>
    <t>TXN00065</t>
  </si>
  <si>
    <t>CUST0065</t>
  </si>
  <si>
    <t>ORD2832</t>
  </si>
  <si>
    <t>TXN00064</t>
  </si>
  <si>
    <t>CUST0064</t>
  </si>
  <si>
    <t>PROD938</t>
  </si>
  <si>
    <t>TXN00063</t>
  </si>
  <si>
    <t>CUST0063</t>
  </si>
  <si>
    <t>TXN00062</t>
  </si>
  <si>
    <t>CUST0062</t>
  </si>
  <si>
    <t>ORD6751</t>
  </si>
  <si>
    <t>TXN00061</t>
  </si>
  <si>
    <t>CUST0061</t>
  </si>
  <si>
    <t>ORD9372</t>
  </si>
  <si>
    <t>TXN00060</t>
  </si>
  <si>
    <t>CUST0060</t>
  </si>
  <si>
    <t>PROD963</t>
  </si>
  <si>
    <t>TXN00059</t>
  </si>
  <si>
    <t>CUST0059</t>
  </si>
  <si>
    <t>ORD8964</t>
  </si>
  <si>
    <t>TXN00058</t>
  </si>
  <si>
    <t>CUST0058</t>
  </si>
  <si>
    <t>TXN00057</t>
  </si>
  <si>
    <t>CUST0057</t>
  </si>
  <si>
    <t>TXN00056</t>
  </si>
  <si>
    <t>CUST0056</t>
  </si>
  <si>
    <t>ORD5469</t>
  </si>
  <si>
    <t>TXN00055</t>
  </si>
  <si>
    <t>CUST0055</t>
  </si>
  <si>
    <t>TXN00054</t>
  </si>
  <si>
    <t>CUST0054</t>
  </si>
  <si>
    <t>ORD5297</t>
  </si>
  <si>
    <t>TXN00053</t>
  </si>
  <si>
    <t>CUST0053</t>
  </si>
  <si>
    <t>ORD8413</t>
  </si>
  <si>
    <t>TXN00052</t>
  </si>
  <si>
    <t>CUST0052</t>
  </si>
  <si>
    <t>PROD711</t>
  </si>
  <si>
    <t>ORD4073</t>
  </si>
  <si>
    <t>TXN00051</t>
  </si>
  <si>
    <t>CUST0051</t>
  </si>
  <si>
    <t>ORD7051</t>
  </si>
  <si>
    <t>TXN00050</t>
  </si>
  <si>
    <t>CUST0050</t>
  </si>
  <si>
    <t>ORD6648</t>
  </si>
  <si>
    <t>TXN00049</t>
  </si>
  <si>
    <t>CUST0049</t>
  </si>
  <si>
    <t>ORD7901</t>
  </si>
  <si>
    <t>TXN00048</t>
  </si>
  <si>
    <t>CUST0048</t>
  </si>
  <si>
    <t>ORD2165</t>
  </si>
  <si>
    <t>TXN00047</t>
  </si>
  <si>
    <t>CUST0047</t>
  </si>
  <si>
    <t>ORD3901</t>
  </si>
  <si>
    <t>TXN00046</t>
  </si>
  <si>
    <t>CUST0046</t>
  </si>
  <si>
    <t>ORD7676</t>
  </si>
  <si>
    <t>TXN00045</t>
  </si>
  <si>
    <t>CUST0045</t>
  </si>
  <si>
    <t>ORD3757</t>
  </si>
  <si>
    <t>TXN00044</t>
  </si>
  <si>
    <t>CUST0044</t>
  </si>
  <si>
    <t>ORD5582</t>
  </si>
  <si>
    <t>TXN00043</t>
  </si>
  <si>
    <t>CUST0043</t>
  </si>
  <si>
    <t>ORD9088</t>
  </si>
  <si>
    <t>TXN00042</t>
  </si>
  <si>
    <t>CUST0042</t>
  </si>
  <si>
    <t>ORD8211</t>
  </si>
  <si>
    <t>TXN00041</t>
  </si>
  <si>
    <t>CUST0041</t>
  </si>
  <si>
    <t>ORD2469</t>
  </si>
  <si>
    <t>TXN00040</t>
  </si>
  <si>
    <t>CUST0040</t>
  </si>
  <si>
    <t>ORD7355</t>
  </si>
  <si>
    <t>TXN00039</t>
  </si>
  <si>
    <t>CUST0039</t>
  </si>
  <si>
    <t>ORD5092</t>
  </si>
  <si>
    <t>TXN00038</t>
  </si>
  <si>
    <t>CUST0038</t>
  </si>
  <si>
    <t>ORD3879</t>
  </si>
  <si>
    <t>TXN00037</t>
  </si>
  <si>
    <t>CUST0037</t>
  </si>
  <si>
    <t>TXN00036</t>
  </si>
  <si>
    <t>CUST0036</t>
  </si>
  <si>
    <t>ORD1689</t>
  </si>
  <si>
    <t>TXN00035</t>
  </si>
  <si>
    <t>CUST0035</t>
  </si>
  <si>
    <t>ORD8353</t>
  </si>
  <si>
    <t>TXN00034</t>
  </si>
  <si>
    <t>CUST0034</t>
  </si>
  <si>
    <t>ORD1418</t>
  </si>
  <si>
    <t>TXN00033</t>
  </si>
  <si>
    <t>CUST0033</t>
  </si>
  <si>
    <t>ORD2225</t>
  </si>
  <si>
    <t>TXN00032</t>
  </si>
  <si>
    <t>CUST0032</t>
  </si>
  <si>
    <t>ORD6122</t>
  </si>
  <si>
    <t>TXN00031</t>
  </si>
  <si>
    <t>CUST0031</t>
  </si>
  <si>
    <t>PROD820</t>
  </si>
  <si>
    <t>ORD5814</t>
  </si>
  <si>
    <t>TXN00030</t>
  </si>
  <si>
    <t>CUST0030</t>
  </si>
  <si>
    <t>TXN00029</t>
  </si>
  <si>
    <t>CUST0029</t>
  </si>
  <si>
    <t>TXN00028</t>
  </si>
  <si>
    <t>CUST0028</t>
  </si>
  <si>
    <t>TXN00027</t>
  </si>
  <si>
    <t>CUST0027</t>
  </si>
  <si>
    <t>PROD869</t>
  </si>
  <si>
    <t>ORD6830</t>
  </si>
  <si>
    <t>TXN00026</t>
  </si>
  <si>
    <t>CUST0026</t>
  </si>
  <si>
    <t>ORD9151</t>
  </si>
  <si>
    <t>TXN00025</t>
  </si>
  <si>
    <t>CUST0025</t>
  </si>
  <si>
    <t>TXN00024</t>
  </si>
  <si>
    <t>CUST0024</t>
  </si>
  <si>
    <t>ORD1492</t>
  </si>
  <si>
    <t>TXN00023</t>
  </si>
  <si>
    <t>CUST0023</t>
  </si>
  <si>
    <t>PROD874</t>
  </si>
  <si>
    <t>ORD6966</t>
  </si>
  <si>
    <t>TXN00022</t>
  </si>
  <si>
    <t>CUST0022</t>
  </si>
  <si>
    <t>PROD483</t>
  </si>
  <si>
    <t>ORD4968</t>
  </si>
  <si>
    <t>TXN00021</t>
  </si>
  <si>
    <t>CUST0021</t>
  </si>
  <si>
    <t>ORD2709</t>
  </si>
  <si>
    <t>TXN00020</t>
  </si>
  <si>
    <t>CUST0020</t>
  </si>
  <si>
    <t>ORD8508</t>
  </si>
  <si>
    <t>TXN00019</t>
  </si>
  <si>
    <t>CUST0019</t>
  </si>
  <si>
    <t>PROD801</t>
  </si>
  <si>
    <t>TXN00018</t>
  </si>
  <si>
    <t>CUST0018</t>
  </si>
  <si>
    <t>ORD4620</t>
  </si>
  <si>
    <t>TXN00017</t>
  </si>
  <si>
    <t>CUST0017</t>
  </si>
  <si>
    <t>PROD558</t>
  </si>
  <si>
    <t>ORD9500</t>
  </si>
  <si>
    <t>TXN00016</t>
  </si>
  <si>
    <t>CUST0016</t>
  </si>
  <si>
    <t>ORD3639</t>
  </si>
  <si>
    <t>TXN00015</t>
  </si>
  <si>
    <t>CUST0015</t>
  </si>
  <si>
    <t>ORD9934</t>
  </si>
  <si>
    <t>TXN00014</t>
  </si>
  <si>
    <t>CUST0014</t>
  </si>
  <si>
    <t>ORD2130</t>
  </si>
  <si>
    <t>TXN00013</t>
  </si>
  <si>
    <t>CUST0013</t>
  </si>
  <si>
    <t>TXN00012</t>
  </si>
  <si>
    <t>CUST0012</t>
  </si>
  <si>
    <t>ORD1237</t>
  </si>
  <si>
    <t>TXN00011</t>
  </si>
  <si>
    <t>CUST0011</t>
  </si>
  <si>
    <t>ORD8511</t>
  </si>
  <si>
    <t>TXN00010</t>
  </si>
  <si>
    <t>CUST0010</t>
  </si>
  <si>
    <t>ORD7519</t>
  </si>
  <si>
    <t>TXN00009</t>
  </si>
  <si>
    <t>CUST0009</t>
  </si>
  <si>
    <t>TXN00008</t>
  </si>
  <si>
    <t>CUST0008</t>
  </si>
  <si>
    <t>PROD236</t>
  </si>
  <si>
    <t>ORD1303</t>
  </si>
  <si>
    <t>TXN00007</t>
  </si>
  <si>
    <t>CUST0007</t>
  </si>
  <si>
    <t>ORD4055</t>
  </si>
  <si>
    <t>TXN00006</t>
  </si>
  <si>
    <t>CUST0006</t>
  </si>
  <si>
    <t>PROD780</t>
  </si>
  <si>
    <t>ORD2234</t>
  </si>
  <si>
    <t>TXN00005</t>
  </si>
  <si>
    <t>CUST0005</t>
  </si>
  <si>
    <t>ORD2792</t>
  </si>
  <si>
    <t>TXN00004</t>
  </si>
  <si>
    <t>CUST0004</t>
  </si>
  <si>
    <t>ORD8260</t>
  </si>
  <si>
    <t>TXN00003</t>
  </si>
  <si>
    <t>CUST0003</t>
  </si>
  <si>
    <t>ORD1772</t>
  </si>
  <si>
    <t>TXN00002</t>
  </si>
  <si>
    <t>CUST0002</t>
  </si>
  <si>
    <t>ORD8467</t>
  </si>
  <si>
    <t>TXN00001</t>
  </si>
  <si>
    <t>CUST0001</t>
  </si>
  <si>
    <t>profit_Margin</t>
  </si>
  <si>
    <t>Sub_Category</t>
  </si>
  <si>
    <t>Product_ID</t>
  </si>
  <si>
    <t>Store_Location</t>
  </si>
  <si>
    <t>Order_ID</t>
  </si>
  <si>
    <t>Transation_ID</t>
  </si>
  <si>
    <t>Customer_ID</t>
  </si>
  <si>
    <t>Product Name</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</si>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</sst>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14" fontId="0" fillId="0" borderId="0" xfId="0" applyNumberFormat="1"/>
    <xf numFmtId="0" fontId="1" fillId="2" borderId="1" xfId="0" applyFont="1" applyFill="1" applyBorder="1"/>
    <xf numFmtId="0" fontId="0" fillId="0" borderId="0" xfId="0" applyNumberFormat="1"/>
  </cellXfs>
  <cellStyles count="1">
    <cellStyle name="Normal" xfId="0" builtinId="0"/>
  </cellStyles>
  <dxfs count="17">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[Decathlon Dashboard.xlsx]Pivort_table!Category_profit</c:name>
    <c:fmtId val="5"/>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effectLst/>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Category Wise Profit</a:t>
            </a:r>
          </a:p>
        </c:rich>
      </c:tx>
      <c:layout>
        <c:manualLayout>
          <c:xMode val="edge"/>
          <c:yMode val="edge"/>
          <c:x val="0.22619683580047567"/>
          <c:y val="4.8719823477954331E-2"/>
        </c:manualLayout>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Pivort_table!$AF$3</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Pivort_table!$AE$4:$AE$9</c:f>
              <c:strCache>
                <c:ptCount val="5"/>
                <c:pt idx="0">
                  <c:v>Fitness</c:v>
                </c:pt>
                <c:pt idx="1">
                  <c:v>Footwear</c:v>
                </c:pt>
                <c:pt idx="2">
                  <c:v>Outdoor</c:v>
                </c:pt>
                <c:pt idx="3">
                  <c:v>Sports</c:v>
                </c:pt>
                <c:pt idx="4">
                  <c:v>Sportswear</c:v>
                </c:pt>
              </c:strCache>
            </c:strRef>
          </c:cat>
          <c:val>
            <c:numRef>
              <c:f>Pivort_table!$AF$4:$AF$9</c:f>
              <c:numCache>
                <c:formatCode>General</c:formatCode>
                <c:ptCount val="5"/>
                <c:pt idx="0">
                  <c:v>186783</c:v>
                </c:pt>
                <c:pt idx="1">
                  <c:v>341296</c:v>
                </c:pt>
                <c:pt idx="2">
                  <c:v>457417</c:v>
                </c:pt>
                <c:pt idx="3">
                  <c:v>289689</c:v>
                </c:pt>
                <c:pt idx="4">
                  <c:v>139615</c:v>
                </c:pt>
              </c:numCache>
            </c:numRef>
          </c:val>
          <c:extLst>
            <c:ext xmlns:c16="http://schemas.microsoft.com/office/drawing/2014/chart" uri="{C3380CC4-5D6E-409C-BE32-E72D297353CC}">
              <c16:uniqueId val="{00000000-37F5-4DC9-A204-2F0EA57DBD79}"/>
            </c:ext>
          </c:extLst>
        </c:ser>
        <c:dLbls>
          <c:dLblPos val="inEnd"/>
          <c:showLegendKey val="0"/>
          <c:showVal val="1"/>
          <c:showCatName val="0"/>
          <c:showSerName val="0"/>
          <c:showPercent val="0"/>
          <c:showBubbleSize val="0"/>
        </c:dLbls>
        <c:gapWidth val="41"/>
        <c:axId val="785982200"/>
        <c:axId val="785981840"/>
      </c:barChart>
      <c:catAx>
        <c:axId val="785982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785981840"/>
        <c:crosses val="autoZero"/>
        <c:auto val="1"/>
        <c:lblAlgn val="ctr"/>
        <c:lblOffset val="100"/>
        <c:noMultiLvlLbl val="0"/>
      </c:catAx>
      <c:valAx>
        <c:axId val="785981840"/>
        <c:scaling>
          <c:orientation val="minMax"/>
        </c:scaling>
        <c:delete val="1"/>
        <c:axPos val="l"/>
        <c:numFmt formatCode="General" sourceLinked="1"/>
        <c:majorTickMark val="none"/>
        <c:minorTickMark val="none"/>
        <c:tickLblPos val="nextTo"/>
        <c:crossAx val="785982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[Decathlon Dashboard.xlsx]Pivort_table!Discount_count</c:name>
    <c:fmtId val="4"/>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effectLst/>
                <a:latin typeface="+mn-lt"/>
                <a:ea typeface="+mn-ea"/>
                <a:cs typeface="+mn-cs"/>
              </a:defRPr>
            </a:pPr>
            <a:r>
              <a:rPr lang="en-US" sz="1400" b="0" i="0" u="none" strike="noStrike" kern="1200" spc="0" baseline="0">
                <a:solidFill>
                  <a:sysClr val="windowText" lastClr="000000">
                    <a:lumMod val="65000"/>
                    <a:lumOff val="35000"/>
                  </a:sysClr>
                </a:solidFill>
                <a:effectLst/>
                <a:latin typeface="+mn-lt"/>
                <a:ea typeface="+mn-ea"/>
                <a:cs typeface="+mn-cs"/>
              </a:rPr>
              <a:t>Discount For Customers</a:t>
            </a:r>
          </a:p>
        </c:rich>
      </c:tx>
      <c:layout>
        <c:manualLayout>
          <c:xMode val="edge"/>
          <c:yMode val="edge"/>
          <c:x val="0.19051938812528527"/>
          <c:y val="2.8387070037297971E-2"/>
        </c:manualLayout>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effectLst/>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Pivort_table!$AI$3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Pivort_table!$AH$4:$AH$9</c:f>
              <c:strCache>
                <c:ptCount val="5"/>
                <c:pt idx="0">
                  <c:v>0</c:v>
                </c:pt>
                <c:pt idx="1">
                  <c:v>5</c:v>
                </c:pt>
                <c:pt idx="2">
                  <c:v>10</c:v>
                </c:pt>
                <c:pt idx="3">
                  <c:v>15</c:v>
                </c:pt>
                <c:pt idx="4">
                  <c:v>20</c:v>
                </c:pt>
              </c:strCache>
            </c:strRef>
          </c:cat>
          <c:val>
            <c:numRef>
              <c:f>Pivort_table!$AI$4:$AI$9</c:f>
              <c:numCache>
                <c:formatCode>General</c:formatCode>
                <c:ptCount val="5"/>
                <c:pt idx="0">
                  <c:v>786</c:v>
                </c:pt>
                <c:pt idx="1">
                  <c:v>274</c:v>
                </c:pt>
                <c:pt idx="2">
                  <c:v>305</c:v>
                </c:pt>
                <c:pt idx="3">
                  <c:v>294</c:v>
                </c:pt>
                <c:pt idx="4">
                  <c:v>288</c:v>
                </c:pt>
              </c:numCache>
            </c:numRef>
          </c:val>
          <c:extLst>
            <c:ext xmlns:c16="http://schemas.microsoft.com/office/drawing/2014/chart" uri="{C3380CC4-5D6E-409C-BE32-E72D297353CC}">
              <c16:uniqueId val="{00000000-1013-4949-AEC3-82F9EAEEE4F4}"/>
            </c:ext>
          </c:extLst>
        </c:ser>
        <c:dLbls>
          <c:dLblPos val="outEnd"/>
          <c:showLegendKey val="0"/>
          <c:showVal val="1"/>
          <c:showCatName val="0"/>
          <c:showSerName val="0"/>
          <c:showPercent val="0"/>
          <c:showBubbleSize val="0"/>
        </c:dLbls>
        <c:gapWidth val="219"/>
        <c:overlap val="-27"/>
        <c:axId val="785981480"/>
        <c:axId val="785982920"/>
      </c:barChart>
      <c:catAx>
        <c:axId val="785981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982920"/>
        <c:crosses val="autoZero"/>
        <c:auto val="1"/>
        <c:lblAlgn val="ctr"/>
        <c:lblOffset val="100"/>
        <c:noMultiLvlLbl val="0"/>
      </c:catAx>
      <c:valAx>
        <c:axId val="785982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981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[Decathlon Dashboard.xlsx]Pivort_table!Category_Returns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Return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Pivort_table!$AL$3</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Pivort_table!$AK$4:$AK$9</c:f>
              <c:strCache>
                <c:ptCount val="5"/>
                <c:pt idx="0">
                  <c:v>Fitness</c:v>
                </c:pt>
                <c:pt idx="1">
                  <c:v>Footwear</c:v>
                </c:pt>
                <c:pt idx="2">
                  <c:v>Outdoor</c:v>
                </c:pt>
                <c:pt idx="3">
                  <c:v>Sports</c:v>
                </c:pt>
                <c:pt idx="4">
                  <c:v>Sportswear</c:v>
                </c:pt>
              </c:strCache>
            </c:strRef>
          </c:cat>
          <c:val>
            <c:numRef>
              <c:f>Pivort_table!$AL$4:$AL$9</c:f>
              <c:numCache>
                <c:formatCode>General</c:formatCode>
                <c:ptCount val="5"/>
                <c:pt idx="0">
                  <c:v>375</c:v>
                </c:pt>
                <c:pt idx="1">
                  <c:v>393</c:v>
                </c:pt>
                <c:pt idx="2">
                  <c:v>379</c:v>
                </c:pt>
                <c:pt idx="3">
                  <c:v>407</c:v>
                </c:pt>
                <c:pt idx="4">
                  <c:v>393</c:v>
                </c:pt>
              </c:numCache>
            </c:numRef>
          </c:val>
          <c:smooth val="0"/>
          <c:extLst>
            <c:ext xmlns:c16="http://schemas.microsoft.com/office/drawing/2014/chart" uri="{C3380CC4-5D6E-409C-BE32-E72D297353CC}">
              <c16:uniqueId val="{00000000-B401-4778-901B-8107AE839258}"/>
            </c:ext>
          </c:extLst>
        </c:ser>
        <c:dLbls>
          <c:dLblPos val="t"/>
          <c:showLegendKey val="0"/>
          <c:showVal val="1"/>
          <c:showCatName val="0"/>
          <c:showSerName val="0"/>
          <c:showPercent val="0"/>
          <c:showBubbleSize val="0"/>
        </c:dLbls>
        <c:smooth val="0"/>
        <c:axId val="785986880"/>
        <c:axId val="785987600"/>
      </c:lineChart>
      <c:catAx>
        <c:axId val="785986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987600"/>
        <c:crosses val="autoZero"/>
        <c:auto val="1"/>
        <c:lblAlgn val="ctr"/>
        <c:lblOffset val="100"/>
        <c:noMultiLvlLbl val="0"/>
      </c:catAx>
      <c:valAx>
        <c:axId val="78598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98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[Decathlon Dashboard.xlsx]Pivort_table!Units_profit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units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tint val="54000"/>
            </a:schemeClr>
          </a:solidFill>
          <a:ln w="19050">
            <a:solidFill>
              <a:schemeClr val="lt1"/>
            </a:solidFill>
          </a:ln>
          <a:effectLst/>
        </c:spPr>
      </c:pivotFmt>
      <c:pivotFmt>
        <c:idx val="3"/>
        <c:spPr>
          <a:solidFill>
            <a:schemeClr val="accent6">
              <a:tint val="77000"/>
            </a:schemeClr>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hade val="76000"/>
            </a:schemeClr>
          </a:solidFill>
          <a:ln w="19050">
            <a:solidFill>
              <a:schemeClr val="lt1"/>
            </a:solidFill>
          </a:ln>
          <a:effectLst/>
        </c:spPr>
      </c:pivotFmt>
      <c:pivotFmt>
        <c:idx val="6"/>
        <c:spPr>
          <a:solidFill>
            <a:schemeClr val="accent6">
              <a:shade val="53000"/>
            </a:schemeClr>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tint val="54000"/>
            </a:schemeClr>
          </a:solidFill>
          <a:ln w="19050">
            <a:solidFill>
              <a:schemeClr val="lt1"/>
            </a:solidFill>
          </a:ln>
          <a:effectLst/>
        </c:spPr>
      </c:pivotFmt>
      <c:pivotFmt>
        <c:idx val="9"/>
        <c:spPr>
          <a:solidFill>
            <a:schemeClr val="accent6">
              <a:tint val="77000"/>
            </a:schemeClr>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hade val="76000"/>
            </a:schemeClr>
          </a:solidFill>
          <a:ln w="19050">
            <a:solidFill>
              <a:schemeClr val="lt1"/>
            </a:solidFill>
          </a:ln>
          <a:effectLst/>
        </c:spPr>
      </c:pivotFmt>
      <c:pivotFmt>
        <c:idx val="12"/>
        <c:spPr>
          <a:solidFill>
            <a:schemeClr val="accent6">
              <a:shade val="53000"/>
            </a:schemeClr>
          </a:solidFill>
          <a:ln w="19050">
            <a:solidFill>
              <a:schemeClr val="lt1"/>
            </a:solidFill>
          </a:ln>
          <a:effectLst/>
        </c:spPr>
      </c:pivotFmt>
    </c:pivotFmts>
    <c:plotArea>
      <c:layout/>
      <c:pieChart>
        <c:varyColors val="1"/>
        <c:ser>
          <c:idx val="0"/>
          <c:order val="0"/>
          <c:tx>
            <c:strRef>
              <c:f>Pivort_table!$AC$3</c:f>
              <c:strCache>
                <c:ptCount val="1"/>
                <c:pt idx="0">
                  <c:v>Total</c:v>
                </c:pt>
              </c:strCache>
            </c:strRef>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1-05E3-40F4-B04E-E4BFD42FC883}"/>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05E3-40F4-B04E-E4BFD42FC883}"/>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05E3-40F4-B04E-E4BFD42FC883}"/>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05E3-40F4-B04E-E4BFD42FC883}"/>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9-05E3-40F4-B04E-E4BFD42FC883}"/>
              </c:ext>
            </c:extLst>
          </c:dPt>
          <c:cat>
            <c:strRef>
              <c:f>Pivort_table!$AB$4:$AB$9</c:f>
              <c:strCache>
                <c:ptCount val="5"/>
                <c:pt idx="0">
                  <c:v>1</c:v>
                </c:pt>
                <c:pt idx="1">
                  <c:v>2</c:v>
                </c:pt>
                <c:pt idx="2">
                  <c:v>3</c:v>
                </c:pt>
                <c:pt idx="3">
                  <c:v>4</c:v>
                </c:pt>
                <c:pt idx="4">
                  <c:v>5</c:v>
                </c:pt>
              </c:strCache>
            </c:strRef>
          </c:cat>
          <c:val>
            <c:numRef>
              <c:f>Pivort_table!$AC$4:$AC$9</c:f>
              <c:numCache>
                <c:formatCode>General</c:formatCode>
                <c:ptCount val="5"/>
                <c:pt idx="0">
                  <c:v>356022</c:v>
                </c:pt>
                <c:pt idx="1">
                  <c:v>273654</c:v>
                </c:pt>
                <c:pt idx="2">
                  <c:v>191535</c:v>
                </c:pt>
                <c:pt idx="3">
                  <c:v>262984</c:v>
                </c:pt>
                <c:pt idx="4">
                  <c:v>330605</c:v>
                </c:pt>
              </c:numCache>
            </c:numRef>
          </c:val>
          <c:extLst>
            <c:ext xmlns:c16="http://schemas.microsoft.com/office/drawing/2014/chart" uri="{C3380CC4-5D6E-409C-BE32-E72D297353CC}">
              <c16:uniqueId val="{0000000A-05E3-40F4-B04E-E4BFD42FC88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[Decathlon Dashboard.xlsx]Pivort_table!Payment_method</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tint val="65000"/>
            </a:schemeClr>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hade val="65000"/>
            </a:schemeClr>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tint val="65000"/>
            </a:schemeClr>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hade val="65000"/>
            </a:schemeClr>
          </a:solidFill>
          <a:ln w="19050">
            <a:solidFill>
              <a:schemeClr val="lt1"/>
            </a:solidFill>
          </a:ln>
          <a:effectLst/>
        </c:spPr>
      </c:pivotFmt>
    </c:pivotFmts>
    <c:plotArea>
      <c:layout/>
      <c:doughnutChart>
        <c:varyColors val="1"/>
        <c:ser>
          <c:idx val="0"/>
          <c:order val="0"/>
          <c:tx>
            <c:strRef>
              <c:f>Pivort_table!$S$3</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1C93-44AB-BBC6-7CB5284AF317}"/>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1C93-44AB-BBC6-7CB5284AF317}"/>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1C93-44AB-BBC6-7CB5284AF317}"/>
              </c:ext>
            </c:extLst>
          </c:dPt>
          <c:cat>
            <c:strRef>
              <c:f>Pivort_table!$R$4:$R$7</c:f>
              <c:strCache>
                <c:ptCount val="3"/>
                <c:pt idx="0">
                  <c:v>Card</c:v>
                </c:pt>
                <c:pt idx="1">
                  <c:v>Cash</c:v>
                </c:pt>
                <c:pt idx="2">
                  <c:v>Online</c:v>
                </c:pt>
              </c:strCache>
            </c:strRef>
          </c:cat>
          <c:val>
            <c:numRef>
              <c:f>Pivort_table!$S$4:$S$7</c:f>
              <c:numCache>
                <c:formatCode>General</c:formatCode>
                <c:ptCount val="3"/>
                <c:pt idx="0">
                  <c:v>662</c:v>
                </c:pt>
                <c:pt idx="1">
                  <c:v>666</c:v>
                </c:pt>
                <c:pt idx="2">
                  <c:v>619</c:v>
                </c:pt>
              </c:numCache>
            </c:numRef>
          </c:val>
          <c:extLst>
            <c:ext xmlns:c16="http://schemas.microsoft.com/office/drawing/2014/chart" uri="{C3380CC4-5D6E-409C-BE32-E72D297353CC}">
              <c16:uniqueId val="{00000006-1C93-44AB-BBC6-7CB5284AF31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[Decathlon Dashboard.xlsx]Pivort_table!Gender</c:name>
    <c:fmtId val="15"/>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effectLst/>
                <a:latin typeface="+mn-lt"/>
                <a:ea typeface="+mn-ea"/>
                <a:cs typeface="+mn-cs"/>
              </a:defRPr>
            </a:pPr>
            <a:r>
              <a:rPr lang="en-US" sz="1400" b="0" i="0" u="none" strike="noStrike" kern="1200" spc="0" baseline="0">
                <a:solidFill>
                  <a:sysClr val="windowText" lastClr="000000">
                    <a:lumMod val="65000"/>
                    <a:lumOff val="35000"/>
                  </a:sysClr>
                </a:solidFill>
                <a:effectLst/>
                <a:latin typeface="+mn-lt"/>
                <a:ea typeface="+mn-ea"/>
                <a:cs typeface="+mn-cs"/>
              </a:rPr>
              <a:t>Gender</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effectLst/>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tint val="77000"/>
            </a:schemeClr>
          </a:solidFill>
          <a:ln>
            <a:noFill/>
          </a:ln>
          <a:effectLst>
            <a:outerShdw blurRad="317500" algn="ctr" rotWithShape="0">
              <a:prstClr val="black">
                <a:alpha val="25000"/>
              </a:prstClr>
            </a:outerShdw>
          </a:effectLst>
        </c:spPr>
      </c:pivotFmt>
      <c:pivotFmt>
        <c:idx val="3"/>
        <c:spPr>
          <a:solidFill>
            <a:schemeClr val="accent6">
              <a:shade val="76000"/>
            </a:schemeClr>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tint val="77000"/>
            </a:schemeClr>
          </a:solidFill>
          <a:ln>
            <a:noFill/>
          </a:ln>
          <a:effectLst>
            <a:outerShdw blurRad="317500" algn="ctr" rotWithShape="0">
              <a:prstClr val="black">
                <a:alpha val="25000"/>
              </a:prstClr>
            </a:outerShdw>
          </a:effectLst>
        </c:spPr>
      </c:pivotFmt>
      <c:pivotFmt>
        <c:idx val="6"/>
        <c:spPr>
          <a:solidFill>
            <a:schemeClr val="accent6">
              <a:shade val="76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Pivort_table!$B$3</c:f>
              <c:strCache>
                <c:ptCount val="1"/>
                <c:pt idx="0">
                  <c:v>Total</c:v>
                </c:pt>
              </c:strCache>
            </c:strRef>
          </c:tx>
          <c:dPt>
            <c:idx val="0"/>
            <c:bubble3D val="0"/>
            <c:spPr>
              <a:solidFill>
                <a:schemeClr val="accent6">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C8E-4984-86FD-BFECE0E383D0}"/>
              </c:ext>
            </c:extLst>
          </c:dPt>
          <c:dPt>
            <c:idx val="1"/>
            <c:bubble3D val="0"/>
            <c:spPr>
              <a:solidFill>
                <a:schemeClr val="accent6">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C8E-4984-86FD-BFECE0E383D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Pivort_table!$A$4:$A$6</c:f>
              <c:strCache>
                <c:ptCount val="2"/>
                <c:pt idx="0">
                  <c:v>Female</c:v>
                </c:pt>
                <c:pt idx="1">
                  <c:v>Male</c:v>
                </c:pt>
              </c:strCache>
            </c:strRef>
          </c:cat>
          <c:val>
            <c:numRef>
              <c:f>Pivort_table!$B$4:$B$6</c:f>
              <c:numCache>
                <c:formatCode>General</c:formatCode>
                <c:ptCount val="2"/>
                <c:pt idx="0">
                  <c:v>776</c:v>
                </c:pt>
                <c:pt idx="1">
                  <c:v>1171</c:v>
                </c:pt>
              </c:numCache>
            </c:numRef>
          </c:val>
          <c:extLst>
            <c:ext xmlns:c16="http://schemas.microsoft.com/office/drawing/2014/chart" uri="{C3380CC4-5D6E-409C-BE32-E72D297353CC}">
              <c16:uniqueId val="{00000004-5C8E-4984-86FD-BFECE0E383D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[Decathlon Dashboard.xlsx]Pivort_table!Category_by_gender</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983861053394692E-2"/>
          <c:y val="0.16910723070265313"/>
          <c:w val="0.75773732210814926"/>
          <c:h val="0.62900788205399449"/>
        </c:manualLayout>
      </c:layout>
      <c:barChart>
        <c:barDir val="col"/>
        <c:grouping val="clustered"/>
        <c:varyColors val="0"/>
        <c:ser>
          <c:idx val="0"/>
          <c:order val="0"/>
          <c:tx>
            <c:strRef>
              <c:f>Pivort_table!$J$3:$J$4</c:f>
              <c:strCache>
                <c:ptCount val="1"/>
                <c:pt idx="0">
                  <c:v>Female</c:v>
                </c:pt>
              </c:strCache>
            </c:strRef>
          </c:tx>
          <c:spPr>
            <a:solidFill>
              <a:schemeClr val="accent6">
                <a:tint val="77000"/>
              </a:schemeClr>
            </a:solidFill>
            <a:ln>
              <a:noFill/>
            </a:ln>
            <a:effectLst/>
          </c:spPr>
          <c:invertIfNegative val="0"/>
          <c:cat>
            <c:strRef>
              <c:f>Pivort_table!$I$5:$I$10</c:f>
              <c:strCache>
                <c:ptCount val="5"/>
                <c:pt idx="0">
                  <c:v>Fitness</c:v>
                </c:pt>
                <c:pt idx="1">
                  <c:v>Footwear</c:v>
                </c:pt>
                <c:pt idx="2">
                  <c:v>Outdoor</c:v>
                </c:pt>
                <c:pt idx="3">
                  <c:v>Sports</c:v>
                </c:pt>
                <c:pt idx="4">
                  <c:v>Sportswear</c:v>
                </c:pt>
              </c:strCache>
            </c:strRef>
          </c:cat>
          <c:val>
            <c:numRef>
              <c:f>Pivort_table!$J$5:$J$10</c:f>
              <c:numCache>
                <c:formatCode>General</c:formatCode>
                <c:ptCount val="5"/>
                <c:pt idx="0">
                  <c:v>146</c:v>
                </c:pt>
                <c:pt idx="1">
                  <c:v>165</c:v>
                </c:pt>
                <c:pt idx="2">
                  <c:v>160</c:v>
                </c:pt>
                <c:pt idx="3">
                  <c:v>149</c:v>
                </c:pt>
                <c:pt idx="4">
                  <c:v>156</c:v>
                </c:pt>
              </c:numCache>
            </c:numRef>
          </c:val>
          <c:extLst>
            <c:ext xmlns:c16="http://schemas.microsoft.com/office/drawing/2014/chart" uri="{C3380CC4-5D6E-409C-BE32-E72D297353CC}">
              <c16:uniqueId val="{00000000-B6C5-409F-98AB-311F4982BC92}"/>
            </c:ext>
          </c:extLst>
        </c:ser>
        <c:ser>
          <c:idx val="1"/>
          <c:order val="1"/>
          <c:tx>
            <c:strRef>
              <c:f>Pivort_table!$K$3:$K$4</c:f>
              <c:strCache>
                <c:ptCount val="1"/>
                <c:pt idx="0">
                  <c:v>Male</c:v>
                </c:pt>
              </c:strCache>
            </c:strRef>
          </c:tx>
          <c:spPr>
            <a:solidFill>
              <a:schemeClr val="accent6">
                <a:shade val="76000"/>
              </a:schemeClr>
            </a:solidFill>
            <a:ln>
              <a:noFill/>
            </a:ln>
            <a:effectLst/>
          </c:spPr>
          <c:invertIfNegative val="0"/>
          <c:cat>
            <c:strRef>
              <c:f>Pivort_table!$I$5:$I$10</c:f>
              <c:strCache>
                <c:ptCount val="5"/>
                <c:pt idx="0">
                  <c:v>Fitness</c:v>
                </c:pt>
                <c:pt idx="1">
                  <c:v>Footwear</c:v>
                </c:pt>
                <c:pt idx="2">
                  <c:v>Outdoor</c:v>
                </c:pt>
                <c:pt idx="3">
                  <c:v>Sports</c:v>
                </c:pt>
                <c:pt idx="4">
                  <c:v>Sportswear</c:v>
                </c:pt>
              </c:strCache>
            </c:strRef>
          </c:cat>
          <c:val>
            <c:numRef>
              <c:f>Pivort_table!$K$5:$K$10</c:f>
              <c:numCache>
                <c:formatCode>General</c:formatCode>
                <c:ptCount val="5"/>
                <c:pt idx="0">
                  <c:v>229</c:v>
                </c:pt>
                <c:pt idx="1">
                  <c:v>228</c:v>
                </c:pt>
                <c:pt idx="2">
                  <c:v>219</c:v>
                </c:pt>
                <c:pt idx="3">
                  <c:v>258</c:v>
                </c:pt>
                <c:pt idx="4">
                  <c:v>237</c:v>
                </c:pt>
              </c:numCache>
            </c:numRef>
          </c:val>
          <c:extLst>
            <c:ext xmlns:c16="http://schemas.microsoft.com/office/drawing/2014/chart" uri="{C3380CC4-5D6E-409C-BE32-E72D297353CC}">
              <c16:uniqueId val="{00000005-B6C5-409F-98AB-311F4982BC92}"/>
            </c:ext>
          </c:extLst>
        </c:ser>
        <c:dLbls>
          <c:showLegendKey val="0"/>
          <c:showVal val="0"/>
          <c:showCatName val="0"/>
          <c:showSerName val="0"/>
          <c:showPercent val="0"/>
          <c:showBubbleSize val="0"/>
        </c:dLbls>
        <c:gapWidth val="219"/>
        <c:overlap val="-27"/>
        <c:axId val="761683072"/>
        <c:axId val="761685232"/>
      </c:barChart>
      <c:catAx>
        <c:axId val="76168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685232"/>
        <c:crosses val="autoZero"/>
        <c:auto val="1"/>
        <c:lblAlgn val="ctr"/>
        <c:lblOffset val="100"/>
        <c:noMultiLvlLbl val="0"/>
      </c:catAx>
      <c:valAx>
        <c:axId val="76168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68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[Decathlon Dashboard.xlsx]Pivort_table!Units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Pivort_table!$V$3</c:f>
              <c:strCache>
                <c:ptCount val="1"/>
                <c:pt idx="0">
                  <c:v>Total</c:v>
                </c:pt>
              </c:strCache>
            </c:strRef>
          </c:tx>
          <c:spPr>
            <a:ln w="28575" cap="rnd">
              <a:solidFill>
                <a:schemeClr val="accent6"/>
              </a:solidFill>
              <a:round/>
            </a:ln>
            <a:effectLst/>
          </c:spPr>
          <c:marker>
            <c:symbol val="none"/>
          </c:marker>
          <c:cat>
            <c:strRef>
              <c:f>Pivort_table!$U$4:$U$9</c:f>
              <c:strCache>
                <c:ptCount val="5"/>
                <c:pt idx="0">
                  <c:v>1</c:v>
                </c:pt>
                <c:pt idx="1">
                  <c:v>2</c:v>
                </c:pt>
                <c:pt idx="2">
                  <c:v>3</c:v>
                </c:pt>
                <c:pt idx="3">
                  <c:v>4</c:v>
                </c:pt>
                <c:pt idx="4">
                  <c:v>5</c:v>
                </c:pt>
              </c:strCache>
            </c:strRef>
          </c:cat>
          <c:val>
            <c:numRef>
              <c:f>Pivort_table!$V$4:$V$9</c:f>
              <c:numCache>
                <c:formatCode>General</c:formatCode>
                <c:ptCount val="5"/>
                <c:pt idx="0">
                  <c:v>995</c:v>
                </c:pt>
                <c:pt idx="1">
                  <c:v>384</c:v>
                </c:pt>
                <c:pt idx="2">
                  <c:v>182</c:v>
                </c:pt>
                <c:pt idx="3">
                  <c:v>196</c:v>
                </c:pt>
                <c:pt idx="4">
                  <c:v>190</c:v>
                </c:pt>
              </c:numCache>
            </c:numRef>
          </c:val>
          <c:smooth val="0"/>
          <c:extLst>
            <c:ext xmlns:c16="http://schemas.microsoft.com/office/drawing/2014/chart" uri="{C3380CC4-5D6E-409C-BE32-E72D297353CC}">
              <c16:uniqueId val="{00000000-96C2-428C-B4B2-5707A5114A30}"/>
            </c:ext>
          </c:extLst>
        </c:ser>
        <c:dLbls>
          <c:showLegendKey val="0"/>
          <c:showVal val="0"/>
          <c:showCatName val="0"/>
          <c:showSerName val="0"/>
          <c:showPercent val="0"/>
          <c:showBubbleSize val="0"/>
        </c:dLbls>
        <c:smooth val="0"/>
        <c:axId val="785979320"/>
        <c:axId val="785971040"/>
      </c:lineChart>
      <c:catAx>
        <c:axId val="785979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971040"/>
        <c:crosses val="autoZero"/>
        <c:auto val="1"/>
        <c:lblAlgn val="ctr"/>
        <c:lblOffset val="100"/>
        <c:noMultiLvlLbl val="0"/>
      </c:catAx>
      <c:valAx>
        <c:axId val="78597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979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[Decathlon Dashboard.xlsx]Pivort_table!Product_name</c:name>
    <c:fmtId val="8"/>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effectLst/>
                <a:latin typeface="+mn-lt"/>
                <a:ea typeface="+mn-ea"/>
                <a:cs typeface="+mn-cs"/>
              </a:defRPr>
            </a:pPr>
            <a:r>
              <a:rPr lang="en-US" sz="1400" b="0" i="0" u="none" strike="noStrike" kern="1200" spc="0" baseline="0">
                <a:solidFill>
                  <a:sysClr val="windowText" lastClr="000000">
                    <a:lumMod val="65000"/>
                    <a:lumOff val="35000"/>
                  </a:sysClr>
                </a:solidFill>
                <a:effectLst/>
                <a:latin typeface="+mn-lt"/>
                <a:ea typeface="+mn-ea"/>
                <a:cs typeface="+mn-cs"/>
              </a:rPr>
              <a:t>Product sales</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effectLst/>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Pivort_table!$O$3</c:f>
              <c:strCache>
                <c:ptCount val="1"/>
                <c:pt idx="0">
                  <c:v>Total</c:v>
                </c:pt>
              </c:strCache>
            </c:strRef>
          </c:tx>
          <c:spPr>
            <a:solidFill>
              <a:schemeClr val="accent6"/>
            </a:solidFill>
            <a:ln>
              <a:noFill/>
            </a:ln>
            <a:effectLst/>
          </c:spPr>
          <c:invertIfNegative val="0"/>
          <c:cat>
            <c:strRef>
              <c:f>Pivort_table!$N$4:$N$21</c:f>
              <c:strCache>
                <c:ptCount val="17"/>
                <c:pt idx="0">
                  <c:v>Backpack</c:v>
                </c:pt>
                <c:pt idx="1">
                  <c:v>Basketball</c:v>
                </c:pt>
                <c:pt idx="2">
                  <c:v>Boxing Bag</c:v>
                </c:pt>
                <c:pt idx="3">
                  <c:v>Boxing gloves</c:v>
                </c:pt>
                <c:pt idx="4">
                  <c:v>Casual Shoes</c:v>
                </c:pt>
                <c:pt idx="5">
                  <c:v>Cricket Bat</c:v>
                </c:pt>
                <c:pt idx="6">
                  <c:v>Cricket Kit</c:v>
                </c:pt>
                <c:pt idx="7">
                  <c:v>Dumbbells</c:v>
                </c:pt>
                <c:pt idx="8">
                  <c:v>Football</c:v>
                </c:pt>
                <c:pt idx="9">
                  <c:v>Jersey</c:v>
                </c:pt>
                <c:pt idx="10">
                  <c:v>Running Shoes</c:v>
                </c:pt>
                <c:pt idx="11">
                  <c:v>Shorts</c:v>
                </c:pt>
                <c:pt idx="12">
                  <c:v>Skateboard</c:v>
                </c:pt>
                <c:pt idx="13">
                  <c:v>Tent</c:v>
                </c:pt>
                <c:pt idx="14">
                  <c:v>Tracks</c:v>
                </c:pt>
                <c:pt idx="15">
                  <c:v>T-Shirt</c:v>
                </c:pt>
                <c:pt idx="16">
                  <c:v>Yoga Mat</c:v>
                </c:pt>
              </c:strCache>
            </c:strRef>
          </c:cat>
          <c:val>
            <c:numRef>
              <c:f>Pivort_table!$O$4:$O$21</c:f>
              <c:numCache>
                <c:formatCode>General</c:formatCode>
                <c:ptCount val="17"/>
                <c:pt idx="0">
                  <c:v>188</c:v>
                </c:pt>
                <c:pt idx="1">
                  <c:v>80</c:v>
                </c:pt>
                <c:pt idx="2">
                  <c:v>31</c:v>
                </c:pt>
                <c:pt idx="3">
                  <c:v>42</c:v>
                </c:pt>
                <c:pt idx="4">
                  <c:v>195</c:v>
                </c:pt>
                <c:pt idx="5">
                  <c:v>49</c:v>
                </c:pt>
                <c:pt idx="6">
                  <c:v>37</c:v>
                </c:pt>
                <c:pt idx="7">
                  <c:v>196</c:v>
                </c:pt>
                <c:pt idx="8">
                  <c:v>83</c:v>
                </c:pt>
                <c:pt idx="9">
                  <c:v>109</c:v>
                </c:pt>
                <c:pt idx="10">
                  <c:v>198</c:v>
                </c:pt>
                <c:pt idx="11">
                  <c:v>97</c:v>
                </c:pt>
                <c:pt idx="12">
                  <c:v>85</c:v>
                </c:pt>
                <c:pt idx="13">
                  <c:v>191</c:v>
                </c:pt>
                <c:pt idx="14">
                  <c:v>102</c:v>
                </c:pt>
                <c:pt idx="15">
                  <c:v>85</c:v>
                </c:pt>
                <c:pt idx="16">
                  <c:v>179</c:v>
                </c:pt>
              </c:numCache>
            </c:numRef>
          </c:val>
          <c:extLst>
            <c:ext xmlns:c16="http://schemas.microsoft.com/office/drawing/2014/chart" uri="{C3380CC4-5D6E-409C-BE32-E72D297353CC}">
              <c16:uniqueId val="{00000000-51E3-4913-A5AC-1120AB311264}"/>
            </c:ext>
          </c:extLst>
        </c:ser>
        <c:dLbls>
          <c:showLegendKey val="0"/>
          <c:showVal val="0"/>
          <c:showCatName val="0"/>
          <c:showSerName val="0"/>
          <c:showPercent val="0"/>
          <c:showBubbleSize val="0"/>
        </c:dLbls>
        <c:gapWidth val="219"/>
        <c:overlap val="-27"/>
        <c:axId val="761685592"/>
        <c:axId val="761681632"/>
      </c:barChart>
      <c:catAx>
        <c:axId val="761685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681632"/>
        <c:crosses val="autoZero"/>
        <c:auto val="1"/>
        <c:lblAlgn val="ctr"/>
        <c:lblOffset val="100"/>
        <c:noMultiLvlLbl val="0"/>
      </c:catAx>
      <c:valAx>
        <c:axId val="761681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685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[Decathlon Dashboard.xlsx]Pivort_table!Sales_channel</c:name>
    <c:fmtId val="10"/>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Sales Channel</a:t>
            </a:r>
          </a:p>
        </c:rich>
      </c:tx>
      <c:layout>
        <c:manualLayout>
          <c:xMode val="edge"/>
          <c:yMode val="edge"/>
          <c:x val="0.29859442108903883"/>
          <c:y val="3.3475033475033479E-2"/>
        </c:manualLayout>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29737220075656"/>
          <c:y val="0.26753097639973683"/>
          <c:w val="0.76758364426186565"/>
          <c:h val="0.59067704286493239"/>
        </c:manualLayout>
      </c:layout>
      <c:barChart>
        <c:barDir val="col"/>
        <c:grouping val="clustered"/>
        <c:varyColors val="0"/>
        <c:ser>
          <c:idx val="0"/>
          <c:order val="0"/>
          <c:tx>
            <c:strRef>
              <c:f>Pivort_table!$S$11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Pivort_table!$R$12:$R$14</c:f>
              <c:strCache>
                <c:ptCount val="2"/>
                <c:pt idx="0">
                  <c:v>Offline</c:v>
                </c:pt>
                <c:pt idx="1">
                  <c:v>Online</c:v>
                </c:pt>
              </c:strCache>
            </c:strRef>
          </c:cat>
          <c:val>
            <c:numRef>
              <c:f>Pivort_table!$S$12:$S$14</c:f>
              <c:numCache>
                <c:formatCode>General</c:formatCode>
                <c:ptCount val="2"/>
                <c:pt idx="0">
                  <c:v>995</c:v>
                </c:pt>
                <c:pt idx="1">
                  <c:v>952</c:v>
                </c:pt>
              </c:numCache>
            </c:numRef>
          </c:val>
          <c:extLst>
            <c:ext xmlns:c16="http://schemas.microsoft.com/office/drawing/2014/chart" uri="{C3380CC4-5D6E-409C-BE32-E72D297353CC}">
              <c16:uniqueId val="{00000000-31FD-4903-A927-7664751D36DF}"/>
            </c:ext>
          </c:extLst>
        </c:ser>
        <c:dLbls>
          <c:dLblPos val="outEnd"/>
          <c:showLegendKey val="0"/>
          <c:showVal val="1"/>
          <c:showCatName val="0"/>
          <c:showSerName val="0"/>
          <c:showPercent val="0"/>
          <c:showBubbleSize val="0"/>
        </c:dLbls>
        <c:gapWidth val="219"/>
        <c:overlap val="-27"/>
        <c:axId val="763316016"/>
        <c:axId val="763319256"/>
      </c:barChart>
      <c:catAx>
        <c:axId val="76331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319256"/>
        <c:crosses val="autoZero"/>
        <c:auto val="1"/>
        <c:lblAlgn val="ctr"/>
        <c:lblOffset val="100"/>
        <c:noMultiLvlLbl val="0"/>
      </c:catAx>
      <c:valAx>
        <c:axId val="763319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31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[Decathlon Dashboard.xlsx]Pivort_table!Gender</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tint val="77000"/>
            </a:schemeClr>
          </a:solidFill>
          <a:ln>
            <a:noFill/>
          </a:ln>
          <a:effectLst>
            <a:outerShdw blurRad="317500" algn="ctr" rotWithShape="0">
              <a:prstClr val="black">
                <a:alpha val="25000"/>
              </a:prstClr>
            </a:outerShdw>
          </a:effectLst>
        </c:spPr>
      </c:pivotFmt>
      <c:pivotFmt>
        <c:idx val="2"/>
        <c:spPr>
          <a:solidFill>
            <a:schemeClr val="accent6">
              <a:shade val="76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Pivort_table!$B$3</c:f>
              <c:strCache>
                <c:ptCount val="1"/>
                <c:pt idx="0">
                  <c:v>Total</c:v>
                </c:pt>
              </c:strCache>
            </c:strRef>
          </c:tx>
          <c:dPt>
            <c:idx val="0"/>
            <c:bubble3D val="0"/>
            <c:spPr>
              <a:solidFill>
                <a:schemeClr val="accent6">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232-4606-95D4-A4F773A36BF2}"/>
              </c:ext>
            </c:extLst>
          </c:dPt>
          <c:dPt>
            <c:idx val="1"/>
            <c:bubble3D val="0"/>
            <c:spPr>
              <a:solidFill>
                <a:schemeClr val="accent6">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232-4606-95D4-A4F773A36BF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Pivort_table!$A$4:$A$6</c:f>
              <c:strCache>
                <c:ptCount val="2"/>
                <c:pt idx="0">
                  <c:v>Female</c:v>
                </c:pt>
                <c:pt idx="1">
                  <c:v>Male</c:v>
                </c:pt>
              </c:strCache>
            </c:strRef>
          </c:cat>
          <c:val>
            <c:numRef>
              <c:f>Pivort_table!$B$4:$B$6</c:f>
              <c:numCache>
                <c:formatCode>General</c:formatCode>
                <c:ptCount val="2"/>
                <c:pt idx="0">
                  <c:v>776</c:v>
                </c:pt>
                <c:pt idx="1">
                  <c:v>1171</c:v>
                </c:pt>
              </c:numCache>
            </c:numRef>
          </c:val>
          <c:extLst>
            <c:ext xmlns:c16="http://schemas.microsoft.com/office/drawing/2014/chart" uri="{C3380CC4-5D6E-409C-BE32-E72D297353CC}">
              <c16:uniqueId val="{00000000-ABA1-4BBD-94D4-F5899666E4E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[Decathlon Dashboard.xlsx]Pivort_table!Category_by_gender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983861053394692E-2"/>
          <c:y val="0.16910723070265313"/>
          <c:w val="0.75773732210814926"/>
          <c:h val="0.62900788205399449"/>
        </c:manualLayout>
      </c:layout>
      <c:barChart>
        <c:barDir val="col"/>
        <c:grouping val="clustered"/>
        <c:varyColors val="0"/>
        <c:ser>
          <c:idx val="0"/>
          <c:order val="0"/>
          <c:tx>
            <c:strRef>
              <c:f>Pivort_table!$J$3:$J$4</c:f>
              <c:strCache>
                <c:ptCount val="1"/>
                <c:pt idx="0">
                  <c:v>Female</c:v>
                </c:pt>
              </c:strCache>
            </c:strRef>
          </c:tx>
          <c:spPr>
            <a:solidFill>
              <a:schemeClr val="accent6">
                <a:tint val="77000"/>
              </a:schemeClr>
            </a:solidFill>
            <a:ln>
              <a:noFill/>
            </a:ln>
            <a:effectLst/>
          </c:spPr>
          <c:invertIfNegative val="0"/>
          <c:cat>
            <c:strRef>
              <c:f>Pivort_table!$I$5:$I$10</c:f>
              <c:strCache>
                <c:ptCount val="5"/>
                <c:pt idx="0">
                  <c:v>Fitness</c:v>
                </c:pt>
                <c:pt idx="1">
                  <c:v>Footwear</c:v>
                </c:pt>
                <c:pt idx="2">
                  <c:v>Outdoor</c:v>
                </c:pt>
                <c:pt idx="3">
                  <c:v>Sports</c:v>
                </c:pt>
                <c:pt idx="4">
                  <c:v>Sportswear</c:v>
                </c:pt>
              </c:strCache>
            </c:strRef>
          </c:cat>
          <c:val>
            <c:numRef>
              <c:f>Pivort_table!$J$5:$J$10</c:f>
              <c:numCache>
                <c:formatCode>General</c:formatCode>
                <c:ptCount val="5"/>
                <c:pt idx="0">
                  <c:v>146</c:v>
                </c:pt>
                <c:pt idx="1">
                  <c:v>165</c:v>
                </c:pt>
                <c:pt idx="2">
                  <c:v>160</c:v>
                </c:pt>
                <c:pt idx="3">
                  <c:v>149</c:v>
                </c:pt>
                <c:pt idx="4">
                  <c:v>156</c:v>
                </c:pt>
              </c:numCache>
            </c:numRef>
          </c:val>
          <c:extLst>
            <c:ext xmlns:c16="http://schemas.microsoft.com/office/drawing/2014/chart" uri="{C3380CC4-5D6E-409C-BE32-E72D297353CC}">
              <c16:uniqueId val="{00000000-02F5-4EE6-8454-93183D80B96D}"/>
            </c:ext>
          </c:extLst>
        </c:ser>
        <c:ser>
          <c:idx val="1"/>
          <c:order val="1"/>
          <c:tx>
            <c:strRef>
              <c:f>Pivort_table!$K$3:$K$4</c:f>
              <c:strCache>
                <c:ptCount val="1"/>
                <c:pt idx="0">
                  <c:v>Male</c:v>
                </c:pt>
              </c:strCache>
            </c:strRef>
          </c:tx>
          <c:spPr>
            <a:solidFill>
              <a:schemeClr val="accent6">
                <a:shade val="76000"/>
              </a:schemeClr>
            </a:solidFill>
            <a:ln>
              <a:noFill/>
            </a:ln>
            <a:effectLst/>
          </c:spPr>
          <c:invertIfNegative val="0"/>
          <c:cat>
            <c:strRef>
              <c:f>Pivort_table!$I$5:$I$10</c:f>
              <c:strCache>
                <c:ptCount val="5"/>
                <c:pt idx="0">
                  <c:v>Fitness</c:v>
                </c:pt>
                <c:pt idx="1">
                  <c:v>Footwear</c:v>
                </c:pt>
                <c:pt idx="2">
                  <c:v>Outdoor</c:v>
                </c:pt>
                <c:pt idx="3">
                  <c:v>Sports</c:v>
                </c:pt>
                <c:pt idx="4">
                  <c:v>Sportswear</c:v>
                </c:pt>
              </c:strCache>
            </c:strRef>
          </c:cat>
          <c:val>
            <c:numRef>
              <c:f>Pivort_table!$K$5:$K$10</c:f>
              <c:numCache>
                <c:formatCode>General</c:formatCode>
                <c:ptCount val="5"/>
                <c:pt idx="0">
                  <c:v>229</c:v>
                </c:pt>
                <c:pt idx="1">
                  <c:v>228</c:v>
                </c:pt>
                <c:pt idx="2">
                  <c:v>219</c:v>
                </c:pt>
                <c:pt idx="3">
                  <c:v>258</c:v>
                </c:pt>
                <c:pt idx="4">
                  <c:v>237</c:v>
                </c:pt>
              </c:numCache>
            </c:numRef>
          </c:val>
          <c:extLst>
            <c:ext xmlns:c16="http://schemas.microsoft.com/office/drawing/2014/chart" uri="{C3380CC4-5D6E-409C-BE32-E72D297353CC}">
              <c16:uniqueId val="{00000005-02F5-4EE6-8454-93183D80B96D}"/>
            </c:ext>
          </c:extLst>
        </c:ser>
        <c:dLbls>
          <c:showLegendKey val="0"/>
          <c:showVal val="0"/>
          <c:showCatName val="0"/>
          <c:showSerName val="0"/>
          <c:showPercent val="0"/>
          <c:showBubbleSize val="0"/>
        </c:dLbls>
        <c:gapWidth val="219"/>
        <c:overlap val="-27"/>
        <c:axId val="761683072"/>
        <c:axId val="761685232"/>
      </c:barChart>
      <c:catAx>
        <c:axId val="76168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685232"/>
        <c:crosses val="autoZero"/>
        <c:auto val="1"/>
        <c:lblAlgn val="ctr"/>
        <c:lblOffset val="100"/>
        <c:noMultiLvlLbl val="0"/>
      </c:catAx>
      <c:valAx>
        <c:axId val="76168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68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[Decathlon Dashboard.xlsx]Pivort_table!Product_name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Pivort_table!$O$3</c:f>
              <c:strCache>
                <c:ptCount val="1"/>
                <c:pt idx="0">
                  <c:v>Total</c:v>
                </c:pt>
              </c:strCache>
            </c:strRef>
          </c:tx>
          <c:spPr>
            <a:solidFill>
              <a:schemeClr val="accent6"/>
            </a:solidFill>
            <a:ln>
              <a:noFill/>
            </a:ln>
            <a:effectLst/>
          </c:spPr>
          <c:invertIfNegative val="0"/>
          <c:cat>
            <c:strRef>
              <c:f>Pivort_table!$N$4:$N$21</c:f>
              <c:strCache>
                <c:ptCount val="17"/>
                <c:pt idx="0">
                  <c:v>Backpack</c:v>
                </c:pt>
                <c:pt idx="1">
                  <c:v>Basketball</c:v>
                </c:pt>
                <c:pt idx="2">
                  <c:v>Boxing Bag</c:v>
                </c:pt>
                <c:pt idx="3">
                  <c:v>Boxing gloves</c:v>
                </c:pt>
                <c:pt idx="4">
                  <c:v>Casual Shoes</c:v>
                </c:pt>
                <c:pt idx="5">
                  <c:v>Cricket Bat</c:v>
                </c:pt>
                <c:pt idx="6">
                  <c:v>Cricket Kit</c:v>
                </c:pt>
                <c:pt idx="7">
                  <c:v>Dumbbells</c:v>
                </c:pt>
                <c:pt idx="8">
                  <c:v>Football</c:v>
                </c:pt>
                <c:pt idx="9">
                  <c:v>Jersey</c:v>
                </c:pt>
                <c:pt idx="10">
                  <c:v>Running Shoes</c:v>
                </c:pt>
                <c:pt idx="11">
                  <c:v>Shorts</c:v>
                </c:pt>
                <c:pt idx="12">
                  <c:v>Skateboard</c:v>
                </c:pt>
                <c:pt idx="13">
                  <c:v>Tent</c:v>
                </c:pt>
                <c:pt idx="14">
                  <c:v>Tracks</c:v>
                </c:pt>
                <c:pt idx="15">
                  <c:v>T-Shirt</c:v>
                </c:pt>
                <c:pt idx="16">
                  <c:v>Yoga Mat</c:v>
                </c:pt>
              </c:strCache>
            </c:strRef>
          </c:cat>
          <c:val>
            <c:numRef>
              <c:f>Pivort_table!$O$4:$O$21</c:f>
              <c:numCache>
                <c:formatCode>General</c:formatCode>
                <c:ptCount val="17"/>
                <c:pt idx="0">
                  <c:v>188</c:v>
                </c:pt>
                <c:pt idx="1">
                  <c:v>80</c:v>
                </c:pt>
                <c:pt idx="2">
                  <c:v>31</c:v>
                </c:pt>
                <c:pt idx="3">
                  <c:v>42</c:v>
                </c:pt>
                <c:pt idx="4">
                  <c:v>195</c:v>
                </c:pt>
                <c:pt idx="5">
                  <c:v>49</c:v>
                </c:pt>
                <c:pt idx="6">
                  <c:v>37</c:v>
                </c:pt>
                <c:pt idx="7">
                  <c:v>196</c:v>
                </c:pt>
                <c:pt idx="8">
                  <c:v>83</c:v>
                </c:pt>
                <c:pt idx="9">
                  <c:v>109</c:v>
                </c:pt>
                <c:pt idx="10">
                  <c:v>198</c:v>
                </c:pt>
                <c:pt idx="11">
                  <c:v>97</c:v>
                </c:pt>
                <c:pt idx="12">
                  <c:v>85</c:v>
                </c:pt>
                <c:pt idx="13">
                  <c:v>191</c:v>
                </c:pt>
                <c:pt idx="14">
                  <c:v>102</c:v>
                </c:pt>
                <c:pt idx="15">
                  <c:v>85</c:v>
                </c:pt>
                <c:pt idx="16">
                  <c:v>179</c:v>
                </c:pt>
              </c:numCache>
            </c:numRef>
          </c:val>
          <c:extLst>
            <c:ext xmlns:c16="http://schemas.microsoft.com/office/drawing/2014/chart" uri="{C3380CC4-5D6E-409C-BE32-E72D297353CC}">
              <c16:uniqueId val="{00000000-9767-43C5-A543-78DE9B175B5B}"/>
            </c:ext>
          </c:extLst>
        </c:ser>
        <c:dLbls>
          <c:showLegendKey val="0"/>
          <c:showVal val="0"/>
          <c:showCatName val="0"/>
          <c:showSerName val="0"/>
          <c:showPercent val="0"/>
          <c:showBubbleSize val="0"/>
        </c:dLbls>
        <c:gapWidth val="219"/>
        <c:overlap val="-27"/>
        <c:axId val="761685592"/>
        <c:axId val="761681632"/>
      </c:barChart>
      <c:catAx>
        <c:axId val="761685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681632"/>
        <c:crosses val="autoZero"/>
        <c:auto val="1"/>
        <c:lblAlgn val="ctr"/>
        <c:lblOffset val="100"/>
        <c:noMultiLvlLbl val="0"/>
      </c:catAx>
      <c:valAx>
        <c:axId val="761681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685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[Decathlon Dashboard.xlsx]Pivort_table!Payment_method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tint val="65000"/>
            </a:schemeClr>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hade val="65000"/>
            </a:schemeClr>
          </a:solidFill>
          <a:ln w="19050">
            <a:solidFill>
              <a:schemeClr val="lt1"/>
            </a:solidFill>
          </a:ln>
          <a:effectLst/>
        </c:spPr>
      </c:pivotFmt>
    </c:pivotFmts>
    <c:plotArea>
      <c:layout/>
      <c:doughnutChart>
        <c:varyColors val="1"/>
        <c:ser>
          <c:idx val="0"/>
          <c:order val="0"/>
          <c:tx>
            <c:strRef>
              <c:f>Pivort_table!$S$3</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A735-46C2-8666-844B7D7D9E77}"/>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A735-46C2-8666-844B7D7D9E77}"/>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A735-46C2-8666-844B7D7D9E77}"/>
              </c:ext>
            </c:extLst>
          </c:dPt>
          <c:cat>
            <c:strRef>
              <c:f>Pivort_table!$R$4:$R$7</c:f>
              <c:strCache>
                <c:ptCount val="3"/>
                <c:pt idx="0">
                  <c:v>Card</c:v>
                </c:pt>
                <c:pt idx="1">
                  <c:v>Cash</c:v>
                </c:pt>
                <c:pt idx="2">
                  <c:v>Online</c:v>
                </c:pt>
              </c:strCache>
            </c:strRef>
          </c:cat>
          <c:val>
            <c:numRef>
              <c:f>Pivort_table!$S$4:$S$7</c:f>
              <c:numCache>
                <c:formatCode>General</c:formatCode>
                <c:ptCount val="3"/>
                <c:pt idx="0">
                  <c:v>662</c:v>
                </c:pt>
                <c:pt idx="1">
                  <c:v>666</c:v>
                </c:pt>
                <c:pt idx="2">
                  <c:v>619</c:v>
                </c:pt>
              </c:numCache>
            </c:numRef>
          </c:val>
          <c:extLst>
            <c:ext xmlns:c16="http://schemas.microsoft.com/office/drawing/2014/chart" uri="{C3380CC4-5D6E-409C-BE32-E72D297353CC}">
              <c16:uniqueId val="{00000000-BBDA-4F94-997E-A576512678C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[Decathlon Dashboard.xlsx]Pivort_table!Sales_channel</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28245469289097E-2"/>
          <c:y val="0.20727582595794317"/>
          <c:w val="0.76758364426186565"/>
          <c:h val="0.59067704286493239"/>
        </c:manualLayout>
      </c:layout>
      <c:barChart>
        <c:barDir val="col"/>
        <c:grouping val="clustered"/>
        <c:varyColors val="0"/>
        <c:ser>
          <c:idx val="0"/>
          <c:order val="0"/>
          <c:tx>
            <c:strRef>
              <c:f>Pivort_table!$S$11</c:f>
              <c:strCache>
                <c:ptCount val="1"/>
                <c:pt idx="0">
                  <c:v>Total</c:v>
                </c:pt>
              </c:strCache>
            </c:strRef>
          </c:tx>
          <c:spPr>
            <a:solidFill>
              <a:schemeClr val="accent6"/>
            </a:solidFill>
            <a:ln>
              <a:noFill/>
            </a:ln>
            <a:effectLst/>
          </c:spPr>
          <c:invertIfNegative val="0"/>
          <c:cat>
            <c:strRef>
              <c:f>Pivort_table!$R$12:$R$14</c:f>
              <c:strCache>
                <c:ptCount val="2"/>
                <c:pt idx="0">
                  <c:v>Offline</c:v>
                </c:pt>
                <c:pt idx="1">
                  <c:v>Online</c:v>
                </c:pt>
              </c:strCache>
            </c:strRef>
          </c:cat>
          <c:val>
            <c:numRef>
              <c:f>Pivort_table!$S$12:$S$14</c:f>
              <c:numCache>
                <c:formatCode>General</c:formatCode>
                <c:ptCount val="2"/>
                <c:pt idx="0">
                  <c:v>995</c:v>
                </c:pt>
                <c:pt idx="1">
                  <c:v>952</c:v>
                </c:pt>
              </c:numCache>
            </c:numRef>
          </c:val>
          <c:extLst>
            <c:ext xmlns:c16="http://schemas.microsoft.com/office/drawing/2014/chart" uri="{C3380CC4-5D6E-409C-BE32-E72D297353CC}">
              <c16:uniqueId val="{00000000-C488-47D2-99B3-0FE26562AD7E}"/>
            </c:ext>
          </c:extLst>
        </c:ser>
        <c:dLbls>
          <c:showLegendKey val="0"/>
          <c:showVal val="0"/>
          <c:showCatName val="0"/>
          <c:showSerName val="0"/>
          <c:showPercent val="0"/>
          <c:showBubbleSize val="0"/>
        </c:dLbls>
        <c:gapWidth val="219"/>
        <c:overlap val="-27"/>
        <c:axId val="763316016"/>
        <c:axId val="763319256"/>
      </c:barChart>
      <c:catAx>
        <c:axId val="76331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319256"/>
        <c:crosses val="autoZero"/>
        <c:auto val="1"/>
        <c:lblAlgn val="ctr"/>
        <c:lblOffset val="100"/>
        <c:noMultiLvlLbl val="0"/>
      </c:catAx>
      <c:valAx>
        <c:axId val="763319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31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[Decathlon Dashboard.xlsx]Pivort_table!Units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Pivort_table!$V$3</c:f>
              <c:strCache>
                <c:ptCount val="1"/>
                <c:pt idx="0">
                  <c:v>Total</c:v>
                </c:pt>
              </c:strCache>
            </c:strRef>
          </c:tx>
          <c:spPr>
            <a:ln w="28575" cap="rnd">
              <a:solidFill>
                <a:schemeClr val="accent6"/>
              </a:solidFill>
              <a:round/>
            </a:ln>
            <a:effectLst/>
          </c:spPr>
          <c:marker>
            <c:symbol val="none"/>
          </c:marker>
          <c:cat>
            <c:strRef>
              <c:f>Pivort_table!$U$4:$U$9</c:f>
              <c:strCache>
                <c:ptCount val="5"/>
                <c:pt idx="0">
                  <c:v>1</c:v>
                </c:pt>
                <c:pt idx="1">
                  <c:v>2</c:v>
                </c:pt>
                <c:pt idx="2">
                  <c:v>3</c:v>
                </c:pt>
                <c:pt idx="3">
                  <c:v>4</c:v>
                </c:pt>
                <c:pt idx="4">
                  <c:v>5</c:v>
                </c:pt>
              </c:strCache>
            </c:strRef>
          </c:cat>
          <c:val>
            <c:numRef>
              <c:f>Pivort_table!$V$4:$V$9</c:f>
              <c:numCache>
                <c:formatCode>General</c:formatCode>
                <c:ptCount val="5"/>
                <c:pt idx="0">
                  <c:v>995</c:v>
                </c:pt>
                <c:pt idx="1">
                  <c:v>384</c:v>
                </c:pt>
                <c:pt idx="2">
                  <c:v>182</c:v>
                </c:pt>
                <c:pt idx="3">
                  <c:v>196</c:v>
                </c:pt>
                <c:pt idx="4">
                  <c:v>190</c:v>
                </c:pt>
              </c:numCache>
            </c:numRef>
          </c:val>
          <c:smooth val="0"/>
          <c:extLst>
            <c:ext xmlns:c16="http://schemas.microsoft.com/office/drawing/2014/chart" uri="{C3380CC4-5D6E-409C-BE32-E72D297353CC}">
              <c16:uniqueId val="{00000000-8287-438C-A448-6D0A4EB051D9}"/>
            </c:ext>
          </c:extLst>
        </c:ser>
        <c:dLbls>
          <c:showLegendKey val="0"/>
          <c:showVal val="0"/>
          <c:showCatName val="0"/>
          <c:showSerName val="0"/>
          <c:showPercent val="0"/>
          <c:showBubbleSize val="0"/>
        </c:dLbls>
        <c:smooth val="0"/>
        <c:axId val="785979320"/>
        <c:axId val="785971040"/>
      </c:lineChart>
      <c:catAx>
        <c:axId val="785979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971040"/>
        <c:crosses val="autoZero"/>
        <c:auto val="1"/>
        <c:lblAlgn val="ctr"/>
        <c:lblOffset val="100"/>
        <c:noMultiLvlLbl val="0"/>
      </c:catAx>
      <c:valAx>
        <c:axId val="78597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979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[Decathlon Dashboard.xlsx]Pivort_table!Product_Profit</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b="0"/>
              <a:t>Product</a:t>
            </a:r>
            <a:r>
              <a:rPr lang="en-US" b="0" baseline="0"/>
              <a:t> wise profit</a:t>
            </a:r>
            <a:endParaRPr lang="en-US" b="0"/>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Pivort_table!$Y$3</c:f>
              <c:strCache>
                <c:ptCount val="1"/>
                <c:pt idx="0">
                  <c:v>Total</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Pivort_table!$X$4:$X$21</c:f>
              <c:strCache>
                <c:ptCount val="17"/>
                <c:pt idx="0">
                  <c:v>Backpack</c:v>
                </c:pt>
                <c:pt idx="1">
                  <c:v>Basketball</c:v>
                </c:pt>
                <c:pt idx="2">
                  <c:v>Boxing Bag</c:v>
                </c:pt>
                <c:pt idx="3">
                  <c:v>Boxing gloves</c:v>
                </c:pt>
                <c:pt idx="4">
                  <c:v>Casual Shoes</c:v>
                </c:pt>
                <c:pt idx="5">
                  <c:v>Cricket Bat</c:v>
                </c:pt>
                <c:pt idx="6">
                  <c:v>Cricket Kit</c:v>
                </c:pt>
                <c:pt idx="7">
                  <c:v>Dumbbells</c:v>
                </c:pt>
                <c:pt idx="8">
                  <c:v>Football</c:v>
                </c:pt>
                <c:pt idx="9">
                  <c:v>Jersey</c:v>
                </c:pt>
                <c:pt idx="10">
                  <c:v>Running Shoes</c:v>
                </c:pt>
                <c:pt idx="11">
                  <c:v>Shorts</c:v>
                </c:pt>
                <c:pt idx="12">
                  <c:v>Skateboard</c:v>
                </c:pt>
                <c:pt idx="13">
                  <c:v>Tent</c:v>
                </c:pt>
                <c:pt idx="14">
                  <c:v>Tracks</c:v>
                </c:pt>
                <c:pt idx="15">
                  <c:v>T-Shirt</c:v>
                </c:pt>
                <c:pt idx="16">
                  <c:v>Yoga Mat</c:v>
                </c:pt>
              </c:strCache>
            </c:strRef>
          </c:cat>
          <c:val>
            <c:numRef>
              <c:f>Pivort_table!$Y$4:$Y$21</c:f>
              <c:numCache>
                <c:formatCode>General</c:formatCode>
                <c:ptCount val="17"/>
                <c:pt idx="0">
                  <c:v>151760</c:v>
                </c:pt>
                <c:pt idx="1">
                  <c:v>51297</c:v>
                </c:pt>
                <c:pt idx="2">
                  <c:v>25028</c:v>
                </c:pt>
                <c:pt idx="3">
                  <c:v>10278</c:v>
                </c:pt>
                <c:pt idx="4">
                  <c:v>147257</c:v>
                </c:pt>
                <c:pt idx="5">
                  <c:v>35173</c:v>
                </c:pt>
                <c:pt idx="6">
                  <c:v>44166</c:v>
                </c:pt>
                <c:pt idx="7">
                  <c:v>138301</c:v>
                </c:pt>
                <c:pt idx="8">
                  <c:v>40973</c:v>
                </c:pt>
                <c:pt idx="9">
                  <c:v>36246</c:v>
                </c:pt>
                <c:pt idx="10">
                  <c:v>194039</c:v>
                </c:pt>
                <c:pt idx="11">
                  <c:v>31795</c:v>
                </c:pt>
                <c:pt idx="12">
                  <c:v>82774</c:v>
                </c:pt>
                <c:pt idx="13">
                  <c:v>305657</c:v>
                </c:pt>
                <c:pt idx="14">
                  <c:v>43372</c:v>
                </c:pt>
                <c:pt idx="15">
                  <c:v>28202</c:v>
                </c:pt>
                <c:pt idx="16">
                  <c:v>48482</c:v>
                </c:pt>
              </c:numCache>
            </c:numRef>
          </c:val>
          <c:extLst>
            <c:ext xmlns:c16="http://schemas.microsoft.com/office/drawing/2014/chart" uri="{C3380CC4-5D6E-409C-BE32-E72D297353CC}">
              <c16:uniqueId val="{00000000-2E46-45EF-90AA-4A4180682B87}"/>
            </c:ext>
          </c:extLst>
        </c:ser>
        <c:dLbls>
          <c:dLblPos val="outEnd"/>
          <c:showLegendKey val="0"/>
          <c:showVal val="1"/>
          <c:showCatName val="0"/>
          <c:showSerName val="0"/>
          <c:showPercent val="0"/>
          <c:showBubbleSize val="0"/>
        </c:dLbls>
        <c:gapWidth val="444"/>
        <c:overlap val="-90"/>
        <c:axId val="785973920"/>
        <c:axId val="785976440"/>
      </c:barChart>
      <c:catAx>
        <c:axId val="785973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85976440"/>
        <c:crosses val="autoZero"/>
        <c:auto val="1"/>
        <c:lblAlgn val="ctr"/>
        <c:lblOffset val="100"/>
        <c:noMultiLvlLbl val="0"/>
      </c:catAx>
      <c:valAx>
        <c:axId val="785976440"/>
        <c:scaling>
          <c:orientation val="minMax"/>
        </c:scaling>
        <c:delete val="1"/>
        <c:axPos val="l"/>
        <c:numFmt formatCode="General" sourceLinked="1"/>
        <c:majorTickMark val="none"/>
        <c:minorTickMark val="none"/>
        <c:tickLblPos val="nextTo"/>
        <c:crossAx val="78597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[Decathlon Dashboard.xlsx]Pivort_table!Units_profit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units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tint val="54000"/>
            </a:schemeClr>
          </a:solidFill>
          <a:ln w="19050">
            <a:solidFill>
              <a:schemeClr val="lt1"/>
            </a:solidFill>
          </a:ln>
          <a:effectLst/>
        </c:spPr>
      </c:pivotFmt>
      <c:pivotFmt>
        <c:idx val="2"/>
        <c:spPr>
          <a:solidFill>
            <a:schemeClr val="accent6">
              <a:tint val="77000"/>
            </a:schemeClr>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hade val="76000"/>
            </a:schemeClr>
          </a:solidFill>
          <a:ln w="19050">
            <a:solidFill>
              <a:schemeClr val="lt1"/>
            </a:solidFill>
          </a:ln>
          <a:effectLst/>
        </c:spPr>
      </c:pivotFmt>
      <c:pivotFmt>
        <c:idx val="5"/>
        <c:spPr>
          <a:solidFill>
            <a:schemeClr val="accent6">
              <a:shade val="53000"/>
            </a:schemeClr>
          </a:solidFill>
          <a:ln w="19050">
            <a:solidFill>
              <a:schemeClr val="lt1"/>
            </a:solidFill>
          </a:ln>
          <a:effectLst/>
        </c:spPr>
      </c:pivotFmt>
    </c:pivotFmts>
    <c:plotArea>
      <c:layout/>
      <c:pieChart>
        <c:varyColors val="1"/>
        <c:ser>
          <c:idx val="0"/>
          <c:order val="0"/>
          <c:tx>
            <c:strRef>
              <c:f>Pivort_table!$AC$3</c:f>
              <c:strCache>
                <c:ptCount val="1"/>
                <c:pt idx="0">
                  <c:v>Total</c:v>
                </c:pt>
              </c:strCache>
            </c:strRef>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1-185A-4E4D-8F77-F0D6AACC1472}"/>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185A-4E4D-8F77-F0D6AACC147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85A-4E4D-8F77-F0D6AACC1472}"/>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185A-4E4D-8F77-F0D6AACC1472}"/>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9-185A-4E4D-8F77-F0D6AACC1472}"/>
              </c:ext>
            </c:extLst>
          </c:dPt>
          <c:cat>
            <c:strRef>
              <c:f>Pivort_table!$AB$4:$AB$9</c:f>
              <c:strCache>
                <c:ptCount val="5"/>
                <c:pt idx="0">
                  <c:v>1</c:v>
                </c:pt>
                <c:pt idx="1">
                  <c:v>2</c:v>
                </c:pt>
                <c:pt idx="2">
                  <c:v>3</c:v>
                </c:pt>
                <c:pt idx="3">
                  <c:v>4</c:v>
                </c:pt>
                <c:pt idx="4">
                  <c:v>5</c:v>
                </c:pt>
              </c:strCache>
            </c:strRef>
          </c:cat>
          <c:val>
            <c:numRef>
              <c:f>Pivort_table!$AC$4:$AC$9</c:f>
              <c:numCache>
                <c:formatCode>General</c:formatCode>
                <c:ptCount val="5"/>
                <c:pt idx="0">
                  <c:v>356022</c:v>
                </c:pt>
                <c:pt idx="1">
                  <c:v>273654</c:v>
                </c:pt>
                <c:pt idx="2">
                  <c:v>191535</c:v>
                </c:pt>
                <c:pt idx="3">
                  <c:v>262984</c:v>
                </c:pt>
                <c:pt idx="4">
                  <c:v>330605</c:v>
                </c:pt>
              </c:numCache>
            </c:numRef>
          </c:val>
          <c:extLst>
            <c:ext xmlns:c16="http://schemas.microsoft.com/office/drawing/2014/chart" uri="{C3380CC4-5D6E-409C-BE32-E72D297353CC}">
              <c16:uniqueId val="{00000000-F9BB-4969-A6E4-69CE3936F85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[Decathlon Dashboard.xlsx]Pivort_table!Category_profit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Pivort_table!$AF$3</c:f>
              <c:strCache>
                <c:ptCount val="1"/>
                <c:pt idx="0">
                  <c:v>Total</c:v>
                </c:pt>
              </c:strCache>
            </c:strRef>
          </c:tx>
          <c:spPr>
            <a:solidFill>
              <a:schemeClr val="accent6"/>
            </a:solidFill>
            <a:ln>
              <a:noFill/>
            </a:ln>
            <a:effectLst/>
          </c:spPr>
          <c:invertIfNegative val="0"/>
          <c:cat>
            <c:strRef>
              <c:f>Pivort_table!$AE$4:$AE$9</c:f>
              <c:strCache>
                <c:ptCount val="5"/>
                <c:pt idx="0">
                  <c:v>Fitness</c:v>
                </c:pt>
                <c:pt idx="1">
                  <c:v>Footwear</c:v>
                </c:pt>
                <c:pt idx="2">
                  <c:v>Outdoor</c:v>
                </c:pt>
                <c:pt idx="3">
                  <c:v>Sports</c:v>
                </c:pt>
                <c:pt idx="4">
                  <c:v>Sportswear</c:v>
                </c:pt>
              </c:strCache>
            </c:strRef>
          </c:cat>
          <c:val>
            <c:numRef>
              <c:f>Pivort_table!$AF$4:$AF$9</c:f>
              <c:numCache>
                <c:formatCode>General</c:formatCode>
                <c:ptCount val="5"/>
                <c:pt idx="0">
                  <c:v>186783</c:v>
                </c:pt>
                <c:pt idx="1">
                  <c:v>341296</c:v>
                </c:pt>
                <c:pt idx="2">
                  <c:v>457417</c:v>
                </c:pt>
                <c:pt idx="3">
                  <c:v>289689</c:v>
                </c:pt>
                <c:pt idx="4">
                  <c:v>139615</c:v>
                </c:pt>
              </c:numCache>
            </c:numRef>
          </c:val>
          <c:extLst>
            <c:ext xmlns:c16="http://schemas.microsoft.com/office/drawing/2014/chart" uri="{C3380CC4-5D6E-409C-BE32-E72D297353CC}">
              <c16:uniqueId val="{00000000-0A01-4890-BDA4-3A4102744A57}"/>
            </c:ext>
          </c:extLst>
        </c:ser>
        <c:dLbls>
          <c:showLegendKey val="0"/>
          <c:showVal val="0"/>
          <c:showCatName val="0"/>
          <c:showSerName val="0"/>
          <c:showPercent val="0"/>
          <c:showBubbleSize val="0"/>
        </c:dLbls>
        <c:gapWidth val="219"/>
        <c:overlap val="-27"/>
        <c:axId val="785982200"/>
        <c:axId val="785981840"/>
      </c:barChart>
      <c:catAx>
        <c:axId val="785982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981840"/>
        <c:crosses val="autoZero"/>
        <c:auto val="1"/>
        <c:lblAlgn val="ctr"/>
        <c:lblOffset val="100"/>
        <c:noMultiLvlLbl val="0"/>
      </c:catAx>
      <c:valAx>
        <c:axId val="78598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982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[Decathlon Dashboard.xlsx]Pivort_table!Discount_count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For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Pivort_table!$AI$3</c:f>
              <c:strCache>
                <c:ptCount val="1"/>
                <c:pt idx="0">
                  <c:v>Total</c:v>
                </c:pt>
              </c:strCache>
            </c:strRef>
          </c:tx>
          <c:spPr>
            <a:solidFill>
              <a:schemeClr val="accent6"/>
            </a:solidFill>
            <a:ln>
              <a:noFill/>
            </a:ln>
            <a:effectLst/>
          </c:spPr>
          <c:invertIfNegative val="0"/>
          <c:cat>
            <c:strRef>
              <c:f>Pivort_table!$AH$4:$AH$9</c:f>
              <c:strCache>
                <c:ptCount val="5"/>
                <c:pt idx="0">
                  <c:v>0</c:v>
                </c:pt>
                <c:pt idx="1">
                  <c:v>5</c:v>
                </c:pt>
                <c:pt idx="2">
                  <c:v>10</c:v>
                </c:pt>
                <c:pt idx="3">
                  <c:v>15</c:v>
                </c:pt>
                <c:pt idx="4">
                  <c:v>20</c:v>
                </c:pt>
              </c:strCache>
            </c:strRef>
          </c:cat>
          <c:val>
            <c:numRef>
              <c:f>Pivort_table!$AI$4:$AI$9</c:f>
              <c:numCache>
                <c:formatCode>General</c:formatCode>
                <c:ptCount val="5"/>
                <c:pt idx="0">
                  <c:v>786</c:v>
                </c:pt>
                <c:pt idx="1">
                  <c:v>274</c:v>
                </c:pt>
                <c:pt idx="2">
                  <c:v>305</c:v>
                </c:pt>
                <c:pt idx="3">
                  <c:v>294</c:v>
                </c:pt>
                <c:pt idx="4">
                  <c:v>288</c:v>
                </c:pt>
              </c:numCache>
            </c:numRef>
          </c:val>
          <c:extLst>
            <c:ext xmlns:c16="http://schemas.microsoft.com/office/drawing/2014/chart" uri="{C3380CC4-5D6E-409C-BE32-E72D297353CC}">
              <c16:uniqueId val="{00000000-1EC4-42B9-B014-CB8EA0EF7B6C}"/>
            </c:ext>
          </c:extLst>
        </c:ser>
        <c:dLbls>
          <c:showLegendKey val="0"/>
          <c:showVal val="0"/>
          <c:showCatName val="0"/>
          <c:showSerName val="0"/>
          <c:showPercent val="0"/>
          <c:showBubbleSize val="0"/>
        </c:dLbls>
        <c:gapWidth val="219"/>
        <c:overlap val="-27"/>
        <c:axId val="785981480"/>
        <c:axId val="785982920"/>
      </c:barChart>
      <c:catAx>
        <c:axId val="785981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982920"/>
        <c:crosses val="autoZero"/>
        <c:auto val="1"/>
        <c:lblAlgn val="ctr"/>
        <c:lblOffset val="100"/>
        <c:noMultiLvlLbl val="0"/>
      </c:catAx>
      <c:valAx>
        <c:axId val="785982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981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[Decathlon Dashboard.xlsx]Pivort_table!Category_Returns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a:t>
            </a:r>
            <a:r>
              <a:rPr lang="en-US" baseline="0"/>
              <a:t> For Each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Pivort_table!$AL$3</c:f>
              <c:strCache>
                <c:ptCount val="1"/>
                <c:pt idx="0">
                  <c:v>Total</c:v>
                </c:pt>
              </c:strCache>
            </c:strRef>
          </c:tx>
          <c:spPr>
            <a:ln w="28575" cap="rnd">
              <a:solidFill>
                <a:schemeClr val="accent6"/>
              </a:solidFill>
              <a:round/>
            </a:ln>
            <a:effectLst/>
          </c:spPr>
          <c:marker>
            <c:symbol val="none"/>
          </c:marker>
          <c:cat>
            <c:strRef>
              <c:f>Pivort_table!$AK$4:$AK$9</c:f>
              <c:strCache>
                <c:ptCount val="5"/>
                <c:pt idx="0">
                  <c:v>Fitness</c:v>
                </c:pt>
                <c:pt idx="1">
                  <c:v>Footwear</c:v>
                </c:pt>
                <c:pt idx="2">
                  <c:v>Outdoor</c:v>
                </c:pt>
                <c:pt idx="3">
                  <c:v>Sports</c:v>
                </c:pt>
                <c:pt idx="4">
                  <c:v>Sportswear</c:v>
                </c:pt>
              </c:strCache>
            </c:strRef>
          </c:cat>
          <c:val>
            <c:numRef>
              <c:f>Pivort_table!$AL$4:$AL$9</c:f>
              <c:numCache>
                <c:formatCode>General</c:formatCode>
                <c:ptCount val="5"/>
                <c:pt idx="0">
                  <c:v>375</c:v>
                </c:pt>
                <c:pt idx="1">
                  <c:v>393</c:v>
                </c:pt>
                <c:pt idx="2">
                  <c:v>379</c:v>
                </c:pt>
                <c:pt idx="3">
                  <c:v>407</c:v>
                </c:pt>
                <c:pt idx="4">
                  <c:v>393</c:v>
                </c:pt>
              </c:numCache>
            </c:numRef>
          </c:val>
          <c:smooth val="0"/>
          <c:extLst>
            <c:ext xmlns:c16="http://schemas.microsoft.com/office/drawing/2014/chart" uri="{C3380CC4-5D6E-409C-BE32-E72D297353CC}">
              <c16:uniqueId val="{00000000-5997-45C6-BD3B-4A6895265A09}"/>
            </c:ext>
          </c:extLst>
        </c:ser>
        <c:dLbls>
          <c:showLegendKey val="0"/>
          <c:showVal val="0"/>
          <c:showCatName val="0"/>
          <c:showSerName val="0"/>
          <c:showPercent val="0"/>
          <c:showBubbleSize val="0"/>
        </c:dLbls>
        <c:smooth val="0"/>
        <c:axId val="785986880"/>
        <c:axId val="785987600"/>
      </c:lineChart>
      <c:catAx>
        <c:axId val="78598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987600"/>
        <c:crosses val="autoZero"/>
        <c:auto val="1"/>
        <c:lblAlgn val="ctr"/>
        <c:lblOffset val="100"/>
        <c:noMultiLvlLbl val="0"/>
      </c:catAx>
      <c:valAx>
        <c:axId val="78598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98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Top 5 Products</cx:v>
        </cx:txData>
      </cx:tx>
      <cx:txPr>
        <a:bodyPr spcFirstLastPara="1" vertOverflow="ellipsis" horzOverflow="overflow" wrap="square" lIns="0" tIns="0" rIns="0" bIns="0" anchor="ctr" anchorCtr="1"/>
        <a:lstStyle/>
        <a:p>
          <a:pPr algn="ctr" rtl="0">
            <a:defRPr lang="en-US" sz="1400" b="0" i="0" u="none" strike="noStrike" kern="1200" spc="0" baseline="0">
              <a:solidFill>
                <a:sysClr val="windowText" lastClr="000000">
                  <a:lumMod val="65000"/>
                  <a:lumOff val="35000"/>
                </a:sysClr>
              </a:solidFill>
              <a:effectLst/>
              <a:latin typeface="+mn-lt"/>
              <a:ea typeface="+mn-ea"/>
              <a:cs typeface="+mn-cs"/>
            </a:defRPr>
          </a:pPr>
          <a:r>
            <a:rPr lang="en-US" sz="1400" b="0" i="0" u="none" strike="noStrike" kern="1200" spc="0" baseline="0">
              <a:solidFill>
                <a:sysClr val="windowText" lastClr="000000">
                  <a:lumMod val="65000"/>
                  <a:lumOff val="35000"/>
                </a:sysClr>
              </a:solidFill>
              <a:effectLst/>
              <a:latin typeface="+mn-lt"/>
              <a:ea typeface="+mn-ea"/>
              <a:cs typeface="+mn-cs"/>
            </a:rPr>
            <a:t>Top 5 Products</a:t>
          </a:r>
        </a:p>
      </cx:txPr>
    </cx:title>
    <cx:plotArea>
      <cx:plotAreaRegion>
        <cx:series layoutId="funnel" uniqueId="{6533B18B-0FFC-46F6-80B5-A06AD5EA96F5}">
          <cx:tx>
            <cx:txData>
              <cx:f>_xlchart.v2.1</cx:f>
              <cx:v>Sum of profit</cx:v>
            </cx:txData>
          </cx:tx>
          <cx:spPr>
            <a:solidFill>
              <a:schemeClr val="accent6"/>
            </a:solidFill>
          </cx:spPr>
          <cx:dataLabels>
            <cx:txPr>
              <a:bodyPr vertOverflow="overflow" horzOverflow="overflow" wrap="square" lIns="0" tIns="0" rIns="0" bIns="0"/>
              <a:lstStyle/>
              <a:p>
                <a:pPr algn="ctr" rtl="0">
                  <a:defRPr lang="en-US" sz="1400" b="0" i="0" u="none" strike="noStrike" kern="1200" spc="0" baseline="0">
                    <a:solidFill>
                      <a:schemeClr val="tx1"/>
                    </a:solidFill>
                    <a:effectLst/>
                    <a:latin typeface="+mn-lt"/>
                    <a:ea typeface="+mn-ea"/>
                    <a:cs typeface="+mn-cs"/>
                  </a:defRPr>
                </a:pPr>
                <a:endParaRPr lang="en-US" sz="1400" b="0" i="0" u="none" strike="noStrike" kern="1200" spc="0" baseline="0">
                  <a:solidFill>
                    <a:schemeClr val="tx1"/>
                  </a:solidFill>
                  <a:effectLst/>
                  <a:latin typeface="+mn-lt"/>
                  <a:ea typeface="+mn-ea"/>
                  <a:cs typeface="+mn-cs"/>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lang="en-US" sz="1100" b="0" i="0" u="none" strike="noStrike" kern="1200" spc="0" baseline="0">
                <a:solidFill>
                  <a:sysClr val="windowText" lastClr="000000">
                    <a:lumMod val="65000"/>
                    <a:lumOff val="35000"/>
                  </a:sysClr>
                </a:solidFill>
                <a:effectLst/>
                <a:latin typeface="+mn-lt"/>
                <a:ea typeface="+mn-ea"/>
                <a:cs typeface="+mn-cs"/>
              </a:defRPr>
            </a:pPr>
            <a:endParaRPr lang="en-US" sz="1100" b="0" i="0" u="none" strike="noStrike" kern="1200" spc="0" baseline="0">
              <a:solidFill>
                <a:sysClr val="windowText" lastClr="000000">
                  <a:lumMod val="65000"/>
                  <a:lumOff val="35000"/>
                </a:sysClr>
              </a:solidFill>
              <a:effectLst/>
              <a:latin typeface="+mn-lt"/>
              <a:ea typeface="+mn-ea"/>
              <a:cs typeface="+mn-cs"/>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plotArea>
      <cx:plotAreaRegion>
        <cx:series layoutId="funnel" uniqueId="{6533B18B-0FFC-46F6-80B5-A06AD5EA96F5}">
          <cx:tx>
            <cx:txData>
              <cx:f>_xlchart.v2.7</cx:f>
              <cx:v>Sum of profit</cx:v>
            </cx:txData>
          </cx:tx>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colors17.xml><?xml version="1.0" encoding="utf-8"?>
<cs:colorStyle xmlns:cs="http://schemas.microsoft.com/office/drawing/2012/chartStyle" xmlns:a="http://schemas.openxmlformats.org/drawingml/2006/main" meth="withinLinearReversed" id="26">
  <a:schemeClr val="accent6"/>
</cs:colorStyle>
</file>

<file path=xl/charts/colors18.xml><?xml version="1.0" encoding="utf-8"?>
<cs:colorStyle xmlns:cs="http://schemas.microsoft.com/office/drawing/2012/chartStyle" xmlns:a="http://schemas.openxmlformats.org/drawingml/2006/main" meth="withinLinearReversed" id="26">
  <a:schemeClr val="accent6"/>
</cs:colorStyle>
</file>

<file path=xl/charts/colors19.xml><?xml version="1.0" encoding="utf-8"?>
<cs:colorStyle xmlns:cs="http://schemas.microsoft.com/office/drawing/2012/chartStyle" xmlns:a="http://schemas.openxmlformats.org/drawingml/2006/main" meth="withinLinearReversed" id="26">
  <a:schemeClr val="accent6"/>
</cs:colorStyle>
</file>

<file path=xl/charts/colors20.xml><?xml version="1.0" encoding="utf-8"?>
<cs:colorStyle xmlns:cs="http://schemas.microsoft.com/office/drawing/2012/chartStyle" xmlns:a="http://schemas.openxmlformats.org/drawingml/2006/main" meth="withinLinearReversed" id="26">
  <a:schemeClr val="accent6"/>
</cs:colorStyle>
</file>

<file path=xl/charts/colors21.xml><?xml version="1.0" encoding="utf-8"?>
<cs:colorStyle xmlns:cs="http://schemas.microsoft.com/office/drawing/2012/chartStyle" xmlns:a="http://schemas.openxmlformats.org/drawingml/2006/main" meth="withinLinearReversed" id="26">
  <a:schemeClr val="accent6"/>
</cs:colorStyle>
</file>

<file path=xl/charts/colors22.xml><?xml version="1.0" encoding="utf-8"?>
<cs:colorStyle xmlns:cs="http://schemas.microsoft.com/office/drawing/2012/chartStyle" xmlns:a="http://schemas.openxmlformats.org/drawingml/2006/main" meth="withinLinearReversed" id="26">
  <a:schemeClr val="accent6"/>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microsoft.com/office/2014/relationships/chartEx" Target="../charts/chartEx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12" Type="http://schemas.microsoft.com/office/2014/relationships/chartEx" Target="../charts/chartEx2.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xdr:from>
      <xdr:col>0</xdr:col>
      <xdr:colOff>31751</xdr:colOff>
      <xdr:row>0</xdr:row>
      <xdr:rowOff>38100</xdr:rowOff>
    </xdr:from>
    <xdr:to>
      <xdr:col>6</xdr:col>
      <xdr:colOff>28224</xdr:colOff>
      <xdr:row>5</xdr:row>
      <xdr:rowOff>31750</xdr:rowOff>
    </xdr:to>
    <xdr:sp macro="" textlink="">
      <xdr:nvSpPr>
        <xdr:cNvPr id="2" name="TextBox 1">
          <a:extLst>
            <a:ext uri="{FF2B5EF4-FFF2-40B4-BE49-F238E27FC236}">
              <a16:creationId xmlns:a16="http://schemas.microsoft.com/office/drawing/2014/main" id="{66FE3CB7-284A-DE08-6B30-045CC27028B4}"/>
            </a:ext>
          </a:extLst>
        </xdr:cNvPr>
        <xdr:cNvSpPr txBox="1"/>
      </xdr:nvSpPr>
      <xdr:spPr>
        <a:xfrm>
          <a:off x="31751" y="38100"/>
          <a:ext cx="3658306" cy="910872"/>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Decathlon</a:t>
          </a:r>
          <a:r>
            <a:rPr lang="en-IN" sz="2400"/>
            <a:t> </a:t>
          </a:r>
          <a:r>
            <a:rPr lang="en-IN" sz="2400" b="1"/>
            <a:t>Sales</a:t>
          </a:r>
          <a:r>
            <a:rPr lang="en-IN" sz="2400"/>
            <a:t> </a:t>
          </a:r>
          <a:r>
            <a:rPr lang="en-IN" sz="2400" b="1"/>
            <a:t>Dashboard</a:t>
          </a:r>
        </a:p>
      </xdr:txBody>
    </xdr:sp>
    <xdr:clientData/>
  </xdr:twoCellAnchor>
  <xdr:twoCellAnchor editAs="oneCell">
    <xdr:from>
      <xdr:col>6</xdr:col>
      <xdr:colOff>71967</xdr:colOff>
      <xdr:row>0</xdr:row>
      <xdr:rowOff>40218</xdr:rowOff>
    </xdr:from>
    <xdr:to>
      <xdr:col>9</xdr:col>
      <xdr:colOff>73982</xdr:colOff>
      <xdr:row>5</xdr:row>
      <xdr:rowOff>31750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8DD40E16-DFCD-4624-8DF9-993EC62EB44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729567" y="40218"/>
              <a:ext cx="1830815" cy="9122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110772</xdr:colOff>
      <xdr:row>0</xdr:row>
      <xdr:rowOff>45862</xdr:rowOff>
    </xdr:from>
    <xdr:to>
      <xdr:col>11</xdr:col>
      <xdr:colOff>303389</xdr:colOff>
      <xdr:row>5</xdr:row>
      <xdr:rowOff>42334</xdr:rowOff>
    </xdr:to>
    <mc:AlternateContent xmlns:mc="http://schemas.openxmlformats.org/markup-compatibility/2006" xmlns:a14="http://schemas.microsoft.com/office/drawing/2010/main">
      <mc:Choice Requires="a14">
        <xdr:graphicFrame macro="">
          <xdr:nvGraphicFramePr>
            <xdr:cNvPr id="4" name="Return_Status 1">
              <a:extLst>
                <a:ext uri="{FF2B5EF4-FFF2-40B4-BE49-F238E27FC236}">
                  <a16:creationId xmlns:a16="http://schemas.microsoft.com/office/drawing/2014/main" id="{5A249C51-6C29-4D57-A728-AA37818AA92E}"/>
                </a:ext>
              </a:extLst>
            </xdr:cNvPr>
            <xdr:cNvGraphicFramePr/>
          </xdr:nvGraphicFramePr>
          <xdr:xfrm>
            <a:off x="0" y="0"/>
            <a:ext cx="0" cy="0"/>
          </xdr:xfrm>
          <a:graphic>
            <a:graphicData uri="http://schemas.microsoft.com/office/drawing/2010/slicer">
              <sle:slicer xmlns:sle="http://schemas.microsoft.com/office/drawing/2010/slicer" name="Return_Status 1"/>
            </a:graphicData>
          </a:graphic>
        </xdr:graphicFrame>
      </mc:Choice>
      <mc:Fallback xmlns="">
        <xdr:sp macro="" textlink="">
          <xdr:nvSpPr>
            <xdr:cNvPr id="0" name=""/>
            <xdr:cNvSpPr>
              <a:spLocks noTextEdit="1"/>
            </xdr:cNvSpPr>
          </xdr:nvSpPr>
          <xdr:spPr>
            <a:xfrm>
              <a:off x="5597172" y="45862"/>
              <a:ext cx="1411817" cy="917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339372</xdr:colOff>
      <xdr:row>0</xdr:row>
      <xdr:rowOff>51506</xdr:rowOff>
    </xdr:from>
    <xdr:to>
      <xdr:col>13</xdr:col>
      <xdr:colOff>278695</xdr:colOff>
      <xdr:row>5</xdr:row>
      <xdr:rowOff>31750</xdr:rowOff>
    </xdr:to>
    <mc:AlternateContent xmlns:mc="http://schemas.openxmlformats.org/markup-compatibility/2006" xmlns:a14="http://schemas.microsoft.com/office/drawing/2010/main">
      <mc:Choice Requires="a14">
        <xdr:graphicFrame macro="">
          <xdr:nvGraphicFramePr>
            <xdr:cNvPr id="5" name="Sales_Channel 1">
              <a:extLst>
                <a:ext uri="{FF2B5EF4-FFF2-40B4-BE49-F238E27FC236}">
                  <a16:creationId xmlns:a16="http://schemas.microsoft.com/office/drawing/2014/main" id="{51750268-191A-4DD9-A477-6A30537BFDA5}"/>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7044972" y="51506"/>
              <a:ext cx="1158523" cy="900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342900</xdr:colOff>
      <xdr:row>0</xdr:row>
      <xdr:rowOff>31751</xdr:rowOff>
    </xdr:from>
    <xdr:to>
      <xdr:col>17</xdr:col>
      <xdr:colOff>412750</xdr:colOff>
      <xdr:row>5</xdr:row>
      <xdr:rowOff>31750</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E6BCFA43-8061-4D10-8B68-9D78E3AB7F5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267700" y="31751"/>
              <a:ext cx="2508250" cy="920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463550</xdr:colOff>
      <xdr:row>0</xdr:row>
      <xdr:rowOff>31750</xdr:rowOff>
    </xdr:from>
    <xdr:to>
      <xdr:col>19</xdr:col>
      <xdr:colOff>273049</xdr:colOff>
      <xdr:row>5</xdr:row>
      <xdr:rowOff>25401</xdr:rowOff>
    </xdr:to>
    <mc:AlternateContent xmlns:mc="http://schemas.openxmlformats.org/markup-compatibility/2006" xmlns:a14="http://schemas.microsoft.com/office/drawing/2010/main">
      <mc:Choice Requires="a14">
        <xdr:graphicFrame macro="">
          <xdr:nvGraphicFramePr>
            <xdr:cNvPr id="7" name="Units 1">
              <a:extLst>
                <a:ext uri="{FF2B5EF4-FFF2-40B4-BE49-F238E27FC236}">
                  <a16:creationId xmlns:a16="http://schemas.microsoft.com/office/drawing/2014/main" id="{F244BEC9-81F7-45B9-8666-A8B60CF40B42}"/>
                </a:ext>
              </a:extLst>
            </xdr:cNvPr>
            <xdr:cNvGraphicFramePr/>
          </xdr:nvGraphicFramePr>
          <xdr:xfrm>
            <a:off x="0" y="0"/>
            <a:ext cx="0" cy="0"/>
          </xdr:xfrm>
          <a:graphic>
            <a:graphicData uri="http://schemas.microsoft.com/office/drawing/2010/slicer">
              <sle:slicer xmlns:sle="http://schemas.microsoft.com/office/drawing/2010/slicer" name="Units 1"/>
            </a:graphicData>
          </a:graphic>
        </xdr:graphicFrame>
      </mc:Choice>
      <mc:Fallback xmlns="">
        <xdr:sp macro="" textlink="">
          <xdr:nvSpPr>
            <xdr:cNvPr id="0" name=""/>
            <xdr:cNvSpPr>
              <a:spLocks noTextEdit="1"/>
            </xdr:cNvSpPr>
          </xdr:nvSpPr>
          <xdr:spPr>
            <a:xfrm>
              <a:off x="10826750" y="31750"/>
              <a:ext cx="1028699" cy="914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5</xdr:row>
      <xdr:rowOff>82550</xdr:rowOff>
    </xdr:from>
    <xdr:to>
      <xdr:col>3</xdr:col>
      <xdr:colOff>463550</xdr:colOff>
      <xdr:row>20</xdr:row>
      <xdr:rowOff>158750</xdr:rowOff>
    </xdr:to>
    <mc:AlternateContent xmlns:mc="http://schemas.openxmlformats.org/markup-compatibility/2006" xmlns:a14="http://schemas.microsoft.com/office/drawing/2010/main">
      <mc:Choice Requires="a14">
        <xdr:graphicFrame macro="">
          <xdr:nvGraphicFramePr>
            <xdr:cNvPr id="8" name="Product_Name 1">
              <a:extLst>
                <a:ext uri="{FF2B5EF4-FFF2-40B4-BE49-F238E27FC236}">
                  <a16:creationId xmlns:a16="http://schemas.microsoft.com/office/drawing/2014/main" id="{7AF8C43D-2754-4D6D-B254-389E7A3402F8}"/>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31750" y="1003300"/>
              <a:ext cx="2260600" cy="2838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21</xdr:row>
      <xdr:rowOff>19049</xdr:rowOff>
    </xdr:from>
    <xdr:to>
      <xdr:col>3</xdr:col>
      <xdr:colOff>450850</xdr:colOff>
      <xdr:row>30</xdr:row>
      <xdr:rowOff>95250</xdr:rowOff>
    </xdr:to>
    <mc:AlternateContent xmlns:mc="http://schemas.openxmlformats.org/markup-compatibility/2006" xmlns:a14="http://schemas.microsoft.com/office/drawing/2010/main">
      <mc:Choice Requires="a14">
        <xdr:graphicFrame macro="">
          <xdr:nvGraphicFramePr>
            <xdr:cNvPr id="10" name="Months (Date) 1">
              <a:extLst>
                <a:ext uri="{FF2B5EF4-FFF2-40B4-BE49-F238E27FC236}">
                  <a16:creationId xmlns:a16="http://schemas.microsoft.com/office/drawing/2014/main" id="{3D416238-CF19-4476-AC53-3EB0C42C4A29}"/>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31750" y="3886199"/>
              <a:ext cx="2247900" cy="1435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533400</xdr:colOff>
      <xdr:row>5</xdr:row>
      <xdr:rowOff>63500</xdr:rowOff>
    </xdr:from>
    <xdr:to>
      <xdr:col>19</xdr:col>
      <xdr:colOff>273050</xdr:colOff>
      <xdr:row>30</xdr:row>
      <xdr:rowOff>95250</xdr:rowOff>
    </xdr:to>
    <xdr:sp macro="" textlink="">
      <xdr:nvSpPr>
        <xdr:cNvPr id="11" name="TextBox 10">
          <a:extLst>
            <a:ext uri="{FF2B5EF4-FFF2-40B4-BE49-F238E27FC236}">
              <a16:creationId xmlns:a16="http://schemas.microsoft.com/office/drawing/2014/main" id="{9749CADD-0B85-1BEE-EC33-3B3A7B109F9E}"/>
            </a:ext>
          </a:extLst>
        </xdr:cNvPr>
        <xdr:cNvSpPr txBox="1"/>
      </xdr:nvSpPr>
      <xdr:spPr>
        <a:xfrm>
          <a:off x="2362200" y="984250"/>
          <a:ext cx="9493250" cy="46355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591662</xdr:colOff>
      <xdr:row>20</xdr:row>
      <xdr:rowOff>44367</xdr:rowOff>
    </xdr:from>
    <xdr:to>
      <xdr:col>9</xdr:col>
      <xdr:colOff>77037</xdr:colOff>
      <xdr:row>30</xdr:row>
      <xdr:rowOff>41051</xdr:rowOff>
    </xdr:to>
    <xdr:graphicFrame macro="">
      <xdr:nvGraphicFramePr>
        <xdr:cNvPr id="12" name="Chart 11">
          <a:extLst>
            <a:ext uri="{FF2B5EF4-FFF2-40B4-BE49-F238E27FC236}">
              <a16:creationId xmlns:a16="http://schemas.microsoft.com/office/drawing/2014/main" id="{C9FD2855-D463-46F3-A5C9-A41ADE6A7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119061</xdr:colOff>
      <xdr:row>23</xdr:row>
      <xdr:rowOff>114300</xdr:rowOff>
    </xdr:from>
    <xdr:to>
      <xdr:col>13</xdr:col>
      <xdr:colOff>158750</xdr:colOff>
      <xdr:row>30</xdr:row>
      <xdr:rowOff>31750</xdr:rowOff>
    </xdr:to>
    <xdr:graphicFrame macro="">
      <xdr:nvGraphicFramePr>
        <xdr:cNvPr id="13" name="Chart 12">
          <a:extLst>
            <a:ext uri="{FF2B5EF4-FFF2-40B4-BE49-F238E27FC236}">
              <a16:creationId xmlns:a16="http://schemas.microsoft.com/office/drawing/2014/main" id="{D090122D-29A4-421C-9AE1-39981271C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581613</xdr:colOff>
      <xdr:row>5</xdr:row>
      <xdr:rowOff>114469</xdr:rowOff>
    </xdr:from>
    <xdr:to>
      <xdr:col>9</xdr:col>
      <xdr:colOff>56300</xdr:colOff>
      <xdr:row>19</xdr:row>
      <xdr:rowOff>172759</xdr:rowOff>
    </xdr:to>
    <xdr:graphicFrame macro="">
      <xdr:nvGraphicFramePr>
        <xdr:cNvPr id="14" name="Chart 13">
          <a:extLst>
            <a:ext uri="{FF2B5EF4-FFF2-40B4-BE49-F238E27FC236}">
              <a16:creationId xmlns:a16="http://schemas.microsoft.com/office/drawing/2014/main" id="{C6663B9F-FE12-47ED-8EC3-E468B3253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53</xdr:col>
      <xdr:colOff>526698</xdr:colOff>
      <xdr:row>13</xdr:row>
      <xdr:rowOff>72407</xdr:rowOff>
    </xdr:from>
    <xdr:to>
      <xdr:col>57</xdr:col>
      <xdr:colOff>605341</xdr:colOff>
      <xdr:row>23</xdr:row>
      <xdr:rowOff>127972</xdr:rowOff>
    </xdr:to>
    <xdr:graphicFrame macro="">
      <xdr:nvGraphicFramePr>
        <xdr:cNvPr id="15" name="Chart 14">
          <a:extLst>
            <a:ext uri="{FF2B5EF4-FFF2-40B4-BE49-F238E27FC236}">
              <a16:creationId xmlns:a16="http://schemas.microsoft.com/office/drawing/2014/main" id="{53EE8B28-E307-4075-9457-932D6127F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53</xdr:col>
      <xdr:colOff>480072</xdr:colOff>
      <xdr:row>0</xdr:row>
      <xdr:rowOff>157562</xdr:rowOff>
    </xdr:from>
    <xdr:to>
      <xdr:col>58</xdr:col>
      <xdr:colOff>170365</xdr:colOff>
      <xdr:row>10</xdr:row>
      <xdr:rowOff>166990</xdr:rowOff>
    </xdr:to>
    <xdr:graphicFrame macro="">
      <xdr:nvGraphicFramePr>
        <xdr:cNvPr id="17" name="Chart 16">
          <a:extLst>
            <a:ext uri="{FF2B5EF4-FFF2-40B4-BE49-F238E27FC236}">
              <a16:creationId xmlns:a16="http://schemas.microsoft.com/office/drawing/2014/main" id="{DC3AB5F8-1DDA-4A05-BC44-3D29510CA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110476</xdr:colOff>
      <xdr:row>16</xdr:row>
      <xdr:rowOff>19051</xdr:rowOff>
    </xdr:from>
    <xdr:to>
      <xdr:col>13</xdr:col>
      <xdr:colOff>152400</xdr:colOff>
      <xdr:row>23</xdr:row>
      <xdr:rowOff>76200</xdr:rowOff>
    </xdr:to>
    <xdr:graphicFrame macro="">
      <xdr:nvGraphicFramePr>
        <xdr:cNvPr id="18" name="Chart 17">
          <a:extLst>
            <a:ext uri="{FF2B5EF4-FFF2-40B4-BE49-F238E27FC236}">
              <a16:creationId xmlns:a16="http://schemas.microsoft.com/office/drawing/2014/main" id="{C2B496FE-D822-49C4-AFB0-C236CF822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53</xdr:col>
      <xdr:colOff>584271</xdr:colOff>
      <xdr:row>25</xdr:row>
      <xdr:rowOff>57967</xdr:rowOff>
    </xdr:from>
    <xdr:to>
      <xdr:col>58</xdr:col>
      <xdr:colOff>140862</xdr:colOff>
      <xdr:row>35</xdr:row>
      <xdr:rowOff>142399</xdr:rowOff>
    </xdr:to>
    <xdr:graphicFrame macro="">
      <xdr:nvGraphicFramePr>
        <xdr:cNvPr id="19" name="Chart 18">
          <a:extLst>
            <a:ext uri="{FF2B5EF4-FFF2-40B4-BE49-F238E27FC236}">
              <a16:creationId xmlns:a16="http://schemas.microsoft.com/office/drawing/2014/main" id="{F266E9FA-6B39-4E92-8984-0BAD66EA4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59</xdr:col>
      <xdr:colOff>292555</xdr:colOff>
      <xdr:row>2</xdr:row>
      <xdr:rowOff>16449</xdr:rowOff>
    </xdr:from>
    <xdr:to>
      <xdr:col>66</xdr:col>
      <xdr:colOff>70246</xdr:colOff>
      <xdr:row>11</xdr:row>
      <xdr:rowOff>153580</xdr:rowOff>
    </xdr:to>
    <xdr:graphicFrame macro="">
      <xdr:nvGraphicFramePr>
        <xdr:cNvPr id="20" name="Chart 19">
          <a:extLst>
            <a:ext uri="{FF2B5EF4-FFF2-40B4-BE49-F238E27FC236}">
              <a16:creationId xmlns:a16="http://schemas.microsoft.com/office/drawing/2014/main" id="{858479CB-4F75-4E67-82C1-6A2220366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201587</xdr:colOff>
      <xdr:row>17</xdr:row>
      <xdr:rowOff>144605</xdr:rowOff>
    </xdr:from>
    <xdr:to>
      <xdr:col>19</xdr:col>
      <xdr:colOff>226337</xdr:colOff>
      <xdr:row>30</xdr:row>
      <xdr:rowOff>37722</xdr:rowOff>
    </xdr:to>
    <xdr:graphicFrame macro="">
      <xdr:nvGraphicFramePr>
        <xdr:cNvPr id="21" name="Chart 20">
          <a:extLst>
            <a:ext uri="{FF2B5EF4-FFF2-40B4-BE49-F238E27FC236}">
              <a16:creationId xmlns:a16="http://schemas.microsoft.com/office/drawing/2014/main" id="{52D61D3F-0527-461B-835F-FFB0760D1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100100</xdr:colOff>
      <xdr:row>5</xdr:row>
      <xdr:rowOff>116023</xdr:rowOff>
    </xdr:from>
    <xdr:to>
      <xdr:col>13</xdr:col>
      <xdr:colOff>133350</xdr:colOff>
      <xdr:row>15</xdr:row>
      <xdr:rowOff>171451</xdr:rowOff>
    </xdr:to>
    <xdr:graphicFrame macro="">
      <xdr:nvGraphicFramePr>
        <xdr:cNvPr id="22" name="Chart 21">
          <a:extLst>
            <a:ext uri="{FF2B5EF4-FFF2-40B4-BE49-F238E27FC236}">
              <a16:creationId xmlns:a16="http://schemas.microsoft.com/office/drawing/2014/main" id="{3C085AB5-08AE-45B3-904E-97E546360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179102</xdr:colOff>
      <xdr:row>5</xdr:row>
      <xdr:rowOff>105834</xdr:rowOff>
    </xdr:from>
    <xdr:to>
      <xdr:col>19</xdr:col>
      <xdr:colOff>226786</xdr:colOff>
      <xdr:row>17</xdr:row>
      <xdr:rowOff>89551</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A236F8A2-1924-451C-A5E0-DA25C56406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8142749" y="1039658"/>
              <a:ext cx="3723213" cy="222489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465941</xdr:colOff>
      <xdr:row>14</xdr:row>
      <xdr:rowOff>95250</xdr:rowOff>
    </xdr:from>
    <xdr:to>
      <xdr:col>1</xdr:col>
      <xdr:colOff>1348776</xdr:colOff>
      <xdr:row>20</xdr:row>
      <xdr:rowOff>6351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1C482339-B91B-0AB9-69B5-71156491358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65941" y="2602686"/>
              <a:ext cx="1822245" cy="985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229094</xdr:colOff>
      <xdr:row>14</xdr:row>
      <xdr:rowOff>114300</xdr:rowOff>
    </xdr:from>
    <xdr:to>
      <xdr:col>4</xdr:col>
      <xdr:colOff>838364</xdr:colOff>
      <xdr:row>24</xdr:row>
      <xdr:rowOff>41233</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598C2B09-CD0C-71F2-AC9A-D27AD8B455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071658" y="2621736"/>
              <a:ext cx="1814143" cy="1717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292677</xdr:colOff>
      <xdr:row>15</xdr:row>
      <xdr:rowOff>145307</xdr:rowOff>
    </xdr:from>
    <xdr:to>
      <xdr:col>8</xdr:col>
      <xdr:colOff>354910</xdr:colOff>
      <xdr:row>36</xdr:row>
      <xdr:rowOff>148440</xdr:rowOff>
    </xdr:to>
    <mc:AlternateContent xmlns:mc="http://schemas.openxmlformats.org/markup-compatibility/2006" xmlns:a14="http://schemas.microsoft.com/office/drawing/2010/main">
      <mc:Choice Requires="a14">
        <xdr:graphicFrame macro="">
          <xdr:nvGraphicFramePr>
            <xdr:cNvPr id="5" name="Product_Name">
              <a:extLst>
                <a:ext uri="{FF2B5EF4-FFF2-40B4-BE49-F238E27FC236}">
                  <a16:creationId xmlns:a16="http://schemas.microsoft.com/office/drawing/2014/main" id="{9C538B92-D5A4-9ED9-199A-A792DF3343A7}"/>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6821780" y="2831845"/>
              <a:ext cx="1823887" cy="3764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406731</xdr:colOff>
      <xdr:row>29</xdr:row>
      <xdr:rowOff>22349</xdr:rowOff>
    </xdr:from>
    <xdr:to>
      <xdr:col>1</xdr:col>
      <xdr:colOff>1290226</xdr:colOff>
      <xdr:row>34</xdr:row>
      <xdr:rowOff>32988</xdr:rowOff>
    </xdr:to>
    <mc:AlternateContent xmlns:mc="http://schemas.openxmlformats.org/markup-compatibility/2006" xmlns:a14="http://schemas.microsoft.com/office/drawing/2010/main">
      <mc:Choice Requires="a14">
        <xdr:graphicFrame macro="">
          <xdr:nvGraphicFramePr>
            <xdr:cNvPr id="6" name="Sales_Channel">
              <a:extLst>
                <a:ext uri="{FF2B5EF4-FFF2-40B4-BE49-F238E27FC236}">
                  <a16:creationId xmlns:a16="http://schemas.microsoft.com/office/drawing/2014/main" id="{C5573C31-32AA-F7FA-5978-0CF9D4AE33FD}"/>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406731" y="5216323"/>
              <a:ext cx="1822905" cy="9061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239733</xdr:colOff>
      <xdr:row>25</xdr:row>
      <xdr:rowOff>45112</xdr:rowOff>
    </xdr:from>
    <xdr:to>
      <xdr:col>4</xdr:col>
      <xdr:colOff>364343</xdr:colOff>
      <xdr:row>34</xdr:row>
      <xdr:rowOff>140197</xdr:rowOff>
    </xdr:to>
    <mc:AlternateContent xmlns:mc="http://schemas.openxmlformats.org/markup-compatibility/2006" xmlns:a14="http://schemas.microsoft.com/office/drawing/2010/main">
      <mc:Choice Requires="a14">
        <xdr:graphicFrame macro="">
          <xdr:nvGraphicFramePr>
            <xdr:cNvPr id="7" name="Units">
              <a:extLst>
                <a:ext uri="{FF2B5EF4-FFF2-40B4-BE49-F238E27FC236}">
                  <a16:creationId xmlns:a16="http://schemas.microsoft.com/office/drawing/2014/main" id="{F4F55320-AB84-F52B-466F-C7D314F888A0}"/>
                </a:ext>
              </a:extLst>
            </xdr:cNvPr>
            <xdr:cNvGraphicFramePr/>
          </xdr:nvGraphicFramePr>
          <xdr:xfrm>
            <a:off x="0" y="0"/>
            <a:ext cx="0" cy="0"/>
          </xdr:xfrm>
          <a:graphic>
            <a:graphicData uri="http://schemas.microsoft.com/office/drawing/2010/slicer">
              <sle:slicer xmlns:sle="http://schemas.microsoft.com/office/drawing/2010/slicer" name="Units"/>
            </a:graphicData>
          </a:graphic>
        </xdr:graphicFrame>
      </mc:Choice>
      <mc:Fallback xmlns="">
        <xdr:sp macro="" textlink="">
          <xdr:nvSpPr>
            <xdr:cNvPr id="0" name=""/>
            <xdr:cNvSpPr>
              <a:spLocks noTextEdit="1"/>
            </xdr:cNvSpPr>
          </xdr:nvSpPr>
          <xdr:spPr>
            <a:xfrm>
              <a:off x="4082297" y="4522676"/>
              <a:ext cx="1329483" cy="17070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419760</xdr:colOff>
      <xdr:row>20</xdr:row>
      <xdr:rowOff>169555</xdr:rowOff>
    </xdr:from>
    <xdr:to>
      <xdr:col>1</xdr:col>
      <xdr:colOff>1302595</xdr:colOff>
      <xdr:row>26</xdr:row>
      <xdr:rowOff>41235</xdr:rowOff>
    </xdr:to>
    <mc:AlternateContent xmlns:mc="http://schemas.openxmlformats.org/markup-compatibility/2006" xmlns:a14="http://schemas.microsoft.com/office/drawing/2010/main">
      <mc:Choice Requires="a14">
        <xdr:graphicFrame macro="">
          <xdr:nvGraphicFramePr>
            <xdr:cNvPr id="8" name="Return_Status">
              <a:extLst>
                <a:ext uri="{FF2B5EF4-FFF2-40B4-BE49-F238E27FC236}">
                  <a16:creationId xmlns:a16="http://schemas.microsoft.com/office/drawing/2014/main" id="{F61DFAB1-7F4C-0D32-0C17-EE077303A15B}"/>
                </a:ext>
              </a:extLst>
            </xdr:cNvPr>
            <xdr:cNvGraphicFramePr/>
          </xdr:nvGraphicFramePr>
          <xdr:xfrm>
            <a:off x="0" y="0"/>
            <a:ext cx="0" cy="0"/>
          </xdr:xfrm>
          <a:graphic>
            <a:graphicData uri="http://schemas.microsoft.com/office/drawing/2010/slicer">
              <sle:slicer xmlns:sle="http://schemas.microsoft.com/office/drawing/2010/slicer" name="Return_Status"/>
            </a:graphicData>
          </a:graphic>
        </xdr:graphicFrame>
      </mc:Choice>
      <mc:Fallback xmlns="">
        <xdr:sp macro="" textlink="">
          <xdr:nvSpPr>
            <xdr:cNvPr id="0" name=""/>
            <xdr:cNvSpPr>
              <a:spLocks noTextEdit="1"/>
            </xdr:cNvSpPr>
          </xdr:nvSpPr>
          <xdr:spPr>
            <a:xfrm>
              <a:off x="419760" y="3751606"/>
              <a:ext cx="1822245" cy="9462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1046762</xdr:colOff>
      <xdr:row>16</xdr:row>
      <xdr:rowOff>134587</xdr:rowOff>
    </xdr:from>
    <xdr:to>
      <xdr:col>10</xdr:col>
      <xdr:colOff>65744</xdr:colOff>
      <xdr:row>31</xdr:row>
      <xdr:rowOff>131948</xdr:rowOff>
    </xdr:to>
    <mc:AlternateContent xmlns:mc="http://schemas.openxmlformats.org/markup-compatibility/2006" xmlns:a14="http://schemas.microsoft.com/office/drawing/2010/main">
      <mc:Choice Requires="a14">
        <xdr:graphicFrame macro="">
          <xdr:nvGraphicFramePr>
            <xdr:cNvPr id="9" name="Months (Date)">
              <a:extLst>
                <a:ext uri="{FF2B5EF4-FFF2-40B4-BE49-F238E27FC236}">
                  <a16:creationId xmlns:a16="http://schemas.microsoft.com/office/drawing/2014/main" id="{42BF4B1F-F5BE-8FC2-C5FD-EFEFC7C03CB2}"/>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9562275" y="3000228"/>
              <a:ext cx="1811846" cy="2683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316459</xdr:colOff>
      <xdr:row>38</xdr:row>
      <xdr:rowOff>23317</xdr:rowOff>
    </xdr:from>
    <xdr:to>
      <xdr:col>3</xdr:col>
      <xdr:colOff>468443</xdr:colOff>
      <xdr:row>52</xdr:row>
      <xdr:rowOff>143238</xdr:rowOff>
    </xdr:to>
    <xdr:graphicFrame macro="">
      <xdr:nvGraphicFramePr>
        <xdr:cNvPr id="10" name="Chart 9">
          <a:extLst>
            <a:ext uri="{FF2B5EF4-FFF2-40B4-BE49-F238E27FC236}">
              <a16:creationId xmlns:a16="http://schemas.microsoft.com/office/drawing/2014/main" id="{1C6EEF3F-4545-4113-58AA-F1CCC0EFAF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428468</xdr:colOff>
      <xdr:row>40</xdr:row>
      <xdr:rowOff>117839</xdr:rowOff>
    </xdr:from>
    <xdr:to>
      <xdr:col>12</xdr:col>
      <xdr:colOff>158255</xdr:colOff>
      <xdr:row>48</xdr:row>
      <xdr:rowOff>41639</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FA1FF34C-84DC-8779-722C-888D27AE7B1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475904" y="7281942"/>
              <a:ext cx="6366715" cy="13566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323501</xdr:colOff>
      <xdr:row>50</xdr:row>
      <xdr:rowOff>49497</xdr:rowOff>
    </xdr:from>
    <xdr:to>
      <xdr:col>11</xdr:col>
      <xdr:colOff>38547</xdr:colOff>
      <xdr:row>66</xdr:row>
      <xdr:rowOff>0</xdr:rowOff>
    </xdr:to>
    <xdr:graphicFrame macro="">
      <xdr:nvGraphicFramePr>
        <xdr:cNvPr id="12" name="Chart 11">
          <a:extLst>
            <a:ext uri="{FF2B5EF4-FFF2-40B4-BE49-F238E27FC236}">
              <a16:creationId xmlns:a16="http://schemas.microsoft.com/office/drawing/2014/main" id="{AA39C99C-2957-EC71-16EC-8F96F0EEED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264410</xdr:colOff>
      <xdr:row>23</xdr:row>
      <xdr:rowOff>75366</xdr:rowOff>
    </xdr:from>
    <xdr:to>
      <xdr:col>15</xdr:col>
      <xdr:colOff>537147</xdr:colOff>
      <xdr:row>38</xdr:row>
      <xdr:rowOff>7910</xdr:rowOff>
    </xdr:to>
    <xdr:graphicFrame macro="">
      <xdr:nvGraphicFramePr>
        <xdr:cNvPr id="13" name="Chart 12">
          <a:extLst>
            <a:ext uri="{FF2B5EF4-FFF2-40B4-BE49-F238E27FC236}">
              <a16:creationId xmlns:a16="http://schemas.microsoft.com/office/drawing/2014/main" id="{5851717C-5714-92F4-52C5-02602D35EB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378918</xdr:colOff>
      <xdr:row>24</xdr:row>
      <xdr:rowOff>12908</xdr:rowOff>
    </xdr:from>
    <xdr:to>
      <xdr:col>21</xdr:col>
      <xdr:colOff>287311</xdr:colOff>
      <xdr:row>38</xdr:row>
      <xdr:rowOff>132829</xdr:rowOff>
    </xdr:to>
    <xdr:graphicFrame macro="">
      <xdr:nvGraphicFramePr>
        <xdr:cNvPr id="14" name="Chart 13">
          <a:extLst>
            <a:ext uri="{FF2B5EF4-FFF2-40B4-BE49-F238E27FC236}">
              <a16:creationId xmlns:a16="http://schemas.microsoft.com/office/drawing/2014/main" id="{C1A7D6E6-E7C2-AEB2-E26C-6D76C9796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930639</xdr:colOff>
      <xdr:row>41</xdr:row>
      <xdr:rowOff>117006</xdr:rowOff>
    </xdr:from>
    <xdr:to>
      <xdr:col>19</xdr:col>
      <xdr:colOff>224852</xdr:colOff>
      <xdr:row>56</xdr:row>
      <xdr:rowOff>49550</xdr:rowOff>
    </xdr:to>
    <xdr:graphicFrame macro="">
      <xdr:nvGraphicFramePr>
        <xdr:cNvPr id="15" name="Chart 14">
          <a:extLst>
            <a:ext uri="{FF2B5EF4-FFF2-40B4-BE49-F238E27FC236}">
              <a16:creationId xmlns:a16="http://schemas.microsoft.com/office/drawing/2014/main" id="{D2934597-0A07-51CF-8007-838ABD4C0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57052</xdr:colOff>
      <xdr:row>55</xdr:row>
      <xdr:rowOff>36077</xdr:rowOff>
    </xdr:from>
    <xdr:to>
      <xdr:col>26</xdr:col>
      <xdr:colOff>50739</xdr:colOff>
      <xdr:row>69</xdr:row>
      <xdr:rowOff>152975</xdr:rowOff>
    </xdr:to>
    <xdr:graphicFrame macro="">
      <xdr:nvGraphicFramePr>
        <xdr:cNvPr id="17" name="Chart 16">
          <a:extLst>
            <a:ext uri="{FF2B5EF4-FFF2-40B4-BE49-F238E27FC236}">
              <a16:creationId xmlns:a16="http://schemas.microsoft.com/office/drawing/2014/main" id="{3D4AE875-409F-270C-1396-D5FA6D34C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248291</xdr:colOff>
      <xdr:row>39</xdr:row>
      <xdr:rowOff>136483</xdr:rowOff>
    </xdr:from>
    <xdr:to>
      <xdr:col>26</xdr:col>
      <xdr:colOff>125455</xdr:colOff>
      <xdr:row>54</xdr:row>
      <xdr:rowOff>72050</xdr:rowOff>
    </xdr:to>
    <xdr:graphicFrame macro="">
      <xdr:nvGraphicFramePr>
        <xdr:cNvPr id="18" name="Chart 17">
          <a:extLst>
            <a:ext uri="{FF2B5EF4-FFF2-40B4-BE49-F238E27FC236}">
              <a16:creationId xmlns:a16="http://schemas.microsoft.com/office/drawing/2014/main" id="{BA846E13-9FCF-3C39-EB0C-F77DC496A0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212361</xdr:colOff>
      <xdr:row>26</xdr:row>
      <xdr:rowOff>114308</xdr:rowOff>
    </xdr:from>
    <xdr:to>
      <xdr:col>33</xdr:col>
      <xdr:colOff>245672</xdr:colOff>
      <xdr:row>41</xdr:row>
      <xdr:rowOff>46852</xdr:rowOff>
    </xdr:to>
    <xdr:graphicFrame macro="">
      <xdr:nvGraphicFramePr>
        <xdr:cNvPr id="19" name="Chart 18">
          <a:extLst>
            <a:ext uri="{FF2B5EF4-FFF2-40B4-BE49-F238E27FC236}">
              <a16:creationId xmlns:a16="http://schemas.microsoft.com/office/drawing/2014/main" id="{AEB93487-B98D-5B9D-02EE-51EB183E6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306049</xdr:colOff>
      <xdr:row>10</xdr:row>
      <xdr:rowOff>169056</xdr:rowOff>
    </xdr:from>
    <xdr:to>
      <xdr:col>33</xdr:col>
      <xdr:colOff>339360</xdr:colOff>
      <xdr:row>25</xdr:row>
      <xdr:rowOff>101600</xdr:rowOff>
    </xdr:to>
    <xdr:graphicFrame macro="">
      <xdr:nvGraphicFramePr>
        <xdr:cNvPr id="20" name="Chart 19">
          <a:extLst>
            <a:ext uri="{FF2B5EF4-FFF2-40B4-BE49-F238E27FC236}">
              <a16:creationId xmlns:a16="http://schemas.microsoft.com/office/drawing/2014/main" id="{D1D55E64-4D81-A64A-67D6-54C74757D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33</xdr:col>
      <xdr:colOff>545475</xdr:colOff>
      <xdr:row>12</xdr:row>
      <xdr:rowOff>64956</xdr:rowOff>
    </xdr:from>
    <xdr:to>
      <xdr:col>37</xdr:col>
      <xdr:colOff>381000</xdr:colOff>
      <xdr:row>26</xdr:row>
      <xdr:rowOff>184878</xdr:rowOff>
    </xdr:to>
    <xdr:graphicFrame macro="">
      <xdr:nvGraphicFramePr>
        <xdr:cNvPr id="21" name="Chart 20">
          <a:extLst>
            <a:ext uri="{FF2B5EF4-FFF2-40B4-BE49-F238E27FC236}">
              <a16:creationId xmlns:a16="http://schemas.microsoft.com/office/drawing/2014/main" id="{F670AFF4-7D51-1586-D5BE-7FF03B31CE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36</xdr:col>
      <xdr:colOff>524655</xdr:colOff>
      <xdr:row>27</xdr:row>
      <xdr:rowOff>127416</xdr:rowOff>
    </xdr:from>
    <xdr:to>
      <xdr:col>42</xdr:col>
      <xdr:colOff>433048</xdr:colOff>
      <xdr:row>42</xdr:row>
      <xdr:rowOff>59960</xdr:rowOff>
    </xdr:to>
    <xdr:graphicFrame macro="">
      <xdr:nvGraphicFramePr>
        <xdr:cNvPr id="22" name="Chart 21">
          <a:extLst>
            <a:ext uri="{FF2B5EF4-FFF2-40B4-BE49-F238E27FC236}">
              <a16:creationId xmlns:a16="http://schemas.microsoft.com/office/drawing/2014/main" id="{41DBFC15-7584-A021-7D0A-9486B23B2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46</xdr:col>
      <xdr:colOff>351493</xdr:colOff>
      <xdr:row>15</xdr:row>
      <xdr:rowOff>47659</xdr:rowOff>
    </xdr:from>
    <xdr:to>
      <xdr:col>52</xdr:col>
      <xdr:colOff>483152</xdr:colOff>
      <xdr:row>30</xdr:row>
      <xdr:rowOff>52421</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EE2CA1E9-C6C0-9F3E-98EA-C231E4512E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0549754" y="2739507"/>
              <a:ext cx="3776007" cy="26966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8</xdr:row>
      <xdr:rowOff>66895</xdr:rowOff>
    </xdr:from>
    <xdr:to>
      <xdr:col>4</xdr:col>
      <xdr:colOff>360</xdr:colOff>
      <xdr:row>8</xdr:row>
      <xdr:rowOff>67255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28EE9A64-E703-BCFA-85A3-1C679EC50CC1}"/>
                </a:ext>
              </a:extLst>
            </xdr14:cNvPr>
            <xdr14:cNvContentPartPr/>
          </xdr14:nvContentPartPr>
          <xdr14:nvPr macro=""/>
          <xdr14:xfrm>
            <a:off x="3883320" y="1564158"/>
            <a:ext cx="360" cy="360"/>
          </xdr14:xfrm>
        </xdr:contentPart>
      </mc:Choice>
      <mc:Fallback xmlns="">
        <xdr:pic>
          <xdr:nvPicPr>
            <xdr:cNvPr id="2" name="Ink 1">
              <a:extLst>
                <a:ext uri="{FF2B5EF4-FFF2-40B4-BE49-F238E27FC236}">
                  <a16:creationId xmlns:a16="http://schemas.microsoft.com/office/drawing/2014/main" id="{28EE9A64-E703-BCFA-85A3-1C679EC50CC1}"/>
                </a:ext>
              </a:extLst>
            </xdr:cNvPr>
            <xdr:cNvPicPr/>
          </xdr:nvPicPr>
          <xdr:blipFill>
            <a:blip xmlns:r="http://schemas.openxmlformats.org/officeDocument/2006/relationships" r:embed="rId2"/>
            <a:stretch>
              <a:fillRect/>
            </a:stretch>
          </xdr:blipFill>
          <xdr:spPr>
            <a:xfrm>
              <a:off x="3874680" y="1555158"/>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5T10:54:55.621"/>
    </inkml:context>
    <inkml:brush xml:id="br0">
      <inkml:brushProperty name="width" value="0.05" units="cm"/>
      <inkml:brushProperty name="height" value="0.05" units="cm"/>
    </inkml:brush>
  </inkml:definitions>
  <inkml:trace contextRef="#ctx0" brushRef="#br0">1 0 24575</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 CHARAN" refreshedDate="46137.697205092591" createdVersion="8" refreshedVersion="8" minRefreshableVersion="3" recordCount="1947" xr:uid="{583FDCDE-4461-461F-8C2E-42F03F000102}">
  <cacheSource type="worksheet">
    <worksheetSource name="formatted_data"/>
  </cacheSource>
  <cacheFields count="17">
    <cacheField name="Customer_Name" numFmtId="0">
      <sharedItems/>
    </cacheField>
    <cacheField name="Gender" numFmtId="0">
      <sharedItems count="2">
        <s v="Female"/>
        <s v="Male"/>
      </sharedItems>
    </cacheField>
    <cacheField name="Date" numFmtId="14">
      <sharedItems containsSemiMixedTypes="0" containsNonDate="0" containsDate="1" containsString="0" minDate="2024-06-01T00:00:00" maxDate="2025-01-01T00:00:00" count="214">
        <d v="2024-06-28T00:00:00"/>
        <d v="2024-07-27T00:00:00"/>
        <d v="2024-08-30T00:00:00"/>
        <d v="2024-09-09T00:00:00"/>
        <d v="2024-12-18T00:00:00"/>
        <d v="2024-07-28T00:00:00"/>
        <d v="2024-08-19T00:00:00"/>
        <d v="2024-07-10T00:00:00"/>
        <d v="2024-09-13T00:00:00"/>
        <d v="2024-06-09T00:00:00"/>
        <d v="2024-09-17T00:00:00"/>
        <d v="2024-10-15T00:00:00"/>
        <d v="2024-11-05T00:00:00"/>
        <d v="2024-12-03T00:00:00"/>
        <d v="2024-12-17T00:00:00"/>
        <d v="2024-08-18T00:00:00"/>
        <d v="2024-12-28T00:00:00"/>
        <d v="2024-08-10T00:00:00"/>
        <d v="2024-07-14T00:00:00"/>
        <d v="2024-06-05T00:00:00"/>
        <d v="2024-12-29T00:00:00"/>
        <d v="2024-11-07T00:00:00"/>
        <d v="2024-08-12T00:00:00"/>
        <d v="2024-09-01T00:00:00"/>
        <d v="2024-06-10T00:00:00"/>
        <d v="2024-09-24T00:00:00"/>
        <d v="2024-12-11T00:00:00"/>
        <d v="2024-09-04T00:00:00"/>
        <d v="2024-10-29T00:00:00"/>
        <d v="2024-09-20T00:00:00"/>
        <d v="2024-07-17T00:00:00"/>
        <d v="2024-07-03T00:00:00"/>
        <d v="2024-09-28T00:00:00"/>
        <d v="2024-10-14T00:00:00"/>
        <d v="2024-06-29T00:00:00"/>
        <d v="2024-06-12T00:00:00"/>
        <d v="2024-07-04T00:00:00"/>
        <d v="2024-10-28T00:00:00"/>
        <d v="2024-10-01T00:00:00"/>
        <d v="2024-07-07T00:00:00"/>
        <d v="2024-06-08T00:00:00"/>
        <d v="2024-07-30T00:00:00"/>
        <d v="2024-06-21T00:00:00"/>
        <d v="2024-08-09T00:00:00"/>
        <d v="2024-09-14T00:00:00"/>
        <d v="2024-10-18T00:00:00"/>
        <d v="2024-11-28T00:00:00"/>
        <d v="2024-12-22T00:00:00"/>
        <d v="2024-10-27T00:00:00"/>
        <d v="2024-06-15T00:00:00"/>
        <d v="2024-08-22T00:00:00"/>
        <d v="2024-08-25T00:00:00"/>
        <d v="2024-06-27T00:00:00"/>
        <d v="2024-06-11T00:00:00"/>
        <d v="2024-07-12T00:00:00"/>
        <d v="2024-08-31T00:00:00"/>
        <d v="2024-06-17T00:00:00"/>
        <d v="2024-08-01T00:00:00"/>
        <d v="2024-12-02T00:00:00"/>
        <d v="2024-06-06T00:00:00"/>
        <d v="2024-11-16T00:00:00"/>
        <d v="2024-10-21T00:00:00"/>
        <d v="2024-09-08T00:00:00"/>
        <d v="2024-07-08T00:00:00"/>
        <d v="2024-10-26T00:00:00"/>
        <d v="2024-10-09T00:00:00"/>
        <d v="2024-12-04T00:00:00"/>
        <d v="2024-08-03T00:00:00"/>
        <d v="2024-12-14T00:00:00"/>
        <d v="2024-09-22T00:00:00"/>
        <d v="2024-11-06T00:00:00"/>
        <d v="2024-12-20T00:00:00"/>
        <d v="2024-09-27T00:00:00"/>
        <d v="2024-12-19T00:00:00"/>
        <d v="2024-10-13T00:00:00"/>
        <d v="2024-07-15T00:00:00"/>
        <d v="2024-09-21T00:00:00"/>
        <d v="2024-07-25T00:00:00"/>
        <d v="2024-07-29T00:00:00"/>
        <d v="2024-07-18T00:00:00"/>
        <d v="2024-12-05T00:00:00"/>
        <d v="2024-07-19T00:00:00"/>
        <d v="2024-11-24T00:00:00"/>
        <d v="2024-11-19T00:00:00"/>
        <d v="2024-08-23T00:00:00"/>
        <d v="2024-10-12T00:00:00"/>
        <d v="2024-12-09T00:00:00"/>
        <d v="2024-11-18T00:00:00"/>
        <d v="2024-11-08T00:00:00"/>
        <d v="2024-09-12T00:00:00"/>
        <d v="2024-06-03T00:00:00"/>
        <d v="2024-08-04T00:00:00"/>
        <d v="2024-08-21T00:00:00"/>
        <d v="2024-08-17T00:00:00"/>
        <d v="2024-10-22T00:00:00"/>
        <d v="2024-11-17T00:00:00"/>
        <d v="2024-06-18T00:00:00"/>
        <d v="2024-08-16T00:00:00"/>
        <d v="2024-09-29T00:00:00"/>
        <d v="2024-12-16T00:00:00"/>
        <d v="2024-07-20T00:00:00"/>
        <d v="2024-12-01T00:00:00"/>
        <d v="2024-12-08T00:00:00"/>
        <d v="2024-06-22T00:00:00"/>
        <d v="2024-08-06T00:00:00"/>
        <d v="2024-08-26T00:00:00"/>
        <d v="2024-07-24T00:00:00"/>
        <d v="2024-10-20T00:00:00"/>
        <d v="2024-07-31T00:00:00"/>
        <d v="2024-10-04T00:00:00"/>
        <d v="2024-10-06T00:00:00"/>
        <d v="2024-09-06T00:00:00"/>
        <d v="2024-06-07T00:00:00"/>
        <d v="2024-06-14T00:00:00"/>
        <d v="2024-09-18T00:00:00"/>
        <d v="2024-12-07T00:00:00"/>
        <d v="2024-07-13T00:00:00"/>
        <d v="2024-10-03T00:00:00"/>
        <d v="2024-09-19T00:00:00"/>
        <d v="2024-11-21T00:00:00"/>
        <d v="2024-06-23T00:00:00"/>
        <d v="2024-07-21T00:00:00"/>
        <d v="2024-09-07T00:00:00"/>
        <d v="2024-09-15T00:00:00"/>
        <d v="2024-12-15T00:00:00"/>
        <d v="2024-10-25T00:00:00"/>
        <d v="2024-07-22T00:00:00"/>
        <d v="2024-12-25T00:00:00"/>
        <d v="2024-11-20T00:00:00"/>
        <d v="2024-09-10T00:00:00"/>
        <d v="2024-12-13T00:00:00"/>
        <d v="2024-09-23T00:00:00"/>
        <d v="2024-11-26T00:00:00"/>
        <d v="2024-12-21T00:00:00"/>
        <d v="2024-11-04T00:00:00"/>
        <d v="2024-10-08T00:00:00"/>
        <d v="2024-08-13T00:00:00"/>
        <d v="2024-11-09T00:00:00"/>
        <d v="2024-11-25T00:00:00"/>
        <d v="2024-07-06T00:00:00"/>
        <d v="2024-10-19T00:00:00"/>
        <d v="2024-06-02T00:00:00"/>
        <d v="2024-11-30T00:00:00"/>
        <d v="2024-11-03T00:00:00"/>
        <d v="2024-08-14T00:00:00"/>
        <d v="2024-12-30T00:00:00"/>
        <d v="2024-09-02T00:00:00"/>
        <d v="2024-12-06T00:00:00"/>
        <d v="2024-08-27T00:00:00"/>
        <d v="2024-08-20T00:00:00"/>
        <d v="2024-08-11T00:00:00"/>
        <d v="2024-06-24T00:00:00"/>
        <d v="2024-06-25T00:00:00"/>
        <d v="2024-11-02T00:00:00"/>
        <d v="2024-11-14T00:00:00"/>
        <d v="2024-07-09T00:00:00"/>
        <d v="2024-10-10T00:00:00"/>
        <d v="2024-08-02T00:00:00"/>
        <d v="2024-08-24T00:00:00"/>
        <d v="2024-11-10T00:00:00"/>
        <d v="2024-12-23T00:00:00"/>
        <d v="2024-09-05T00:00:00"/>
        <d v="2024-08-08T00:00:00"/>
        <d v="2024-12-31T00:00:00"/>
        <d v="2024-12-27T00:00:00"/>
        <d v="2024-11-15T00:00:00"/>
        <d v="2024-07-05T00:00:00"/>
        <d v="2024-10-24T00:00:00"/>
        <d v="2024-10-07T00:00:00"/>
        <d v="2024-07-23T00:00:00"/>
        <d v="2024-09-03T00:00:00"/>
        <d v="2024-11-23T00:00:00"/>
        <d v="2024-09-26T00:00:00"/>
        <d v="2024-12-24T00:00:00"/>
        <d v="2024-08-28T00:00:00"/>
        <d v="2024-11-27T00:00:00"/>
        <d v="2024-06-01T00:00:00"/>
        <d v="2024-10-23T00:00:00"/>
        <d v="2024-06-13T00:00:00"/>
        <d v="2024-09-30T00:00:00"/>
        <d v="2024-06-16T00:00:00"/>
        <d v="2024-10-02T00:00:00"/>
        <d v="2024-07-26T00:00:00"/>
        <d v="2024-06-30T00:00:00"/>
        <d v="2024-10-11T00:00:00"/>
        <d v="2024-11-13T00:00:00"/>
        <d v="2024-09-11T00:00:00"/>
        <d v="2024-08-05T00:00:00"/>
        <d v="2024-07-11T00:00:00"/>
        <d v="2024-12-12T00:00:00"/>
        <d v="2024-11-22T00:00:00"/>
        <d v="2024-11-11T00:00:00"/>
        <d v="2024-09-16T00:00:00"/>
        <d v="2024-11-01T00:00:00"/>
        <d v="2024-10-16T00:00:00"/>
        <d v="2024-12-10T00:00:00"/>
        <d v="2024-07-01T00:00:00"/>
        <d v="2024-08-07T00:00:00"/>
        <d v="2024-11-29T00:00:00"/>
        <d v="2024-10-31T00:00:00"/>
        <d v="2024-06-19T00:00:00"/>
        <d v="2024-11-12T00:00:00"/>
        <d v="2024-08-29T00:00:00"/>
        <d v="2024-09-25T00:00:00"/>
        <d v="2024-08-15T00:00:00"/>
        <d v="2024-10-30T00:00:00"/>
        <d v="2024-06-04T00:00:00"/>
        <d v="2024-06-26T00:00:00"/>
        <d v="2024-10-17T00:00:00"/>
        <d v="2024-12-26T00:00:00"/>
        <d v="2024-06-20T00:00:00"/>
        <d v="2024-10-05T00:00:00"/>
        <d v="2024-07-02T00:00:00"/>
        <d v="2024-07-16T00:00:00"/>
      </sharedItems>
      <fieldGroup par="16"/>
    </cacheField>
    <cacheField name="Category" numFmtId="0">
      <sharedItems count="5">
        <s v="Sportswear"/>
        <s v="Outdoor"/>
        <s v="Fitness"/>
        <s v="Footwear"/>
        <s v="Sports"/>
      </sharedItems>
    </cacheField>
    <cacheField name="Product_Name" numFmtId="0">
      <sharedItems count="17">
        <s v="T-Shirt"/>
        <s v="Backpack"/>
        <s v="Yoga Mat"/>
        <s v="Running Shoes"/>
        <s v="Boxing gloves"/>
        <s v="Basketball"/>
        <s v="Football"/>
        <s v="Tent"/>
        <s v="Dumbbells"/>
        <s v="Shorts"/>
        <s v="Cricket Bat"/>
        <s v="Tracks"/>
        <s v="Skateboard"/>
        <s v="Jersey"/>
        <s v="Casual Shoes"/>
        <s v="Cricket Kit"/>
        <s v="Boxing Bag"/>
      </sharedItems>
    </cacheField>
    <cacheField name="Payment_Method" numFmtId="0">
      <sharedItems count="3">
        <s v="Online"/>
        <s v="Card"/>
        <s v="Cash"/>
      </sharedItems>
    </cacheField>
    <cacheField name="Sales_Channel" numFmtId="0">
      <sharedItems count="2">
        <s v="Offline"/>
        <s v="Online"/>
      </sharedItems>
    </cacheField>
    <cacheField name="Units" numFmtId="0">
      <sharedItems containsSemiMixedTypes="0" containsString="0" containsNumber="1" containsInteger="1" minValue="1" maxValue="5" count="5">
        <n v="2"/>
        <n v="1"/>
        <n v="3"/>
        <n v="4"/>
        <n v="5"/>
      </sharedItems>
    </cacheField>
    <cacheField name="Cost_Price" numFmtId="0">
      <sharedItems containsSemiMixedTypes="0" containsString="0" containsNumber="1" containsInteger="1" minValue="150" maxValue="3744"/>
    </cacheField>
    <cacheField name="Selling_Price" numFmtId="0">
      <sharedItems containsSemiMixedTypes="0" containsString="0" containsNumber="1" containsInteger="1" minValue="299" maxValue="4999"/>
    </cacheField>
    <cacheField name="Discount_%" numFmtId="0">
      <sharedItems containsSemiMixedTypes="0" containsString="0" containsNumber="1" containsInteger="1" minValue="0" maxValue="20" count="5">
        <n v="0"/>
        <n v="20"/>
        <n v="15"/>
        <n v="5"/>
        <n v="10"/>
      </sharedItems>
    </cacheField>
    <cacheField name="Discount_Amount" numFmtId="0">
      <sharedItems containsSemiMixedTypes="0" containsString="0" containsNumber="1" containsInteger="1" minValue="0" maxValue="999"/>
    </cacheField>
    <cacheField name="Total_Revenue" numFmtId="0">
      <sharedItems containsSemiMixedTypes="0" containsString="0" containsNumber="1" containsInteger="1" minValue="299" maxValue="20425"/>
    </cacheField>
    <cacheField name="Profit" numFmtId="0">
      <sharedItems containsSemiMixedTypes="0" containsString="0" containsNumber="1" containsInteger="1" minValue="33" maxValue="8040"/>
    </cacheField>
    <cacheField name="Return_Status" numFmtId="0">
      <sharedItems count="2">
        <s v="No"/>
        <s v="Yes"/>
      </sharedItems>
    </cacheField>
    <cacheField name="Days (Date)" numFmtId="0" databaseField="0">
      <fieldGroup base="2">
        <rangePr groupBy="days" startDate="2024-06-01T00:00:00" endDate="2025-01-01T00:00:00"/>
        <groupItems count="368">
          <s v="&lt;01-06-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Date)" numFmtId="0" databaseField="0">
      <fieldGroup base="2">
        <rangePr groupBy="months" startDate="2024-06-01T00:00:00" endDate="2025-01-01T00:00:00"/>
        <groupItems count="14">
          <s v="&lt;01-06-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12608696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47">
  <r>
    <s v="Koushika"/>
    <x v="0"/>
    <x v="0"/>
    <x v="0"/>
    <x v="0"/>
    <x v="0"/>
    <x v="0"/>
    <x v="0"/>
    <n v="176"/>
    <n v="299"/>
    <x v="0"/>
    <n v="0"/>
    <n v="598"/>
    <n v="246"/>
    <x v="0"/>
  </r>
  <r>
    <s v="Nandhini"/>
    <x v="0"/>
    <x v="1"/>
    <x v="1"/>
    <x v="1"/>
    <x v="1"/>
    <x v="1"/>
    <x v="1"/>
    <n v="705"/>
    <n v="999"/>
    <x v="1"/>
    <n v="199"/>
    <n v="800"/>
    <n v="95"/>
    <x v="0"/>
  </r>
  <r>
    <s v="Viraj"/>
    <x v="1"/>
    <x v="2"/>
    <x v="2"/>
    <x v="2"/>
    <x v="0"/>
    <x v="1"/>
    <x v="1"/>
    <n v="540"/>
    <n v="799"/>
    <x v="2"/>
    <n v="119"/>
    <n v="680"/>
    <n v="140"/>
    <x v="0"/>
  </r>
  <r>
    <s v="Pooja"/>
    <x v="0"/>
    <x v="3"/>
    <x v="3"/>
    <x v="3"/>
    <x v="0"/>
    <x v="0"/>
    <x v="2"/>
    <n v="867"/>
    <n v="1199"/>
    <x v="0"/>
    <n v="0"/>
    <n v="3597"/>
    <n v="996"/>
    <x v="1"/>
  </r>
  <r>
    <s v="Srujan"/>
    <x v="1"/>
    <x v="4"/>
    <x v="1"/>
    <x v="1"/>
    <x v="0"/>
    <x v="0"/>
    <x v="1"/>
    <n v="605"/>
    <n v="899"/>
    <x v="3"/>
    <n v="44"/>
    <n v="855"/>
    <n v="250"/>
    <x v="0"/>
  </r>
  <r>
    <s v="Srujan"/>
    <x v="1"/>
    <x v="5"/>
    <x v="4"/>
    <x v="4"/>
    <x v="2"/>
    <x v="0"/>
    <x v="1"/>
    <n v="420"/>
    <n v="599"/>
    <x v="3"/>
    <n v="29"/>
    <n v="570"/>
    <n v="150"/>
    <x v="0"/>
  </r>
  <r>
    <s v="Srinivas"/>
    <x v="1"/>
    <x v="6"/>
    <x v="4"/>
    <x v="5"/>
    <x v="0"/>
    <x v="0"/>
    <x v="1"/>
    <n v="495"/>
    <n v="899"/>
    <x v="2"/>
    <n v="134"/>
    <n v="765"/>
    <n v="270"/>
    <x v="1"/>
  </r>
  <r>
    <s v="Vikram"/>
    <x v="1"/>
    <x v="7"/>
    <x v="4"/>
    <x v="6"/>
    <x v="0"/>
    <x v="0"/>
    <x v="3"/>
    <n v="895"/>
    <n v="1199"/>
    <x v="4"/>
    <n v="119"/>
    <n v="4320"/>
    <n v="740"/>
    <x v="0"/>
  </r>
  <r>
    <s v="Tejas"/>
    <x v="1"/>
    <x v="8"/>
    <x v="1"/>
    <x v="7"/>
    <x v="2"/>
    <x v="0"/>
    <x v="2"/>
    <n v="1819"/>
    <n v="2599"/>
    <x v="2"/>
    <n v="389"/>
    <n v="6630"/>
    <n v="1173"/>
    <x v="0"/>
  </r>
  <r>
    <s v="Viraj"/>
    <x v="1"/>
    <x v="9"/>
    <x v="2"/>
    <x v="2"/>
    <x v="1"/>
    <x v="0"/>
    <x v="0"/>
    <n v="299"/>
    <n v="499"/>
    <x v="4"/>
    <n v="49"/>
    <n v="900"/>
    <n v="302"/>
    <x v="0"/>
  </r>
  <r>
    <s v="Pooja"/>
    <x v="0"/>
    <x v="10"/>
    <x v="2"/>
    <x v="2"/>
    <x v="2"/>
    <x v="0"/>
    <x v="4"/>
    <n v="255"/>
    <n v="499"/>
    <x v="4"/>
    <n v="49"/>
    <n v="2250"/>
    <n v="975"/>
    <x v="0"/>
  </r>
  <r>
    <s v="Saanvi"/>
    <x v="0"/>
    <x v="11"/>
    <x v="2"/>
    <x v="8"/>
    <x v="0"/>
    <x v="0"/>
    <x v="4"/>
    <n v="564"/>
    <n v="799"/>
    <x v="1"/>
    <n v="159"/>
    <n v="3200"/>
    <n v="380"/>
    <x v="0"/>
  </r>
  <r>
    <s v="Thanuja"/>
    <x v="0"/>
    <x v="12"/>
    <x v="1"/>
    <x v="1"/>
    <x v="1"/>
    <x v="1"/>
    <x v="1"/>
    <n v="1202"/>
    <n v="2399"/>
    <x v="2"/>
    <n v="359"/>
    <n v="2040"/>
    <n v="838"/>
    <x v="1"/>
  </r>
  <r>
    <s v="Gayatri"/>
    <x v="0"/>
    <x v="13"/>
    <x v="0"/>
    <x v="9"/>
    <x v="0"/>
    <x v="0"/>
    <x v="0"/>
    <n v="414"/>
    <n v="599"/>
    <x v="0"/>
    <n v="0"/>
    <n v="1198"/>
    <n v="370"/>
    <x v="0"/>
  </r>
  <r>
    <s v="Pranay"/>
    <x v="1"/>
    <x v="14"/>
    <x v="4"/>
    <x v="10"/>
    <x v="1"/>
    <x v="0"/>
    <x v="1"/>
    <n v="512"/>
    <n v="999"/>
    <x v="2"/>
    <n v="149"/>
    <n v="850"/>
    <n v="338"/>
    <x v="0"/>
  </r>
  <r>
    <s v="Aadhya"/>
    <x v="0"/>
    <x v="15"/>
    <x v="2"/>
    <x v="8"/>
    <x v="2"/>
    <x v="0"/>
    <x v="3"/>
    <n v="1092"/>
    <n v="1599"/>
    <x v="3"/>
    <n v="79"/>
    <n v="6080"/>
    <n v="1712"/>
    <x v="0"/>
  </r>
  <r>
    <s v="Vijay"/>
    <x v="1"/>
    <x v="16"/>
    <x v="2"/>
    <x v="8"/>
    <x v="1"/>
    <x v="1"/>
    <x v="1"/>
    <n v="1105"/>
    <n v="1499"/>
    <x v="2"/>
    <n v="224"/>
    <n v="1275"/>
    <n v="170"/>
    <x v="1"/>
  </r>
  <r>
    <s v=" Praveen"/>
    <x v="1"/>
    <x v="17"/>
    <x v="4"/>
    <x v="5"/>
    <x v="1"/>
    <x v="0"/>
    <x v="0"/>
    <n v="1041"/>
    <n v="1399"/>
    <x v="3"/>
    <n v="69"/>
    <n v="2660"/>
    <n v="578"/>
    <x v="0"/>
  </r>
  <r>
    <s v="Pooja"/>
    <x v="0"/>
    <x v="18"/>
    <x v="3"/>
    <x v="3"/>
    <x v="1"/>
    <x v="1"/>
    <x v="1"/>
    <n v="624"/>
    <n v="899"/>
    <x v="0"/>
    <n v="0"/>
    <n v="899"/>
    <n v="275"/>
    <x v="1"/>
  </r>
  <r>
    <s v="Arjun"/>
    <x v="1"/>
    <x v="19"/>
    <x v="0"/>
    <x v="11"/>
    <x v="1"/>
    <x v="1"/>
    <x v="0"/>
    <n v="195"/>
    <n v="299"/>
    <x v="0"/>
    <n v="0"/>
    <n v="598"/>
    <n v="208"/>
    <x v="0"/>
  </r>
  <r>
    <s v="Arun"/>
    <x v="1"/>
    <x v="11"/>
    <x v="2"/>
    <x v="8"/>
    <x v="2"/>
    <x v="0"/>
    <x v="2"/>
    <n v="1177"/>
    <n v="1699"/>
    <x v="4"/>
    <n v="169"/>
    <n v="4590"/>
    <n v="1059"/>
    <x v="1"/>
  </r>
  <r>
    <s v="Sai"/>
    <x v="1"/>
    <x v="20"/>
    <x v="1"/>
    <x v="7"/>
    <x v="1"/>
    <x v="1"/>
    <x v="4"/>
    <n v="1708"/>
    <n v="2599"/>
    <x v="2"/>
    <n v="389"/>
    <n v="11050"/>
    <n v="2510"/>
    <x v="0"/>
  </r>
  <r>
    <s v="Thanuja"/>
    <x v="0"/>
    <x v="21"/>
    <x v="4"/>
    <x v="12"/>
    <x v="0"/>
    <x v="1"/>
    <x v="1"/>
    <n v="1161"/>
    <n v="1699"/>
    <x v="4"/>
    <n v="169"/>
    <n v="1530"/>
    <n v="369"/>
    <x v="0"/>
  </r>
  <r>
    <s v="Kalyan"/>
    <x v="1"/>
    <x v="22"/>
    <x v="1"/>
    <x v="1"/>
    <x v="1"/>
    <x v="0"/>
    <x v="1"/>
    <n v="1019"/>
    <n v="1399"/>
    <x v="4"/>
    <n v="139"/>
    <n v="1260"/>
    <n v="241"/>
    <x v="0"/>
  </r>
  <r>
    <s v="Manoj"/>
    <x v="1"/>
    <x v="23"/>
    <x v="4"/>
    <x v="6"/>
    <x v="1"/>
    <x v="1"/>
    <x v="1"/>
    <n v="392"/>
    <n v="599"/>
    <x v="3"/>
    <n v="29"/>
    <n v="570"/>
    <n v="178"/>
    <x v="1"/>
  </r>
  <r>
    <s v="Anudeep"/>
    <x v="1"/>
    <x v="24"/>
    <x v="0"/>
    <x v="9"/>
    <x v="2"/>
    <x v="1"/>
    <x v="1"/>
    <n v="371"/>
    <n v="499"/>
    <x v="0"/>
    <n v="0"/>
    <n v="499"/>
    <n v="128"/>
    <x v="0"/>
  </r>
  <r>
    <s v="Srujan"/>
    <x v="1"/>
    <x v="25"/>
    <x v="0"/>
    <x v="0"/>
    <x v="2"/>
    <x v="0"/>
    <x v="1"/>
    <n v="307"/>
    <n v="499"/>
    <x v="0"/>
    <n v="0"/>
    <n v="499"/>
    <n v="192"/>
    <x v="1"/>
  </r>
  <r>
    <s v="Thanuja"/>
    <x v="0"/>
    <x v="26"/>
    <x v="1"/>
    <x v="1"/>
    <x v="1"/>
    <x v="1"/>
    <x v="1"/>
    <n v="1023"/>
    <n v="1899"/>
    <x v="1"/>
    <n v="379"/>
    <n v="1520"/>
    <n v="497"/>
    <x v="1"/>
  </r>
  <r>
    <s v="Siri"/>
    <x v="0"/>
    <x v="27"/>
    <x v="1"/>
    <x v="1"/>
    <x v="0"/>
    <x v="0"/>
    <x v="0"/>
    <n v="475"/>
    <n v="899"/>
    <x v="3"/>
    <n v="44"/>
    <n v="1710"/>
    <n v="760"/>
    <x v="0"/>
  </r>
  <r>
    <s v="Sanjeev"/>
    <x v="1"/>
    <x v="16"/>
    <x v="0"/>
    <x v="11"/>
    <x v="0"/>
    <x v="1"/>
    <x v="1"/>
    <n v="539"/>
    <n v="799"/>
    <x v="0"/>
    <n v="0"/>
    <n v="799"/>
    <n v="260"/>
    <x v="0"/>
  </r>
  <r>
    <s v="Devi Sree"/>
    <x v="0"/>
    <x v="28"/>
    <x v="3"/>
    <x v="3"/>
    <x v="2"/>
    <x v="0"/>
    <x v="0"/>
    <n v="960"/>
    <n v="1499"/>
    <x v="0"/>
    <n v="0"/>
    <n v="2998"/>
    <n v="1078"/>
    <x v="1"/>
  </r>
  <r>
    <s v="Kavya"/>
    <x v="0"/>
    <x v="29"/>
    <x v="1"/>
    <x v="7"/>
    <x v="1"/>
    <x v="0"/>
    <x v="1"/>
    <n v="1324"/>
    <n v="2499"/>
    <x v="1"/>
    <n v="499"/>
    <n v="2000"/>
    <n v="676"/>
    <x v="0"/>
  </r>
  <r>
    <s v="Tejas"/>
    <x v="1"/>
    <x v="24"/>
    <x v="1"/>
    <x v="1"/>
    <x v="1"/>
    <x v="0"/>
    <x v="3"/>
    <n v="633"/>
    <n v="1099"/>
    <x v="3"/>
    <n v="54"/>
    <n v="4180"/>
    <n v="1648"/>
    <x v="1"/>
  </r>
  <r>
    <s v="Aadhya"/>
    <x v="0"/>
    <x v="30"/>
    <x v="2"/>
    <x v="8"/>
    <x v="0"/>
    <x v="1"/>
    <x v="1"/>
    <n v="619"/>
    <n v="899"/>
    <x v="3"/>
    <n v="44"/>
    <n v="855"/>
    <n v="236"/>
    <x v="0"/>
  </r>
  <r>
    <s v="Koushika"/>
    <x v="0"/>
    <x v="31"/>
    <x v="1"/>
    <x v="1"/>
    <x v="1"/>
    <x v="1"/>
    <x v="2"/>
    <n v="1258"/>
    <n v="2199"/>
    <x v="3"/>
    <n v="109"/>
    <n v="6270"/>
    <n v="2496"/>
    <x v="0"/>
  </r>
  <r>
    <s v="Sanjeev"/>
    <x v="1"/>
    <x v="32"/>
    <x v="4"/>
    <x v="12"/>
    <x v="1"/>
    <x v="0"/>
    <x v="1"/>
    <n v="890"/>
    <n v="1299"/>
    <x v="1"/>
    <n v="259"/>
    <n v="1040"/>
    <n v="150"/>
    <x v="0"/>
  </r>
  <r>
    <s v="Rohan"/>
    <x v="1"/>
    <x v="33"/>
    <x v="1"/>
    <x v="7"/>
    <x v="1"/>
    <x v="0"/>
    <x v="1"/>
    <n v="1566"/>
    <n v="2299"/>
    <x v="4"/>
    <n v="229"/>
    <n v="2070"/>
    <n v="504"/>
    <x v="0"/>
  </r>
  <r>
    <s v="Rakesh"/>
    <x v="1"/>
    <x v="24"/>
    <x v="0"/>
    <x v="11"/>
    <x v="0"/>
    <x v="0"/>
    <x v="1"/>
    <n v="355"/>
    <n v="499"/>
    <x v="0"/>
    <n v="0"/>
    <n v="499"/>
    <n v="144"/>
    <x v="0"/>
  </r>
  <r>
    <s v="Hema"/>
    <x v="0"/>
    <x v="34"/>
    <x v="0"/>
    <x v="11"/>
    <x v="2"/>
    <x v="1"/>
    <x v="3"/>
    <n v="510"/>
    <n v="799"/>
    <x v="0"/>
    <n v="0"/>
    <n v="3196"/>
    <n v="1156"/>
    <x v="0"/>
  </r>
  <r>
    <s v="Chandrika"/>
    <x v="0"/>
    <x v="35"/>
    <x v="0"/>
    <x v="11"/>
    <x v="2"/>
    <x v="0"/>
    <x v="1"/>
    <n v="534"/>
    <n v="799"/>
    <x v="0"/>
    <n v="0"/>
    <n v="799"/>
    <n v="265"/>
    <x v="0"/>
  </r>
  <r>
    <s v="Vivaan"/>
    <x v="1"/>
    <x v="36"/>
    <x v="3"/>
    <x v="3"/>
    <x v="2"/>
    <x v="0"/>
    <x v="2"/>
    <n v="666"/>
    <n v="999"/>
    <x v="0"/>
    <n v="0"/>
    <n v="2997"/>
    <n v="999"/>
    <x v="0"/>
  </r>
  <r>
    <s v="Leela"/>
    <x v="0"/>
    <x v="37"/>
    <x v="0"/>
    <x v="13"/>
    <x v="2"/>
    <x v="1"/>
    <x v="0"/>
    <n v="254"/>
    <n v="499"/>
    <x v="0"/>
    <n v="0"/>
    <n v="998"/>
    <n v="490"/>
    <x v="0"/>
  </r>
  <r>
    <s v="Pooja"/>
    <x v="0"/>
    <x v="38"/>
    <x v="1"/>
    <x v="1"/>
    <x v="2"/>
    <x v="0"/>
    <x v="0"/>
    <n v="1106"/>
    <n v="1599"/>
    <x v="3"/>
    <n v="79"/>
    <n v="3040"/>
    <n v="828"/>
    <x v="1"/>
  </r>
  <r>
    <s v="Neha"/>
    <x v="0"/>
    <x v="39"/>
    <x v="3"/>
    <x v="3"/>
    <x v="2"/>
    <x v="1"/>
    <x v="1"/>
    <n v="555"/>
    <n v="999"/>
    <x v="0"/>
    <n v="0"/>
    <n v="999"/>
    <n v="444"/>
    <x v="0"/>
  </r>
  <r>
    <s v="Lavanya"/>
    <x v="0"/>
    <x v="40"/>
    <x v="4"/>
    <x v="4"/>
    <x v="2"/>
    <x v="1"/>
    <x v="1"/>
    <n v="308"/>
    <n v="599"/>
    <x v="2"/>
    <n v="89"/>
    <n v="510"/>
    <n v="202"/>
    <x v="0"/>
  </r>
  <r>
    <s v="Anvesh"/>
    <x v="1"/>
    <x v="41"/>
    <x v="4"/>
    <x v="12"/>
    <x v="1"/>
    <x v="1"/>
    <x v="1"/>
    <n v="1195"/>
    <n v="2299"/>
    <x v="4"/>
    <n v="229"/>
    <n v="2070"/>
    <n v="875"/>
    <x v="0"/>
  </r>
  <r>
    <s v="Vivaan"/>
    <x v="1"/>
    <x v="42"/>
    <x v="1"/>
    <x v="7"/>
    <x v="0"/>
    <x v="1"/>
    <x v="0"/>
    <n v="2003"/>
    <n v="3799"/>
    <x v="1"/>
    <n v="759"/>
    <n v="6080"/>
    <n v="2074"/>
    <x v="0"/>
  </r>
  <r>
    <s v="Sai"/>
    <x v="1"/>
    <x v="43"/>
    <x v="1"/>
    <x v="1"/>
    <x v="0"/>
    <x v="1"/>
    <x v="1"/>
    <n v="773"/>
    <n v="1299"/>
    <x v="3"/>
    <n v="64"/>
    <n v="1235"/>
    <n v="462"/>
    <x v="0"/>
  </r>
  <r>
    <s v="Devi Sree"/>
    <x v="0"/>
    <x v="44"/>
    <x v="3"/>
    <x v="14"/>
    <x v="0"/>
    <x v="0"/>
    <x v="0"/>
    <n v="974"/>
    <n v="1499"/>
    <x v="0"/>
    <n v="0"/>
    <n v="2998"/>
    <n v="1050"/>
    <x v="0"/>
  </r>
  <r>
    <s v="Vijay"/>
    <x v="1"/>
    <x v="45"/>
    <x v="3"/>
    <x v="3"/>
    <x v="2"/>
    <x v="1"/>
    <x v="4"/>
    <n v="461"/>
    <n v="899"/>
    <x v="0"/>
    <n v="0"/>
    <n v="4495"/>
    <n v="2190"/>
    <x v="0"/>
  </r>
  <r>
    <s v="Koushika"/>
    <x v="0"/>
    <x v="46"/>
    <x v="0"/>
    <x v="11"/>
    <x v="1"/>
    <x v="1"/>
    <x v="1"/>
    <n v="212"/>
    <n v="299"/>
    <x v="0"/>
    <n v="0"/>
    <n v="299"/>
    <n v="87"/>
    <x v="0"/>
  </r>
  <r>
    <s v="Vasanth"/>
    <x v="1"/>
    <x v="9"/>
    <x v="4"/>
    <x v="6"/>
    <x v="2"/>
    <x v="0"/>
    <x v="1"/>
    <n v="589"/>
    <n v="999"/>
    <x v="2"/>
    <n v="149"/>
    <n v="850"/>
    <n v="261"/>
    <x v="0"/>
  </r>
  <r>
    <s v="Srujan"/>
    <x v="1"/>
    <x v="47"/>
    <x v="3"/>
    <x v="14"/>
    <x v="0"/>
    <x v="1"/>
    <x v="4"/>
    <n v="352"/>
    <n v="699"/>
    <x v="0"/>
    <n v="0"/>
    <n v="3495"/>
    <n v="1735"/>
    <x v="0"/>
  </r>
  <r>
    <s v="Ananya"/>
    <x v="0"/>
    <x v="48"/>
    <x v="4"/>
    <x v="4"/>
    <x v="1"/>
    <x v="1"/>
    <x v="1"/>
    <n v="341"/>
    <n v="499"/>
    <x v="1"/>
    <n v="99"/>
    <n v="400"/>
    <n v="59"/>
    <x v="1"/>
  </r>
  <r>
    <s v="Swapna"/>
    <x v="0"/>
    <x v="49"/>
    <x v="0"/>
    <x v="11"/>
    <x v="1"/>
    <x v="1"/>
    <x v="1"/>
    <n v="289"/>
    <n v="399"/>
    <x v="0"/>
    <n v="0"/>
    <n v="399"/>
    <n v="110"/>
    <x v="0"/>
  </r>
  <r>
    <s v="Shiva"/>
    <x v="1"/>
    <x v="50"/>
    <x v="0"/>
    <x v="9"/>
    <x v="2"/>
    <x v="0"/>
    <x v="1"/>
    <n v="396"/>
    <n v="599"/>
    <x v="0"/>
    <n v="0"/>
    <n v="599"/>
    <n v="203"/>
    <x v="1"/>
  </r>
  <r>
    <s v="Karthik"/>
    <x v="1"/>
    <x v="51"/>
    <x v="2"/>
    <x v="2"/>
    <x v="1"/>
    <x v="1"/>
    <x v="1"/>
    <n v="483"/>
    <n v="799"/>
    <x v="2"/>
    <n v="119"/>
    <n v="680"/>
    <n v="197"/>
    <x v="0"/>
  </r>
  <r>
    <s v="Vikram"/>
    <x v="1"/>
    <x v="52"/>
    <x v="4"/>
    <x v="4"/>
    <x v="0"/>
    <x v="1"/>
    <x v="1"/>
    <n v="322"/>
    <n v="499"/>
    <x v="4"/>
    <n v="49"/>
    <n v="450"/>
    <n v="128"/>
    <x v="0"/>
  </r>
  <r>
    <s v="Shiva"/>
    <x v="1"/>
    <x v="53"/>
    <x v="1"/>
    <x v="7"/>
    <x v="0"/>
    <x v="0"/>
    <x v="1"/>
    <n v="1444"/>
    <n v="2699"/>
    <x v="3"/>
    <n v="134"/>
    <n v="2565"/>
    <n v="1121"/>
    <x v="0"/>
  </r>
  <r>
    <s v="Vasanth"/>
    <x v="1"/>
    <x v="54"/>
    <x v="4"/>
    <x v="12"/>
    <x v="2"/>
    <x v="0"/>
    <x v="3"/>
    <n v="1037"/>
    <n v="1799"/>
    <x v="2"/>
    <n v="269"/>
    <n v="6120"/>
    <n v="1972"/>
    <x v="1"/>
  </r>
  <r>
    <s v="Tejas"/>
    <x v="1"/>
    <x v="55"/>
    <x v="3"/>
    <x v="14"/>
    <x v="1"/>
    <x v="1"/>
    <x v="1"/>
    <n v="873"/>
    <n v="1499"/>
    <x v="0"/>
    <n v="0"/>
    <n v="1499"/>
    <n v="626"/>
    <x v="0"/>
  </r>
  <r>
    <s v="Harsha"/>
    <x v="1"/>
    <x v="56"/>
    <x v="2"/>
    <x v="8"/>
    <x v="2"/>
    <x v="0"/>
    <x v="1"/>
    <n v="1286"/>
    <n v="1899"/>
    <x v="3"/>
    <n v="94"/>
    <n v="1805"/>
    <n v="519"/>
    <x v="1"/>
  </r>
  <r>
    <s v="Yeshwanth"/>
    <x v="1"/>
    <x v="57"/>
    <x v="4"/>
    <x v="6"/>
    <x v="2"/>
    <x v="0"/>
    <x v="0"/>
    <n v="435"/>
    <n v="599"/>
    <x v="3"/>
    <n v="29"/>
    <n v="1140"/>
    <n v="270"/>
    <x v="0"/>
  </r>
  <r>
    <s v="Lavanya"/>
    <x v="0"/>
    <x v="58"/>
    <x v="4"/>
    <x v="4"/>
    <x v="2"/>
    <x v="0"/>
    <x v="3"/>
    <n v="253"/>
    <n v="399"/>
    <x v="2"/>
    <n v="59"/>
    <n v="1360"/>
    <n v="348"/>
    <x v="1"/>
  </r>
  <r>
    <s v="Yeshwanth"/>
    <x v="1"/>
    <x v="4"/>
    <x v="0"/>
    <x v="9"/>
    <x v="2"/>
    <x v="1"/>
    <x v="4"/>
    <n v="256"/>
    <n v="399"/>
    <x v="0"/>
    <n v="0"/>
    <n v="1995"/>
    <n v="715"/>
    <x v="0"/>
  </r>
  <r>
    <s v="Reavanth"/>
    <x v="1"/>
    <x v="59"/>
    <x v="0"/>
    <x v="0"/>
    <x v="2"/>
    <x v="1"/>
    <x v="1"/>
    <n v="277"/>
    <n v="499"/>
    <x v="0"/>
    <n v="0"/>
    <n v="499"/>
    <n v="222"/>
    <x v="1"/>
  </r>
  <r>
    <s v="Arjun"/>
    <x v="1"/>
    <x v="60"/>
    <x v="2"/>
    <x v="8"/>
    <x v="0"/>
    <x v="1"/>
    <x v="4"/>
    <n v="843"/>
    <n v="1599"/>
    <x v="3"/>
    <n v="79"/>
    <n v="7600"/>
    <n v="3385"/>
    <x v="1"/>
  </r>
  <r>
    <s v="Deepak"/>
    <x v="1"/>
    <x v="61"/>
    <x v="4"/>
    <x v="5"/>
    <x v="2"/>
    <x v="0"/>
    <x v="3"/>
    <n v="642"/>
    <n v="899"/>
    <x v="1"/>
    <n v="179"/>
    <n v="2880"/>
    <n v="312"/>
    <x v="0"/>
  </r>
  <r>
    <s v="Bharath"/>
    <x v="1"/>
    <x v="62"/>
    <x v="2"/>
    <x v="8"/>
    <x v="1"/>
    <x v="1"/>
    <x v="0"/>
    <n v="557"/>
    <n v="899"/>
    <x v="4"/>
    <n v="89"/>
    <n v="1620"/>
    <n v="506"/>
    <x v="0"/>
  </r>
  <r>
    <s v="Arjun"/>
    <x v="1"/>
    <x v="63"/>
    <x v="4"/>
    <x v="15"/>
    <x v="2"/>
    <x v="1"/>
    <x v="1"/>
    <n v="1493"/>
    <n v="2799"/>
    <x v="4"/>
    <n v="279"/>
    <n v="2520"/>
    <n v="1027"/>
    <x v="0"/>
  </r>
  <r>
    <s v="Mallesh"/>
    <x v="1"/>
    <x v="64"/>
    <x v="4"/>
    <x v="6"/>
    <x v="2"/>
    <x v="0"/>
    <x v="0"/>
    <n v="605"/>
    <n v="999"/>
    <x v="1"/>
    <n v="199"/>
    <n v="1600"/>
    <n v="390"/>
    <x v="0"/>
  </r>
  <r>
    <s v="Mallesh"/>
    <x v="1"/>
    <x v="65"/>
    <x v="3"/>
    <x v="14"/>
    <x v="0"/>
    <x v="1"/>
    <x v="1"/>
    <n v="758"/>
    <n v="1499"/>
    <x v="0"/>
    <n v="0"/>
    <n v="1499"/>
    <n v="741"/>
    <x v="0"/>
  </r>
  <r>
    <s v="Lavanya"/>
    <x v="0"/>
    <x v="66"/>
    <x v="0"/>
    <x v="13"/>
    <x v="2"/>
    <x v="0"/>
    <x v="1"/>
    <n v="274"/>
    <n v="399"/>
    <x v="0"/>
    <n v="0"/>
    <n v="399"/>
    <n v="125"/>
    <x v="1"/>
  </r>
  <r>
    <s v="Sneha"/>
    <x v="0"/>
    <x v="67"/>
    <x v="0"/>
    <x v="13"/>
    <x v="1"/>
    <x v="1"/>
    <x v="0"/>
    <n v="242"/>
    <n v="399"/>
    <x v="0"/>
    <n v="0"/>
    <n v="798"/>
    <n v="314"/>
    <x v="0"/>
  </r>
  <r>
    <s v="Sai Deep"/>
    <x v="1"/>
    <x v="68"/>
    <x v="0"/>
    <x v="9"/>
    <x v="2"/>
    <x v="0"/>
    <x v="1"/>
    <n v="405"/>
    <n v="599"/>
    <x v="0"/>
    <n v="0"/>
    <n v="599"/>
    <n v="194"/>
    <x v="1"/>
  </r>
  <r>
    <s v="Pravalika"/>
    <x v="0"/>
    <x v="69"/>
    <x v="4"/>
    <x v="4"/>
    <x v="0"/>
    <x v="0"/>
    <x v="0"/>
    <n v="290"/>
    <n v="399"/>
    <x v="2"/>
    <n v="59"/>
    <n v="680"/>
    <n v="100"/>
    <x v="1"/>
  </r>
  <r>
    <s v="Aditya"/>
    <x v="1"/>
    <x v="70"/>
    <x v="2"/>
    <x v="8"/>
    <x v="1"/>
    <x v="0"/>
    <x v="1"/>
    <n v="402"/>
    <n v="799"/>
    <x v="1"/>
    <n v="159"/>
    <n v="640"/>
    <n v="238"/>
    <x v="0"/>
  </r>
  <r>
    <s v="Arun"/>
    <x v="1"/>
    <x v="71"/>
    <x v="4"/>
    <x v="6"/>
    <x v="1"/>
    <x v="1"/>
    <x v="1"/>
    <n v="524"/>
    <n v="999"/>
    <x v="1"/>
    <n v="199"/>
    <n v="800"/>
    <n v="276"/>
    <x v="0"/>
  </r>
  <r>
    <s v="Rakesh"/>
    <x v="1"/>
    <x v="63"/>
    <x v="0"/>
    <x v="11"/>
    <x v="1"/>
    <x v="0"/>
    <x v="1"/>
    <n v="557"/>
    <n v="799"/>
    <x v="0"/>
    <n v="0"/>
    <n v="799"/>
    <n v="242"/>
    <x v="1"/>
  </r>
  <r>
    <s v="Vijay"/>
    <x v="1"/>
    <x v="72"/>
    <x v="0"/>
    <x v="9"/>
    <x v="1"/>
    <x v="0"/>
    <x v="0"/>
    <n v="272"/>
    <n v="399"/>
    <x v="0"/>
    <n v="0"/>
    <n v="798"/>
    <n v="254"/>
    <x v="0"/>
  </r>
  <r>
    <s v="Manoj"/>
    <x v="1"/>
    <x v="73"/>
    <x v="2"/>
    <x v="8"/>
    <x v="0"/>
    <x v="1"/>
    <x v="3"/>
    <n v="847"/>
    <n v="1199"/>
    <x v="4"/>
    <n v="119"/>
    <n v="4320"/>
    <n v="932"/>
    <x v="0"/>
  </r>
  <r>
    <s v="Laxmi"/>
    <x v="0"/>
    <x v="15"/>
    <x v="3"/>
    <x v="14"/>
    <x v="0"/>
    <x v="0"/>
    <x v="1"/>
    <n v="512"/>
    <n v="999"/>
    <x v="0"/>
    <n v="0"/>
    <n v="999"/>
    <n v="487"/>
    <x v="0"/>
  </r>
  <r>
    <s v="Lassya"/>
    <x v="0"/>
    <x v="74"/>
    <x v="2"/>
    <x v="2"/>
    <x v="2"/>
    <x v="0"/>
    <x v="1"/>
    <n v="393"/>
    <n v="599"/>
    <x v="2"/>
    <n v="89"/>
    <n v="510"/>
    <n v="117"/>
    <x v="0"/>
  </r>
  <r>
    <s v="Arjun"/>
    <x v="1"/>
    <x v="75"/>
    <x v="2"/>
    <x v="8"/>
    <x v="1"/>
    <x v="1"/>
    <x v="3"/>
    <n v="895"/>
    <n v="1499"/>
    <x v="1"/>
    <n v="299"/>
    <n v="4800"/>
    <n v="1220"/>
    <x v="1"/>
  </r>
  <r>
    <s v="Aadhya"/>
    <x v="0"/>
    <x v="13"/>
    <x v="2"/>
    <x v="2"/>
    <x v="2"/>
    <x v="0"/>
    <x v="1"/>
    <n v="426"/>
    <n v="799"/>
    <x v="2"/>
    <n v="119"/>
    <n v="680"/>
    <n v="254"/>
    <x v="0"/>
  </r>
  <r>
    <s v="Gayatri"/>
    <x v="0"/>
    <x v="74"/>
    <x v="2"/>
    <x v="8"/>
    <x v="2"/>
    <x v="1"/>
    <x v="1"/>
    <n v="876"/>
    <n v="1499"/>
    <x v="1"/>
    <n v="299"/>
    <n v="1200"/>
    <n v="324"/>
    <x v="1"/>
  </r>
  <r>
    <s v="Anvesh"/>
    <x v="1"/>
    <x v="76"/>
    <x v="2"/>
    <x v="2"/>
    <x v="0"/>
    <x v="0"/>
    <x v="3"/>
    <n v="380"/>
    <n v="599"/>
    <x v="2"/>
    <n v="89"/>
    <n v="2040"/>
    <n v="520"/>
    <x v="0"/>
  </r>
  <r>
    <s v="Rahul"/>
    <x v="1"/>
    <x v="71"/>
    <x v="3"/>
    <x v="14"/>
    <x v="0"/>
    <x v="0"/>
    <x v="1"/>
    <n v="420"/>
    <n v="699"/>
    <x v="0"/>
    <n v="0"/>
    <n v="699"/>
    <n v="279"/>
    <x v="0"/>
  </r>
  <r>
    <s v="Shivani"/>
    <x v="0"/>
    <x v="77"/>
    <x v="3"/>
    <x v="14"/>
    <x v="1"/>
    <x v="0"/>
    <x v="1"/>
    <n v="944"/>
    <n v="1499"/>
    <x v="0"/>
    <n v="0"/>
    <n v="1499"/>
    <n v="555"/>
    <x v="1"/>
  </r>
  <r>
    <s v="Reavanth"/>
    <x v="1"/>
    <x v="68"/>
    <x v="0"/>
    <x v="13"/>
    <x v="2"/>
    <x v="1"/>
    <x v="1"/>
    <n v="273"/>
    <n v="499"/>
    <x v="0"/>
    <n v="0"/>
    <n v="499"/>
    <n v="226"/>
    <x v="0"/>
  </r>
  <r>
    <s v="Hema"/>
    <x v="0"/>
    <x v="78"/>
    <x v="1"/>
    <x v="7"/>
    <x v="0"/>
    <x v="1"/>
    <x v="0"/>
    <n v="1354"/>
    <n v="2399"/>
    <x v="1"/>
    <n v="479"/>
    <n v="3840"/>
    <n v="1132"/>
    <x v="0"/>
  </r>
  <r>
    <s v="Rohan"/>
    <x v="1"/>
    <x v="17"/>
    <x v="3"/>
    <x v="3"/>
    <x v="2"/>
    <x v="0"/>
    <x v="1"/>
    <n v="582"/>
    <n v="999"/>
    <x v="0"/>
    <n v="0"/>
    <n v="999"/>
    <n v="417"/>
    <x v="1"/>
  </r>
  <r>
    <s v="Anjali"/>
    <x v="0"/>
    <x v="79"/>
    <x v="3"/>
    <x v="14"/>
    <x v="1"/>
    <x v="0"/>
    <x v="4"/>
    <n v="642"/>
    <n v="999"/>
    <x v="0"/>
    <n v="0"/>
    <n v="4995"/>
    <n v="1785"/>
    <x v="1"/>
  </r>
  <r>
    <s v="Arjun"/>
    <x v="1"/>
    <x v="80"/>
    <x v="0"/>
    <x v="9"/>
    <x v="0"/>
    <x v="1"/>
    <x v="1"/>
    <n v="401"/>
    <n v="599"/>
    <x v="0"/>
    <n v="0"/>
    <n v="599"/>
    <n v="198"/>
    <x v="0"/>
  </r>
  <r>
    <s v="Arjun"/>
    <x v="1"/>
    <x v="37"/>
    <x v="0"/>
    <x v="9"/>
    <x v="1"/>
    <x v="1"/>
    <x v="3"/>
    <n v="321"/>
    <n v="499"/>
    <x v="0"/>
    <n v="0"/>
    <n v="1996"/>
    <n v="712"/>
    <x v="0"/>
  </r>
  <r>
    <s v=" Praveen"/>
    <x v="1"/>
    <x v="81"/>
    <x v="3"/>
    <x v="3"/>
    <x v="2"/>
    <x v="1"/>
    <x v="2"/>
    <n v="458"/>
    <n v="899"/>
    <x v="0"/>
    <n v="0"/>
    <n v="2697"/>
    <n v="1323"/>
    <x v="0"/>
  </r>
  <r>
    <s v="Aadhya"/>
    <x v="0"/>
    <x v="8"/>
    <x v="0"/>
    <x v="9"/>
    <x v="2"/>
    <x v="1"/>
    <x v="4"/>
    <n v="337"/>
    <n v="599"/>
    <x v="0"/>
    <n v="0"/>
    <n v="2995"/>
    <n v="1310"/>
    <x v="0"/>
  </r>
  <r>
    <s v="Arun"/>
    <x v="1"/>
    <x v="79"/>
    <x v="4"/>
    <x v="12"/>
    <x v="1"/>
    <x v="1"/>
    <x v="3"/>
    <n v="986"/>
    <n v="1699"/>
    <x v="4"/>
    <n v="169"/>
    <n v="6120"/>
    <n v="2176"/>
    <x v="1"/>
  </r>
  <r>
    <s v="Pravalika"/>
    <x v="0"/>
    <x v="82"/>
    <x v="3"/>
    <x v="14"/>
    <x v="2"/>
    <x v="0"/>
    <x v="0"/>
    <n v="534"/>
    <n v="999"/>
    <x v="0"/>
    <n v="0"/>
    <n v="1998"/>
    <n v="930"/>
    <x v="0"/>
  </r>
  <r>
    <s v="Chandrika"/>
    <x v="0"/>
    <x v="83"/>
    <x v="3"/>
    <x v="14"/>
    <x v="0"/>
    <x v="0"/>
    <x v="1"/>
    <n v="513"/>
    <n v="799"/>
    <x v="0"/>
    <n v="0"/>
    <n v="799"/>
    <n v="286"/>
    <x v="0"/>
  </r>
  <r>
    <s v="Swapna"/>
    <x v="0"/>
    <x v="84"/>
    <x v="4"/>
    <x v="15"/>
    <x v="2"/>
    <x v="1"/>
    <x v="1"/>
    <n v="1465"/>
    <n v="2199"/>
    <x v="3"/>
    <n v="109"/>
    <n v="2090"/>
    <n v="625"/>
    <x v="0"/>
  </r>
  <r>
    <s v="Bharath"/>
    <x v="1"/>
    <x v="85"/>
    <x v="2"/>
    <x v="2"/>
    <x v="0"/>
    <x v="1"/>
    <x v="0"/>
    <n v="305"/>
    <n v="499"/>
    <x v="1"/>
    <n v="99"/>
    <n v="800"/>
    <n v="190"/>
    <x v="0"/>
  </r>
  <r>
    <s v="Rohan"/>
    <x v="1"/>
    <x v="40"/>
    <x v="2"/>
    <x v="2"/>
    <x v="0"/>
    <x v="1"/>
    <x v="1"/>
    <n v="306"/>
    <n v="599"/>
    <x v="2"/>
    <n v="89"/>
    <n v="510"/>
    <n v="204"/>
    <x v="0"/>
  </r>
  <r>
    <s v="Devi Sree"/>
    <x v="0"/>
    <x v="78"/>
    <x v="0"/>
    <x v="11"/>
    <x v="1"/>
    <x v="1"/>
    <x v="1"/>
    <n v="398"/>
    <n v="599"/>
    <x v="0"/>
    <n v="0"/>
    <n v="599"/>
    <n v="201"/>
    <x v="0"/>
  </r>
  <r>
    <s v="Swapna"/>
    <x v="0"/>
    <x v="66"/>
    <x v="4"/>
    <x v="12"/>
    <x v="1"/>
    <x v="1"/>
    <x v="1"/>
    <n v="1381"/>
    <n v="2499"/>
    <x v="1"/>
    <n v="499"/>
    <n v="2000"/>
    <n v="619"/>
    <x v="1"/>
  </r>
  <r>
    <s v="Saanvi"/>
    <x v="0"/>
    <x v="86"/>
    <x v="3"/>
    <x v="3"/>
    <x v="0"/>
    <x v="0"/>
    <x v="1"/>
    <n v="605"/>
    <n v="999"/>
    <x v="0"/>
    <n v="0"/>
    <n v="999"/>
    <n v="394"/>
    <x v="0"/>
  </r>
  <r>
    <s v="Pooja"/>
    <x v="0"/>
    <x v="87"/>
    <x v="0"/>
    <x v="9"/>
    <x v="2"/>
    <x v="1"/>
    <x v="0"/>
    <n v="207"/>
    <n v="299"/>
    <x v="0"/>
    <n v="0"/>
    <n v="598"/>
    <n v="184"/>
    <x v="0"/>
  </r>
  <r>
    <s v="Arjun"/>
    <x v="1"/>
    <x v="49"/>
    <x v="1"/>
    <x v="7"/>
    <x v="1"/>
    <x v="0"/>
    <x v="1"/>
    <n v="1255"/>
    <n v="2299"/>
    <x v="2"/>
    <n v="344"/>
    <n v="1955"/>
    <n v="700"/>
    <x v="1"/>
  </r>
  <r>
    <s v="Swathi"/>
    <x v="0"/>
    <x v="88"/>
    <x v="1"/>
    <x v="1"/>
    <x v="0"/>
    <x v="1"/>
    <x v="1"/>
    <n v="879"/>
    <n v="1399"/>
    <x v="4"/>
    <n v="139"/>
    <n v="1260"/>
    <n v="381"/>
    <x v="1"/>
  </r>
  <r>
    <s v="Sai"/>
    <x v="1"/>
    <x v="67"/>
    <x v="2"/>
    <x v="2"/>
    <x v="0"/>
    <x v="1"/>
    <x v="1"/>
    <n v="296"/>
    <n v="499"/>
    <x v="2"/>
    <n v="74"/>
    <n v="425"/>
    <n v="129"/>
    <x v="0"/>
  </r>
  <r>
    <s v="Mallesh"/>
    <x v="1"/>
    <x v="89"/>
    <x v="0"/>
    <x v="11"/>
    <x v="0"/>
    <x v="0"/>
    <x v="3"/>
    <n v="522"/>
    <n v="799"/>
    <x v="0"/>
    <n v="0"/>
    <n v="3196"/>
    <n v="1108"/>
    <x v="0"/>
  </r>
  <r>
    <s v="Kalyan"/>
    <x v="1"/>
    <x v="1"/>
    <x v="4"/>
    <x v="5"/>
    <x v="0"/>
    <x v="1"/>
    <x v="2"/>
    <n v="498"/>
    <n v="799"/>
    <x v="4"/>
    <n v="79"/>
    <n v="2160"/>
    <n v="666"/>
    <x v="0"/>
  </r>
  <r>
    <s v="Pranay"/>
    <x v="1"/>
    <x v="48"/>
    <x v="3"/>
    <x v="3"/>
    <x v="2"/>
    <x v="0"/>
    <x v="1"/>
    <n v="1042"/>
    <n v="1499"/>
    <x v="0"/>
    <n v="0"/>
    <n v="1499"/>
    <n v="457"/>
    <x v="1"/>
  </r>
  <r>
    <s v="Yeshwanth"/>
    <x v="1"/>
    <x v="90"/>
    <x v="4"/>
    <x v="10"/>
    <x v="0"/>
    <x v="1"/>
    <x v="3"/>
    <n v="911"/>
    <n v="1299"/>
    <x v="1"/>
    <n v="259"/>
    <n v="4160"/>
    <n v="516"/>
    <x v="1"/>
  </r>
  <r>
    <s v="Kavya"/>
    <x v="0"/>
    <x v="91"/>
    <x v="3"/>
    <x v="14"/>
    <x v="2"/>
    <x v="1"/>
    <x v="3"/>
    <n v="702"/>
    <n v="1199"/>
    <x v="0"/>
    <n v="0"/>
    <n v="4796"/>
    <n v="1988"/>
    <x v="0"/>
  </r>
  <r>
    <s v="Venu"/>
    <x v="1"/>
    <x v="92"/>
    <x v="2"/>
    <x v="2"/>
    <x v="2"/>
    <x v="0"/>
    <x v="1"/>
    <n v="485"/>
    <n v="699"/>
    <x v="1"/>
    <n v="139"/>
    <n v="560"/>
    <n v="75"/>
    <x v="0"/>
  </r>
  <r>
    <s v="Srujan"/>
    <x v="1"/>
    <x v="93"/>
    <x v="0"/>
    <x v="9"/>
    <x v="0"/>
    <x v="1"/>
    <x v="3"/>
    <n v="334"/>
    <n v="599"/>
    <x v="0"/>
    <n v="0"/>
    <n v="2396"/>
    <n v="1060"/>
    <x v="0"/>
  </r>
  <r>
    <s v="Pravalika"/>
    <x v="0"/>
    <x v="16"/>
    <x v="2"/>
    <x v="2"/>
    <x v="0"/>
    <x v="0"/>
    <x v="4"/>
    <n v="325"/>
    <n v="599"/>
    <x v="2"/>
    <n v="89"/>
    <n v="2550"/>
    <n v="925"/>
    <x v="1"/>
  </r>
  <r>
    <s v="Deepak"/>
    <x v="1"/>
    <x v="77"/>
    <x v="2"/>
    <x v="2"/>
    <x v="2"/>
    <x v="1"/>
    <x v="0"/>
    <n v="431"/>
    <n v="599"/>
    <x v="3"/>
    <n v="29"/>
    <n v="1140"/>
    <n v="278"/>
    <x v="0"/>
  </r>
  <r>
    <s v="Vijay"/>
    <x v="1"/>
    <x v="94"/>
    <x v="4"/>
    <x v="16"/>
    <x v="2"/>
    <x v="1"/>
    <x v="0"/>
    <n v="1532"/>
    <n v="2299"/>
    <x v="4"/>
    <n v="229"/>
    <n v="4140"/>
    <n v="1076"/>
    <x v="0"/>
  </r>
  <r>
    <s v="Swetha"/>
    <x v="0"/>
    <x v="66"/>
    <x v="1"/>
    <x v="7"/>
    <x v="1"/>
    <x v="0"/>
    <x v="0"/>
    <n v="1919"/>
    <n v="3799"/>
    <x v="1"/>
    <n v="759"/>
    <n v="6080"/>
    <n v="2242"/>
    <x v="1"/>
  </r>
  <r>
    <s v="Anvesh"/>
    <x v="1"/>
    <x v="95"/>
    <x v="0"/>
    <x v="13"/>
    <x v="2"/>
    <x v="0"/>
    <x v="0"/>
    <n v="291"/>
    <n v="399"/>
    <x v="0"/>
    <n v="0"/>
    <n v="798"/>
    <n v="216"/>
    <x v="1"/>
  </r>
  <r>
    <s v="Rohan"/>
    <x v="1"/>
    <x v="60"/>
    <x v="3"/>
    <x v="14"/>
    <x v="1"/>
    <x v="1"/>
    <x v="0"/>
    <n v="503"/>
    <n v="799"/>
    <x v="0"/>
    <n v="0"/>
    <n v="1598"/>
    <n v="592"/>
    <x v="1"/>
  </r>
  <r>
    <s v="Sai Deep"/>
    <x v="1"/>
    <x v="20"/>
    <x v="0"/>
    <x v="11"/>
    <x v="2"/>
    <x v="0"/>
    <x v="0"/>
    <n v="162"/>
    <n v="299"/>
    <x v="0"/>
    <n v="0"/>
    <n v="598"/>
    <n v="274"/>
    <x v="0"/>
  </r>
  <r>
    <s v="Uday"/>
    <x v="1"/>
    <x v="96"/>
    <x v="1"/>
    <x v="1"/>
    <x v="2"/>
    <x v="0"/>
    <x v="1"/>
    <n v="1211"/>
    <n v="1899"/>
    <x v="1"/>
    <n v="379"/>
    <n v="1520"/>
    <n v="309"/>
    <x v="0"/>
  </r>
  <r>
    <s v="Aditya"/>
    <x v="1"/>
    <x v="75"/>
    <x v="2"/>
    <x v="8"/>
    <x v="1"/>
    <x v="1"/>
    <x v="1"/>
    <n v="1180"/>
    <n v="1899"/>
    <x v="1"/>
    <n v="379"/>
    <n v="1520"/>
    <n v="340"/>
    <x v="0"/>
  </r>
  <r>
    <s v="Anudeep"/>
    <x v="1"/>
    <x v="97"/>
    <x v="3"/>
    <x v="14"/>
    <x v="0"/>
    <x v="0"/>
    <x v="4"/>
    <n v="1055"/>
    <n v="1499"/>
    <x v="0"/>
    <n v="0"/>
    <n v="7495"/>
    <n v="2220"/>
    <x v="0"/>
  </r>
  <r>
    <s v="Shivani"/>
    <x v="0"/>
    <x v="47"/>
    <x v="0"/>
    <x v="0"/>
    <x v="1"/>
    <x v="1"/>
    <x v="1"/>
    <n v="206"/>
    <n v="299"/>
    <x v="0"/>
    <n v="0"/>
    <n v="299"/>
    <n v="93"/>
    <x v="0"/>
  </r>
  <r>
    <s v="Laxmi"/>
    <x v="0"/>
    <x v="98"/>
    <x v="3"/>
    <x v="3"/>
    <x v="0"/>
    <x v="1"/>
    <x v="1"/>
    <n v="715"/>
    <n v="999"/>
    <x v="0"/>
    <n v="0"/>
    <n v="999"/>
    <n v="284"/>
    <x v="0"/>
  </r>
  <r>
    <s v="Vijay"/>
    <x v="1"/>
    <x v="33"/>
    <x v="2"/>
    <x v="2"/>
    <x v="1"/>
    <x v="1"/>
    <x v="1"/>
    <n v="518"/>
    <n v="699"/>
    <x v="3"/>
    <n v="34"/>
    <n v="665"/>
    <n v="147"/>
    <x v="0"/>
  </r>
  <r>
    <s v="Lavanya"/>
    <x v="0"/>
    <x v="34"/>
    <x v="2"/>
    <x v="8"/>
    <x v="0"/>
    <x v="1"/>
    <x v="1"/>
    <n v="699"/>
    <n v="1299"/>
    <x v="1"/>
    <n v="259"/>
    <n v="1040"/>
    <n v="341"/>
    <x v="0"/>
  </r>
  <r>
    <s v="Aadhya"/>
    <x v="0"/>
    <x v="99"/>
    <x v="2"/>
    <x v="2"/>
    <x v="1"/>
    <x v="1"/>
    <x v="1"/>
    <n v="418"/>
    <n v="799"/>
    <x v="1"/>
    <n v="159"/>
    <n v="640"/>
    <n v="222"/>
    <x v="0"/>
  </r>
  <r>
    <s v="Rakesh"/>
    <x v="1"/>
    <x v="100"/>
    <x v="1"/>
    <x v="7"/>
    <x v="2"/>
    <x v="1"/>
    <x v="1"/>
    <n v="2106"/>
    <n v="3699"/>
    <x v="3"/>
    <n v="184"/>
    <n v="3515"/>
    <n v="1409"/>
    <x v="0"/>
  </r>
  <r>
    <s v="Swathi"/>
    <x v="0"/>
    <x v="34"/>
    <x v="2"/>
    <x v="8"/>
    <x v="1"/>
    <x v="0"/>
    <x v="1"/>
    <n v="939"/>
    <n v="1499"/>
    <x v="2"/>
    <n v="224"/>
    <n v="1275"/>
    <n v="336"/>
    <x v="0"/>
  </r>
  <r>
    <s v="Chandrika"/>
    <x v="0"/>
    <x v="101"/>
    <x v="1"/>
    <x v="7"/>
    <x v="0"/>
    <x v="0"/>
    <x v="1"/>
    <n v="1382"/>
    <n v="2399"/>
    <x v="3"/>
    <n v="119"/>
    <n v="2280"/>
    <n v="898"/>
    <x v="0"/>
  </r>
  <r>
    <s v="Neha"/>
    <x v="0"/>
    <x v="102"/>
    <x v="2"/>
    <x v="8"/>
    <x v="2"/>
    <x v="1"/>
    <x v="2"/>
    <n v="961"/>
    <n v="1899"/>
    <x v="3"/>
    <n v="94"/>
    <n v="5415"/>
    <n v="2532"/>
    <x v="0"/>
  </r>
  <r>
    <s v="Vivaan"/>
    <x v="1"/>
    <x v="103"/>
    <x v="0"/>
    <x v="13"/>
    <x v="1"/>
    <x v="0"/>
    <x v="1"/>
    <n v="292"/>
    <n v="499"/>
    <x v="0"/>
    <n v="0"/>
    <n v="499"/>
    <n v="207"/>
    <x v="0"/>
  </r>
  <r>
    <s v="Hema"/>
    <x v="0"/>
    <x v="97"/>
    <x v="4"/>
    <x v="12"/>
    <x v="0"/>
    <x v="0"/>
    <x v="1"/>
    <n v="661"/>
    <n v="1199"/>
    <x v="2"/>
    <n v="179"/>
    <n v="1020"/>
    <n v="359"/>
    <x v="0"/>
  </r>
  <r>
    <s v="Venu"/>
    <x v="1"/>
    <x v="104"/>
    <x v="4"/>
    <x v="10"/>
    <x v="2"/>
    <x v="1"/>
    <x v="1"/>
    <n v="1205"/>
    <n v="1899"/>
    <x v="1"/>
    <n v="379"/>
    <n v="1520"/>
    <n v="315"/>
    <x v="1"/>
  </r>
  <r>
    <s v="Rohan"/>
    <x v="1"/>
    <x v="67"/>
    <x v="0"/>
    <x v="11"/>
    <x v="2"/>
    <x v="0"/>
    <x v="4"/>
    <n v="303"/>
    <n v="499"/>
    <x v="0"/>
    <n v="0"/>
    <n v="2495"/>
    <n v="980"/>
    <x v="1"/>
  </r>
  <r>
    <s v=" Praveen"/>
    <x v="1"/>
    <x v="27"/>
    <x v="1"/>
    <x v="7"/>
    <x v="1"/>
    <x v="1"/>
    <x v="2"/>
    <n v="1503"/>
    <n v="2699"/>
    <x v="3"/>
    <n v="134"/>
    <n v="7695"/>
    <n v="3186"/>
    <x v="0"/>
  </r>
  <r>
    <s v="Viraj"/>
    <x v="1"/>
    <x v="40"/>
    <x v="0"/>
    <x v="0"/>
    <x v="0"/>
    <x v="0"/>
    <x v="1"/>
    <n v="159"/>
    <n v="299"/>
    <x v="0"/>
    <n v="0"/>
    <n v="299"/>
    <n v="140"/>
    <x v="0"/>
  </r>
  <r>
    <s v="Sanjeev"/>
    <x v="1"/>
    <x v="57"/>
    <x v="0"/>
    <x v="11"/>
    <x v="1"/>
    <x v="0"/>
    <x v="1"/>
    <n v="333"/>
    <n v="499"/>
    <x v="0"/>
    <n v="0"/>
    <n v="499"/>
    <n v="166"/>
    <x v="0"/>
  </r>
  <r>
    <s v="Yeshwanth"/>
    <x v="1"/>
    <x v="56"/>
    <x v="1"/>
    <x v="1"/>
    <x v="1"/>
    <x v="0"/>
    <x v="1"/>
    <n v="922"/>
    <n v="1499"/>
    <x v="1"/>
    <n v="299"/>
    <n v="1200"/>
    <n v="278"/>
    <x v="1"/>
  </r>
  <r>
    <s v="Uday"/>
    <x v="1"/>
    <x v="105"/>
    <x v="1"/>
    <x v="7"/>
    <x v="2"/>
    <x v="1"/>
    <x v="4"/>
    <n v="1913"/>
    <n v="3399"/>
    <x v="4"/>
    <n v="339"/>
    <n v="15300"/>
    <n v="5735"/>
    <x v="0"/>
  </r>
  <r>
    <s v="Anudeep"/>
    <x v="1"/>
    <x v="43"/>
    <x v="1"/>
    <x v="7"/>
    <x v="1"/>
    <x v="0"/>
    <x v="1"/>
    <n v="2341"/>
    <n v="4199"/>
    <x v="2"/>
    <n v="629"/>
    <n v="3570"/>
    <n v="1229"/>
    <x v="1"/>
  </r>
  <r>
    <s v="Shivani"/>
    <x v="0"/>
    <x v="50"/>
    <x v="2"/>
    <x v="8"/>
    <x v="1"/>
    <x v="0"/>
    <x v="4"/>
    <n v="706"/>
    <n v="999"/>
    <x v="2"/>
    <n v="149"/>
    <n v="4250"/>
    <n v="720"/>
    <x v="1"/>
  </r>
  <r>
    <s v="Viraj"/>
    <x v="1"/>
    <x v="12"/>
    <x v="3"/>
    <x v="3"/>
    <x v="2"/>
    <x v="1"/>
    <x v="1"/>
    <n v="645"/>
    <n v="899"/>
    <x v="0"/>
    <n v="0"/>
    <n v="899"/>
    <n v="254"/>
    <x v="0"/>
  </r>
  <r>
    <s v="Venu"/>
    <x v="1"/>
    <x v="106"/>
    <x v="2"/>
    <x v="2"/>
    <x v="0"/>
    <x v="0"/>
    <x v="2"/>
    <n v="269"/>
    <n v="499"/>
    <x v="4"/>
    <n v="49"/>
    <n v="1350"/>
    <n v="543"/>
    <x v="0"/>
  </r>
  <r>
    <s v="Anvesh"/>
    <x v="1"/>
    <x v="61"/>
    <x v="3"/>
    <x v="3"/>
    <x v="2"/>
    <x v="1"/>
    <x v="0"/>
    <n v="599"/>
    <n v="999"/>
    <x v="0"/>
    <n v="0"/>
    <n v="1998"/>
    <n v="800"/>
    <x v="0"/>
  </r>
  <r>
    <s v="Deepak"/>
    <x v="1"/>
    <x v="100"/>
    <x v="0"/>
    <x v="13"/>
    <x v="2"/>
    <x v="1"/>
    <x v="0"/>
    <n v="283"/>
    <n v="399"/>
    <x v="0"/>
    <n v="0"/>
    <n v="798"/>
    <n v="232"/>
    <x v="0"/>
  </r>
  <r>
    <s v="Lavanya"/>
    <x v="0"/>
    <x v="13"/>
    <x v="4"/>
    <x v="6"/>
    <x v="2"/>
    <x v="0"/>
    <x v="2"/>
    <n v="318"/>
    <n v="599"/>
    <x v="3"/>
    <n v="29"/>
    <n v="1710"/>
    <n v="756"/>
    <x v="0"/>
  </r>
  <r>
    <s v="Swetha"/>
    <x v="0"/>
    <x v="107"/>
    <x v="0"/>
    <x v="11"/>
    <x v="1"/>
    <x v="1"/>
    <x v="1"/>
    <n v="573"/>
    <n v="799"/>
    <x v="0"/>
    <n v="0"/>
    <n v="799"/>
    <n v="226"/>
    <x v="0"/>
  </r>
  <r>
    <s v="Srawani"/>
    <x v="0"/>
    <x v="29"/>
    <x v="0"/>
    <x v="9"/>
    <x v="0"/>
    <x v="0"/>
    <x v="1"/>
    <n v="198"/>
    <n v="299"/>
    <x v="0"/>
    <n v="0"/>
    <n v="299"/>
    <n v="101"/>
    <x v="0"/>
  </r>
  <r>
    <s v="Nandhini"/>
    <x v="0"/>
    <x v="108"/>
    <x v="1"/>
    <x v="1"/>
    <x v="1"/>
    <x v="0"/>
    <x v="1"/>
    <n v="739"/>
    <n v="1299"/>
    <x v="1"/>
    <n v="259"/>
    <n v="1040"/>
    <n v="301"/>
    <x v="1"/>
  </r>
  <r>
    <s v="Lassya"/>
    <x v="0"/>
    <x v="66"/>
    <x v="2"/>
    <x v="2"/>
    <x v="0"/>
    <x v="0"/>
    <x v="1"/>
    <n v="322"/>
    <n v="599"/>
    <x v="2"/>
    <n v="89"/>
    <n v="510"/>
    <n v="188"/>
    <x v="0"/>
  </r>
  <r>
    <s v="Pravalika"/>
    <x v="0"/>
    <x v="20"/>
    <x v="0"/>
    <x v="9"/>
    <x v="0"/>
    <x v="0"/>
    <x v="1"/>
    <n v="331"/>
    <n v="499"/>
    <x v="0"/>
    <n v="0"/>
    <n v="499"/>
    <n v="168"/>
    <x v="0"/>
  </r>
  <r>
    <s v="Sai Deep"/>
    <x v="1"/>
    <x v="109"/>
    <x v="3"/>
    <x v="3"/>
    <x v="0"/>
    <x v="0"/>
    <x v="0"/>
    <n v="781"/>
    <n v="1399"/>
    <x v="0"/>
    <n v="0"/>
    <n v="2798"/>
    <n v="1236"/>
    <x v="0"/>
  </r>
  <r>
    <s v="Swathi"/>
    <x v="0"/>
    <x v="110"/>
    <x v="0"/>
    <x v="9"/>
    <x v="1"/>
    <x v="1"/>
    <x v="3"/>
    <n v="382"/>
    <n v="599"/>
    <x v="0"/>
    <n v="0"/>
    <n v="2396"/>
    <n v="868"/>
    <x v="0"/>
  </r>
  <r>
    <s v="Vijay"/>
    <x v="1"/>
    <x v="111"/>
    <x v="4"/>
    <x v="12"/>
    <x v="1"/>
    <x v="1"/>
    <x v="1"/>
    <n v="1279"/>
    <n v="1799"/>
    <x v="2"/>
    <n v="269"/>
    <n v="1530"/>
    <n v="251"/>
    <x v="0"/>
  </r>
  <r>
    <s v="Manoj"/>
    <x v="1"/>
    <x v="112"/>
    <x v="3"/>
    <x v="3"/>
    <x v="0"/>
    <x v="0"/>
    <x v="2"/>
    <n v="931"/>
    <n v="1399"/>
    <x v="0"/>
    <n v="0"/>
    <n v="4197"/>
    <n v="1404"/>
    <x v="1"/>
  </r>
  <r>
    <s v="Manoj"/>
    <x v="1"/>
    <x v="30"/>
    <x v="1"/>
    <x v="1"/>
    <x v="2"/>
    <x v="1"/>
    <x v="4"/>
    <n v="950"/>
    <n v="1299"/>
    <x v="1"/>
    <n v="259"/>
    <n v="5200"/>
    <n v="450"/>
    <x v="0"/>
  </r>
  <r>
    <s v="Venu"/>
    <x v="1"/>
    <x v="113"/>
    <x v="4"/>
    <x v="12"/>
    <x v="0"/>
    <x v="0"/>
    <x v="1"/>
    <n v="749"/>
    <n v="1199"/>
    <x v="2"/>
    <n v="179"/>
    <n v="1020"/>
    <n v="271"/>
    <x v="1"/>
  </r>
  <r>
    <s v="Anvesh"/>
    <x v="1"/>
    <x v="22"/>
    <x v="3"/>
    <x v="3"/>
    <x v="0"/>
    <x v="0"/>
    <x v="1"/>
    <n v="879"/>
    <n v="1199"/>
    <x v="0"/>
    <n v="0"/>
    <n v="1199"/>
    <n v="320"/>
    <x v="0"/>
  </r>
  <r>
    <s v="Neha"/>
    <x v="0"/>
    <x v="114"/>
    <x v="0"/>
    <x v="0"/>
    <x v="1"/>
    <x v="0"/>
    <x v="1"/>
    <n v="193"/>
    <n v="299"/>
    <x v="0"/>
    <n v="0"/>
    <n v="299"/>
    <n v="106"/>
    <x v="0"/>
  </r>
  <r>
    <s v="Srawani"/>
    <x v="0"/>
    <x v="49"/>
    <x v="2"/>
    <x v="2"/>
    <x v="0"/>
    <x v="0"/>
    <x v="3"/>
    <n v="250"/>
    <n v="499"/>
    <x v="2"/>
    <n v="74"/>
    <n v="1700"/>
    <n v="700"/>
    <x v="0"/>
  </r>
  <r>
    <s v="Bharath"/>
    <x v="1"/>
    <x v="1"/>
    <x v="0"/>
    <x v="0"/>
    <x v="0"/>
    <x v="0"/>
    <x v="0"/>
    <n v="357"/>
    <n v="499"/>
    <x v="0"/>
    <n v="0"/>
    <n v="998"/>
    <n v="284"/>
    <x v="0"/>
  </r>
  <r>
    <s v="Arjun"/>
    <x v="1"/>
    <x v="95"/>
    <x v="4"/>
    <x v="15"/>
    <x v="0"/>
    <x v="0"/>
    <x v="1"/>
    <n v="1354"/>
    <n v="2399"/>
    <x v="2"/>
    <n v="359"/>
    <n v="2040"/>
    <n v="686"/>
    <x v="0"/>
  </r>
  <r>
    <s v="Ananya"/>
    <x v="0"/>
    <x v="115"/>
    <x v="2"/>
    <x v="8"/>
    <x v="2"/>
    <x v="0"/>
    <x v="1"/>
    <n v="359"/>
    <n v="699"/>
    <x v="3"/>
    <n v="34"/>
    <n v="665"/>
    <n v="306"/>
    <x v="0"/>
  </r>
  <r>
    <s v="Srinivas"/>
    <x v="1"/>
    <x v="73"/>
    <x v="4"/>
    <x v="10"/>
    <x v="2"/>
    <x v="1"/>
    <x v="1"/>
    <n v="534"/>
    <n v="899"/>
    <x v="4"/>
    <n v="89"/>
    <n v="810"/>
    <n v="276"/>
    <x v="0"/>
  </r>
  <r>
    <s v="Lavanya"/>
    <x v="0"/>
    <x v="116"/>
    <x v="1"/>
    <x v="7"/>
    <x v="0"/>
    <x v="1"/>
    <x v="1"/>
    <n v="2615"/>
    <n v="4799"/>
    <x v="2"/>
    <n v="719"/>
    <n v="4080"/>
    <n v="1465"/>
    <x v="0"/>
  </r>
  <r>
    <s v="Rakesh"/>
    <x v="1"/>
    <x v="117"/>
    <x v="0"/>
    <x v="9"/>
    <x v="2"/>
    <x v="1"/>
    <x v="2"/>
    <n v="180"/>
    <n v="299"/>
    <x v="0"/>
    <n v="0"/>
    <n v="897"/>
    <n v="357"/>
    <x v="0"/>
  </r>
  <r>
    <s v="Vinay"/>
    <x v="1"/>
    <x v="24"/>
    <x v="3"/>
    <x v="3"/>
    <x v="0"/>
    <x v="0"/>
    <x v="1"/>
    <n v="907"/>
    <n v="1499"/>
    <x v="0"/>
    <n v="0"/>
    <n v="1499"/>
    <n v="592"/>
    <x v="0"/>
  </r>
  <r>
    <s v="Sneha"/>
    <x v="0"/>
    <x v="28"/>
    <x v="0"/>
    <x v="13"/>
    <x v="2"/>
    <x v="1"/>
    <x v="1"/>
    <n v="336"/>
    <n v="499"/>
    <x v="0"/>
    <n v="0"/>
    <n v="499"/>
    <n v="163"/>
    <x v="0"/>
  </r>
  <r>
    <s v="Srujan"/>
    <x v="1"/>
    <x v="98"/>
    <x v="4"/>
    <x v="10"/>
    <x v="1"/>
    <x v="0"/>
    <x v="0"/>
    <n v="821"/>
    <n v="1199"/>
    <x v="4"/>
    <n v="119"/>
    <n v="2160"/>
    <n v="518"/>
    <x v="0"/>
  </r>
  <r>
    <s v="Devi"/>
    <x v="0"/>
    <x v="118"/>
    <x v="3"/>
    <x v="3"/>
    <x v="1"/>
    <x v="0"/>
    <x v="0"/>
    <n v="953"/>
    <n v="1399"/>
    <x v="0"/>
    <n v="0"/>
    <n v="2798"/>
    <n v="892"/>
    <x v="0"/>
  </r>
  <r>
    <s v="Rohan"/>
    <x v="1"/>
    <x v="92"/>
    <x v="3"/>
    <x v="14"/>
    <x v="2"/>
    <x v="0"/>
    <x v="1"/>
    <n v="542"/>
    <n v="999"/>
    <x v="0"/>
    <n v="0"/>
    <n v="999"/>
    <n v="457"/>
    <x v="0"/>
  </r>
  <r>
    <s v="Tejas"/>
    <x v="1"/>
    <x v="84"/>
    <x v="0"/>
    <x v="13"/>
    <x v="0"/>
    <x v="1"/>
    <x v="1"/>
    <n v="286"/>
    <n v="399"/>
    <x v="0"/>
    <n v="0"/>
    <n v="399"/>
    <n v="113"/>
    <x v="1"/>
  </r>
  <r>
    <s v="Devi"/>
    <x v="0"/>
    <x v="119"/>
    <x v="0"/>
    <x v="13"/>
    <x v="1"/>
    <x v="1"/>
    <x v="1"/>
    <n v="326"/>
    <n v="499"/>
    <x v="0"/>
    <n v="0"/>
    <n v="499"/>
    <n v="173"/>
    <x v="0"/>
  </r>
  <r>
    <s v="Srawani"/>
    <x v="0"/>
    <x v="104"/>
    <x v="2"/>
    <x v="8"/>
    <x v="2"/>
    <x v="0"/>
    <x v="1"/>
    <n v="438"/>
    <n v="799"/>
    <x v="1"/>
    <n v="159"/>
    <n v="640"/>
    <n v="202"/>
    <x v="0"/>
  </r>
  <r>
    <s v="Sneha"/>
    <x v="0"/>
    <x v="120"/>
    <x v="1"/>
    <x v="7"/>
    <x v="0"/>
    <x v="0"/>
    <x v="3"/>
    <n v="2117"/>
    <n v="3699"/>
    <x v="3"/>
    <n v="184"/>
    <n v="14060"/>
    <n v="5592"/>
    <x v="0"/>
  </r>
  <r>
    <s v="Rakesh"/>
    <x v="1"/>
    <x v="39"/>
    <x v="4"/>
    <x v="12"/>
    <x v="2"/>
    <x v="1"/>
    <x v="1"/>
    <n v="1467"/>
    <n v="2199"/>
    <x v="3"/>
    <n v="109"/>
    <n v="2090"/>
    <n v="623"/>
    <x v="1"/>
  </r>
  <r>
    <s v="Manoj"/>
    <x v="1"/>
    <x v="121"/>
    <x v="2"/>
    <x v="2"/>
    <x v="2"/>
    <x v="1"/>
    <x v="1"/>
    <n v="302"/>
    <n v="499"/>
    <x v="4"/>
    <n v="49"/>
    <n v="450"/>
    <n v="148"/>
    <x v="0"/>
  </r>
  <r>
    <s v="Vivaan"/>
    <x v="1"/>
    <x v="80"/>
    <x v="0"/>
    <x v="0"/>
    <x v="2"/>
    <x v="1"/>
    <x v="1"/>
    <n v="264"/>
    <n v="399"/>
    <x v="0"/>
    <n v="0"/>
    <n v="399"/>
    <n v="135"/>
    <x v="0"/>
  </r>
  <r>
    <s v="Deepak"/>
    <x v="1"/>
    <x v="22"/>
    <x v="3"/>
    <x v="14"/>
    <x v="1"/>
    <x v="1"/>
    <x v="0"/>
    <n v="401"/>
    <n v="699"/>
    <x v="0"/>
    <n v="0"/>
    <n v="1398"/>
    <n v="596"/>
    <x v="0"/>
  </r>
  <r>
    <s v="Tejas"/>
    <x v="1"/>
    <x v="122"/>
    <x v="0"/>
    <x v="9"/>
    <x v="2"/>
    <x v="0"/>
    <x v="4"/>
    <n v="316"/>
    <n v="499"/>
    <x v="0"/>
    <n v="0"/>
    <n v="2495"/>
    <n v="915"/>
    <x v="1"/>
  </r>
  <r>
    <s v="Aadhya"/>
    <x v="0"/>
    <x v="123"/>
    <x v="1"/>
    <x v="1"/>
    <x v="0"/>
    <x v="1"/>
    <x v="1"/>
    <n v="897"/>
    <n v="1199"/>
    <x v="4"/>
    <n v="119"/>
    <n v="1080"/>
    <n v="183"/>
    <x v="0"/>
  </r>
  <r>
    <s v="Mallesh"/>
    <x v="1"/>
    <x v="8"/>
    <x v="4"/>
    <x v="6"/>
    <x v="2"/>
    <x v="1"/>
    <x v="0"/>
    <n v="507"/>
    <n v="999"/>
    <x v="2"/>
    <n v="149"/>
    <n v="1700"/>
    <n v="686"/>
    <x v="0"/>
  </r>
  <r>
    <s v="Ananya"/>
    <x v="0"/>
    <x v="35"/>
    <x v="4"/>
    <x v="10"/>
    <x v="2"/>
    <x v="1"/>
    <x v="1"/>
    <n v="1219"/>
    <n v="1799"/>
    <x v="2"/>
    <n v="269"/>
    <n v="1530"/>
    <n v="311"/>
    <x v="0"/>
  </r>
  <r>
    <s v="Sai Deep"/>
    <x v="1"/>
    <x v="44"/>
    <x v="0"/>
    <x v="0"/>
    <x v="2"/>
    <x v="0"/>
    <x v="3"/>
    <n v="252"/>
    <n v="399"/>
    <x v="0"/>
    <n v="0"/>
    <n v="1596"/>
    <n v="588"/>
    <x v="1"/>
  </r>
  <r>
    <s v="Aarav"/>
    <x v="1"/>
    <x v="0"/>
    <x v="2"/>
    <x v="2"/>
    <x v="1"/>
    <x v="1"/>
    <x v="1"/>
    <n v="481"/>
    <n v="699"/>
    <x v="1"/>
    <n v="139"/>
    <n v="560"/>
    <n v="79"/>
    <x v="0"/>
  </r>
  <r>
    <s v="Swapna"/>
    <x v="0"/>
    <x v="124"/>
    <x v="3"/>
    <x v="3"/>
    <x v="1"/>
    <x v="1"/>
    <x v="4"/>
    <n v="657"/>
    <n v="899"/>
    <x v="0"/>
    <n v="0"/>
    <n v="4495"/>
    <n v="1210"/>
    <x v="0"/>
  </r>
  <r>
    <s v="Koushika"/>
    <x v="0"/>
    <x v="20"/>
    <x v="4"/>
    <x v="6"/>
    <x v="1"/>
    <x v="0"/>
    <x v="0"/>
    <n v="384"/>
    <n v="599"/>
    <x v="3"/>
    <n v="29"/>
    <n v="1140"/>
    <n v="372"/>
    <x v="0"/>
  </r>
  <r>
    <s v="Manoj"/>
    <x v="1"/>
    <x v="125"/>
    <x v="0"/>
    <x v="11"/>
    <x v="1"/>
    <x v="0"/>
    <x v="1"/>
    <n v="236"/>
    <n v="399"/>
    <x v="0"/>
    <n v="0"/>
    <n v="399"/>
    <n v="163"/>
    <x v="0"/>
  </r>
  <r>
    <s v="Arjun"/>
    <x v="1"/>
    <x v="34"/>
    <x v="0"/>
    <x v="9"/>
    <x v="1"/>
    <x v="1"/>
    <x v="1"/>
    <n v="269"/>
    <n v="399"/>
    <x v="0"/>
    <n v="0"/>
    <n v="399"/>
    <n v="130"/>
    <x v="0"/>
  </r>
  <r>
    <s v=" Praveen"/>
    <x v="1"/>
    <x v="100"/>
    <x v="1"/>
    <x v="1"/>
    <x v="1"/>
    <x v="0"/>
    <x v="1"/>
    <n v="1286"/>
    <n v="1799"/>
    <x v="2"/>
    <n v="269"/>
    <n v="1530"/>
    <n v="244"/>
    <x v="0"/>
  </r>
  <r>
    <s v="Surya"/>
    <x v="1"/>
    <x v="126"/>
    <x v="3"/>
    <x v="3"/>
    <x v="1"/>
    <x v="1"/>
    <x v="1"/>
    <n v="1013"/>
    <n v="1499"/>
    <x v="0"/>
    <n v="0"/>
    <n v="1499"/>
    <n v="486"/>
    <x v="0"/>
  </r>
  <r>
    <s v="Aadhya"/>
    <x v="0"/>
    <x v="127"/>
    <x v="1"/>
    <x v="1"/>
    <x v="2"/>
    <x v="0"/>
    <x v="1"/>
    <n v="1241"/>
    <n v="2299"/>
    <x v="4"/>
    <n v="229"/>
    <n v="2070"/>
    <n v="829"/>
    <x v="0"/>
  </r>
  <r>
    <s v="Rakesh"/>
    <x v="1"/>
    <x v="128"/>
    <x v="1"/>
    <x v="1"/>
    <x v="2"/>
    <x v="1"/>
    <x v="1"/>
    <n v="1442"/>
    <n v="2499"/>
    <x v="1"/>
    <n v="499"/>
    <n v="2000"/>
    <n v="558"/>
    <x v="1"/>
  </r>
  <r>
    <s v="Srujan"/>
    <x v="1"/>
    <x v="71"/>
    <x v="4"/>
    <x v="5"/>
    <x v="2"/>
    <x v="1"/>
    <x v="1"/>
    <n v="585"/>
    <n v="799"/>
    <x v="3"/>
    <n v="39"/>
    <n v="760"/>
    <n v="175"/>
    <x v="1"/>
  </r>
  <r>
    <s v="Nandhini"/>
    <x v="0"/>
    <x v="43"/>
    <x v="4"/>
    <x v="5"/>
    <x v="0"/>
    <x v="1"/>
    <x v="4"/>
    <n v="1112"/>
    <n v="1699"/>
    <x v="1"/>
    <n v="339"/>
    <n v="6800"/>
    <n v="1240"/>
    <x v="0"/>
  </r>
  <r>
    <s v="Anvesh"/>
    <x v="1"/>
    <x v="129"/>
    <x v="0"/>
    <x v="11"/>
    <x v="2"/>
    <x v="0"/>
    <x v="1"/>
    <n v="453"/>
    <n v="799"/>
    <x v="0"/>
    <n v="0"/>
    <n v="799"/>
    <n v="346"/>
    <x v="0"/>
  </r>
  <r>
    <s v="Siri"/>
    <x v="0"/>
    <x v="34"/>
    <x v="3"/>
    <x v="3"/>
    <x v="2"/>
    <x v="0"/>
    <x v="1"/>
    <n v="923"/>
    <n v="1399"/>
    <x v="0"/>
    <n v="0"/>
    <n v="1399"/>
    <n v="476"/>
    <x v="1"/>
  </r>
  <r>
    <s v="Laxmi"/>
    <x v="0"/>
    <x v="51"/>
    <x v="3"/>
    <x v="3"/>
    <x v="0"/>
    <x v="0"/>
    <x v="4"/>
    <n v="653"/>
    <n v="899"/>
    <x v="0"/>
    <n v="0"/>
    <n v="4495"/>
    <n v="1230"/>
    <x v="0"/>
  </r>
  <r>
    <s v="Lassya"/>
    <x v="0"/>
    <x v="130"/>
    <x v="4"/>
    <x v="12"/>
    <x v="2"/>
    <x v="0"/>
    <x v="0"/>
    <n v="668"/>
    <n v="1199"/>
    <x v="4"/>
    <n v="119"/>
    <n v="2160"/>
    <n v="824"/>
    <x v="0"/>
  </r>
  <r>
    <s v="Reavanth"/>
    <x v="1"/>
    <x v="30"/>
    <x v="2"/>
    <x v="2"/>
    <x v="1"/>
    <x v="1"/>
    <x v="1"/>
    <n v="482"/>
    <n v="699"/>
    <x v="1"/>
    <n v="139"/>
    <n v="560"/>
    <n v="78"/>
    <x v="0"/>
  </r>
  <r>
    <s v="Srujan"/>
    <x v="1"/>
    <x v="131"/>
    <x v="3"/>
    <x v="3"/>
    <x v="2"/>
    <x v="0"/>
    <x v="1"/>
    <n v="669"/>
    <n v="999"/>
    <x v="0"/>
    <n v="0"/>
    <n v="999"/>
    <n v="330"/>
    <x v="1"/>
  </r>
  <r>
    <s v="Tejas"/>
    <x v="1"/>
    <x v="27"/>
    <x v="0"/>
    <x v="11"/>
    <x v="2"/>
    <x v="0"/>
    <x v="1"/>
    <n v="218"/>
    <n v="399"/>
    <x v="0"/>
    <n v="0"/>
    <n v="399"/>
    <n v="181"/>
    <x v="1"/>
  </r>
  <r>
    <s v="Swetha"/>
    <x v="0"/>
    <x v="132"/>
    <x v="2"/>
    <x v="8"/>
    <x v="1"/>
    <x v="1"/>
    <x v="4"/>
    <n v="437"/>
    <n v="699"/>
    <x v="3"/>
    <n v="34"/>
    <n v="3325"/>
    <n v="1140"/>
    <x v="0"/>
  </r>
  <r>
    <s v="Kalyan"/>
    <x v="1"/>
    <x v="133"/>
    <x v="2"/>
    <x v="8"/>
    <x v="0"/>
    <x v="1"/>
    <x v="2"/>
    <n v="641"/>
    <n v="999"/>
    <x v="1"/>
    <n v="199"/>
    <n v="2400"/>
    <n v="477"/>
    <x v="0"/>
  </r>
  <r>
    <s v="Viraj"/>
    <x v="1"/>
    <x v="29"/>
    <x v="2"/>
    <x v="8"/>
    <x v="2"/>
    <x v="1"/>
    <x v="3"/>
    <n v="1171"/>
    <n v="1799"/>
    <x v="2"/>
    <n v="269"/>
    <n v="6120"/>
    <n v="1436"/>
    <x v="1"/>
  </r>
  <r>
    <s v="Rakesh"/>
    <x v="1"/>
    <x v="79"/>
    <x v="4"/>
    <x v="4"/>
    <x v="1"/>
    <x v="1"/>
    <x v="1"/>
    <n v="343"/>
    <n v="599"/>
    <x v="2"/>
    <n v="89"/>
    <n v="510"/>
    <n v="167"/>
    <x v="0"/>
  </r>
  <r>
    <s v="Sai"/>
    <x v="1"/>
    <x v="96"/>
    <x v="3"/>
    <x v="3"/>
    <x v="2"/>
    <x v="1"/>
    <x v="1"/>
    <n v="705"/>
    <n v="999"/>
    <x v="0"/>
    <n v="0"/>
    <n v="999"/>
    <n v="294"/>
    <x v="0"/>
  </r>
  <r>
    <s v="Laxmi"/>
    <x v="0"/>
    <x v="76"/>
    <x v="0"/>
    <x v="9"/>
    <x v="2"/>
    <x v="0"/>
    <x v="1"/>
    <n v="400"/>
    <n v="599"/>
    <x v="0"/>
    <n v="0"/>
    <n v="599"/>
    <n v="199"/>
    <x v="0"/>
  </r>
  <r>
    <s v="Anvesh"/>
    <x v="1"/>
    <x v="29"/>
    <x v="0"/>
    <x v="11"/>
    <x v="1"/>
    <x v="1"/>
    <x v="3"/>
    <n v="192"/>
    <n v="299"/>
    <x v="0"/>
    <n v="0"/>
    <n v="1196"/>
    <n v="428"/>
    <x v="0"/>
  </r>
  <r>
    <s v="Aarav"/>
    <x v="1"/>
    <x v="134"/>
    <x v="4"/>
    <x v="5"/>
    <x v="1"/>
    <x v="1"/>
    <x v="1"/>
    <n v="578"/>
    <n v="899"/>
    <x v="1"/>
    <n v="179"/>
    <n v="720"/>
    <n v="142"/>
    <x v="0"/>
  </r>
  <r>
    <s v="Saanvi"/>
    <x v="0"/>
    <x v="0"/>
    <x v="1"/>
    <x v="7"/>
    <x v="1"/>
    <x v="0"/>
    <x v="0"/>
    <n v="2389"/>
    <n v="3599"/>
    <x v="2"/>
    <n v="539"/>
    <n v="6120"/>
    <n v="1342"/>
    <x v="0"/>
  </r>
  <r>
    <s v="Viraj"/>
    <x v="1"/>
    <x v="135"/>
    <x v="2"/>
    <x v="2"/>
    <x v="1"/>
    <x v="1"/>
    <x v="0"/>
    <n v="508"/>
    <n v="699"/>
    <x v="1"/>
    <n v="139"/>
    <n v="1120"/>
    <n v="104"/>
    <x v="1"/>
  </r>
  <r>
    <s v="Reavanth"/>
    <x v="1"/>
    <x v="72"/>
    <x v="1"/>
    <x v="7"/>
    <x v="0"/>
    <x v="0"/>
    <x v="4"/>
    <n v="1797"/>
    <n v="2399"/>
    <x v="3"/>
    <n v="119"/>
    <n v="11400"/>
    <n v="2415"/>
    <x v="1"/>
  </r>
  <r>
    <s v="Vasanth"/>
    <x v="1"/>
    <x v="136"/>
    <x v="2"/>
    <x v="2"/>
    <x v="1"/>
    <x v="1"/>
    <x v="0"/>
    <n v="410"/>
    <n v="599"/>
    <x v="3"/>
    <n v="29"/>
    <n v="1140"/>
    <n v="320"/>
    <x v="0"/>
  </r>
  <r>
    <s v="Vinay"/>
    <x v="1"/>
    <x v="137"/>
    <x v="3"/>
    <x v="3"/>
    <x v="0"/>
    <x v="0"/>
    <x v="1"/>
    <n v="1022"/>
    <n v="1499"/>
    <x v="0"/>
    <n v="0"/>
    <n v="1499"/>
    <n v="477"/>
    <x v="0"/>
  </r>
  <r>
    <s v="Aarav"/>
    <x v="1"/>
    <x v="138"/>
    <x v="0"/>
    <x v="9"/>
    <x v="1"/>
    <x v="1"/>
    <x v="4"/>
    <n v="318"/>
    <n v="499"/>
    <x v="0"/>
    <n v="0"/>
    <n v="2495"/>
    <n v="905"/>
    <x v="0"/>
  </r>
  <r>
    <s v="Vivaan"/>
    <x v="1"/>
    <x v="60"/>
    <x v="4"/>
    <x v="16"/>
    <x v="0"/>
    <x v="0"/>
    <x v="1"/>
    <n v="969"/>
    <n v="1899"/>
    <x v="1"/>
    <n v="379"/>
    <n v="1520"/>
    <n v="551"/>
    <x v="1"/>
  </r>
  <r>
    <s v="Kavya"/>
    <x v="0"/>
    <x v="139"/>
    <x v="0"/>
    <x v="11"/>
    <x v="0"/>
    <x v="1"/>
    <x v="4"/>
    <n v="448"/>
    <n v="799"/>
    <x v="0"/>
    <n v="0"/>
    <n v="3995"/>
    <n v="1755"/>
    <x v="0"/>
  </r>
  <r>
    <s v="Srawani"/>
    <x v="0"/>
    <x v="140"/>
    <x v="3"/>
    <x v="3"/>
    <x v="0"/>
    <x v="1"/>
    <x v="0"/>
    <n v="872"/>
    <n v="1499"/>
    <x v="0"/>
    <n v="0"/>
    <n v="2998"/>
    <n v="1254"/>
    <x v="1"/>
  </r>
  <r>
    <s v="Surya"/>
    <x v="1"/>
    <x v="33"/>
    <x v="0"/>
    <x v="0"/>
    <x v="1"/>
    <x v="1"/>
    <x v="1"/>
    <n v="273"/>
    <n v="499"/>
    <x v="0"/>
    <n v="0"/>
    <n v="499"/>
    <n v="226"/>
    <x v="0"/>
  </r>
  <r>
    <s v="Mallesh"/>
    <x v="1"/>
    <x v="118"/>
    <x v="1"/>
    <x v="1"/>
    <x v="2"/>
    <x v="1"/>
    <x v="3"/>
    <n v="577"/>
    <n v="899"/>
    <x v="3"/>
    <n v="44"/>
    <n v="3420"/>
    <n v="1112"/>
    <x v="1"/>
  </r>
  <r>
    <s v="Anvesh"/>
    <x v="1"/>
    <x v="82"/>
    <x v="1"/>
    <x v="7"/>
    <x v="1"/>
    <x v="1"/>
    <x v="1"/>
    <n v="2402"/>
    <n v="3399"/>
    <x v="4"/>
    <n v="339"/>
    <n v="3060"/>
    <n v="658"/>
    <x v="0"/>
  </r>
  <r>
    <s v="Devi Sree"/>
    <x v="0"/>
    <x v="17"/>
    <x v="3"/>
    <x v="14"/>
    <x v="1"/>
    <x v="0"/>
    <x v="1"/>
    <n v="1052"/>
    <n v="1499"/>
    <x v="0"/>
    <n v="0"/>
    <n v="1499"/>
    <n v="447"/>
    <x v="0"/>
  </r>
  <r>
    <s v="Vinay"/>
    <x v="1"/>
    <x v="27"/>
    <x v="2"/>
    <x v="8"/>
    <x v="0"/>
    <x v="1"/>
    <x v="1"/>
    <n v="384"/>
    <n v="699"/>
    <x v="4"/>
    <n v="69"/>
    <n v="630"/>
    <n v="246"/>
    <x v="0"/>
  </r>
  <r>
    <s v="Rakesh"/>
    <x v="1"/>
    <x v="141"/>
    <x v="1"/>
    <x v="7"/>
    <x v="2"/>
    <x v="0"/>
    <x v="1"/>
    <n v="1382"/>
    <n v="2299"/>
    <x v="4"/>
    <n v="229"/>
    <n v="2070"/>
    <n v="688"/>
    <x v="0"/>
  </r>
  <r>
    <s v="Hema"/>
    <x v="0"/>
    <x v="142"/>
    <x v="3"/>
    <x v="14"/>
    <x v="1"/>
    <x v="1"/>
    <x v="1"/>
    <n v="611"/>
    <n v="999"/>
    <x v="0"/>
    <n v="0"/>
    <n v="999"/>
    <n v="388"/>
    <x v="0"/>
  </r>
  <r>
    <s v="Shivani"/>
    <x v="0"/>
    <x v="63"/>
    <x v="1"/>
    <x v="1"/>
    <x v="2"/>
    <x v="1"/>
    <x v="3"/>
    <n v="1003"/>
    <n v="1799"/>
    <x v="2"/>
    <n v="269"/>
    <n v="6120"/>
    <n v="2108"/>
    <x v="1"/>
  </r>
  <r>
    <s v="Thanuja"/>
    <x v="0"/>
    <x v="85"/>
    <x v="0"/>
    <x v="13"/>
    <x v="2"/>
    <x v="1"/>
    <x v="0"/>
    <n v="278"/>
    <n v="499"/>
    <x v="0"/>
    <n v="0"/>
    <n v="998"/>
    <n v="442"/>
    <x v="0"/>
  </r>
  <r>
    <s v="Vikram"/>
    <x v="1"/>
    <x v="143"/>
    <x v="2"/>
    <x v="8"/>
    <x v="1"/>
    <x v="0"/>
    <x v="1"/>
    <n v="812"/>
    <n v="1199"/>
    <x v="2"/>
    <n v="179"/>
    <n v="1020"/>
    <n v="208"/>
    <x v="1"/>
  </r>
  <r>
    <s v="Arjun"/>
    <x v="1"/>
    <x v="79"/>
    <x v="2"/>
    <x v="2"/>
    <x v="1"/>
    <x v="0"/>
    <x v="2"/>
    <n v="439"/>
    <n v="599"/>
    <x v="4"/>
    <n v="59"/>
    <n v="1620"/>
    <n v="303"/>
    <x v="0"/>
  </r>
  <r>
    <s v="Yeshwanth"/>
    <x v="1"/>
    <x v="144"/>
    <x v="1"/>
    <x v="7"/>
    <x v="2"/>
    <x v="1"/>
    <x v="1"/>
    <n v="2234"/>
    <n v="3199"/>
    <x v="3"/>
    <n v="159"/>
    <n v="3040"/>
    <n v="806"/>
    <x v="0"/>
  </r>
  <r>
    <s v=" Praveen"/>
    <x v="1"/>
    <x v="145"/>
    <x v="3"/>
    <x v="3"/>
    <x v="2"/>
    <x v="0"/>
    <x v="1"/>
    <n v="1010"/>
    <n v="1499"/>
    <x v="0"/>
    <n v="0"/>
    <n v="1499"/>
    <n v="489"/>
    <x v="1"/>
  </r>
  <r>
    <s v=" Praveen"/>
    <x v="1"/>
    <x v="61"/>
    <x v="1"/>
    <x v="7"/>
    <x v="2"/>
    <x v="1"/>
    <x v="2"/>
    <n v="1030"/>
    <n v="1999"/>
    <x v="3"/>
    <n v="99"/>
    <n v="5700"/>
    <n v="2610"/>
    <x v="0"/>
  </r>
  <r>
    <s v="Harsha"/>
    <x v="1"/>
    <x v="146"/>
    <x v="4"/>
    <x v="10"/>
    <x v="2"/>
    <x v="1"/>
    <x v="1"/>
    <n v="702"/>
    <n v="1199"/>
    <x v="4"/>
    <n v="119"/>
    <n v="1080"/>
    <n v="378"/>
    <x v="0"/>
  </r>
  <r>
    <s v="Vijay"/>
    <x v="1"/>
    <x v="42"/>
    <x v="4"/>
    <x v="5"/>
    <x v="1"/>
    <x v="0"/>
    <x v="3"/>
    <n v="529"/>
    <n v="799"/>
    <x v="4"/>
    <n v="79"/>
    <n v="2880"/>
    <n v="764"/>
    <x v="0"/>
  </r>
  <r>
    <s v="Leela"/>
    <x v="0"/>
    <x v="147"/>
    <x v="0"/>
    <x v="13"/>
    <x v="2"/>
    <x v="0"/>
    <x v="1"/>
    <n v="316"/>
    <n v="499"/>
    <x v="0"/>
    <n v="0"/>
    <n v="499"/>
    <n v="183"/>
    <x v="0"/>
  </r>
  <r>
    <s v="Vinay"/>
    <x v="1"/>
    <x v="41"/>
    <x v="0"/>
    <x v="9"/>
    <x v="2"/>
    <x v="0"/>
    <x v="1"/>
    <n v="258"/>
    <n v="499"/>
    <x v="0"/>
    <n v="0"/>
    <n v="499"/>
    <n v="241"/>
    <x v="0"/>
  </r>
  <r>
    <s v="Srinivas"/>
    <x v="1"/>
    <x v="81"/>
    <x v="4"/>
    <x v="5"/>
    <x v="2"/>
    <x v="1"/>
    <x v="3"/>
    <n v="596"/>
    <n v="899"/>
    <x v="1"/>
    <n v="179"/>
    <n v="2880"/>
    <n v="496"/>
    <x v="0"/>
  </r>
  <r>
    <s v="Reavanth"/>
    <x v="1"/>
    <x v="148"/>
    <x v="3"/>
    <x v="3"/>
    <x v="0"/>
    <x v="1"/>
    <x v="2"/>
    <n v="616"/>
    <n v="1199"/>
    <x v="0"/>
    <n v="0"/>
    <n v="3597"/>
    <n v="1749"/>
    <x v="0"/>
  </r>
  <r>
    <s v="Swapna"/>
    <x v="0"/>
    <x v="141"/>
    <x v="3"/>
    <x v="14"/>
    <x v="1"/>
    <x v="1"/>
    <x v="1"/>
    <n v="935"/>
    <n v="1499"/>
    <x v="0"/>
    <n v="0"/>
    <n v="1499"/>
    <n v="564"/>
    <x v="0"/>
  </r>
  <r>
    <s v="Srujan"/>
    <x v="1"/>
    <x v="4"/>
    <x v="2"/>
    <x v="8"/>
    <x v="0"/>
    <x v="0"/>
    <x v="1"/>
    <n v="512"/>
    <n v="899"/>
    <x v="4"/>
    <n v="89"/>
    <n v="810"/>
    <n v="298"/>
    <x v="0"/>
  </r>
  <r>
    <s v="Vinay"/>
    <x v="1"/>
    <x v="67"/>
    <x v="0"/>
    <x v="0"/>
    <x v="0"/>
    <x v="1"/>
    <x v="1"/>
    <n v="333"/>
    <n v="599"/>
    <x v="0"/>
    <n v="0"/>
    <n v="599"/>
    <n v="266"/>
    <x v="1"/>
  </r>
  <r>
    <s v="Anjali"/>
    <x v="0"/>
    <x v="121"/>
    <x v="4"/>
    <x v="5"/>
    <x v="2"/>
    <x v="0"/>
    <x v="3"/>
    <n v="496"/>
    <n v="799"/>
    <x v="4"/>
    <n v="79"/>
    <n v="2880"/>
    <n v="896"/>
    <x v="0"/>
  </r>
  <r>
    <s v="Arjun"/>
    <x v="1"/>
    <x v="141"/>
    <x v="4"/>
    <x v="4"/>
    <x v="0"/>
    <x v="0"/>
    <x v="1"/>
    <n v="201"/>
    <n v="399"/>
    <x v="2"/>
    <n v="59"/>
    <n v="340"/>
    <n v="139"/>
    <x v="0"/>
  </r>
  <r>
    <s v="Thanuja"/>
    <x v="0"/>
    <x v="149"/>
    <x v="2"/>
    <x v="2"/>
    <x v="1"/>
    <x v="0"/>
    <x v="1"/>
    <n v="347"/>
    <n v="599"/>
    <x v="2"/>
    <n v="89"/>
    <n v="510"/>
    <n v="163"/>
    <x v="1"/>
  </r>
  <r>
    <s v="Koushika"/>
    <x v="0"/>
    <x v="111"/>
    <x v="0"/>
    <x v="13"/>
    <x v="1"/>
    <x v="1"/>
    <x v="1"/>
    <n v="255"/>
    <n v="399"/>
    <x v="0"/>
    <n v="0"/>
    <n v="399"/>
    <n v="144"/>
    <x v="0"/>
  </r>
  <r>
    <s v="Gayatri"/>
    <x v="0"/>
    <x v="22"/>
    <x v="2"/>
    <x v="8"/>
    <x v="2"/>
    <x v="0"/>
    <x v="0"/>
    <n v="1046"/>
    <n v="1599"/>
    <x v="3"/>
    <n v="79"/>
    <n v="3040"/>
    <n v="948"/>
    <x v="0"/>
  </r>
  <r>
    <s v="Reavanth"/>
    <x v="1"/>
    <x v="84"/>
    <x v="2"/>
    <x v="8"/>
    <x v="0"/>
    <x v="1"/>
    <x v="4"/>
    <n v="1019"/>
    <n v="1899"/>
    <x v="1"/>
    <n v="379"/>
    <n v="7600"/>
    <n v="2505"/>
    <x v="1"/>
  </r>
  <r>
    <s v="Tejas"/>
    <x v="1"/>
    <x v="150"/>
    <x v="4"/>
    <x v="6"/>
    <x v="0"/>
    <x v="0"/>
    <x v="4"/>
    <n v="814"/>
    <n v="1199"/>
    <x v="4"/>
    <n v="119"/>
    <n v="5400"/>
    <n v="1330"/>
    <x v="1"/>
  </r>
  <r>
    <s v="Pravalika"/>
    <x v="0"/>
    <x v="83"/>
    <x v="4"/>
    <x v="4"/>
    <x v="0"/>
    <x v="1"/>
    <x v="1"/>
    <n v="354"/>
    <n v="599"/>
    <x v="2"/>
    <n v="89"/>
    <n v="510"/>
    <n v="156"/>
    <x v="0"/>
  </r>
  <r>
    <s v="Nandhini"/>
    <x v="0"/>
    <x v="47"/>
    <x v="1"/>
    <x v="1"/>
    <x v="1"/>
    <x v="1"/>
    <x v="0"/>
    <n v="1032"/>
    <n v="1499"/>
    <x v="1"/>
    <n v="299"/>
    <n v="2400"/>
    <n v="336"/>
    <x v="0"/>
  </r>
  <r>
    <s v="Pravalika"/>
    <x v="0"/>
    <x v="151"/>
    <x v="0"/>
    <x v="0"/>
    <x v="1"/>
    <x v="1"/>
    <x v="1"/>
    <n v="280"/>
    <n v="399"/>
    <x v="0"/>
    <n v="0"/>
    <n v="399"/>
    <n v="119"/>
    <x v="0"/>
  </r>
  <r>
    <s v="Rohan"/>
    <x v="1"/>
    <x v="152"/>
    <x v="2"/>
    <x v="2"/>
    <x v="1"/>
    <x v="1"/>
    <x v="1"/>
    <n v="335"/>
    <n v="599"/>
    <x v="2"/>
    <n v="89"/>
    <n v="510"/>
    <n v="175"/>
    <x v="0"/>
  </r>
  <r>
    <s v="Rakesh"/>
    <x v="1"/>
    <x v="153"/>
    <x v="1"/>
    <x v="1"/>
    <x v="0"/>
    <x v="1"/>
    <x v="1"/>
    <n v="1223"/>
    <n v="2299"/>
    <x v="4"/>
    <n v="229"/>
    <n v="2070"/>
    <n v="847"/>
    <x v="1"/>
  </r>
  <r>
    <s v="Deepak"/>
    <x v="1"/>
    <x v="34"/>
    <x v="4"/>
    <x v="4"/>
    <x v="0"/>
    <x v="1"/>
    <x v="0"/>
    <n v="358"/>
    <n v="599"/>
    <x v="3"/>
    <n v="29"/>
    <n v="1140"/>
    <n v="424"/>
    <x v="1"/>
  </r>
  <r>
    <s v="Sai"/>
    <x v="1"/>
    <x v="121"/>
    <x v="2"/>
    <x v="2"/>
    <x v="0"/>
    <x v="0"/>
    <x v="1"/>
    <n v="285"/>
    <n v="499"/>
    <x v="2"/>
    <n v="74"/>
    <n v="425"/>
    <n v="140"/>
    <x v="0"/>
  </r>
  <r>
    <s v="Hema"/>
    <x v="0"/>
    <x v="154"/>
    <x v="1"/>
    <x v="7"/>
    <x v="1"/>
    <x v="0"/>
    <x v="1"/>
    <n v="1471"/>
    <n v="2499"/>
    <x v="4"/>
    <n v="249"/>
    <n v="2250"/>
    <n v="779"/>
    <x v="0"/>
  </r>
  <r>
    <s v="Shiva"/>
    <x v="1"/>
    <x v="155"/>
    <x v="1"/>
    <x v="7"/>
    <x v="0"/>
    <x v="1"/>
    <x v="3"/>
    <n v="2369"/>
    <n v="3799"/>
    <x v="1"/>
    <n v="759"/>
    <n v="12160"/>
    <n v="2684"/>
    <x v="0"/>
  </r>
  <r>
    <s v="Neha"/>
    <x v="0"/>
    <x v="65"/>
    <x v="4"/>
    <x v="10"/>
    <x v="0"/>
    <x v="0"/>
    <x v="1"/>
    <n v="1090"/>
    <n v="1599"/>
    <x v="3"/>
    <n v="79"/>
    <n v="1520"/>
    <n v="430"/>
    <x v="0"/>
  </r>
  <r>
    <s v="Rahul"/>
    <x v="1"/>
    <x v="156"/>
    <x v="3"/>
    <x v="3"/>
    <x v="0"/>
    <x v="1"/>
    <x v="1"/>
    <n v="553"/>
    <n v="999"/>
    <x v="0"/>
    <n v="0"/>
    <n v="999"/>
    <n v="446"/>
    <x v="1"/>
  </r>
  <r>
    <s v="Nandhini"/>
    <x v="0"/>
    <x v="124"/>
    <x v="4"/>
    <x v="12"/>
    <x v="1"/>
    <x v="0"/>
    <x v="1"/>
    <n v="961"/>
    <n v="1299"/>
    <x v="1"/>
    <n v="259"/>
    <n v="1040"/>
    <n v="79"/>
    <x v="0"/>
  </r>
  <r>
    <s v="Gayatri"/>
    <x v="0"/>
    <x v="55"/>
    <x v="4"/>
    <x v="15"/>
    <x v="0"/>
    <x v="1"/>
    <x v="0"/>
    <n v="1648"/>
    <n v="2499"/>
    <x v="1"/>
    <n v="499"/>
    <n v="4000"/>
    <n v="704"/>
    <x v="1"/>
  </r>
  <r>
    <s v="Surya"/>
    <x v="1"/>
    <x v="101"/>
    <x v="0"/>
    <x v="13"/>
    <x v="2"/>
    <x v="0"/>
    <x v="1"/>
    <n v="372"/>
    <n v="499"/>
    <x v="0"/>
    <n v="0"/>
    <n v="499"/>
    <n v="127"/>
    <x v="0"/>
  </r>
  <r>
    <s v="Sneha"/>
    <x v="0"/>
    <x v="51"/>
    <x v="1"/>
    <x v="1"/>
    <x v="0"/>
    <x v="0"/>
    <x v="1"/>
    <n v="945"/>
    <n v="1799"/>
    <x v="2"/>
    <n v="269"/>
    <n v="1530"/>
    <n v="585"/>
    <x v="0"/>
  </r>
  <r>
    <s v="Vijay"/>
    <x v="1"/>
    <x v="95"/>
    <x v="0"/>
    <x v="9"/>
    <x v="2"/>
    <x v="0"/>
    <x v="3"/>
    <n v="236"/>
    <n v="399"/>
    <x v="0"/>
    <n v="0"/>
    <n v="1596"/>
    <n v="652"/>
    <x v="0"/>
  </r>
  <r>
    <s v=" Praveen"/>
    <x v="1"/>
    <x v="157"/>
    <x v="3"/>
    <x v="14"/>
    <x v="0"/>
    <x v="1"/>
    <x v="1"/>
    <n v="813"/>
    <n v="1199"/>
    <x v="0"/>
    <n v="0"/>
    <n v="1199"/>
    <n v="386"/>
    <x v="0"/>
  </r>
  <r>
    <s v="Kavya"/>
    <x v="0"/>
    <x v="7"/>
    <x v="2"/>
    <x v="8"/>
    <x v="0"/>
    <x v="1"/>
    <x v="1"/>
    <n v="843"/>
    <n v="1599"/>
    <x v="3"/>
    <n v="79"/>
    <n v="1520"/>
    <n v="677"/>
    <x v="0"/>
  </r>
  <r>
    <s v="Arjun"/>
    <x v="1"/>
    <x v="28"/>
    <x v="4"/>
    <x v="10"/>
    <x v="0"/>
    <x v="1"/>
    <x v="2"/>
    <n v="479"/>
    <n v="899"/>
    <x v="4"/>
    <n v="89"/>
    <n v="2430"/>
    <n v="993"/>
    <x v="0"/>
  </r>
  <r>
    <s v="Nandhini"/>
    <x v="0"/>
    <x v="158"/>
    <x v="1"/>
    <x v="7"/>
    <x v="0"/>
    <x v="1"/>
    <x v="0"/>
    <n v="1469"/>
    <n v="2699"/>
    <x v="3"/>
    <n v="134"/>
    <n v="5130"/>
    <n v="2192"/>
    <x v="1"/>
  </r>
  <r>
    <s v="Saanvi"/>
    <x v="0"/>
    <x v="47"/>
    <x v="0"/>
    <x v="0"/>
    <x v="2"/>
    <x v="1"/>
    <x v="1"/>
    <n v="345"/>
    <n v="599"/>
    <x v="0"/>
    <n v="0"/>
    <n v="599"/>
    <n v="254"/>
    <x v="1"/>
  </r>
  <r>
    <s v="Leela"/>
    <x v="0"/>
    <x v="56"/>
    <x v="3"/>
    <x v="3"/>
    <x v="2"/>
    <x v="0"/>
    <x v="1"/>
    <n v="553"/>
    <n v="999"/>
    <x v="0"/>
    <n v="0"/>
    <n v="999"/>
    <n v="446"/>
    <x v="1"/>
  </r>
  <r>
    <s v="Swathi"/>
    <x v="0"/>
    <x v="159"/>
    <x v="4"/>
    <x v="5"/>
    <x v="1"/>
    <x v="0"/>
    <x v="1"/>
    <n v="975"/>
    <n v="1399"/>
    <x v="3"/>
    <n v="69"/>
    <n v="1330"/>
    <n v="355"/>
    <x v="1"/>
  </r>
  <r>
    <s v="Laxmi"/>
    <x v="0"/>
    <x v="36"/>
    <x v="4"/>
    <x v="12"/>
    <x v="1"/>
    <x v="1"/>
    <x v="0"/>
    <n v="759"/>
    <n v="1299"/>
    <x v="1"/>
    <n v="259"/>
    <n v="2080"/>
    <n v="562"/>
    <x v="0"/>
  </r>
  <r>
    <s v="Vivaan"/>
    <x v="1"/>
    <x v="91"/>
    <x v="2"/>
    <x v="2"/>
    <x v="1"/>
    <x v="0"/>
    <x v="4"/>
    <n v="312"/>
    <n v="499"/>
    <x v="2"/>
    <n v="74"/>
    <n v="2125"/>
    <n v="565"/>
    <x v="0"/>
  </r>
  <r>
    <s v="Leela"/>
    <x v="0"/>
    <x v="6"/>
    <x v="4"/>
    <x v="5"/>
    <x v="0"/>
    <x v="0"/>
    <x v="2"/>
    <n v="624"/>
    <n v="899"/>
    <x v="1"/>
    <n v="179"/>
    <n v="2160"/>
    <n v="288"/>
    <x v="0"/>
  </r>
  <r>
    <s v="Neha"/>
    <x v="0"/>
    <x v="44"/>
    <x v="3"/>
    <x v="14"/>
    <x v="1"/>
    <x v="1"/>
    <x v="1"/>
    <n v="639"/>
    <n v="999"/>
    <x v="0"/>
    <n v="0"/>
    <n v="999"/>
    <n v="360"/>
    <x v="0"/>
  </r>
  <r>
    <s v="Swapna"/>
    <x v="0"/>
    <x v="82"/>
    <x v="2"/>
    <x v="2"/>
    <x v="2"/>
    <x v="0"/>
    <x v="1"/>
    <n v="431"/>
    <n v="699"/>
    <x v="4"/>
    <n v="69"/>
    <n v="630"/>
    <n v="199"/>
    <x v="1"/>
  </r>
  <r>
    <s v="Deepak"/>
    <x v="1"/>
    <x v="26"/>
    <x v="4"/>
    <x v="6"/>
    <x v="2"/>
    <x v="0"/>
    <x v="3"/>
    <n v="374"/>
    <n v="699"/>
    <x v="1"/>
    <n v="139"/>
    <n v="2240"/>
    <n v="744"/>
    <x v="0"/>
  </r>
  <r>
    <s v="Deepak"/>
    <x v="1"/>
    <x v="30"/>
    <x v="1"/>
    <x v="7"/>
    <x v="0"/>
    <x v="1"/>
    <x v="1"/>
    <n v="1465"/>
    <n v="2599"/>
    <x v="2"/>
    <n v="389"/>
    <n v="2210"/>
    <n v="745"/>
    <x v="1"/>
  </r>
  <r>
    <s v="Hema"/>
    <x v="0"/>
    <x v="84"/>
    <x v="4"/>
    <x v="6"/>
    <x v="1"/>
    <x v="0"/>
    <x v="1"/>
    <n v="813"/>
    <n v="1099"/>
    <x v="3"/>
    <n v="54"/>
    <n v="1045"/>
    <n v="232"/>
    <x v="0"/>
  </r>
  <r>
    <s v="Krishna"/>
    <x v="1"/>
    <x v="132"/>
    <x v="3"/>
    <x v="3"/>
    <x v="1"/>
    <x v="1"/>
    <x v="0"/>
    <n v="721"/>
    <n v="1199"/>
    <x v="0"/>
    <n v="0"/>
    <n v="2398"/>
    <n v="956"/>
    <x v="0"/>
  </r>
  <r>
    <s v="Arjun"/>
    <x v="1"/>
    <x v="160"/>
    <x v="3"/>
    <x v="14"/>
    <x v="1"/>
    <x v="0"/>
    <x v="1"/>
    <n v="391"/>
    <n v="699"/>
    <x v="0"/>
    <n v="0"/>
    <n v="699"/>
    <n v="308"/>
    <x v="1"/>
  </r>
  <r>
    <s v="Gayatri"/>
    <x v="0"/>
    <x v="20"/>
    <x v="4"/>
    <x v="6"/>
    <x v="2"/>
    <x v="0"/>
    <x v="1"/>
    <n v="563"/>
    <n v="999"/>
    <x v="1"/>
    <n v="199"/>
    <n v="800"/>
    <n v="237"/>
    <x v="0"/>
  </r>
  <r>
    <s v="Nandhini"/>
    <x v="0"/>
    <x v="107"/>
    <x v="2"/>
    <x v="8"/>
    <x v="0"/>
    <x v="0"/>
    <x v="1"/>
    <n v="353"/>
    <n v="699"/>
    <x v="3"/>
    <n v="34"/>
    <n v="665"/>
    <n v="312"/>
    <x v="1"/>
  </r>
  <r>
    <s v="Pravalika"/>
    <x v="0"/>
    <x v="161"/>
    <x v="2"/>
    <x v="8"/>
    <x v="1"/>
    <x v="1"/>
    <x v="3"/>
    <n v="892"/>
    <n v="1299"/>
    <x v="1"/>
    <n v="259"/>
    <n v="4160"/>
    <n v="592"/>
    <x v="0"/>
  </r>
  <r>
    <s v="Yeshwanth"/>
    <x v="1"/>
    <x v="162"/>
    <x v="4"/>
    <x v="5"/>
    <x v="0"/>
    <x v="0"/>
    <x v="1"/>
    <n v="968"/>
    <n v="1599"/>
    <x v="2"/>
    <n v="239"/>
    <n v="1360"/>
    <n v="392"/>
    <x v="0"/>
  </r>
  <r>
    <s v="Neha"/>
    <x v="0"/>
    <x v="44"/>
    <x v="4"/>
    <x v="15"/>
    <x v="0"/>
    <x v="1"/>
    <x v="1"/>
    <n v="1961"/>
    <n v="3199"/>
    <x v="3"/>
    <n v="159"/>
    <n v="3040"/>
    <n v="1079"/>
    <x v="1"/>
  </r>
  <r>
    <s v="Neha"/>
    <x v="0"/>
    <x v="51"/>
    <x v="2"/>
    <x v="8"/>
    <x v="2"/>
    <x v="1"/>
    <x v="1"/>
    <n v="624"/>
    <n v="999"/>
    <x v="1"/>
    <n v="199"/>
    <n v="800"/>
    <n v="176"/>
    <x v="1"/>
  </r>
  <r>
    <s v="Shiva"/>
    <x v="1"/>
    <x v="97"/>
    <x v="0"/>
    <x v="0"/>
    <x v="0"/>
    <x v="0"/>
    <x v="1"/>
    <n v="296"/>
    <n v="399"/>
    <x v="0"/>
    <n v="0"/>
    <n v="399"/>
    <n v="103"/>
    <x v="0"/>
  </r>
  <r>
    <s v="Koushika"/>
    <x v="0"/>
    <x v="49"/>
    <x v="4"/>
    <x v="5"/>
    <x v="0"/>
    <x v="0"/>
    <x v="2"/>
    <n v="873"/>
    <n v="1699"/>
    <x v="1"/>
    <n v="339"/>
    <n v="4080"/>
    <n v="1461"/>
    <x v="0"/>
  </r>
  <r>
    <s v="Lassya"/>
    <x v="0"/>
    <x v="163"/>
    <x v="3"/>
    <x v="14"/>
    <x v="0"/>
    <x v="0"/>
    <x v="3"/>
    <n v="399"/>
    <n v="699"/>
    <x v="0"/>
    <n v="0"/>
    <n v="2796"/>
    <n v="1200"/>
    <x v="0"/>
  </r>
  <r>
    <s v="Sneha"/>
    <x v="0"/>
    <x v="87"/>
    <x v="3"/>
    <x v="3"/>
    <x v="2"/>
    <x v="1"/>
    <x v="0"/>
    <n v="590"/>
    <n v="999"/>
    <x v="0"/>
    <n v="0"/>
    <n v="1998"/>
    <n v="818"/>
    <x v="0"/>
  </r>
  <r>
    <s v="Srujan"/>
    <x v="1"/>
    <x v="123"/>
    <x v="0"/>
    <x v="0"/>
    <x v="2"/>
    <x v="1"/>
    <x v="1"/>
    <n v="315"/>
    <n v="499"/>
    <x v="0"/>
    <n v="0"/>
    <n v="499"/>
    <n v="184"/>
    <x v="0"/>
  </r>
  <r>
    <s v="Deepak"/>
    <x v="1"/>
    <x v="161"/>
    <x v="3"/>
    <x v="14"/>
    <x v="0"/>
    <x v="0"/>
    <x v="1"/>
    <n v="1043"/>
    <n v="1499"/>
    <x v="0"/>
    <n v="0"/>
    <n v="1499"/>
    <n v="456"/>
    <x v="1"/>
  </r>
  <r>
    <s v="Deepak"/>
    <x v="1"/>
    <x v="68"/>
    <x v="3"/>
    <x v="14"/>
    <x v="1"/>
    <x v="0"/>
    <x v="1"/>
    <n v="884"/>
    <n v="1499"/>
    <x v="0"/>
    <n v="0"/>
    <n v="1499"/>
    <n v="615"/>
    <x v="0"/>
  </r>
  <r>
    <s v="Aadhya"/>
    <x v="0"/>
    <x v="105"/>
    <x v="1"/>
    <x v="1"/>
    <x v="0"/>
    <x v="0"/>
    <x v="0"/>
    <n v="647"/>
    <n v="1199"/>
    <x v="4"/>
    <n v="119"/>
    <n v="2160"/>
    <n v="866"/>
    <x v="1"/>
  </r>
  <r>
    <s v="Gayatri"/>
    <x v="0"/>
    <x v="78"/>
    <x v="4"/>
    <x v="4"/>
    <x v="0"/>
    <x v="0"/>
    <x v="1"/>
    <n v="351"/>
    <n v="599"/>
    <x v="4"/>
    <n v="59"/>
    <n v="540"/>
    <n v="189"/>
    <x v="1"/>
  </r>
  <r>
    <s v="Laxmi"/>
    <x v="0"/>
    <x v="18"/>
    <x v="4"/>
    <x v="5"/>
    <x v="0"/>
    <x v="1"/>
    <x v="2"/>
    <n v="680"/>
    <n v="1199"/>
    <x v="4"/>
    <n v="119"/>
    <n v="3240"/>
    <n v="1200"/>
    <x v="1"/>
  </r>
  <r>
    <s v="Neha"/>
    <x v="0"/>
    <x v="153"/>
    <x v="1"/>
    <x v="1"/>
    <x v="0"/>
    <x v="0"/>
    <x v="1"/>
    <n v="782"/>
    <n v="1399"/>
    <x v="4"/>
    <n v="139"/>
    <n v="1260"/>
    <n v="478"/>
    <x v="0"/>
  </r>
  <r>
    <s v="Devi"/>
    <x v="0"/>
    <x v="107"/>
    <x v="3"/>
    <x v="3"/>
    <x v="0"/>
    <x v="0"/>
    <x v="1"/>
    <n v="668"/>
    <n v="999"/>
    <x v="0"/>
    <n v="0"/>
    <n v="999"/>
    <n v="331"/>
    <x v="0"/>
  </r>
  <r>
    <s v="Isha"/>
    <x v="0"/>
    <x v="138"/>
    <x v="1"/>
    <x v="7"/>
    <x v="0"/>
    <x v="0"/>
    <x v="3"/>
    <n v="1355"/>
    <n v="2499"/>
    <x v="4"/>
    <n v="249"/>
    <n v="9000"/>
    <n v="3580"/>
    <x v="0"/>
  </r>
  <r>
    <s v="Chandrika"/>
    <x v="0"/>
    <x v="164"/>
    <x v="1"/>
    <x v="1"/>
    <x v="1"/>
    <x v="1"/>
    <x v="1"/>
    <n v="594"/>
    <n v="1099"/>
    <x v="3"/>
    <n v="54"/>
    <n v="1045"/>
    <n v="451"/>
    <x v="1"/>
  </r>
  <r>
    <s v="Aarav"/>
    <x v="1"/>
    <x v="20"/>
    <x v="2"/>
    <x v="2"/>
    <x v="2"/>
    <x v="0"/>
    <x v="1"/>
    <n v="444"/>
    <n v="599"/>
    <x v="3"/>
    <n v="29"/>
    <n v="570"/>
    <n v="126"/>
    <x v="0"/>
  </r>
  <r>
    <s v="Aditya"/>
    <x v="1"/>
    <x v="92"/>
    <x v="1"/>
    <x v="1"/>
    <x v="0"/>
    <x v="1"/>
    <x v="0"/>
    <n v="709"/>
    <n v="1199"/>
    <x v="4"/>
    <n v="119"/>
    <n v="2160"/>
    <n v="742"/>
    <x v="0"/>
  </r>
  <r>
    <s v="Anjali"/>
    <x v="0"/>
    <x v="67"/>
    <x v="2"/>
    <x v="2"/>
    <x v="1"/>
    <x v="0"/>
    <x v="1"/>
    <n v="415"/>
    <n v="699"/>
    <x v="4"/>
    <n v="69"/>
    <n v="630"/>
    <n v="215"/>
    <x v="0"/>
  </r>
  <r>
    <s v="Arun"/>
    <x v="1"/>
    <x v="110"/>
    <x v="2"/>
    <x v="2"/>
    <x v="1"/>
    <x v="1"/>
    <x v="1"/>
    <n v="294"/>
    <n v="499"/>
    <x v="2"/>
    <n v="74"/>
    <n v="425"/>
    <n v="131"/>
    <x v="0"/>
  </r>
  <r>
    <s v="Vijay"/>
    <x v="1"/>
    <x v="131"/>
    <x v="4"/>
    <x v="6"/>
    <x v="2"/>
    <x v="1"/>
    <x v="1"/>
    <n v="346"/>
    <n v="599"/>
    <x v="2"/>
    <n v="89"/>
    <n v="510"/>
    <n v="164"/>
    <x v="0"/>
  </r>
  <r>
    <s v="Mallesh"/>
    <x v="1"/>
    <x v="76"/>
    <x v="1"/>
    <x v="1"/>
    <x v="1"/>
    <x v="0"/>
    <x v="2"/>
    <n v="1028"/>
    <n v="1699"/>
    <x v="4"/>
    <n v="169"/>
    <n v="4590"/>
    <n v="1506"/>
    <x v="1"/>
  </r>
  <r>
    <s v="Aarav"/>
    <x v="1"/>
    <x v="32"/>
    <x v="0"/>
    <x v="11"/>
    <x v="1"/>
    <x v="0"/>
    <x v="1"/>
    <n v="517"/>
    <n v="799"/>
    <x v="0"/>
    <n v="0"/>
    <n v="799"/>
    <n v="282"/>
    <x v="1"/>
  </r>
  <r>
    <s v="Swathi"/>
    <x v="0"/>
    <x v="0"/>
    <x v="3"/>
    <x v="3"/>
    <x v="1"/>
    <x v="1"/>
    <x v="1"/>
    <n v="566"/>
    <n v="999"/>
    <x v="0"/>
    <n v="0"/>
    <n v="999"/>
    <n v="433"/>
    <x v="0"/>
  </r>
  <r>
    <s v="Koushika"/>
    <x v="0"/>
    <x v="65"/>
    <x v="1"/>
    <x v="7"/>
    <x v="0"/>
    <x v="0"/>
    <x v="1"/>
    <n v="1753"/>
    <n v="2499"/>
    <x v="1"/>
    <n v="499"/>
    <n v="2000"/>
    <n v="247"/>
    <x v="1"/>
  </r>
  <r>
    <s v="Ananya"/>
    <x v="0"/>
    <x v="52"/>
    <x v="2"/>
    <x v="2"/>
    <x v="2"/>
    <x v="0"/>
    <x v="0"/>
    <n v="370"/>
    <n v="499"/>
    <x v="2"/>
    <n v="74"/>
    <n v="850"/>
    <n v="110"/>
    <x v="0"/>
  </r>
  <r>
    <s v="Ananya"/>
    <x v="0"/>
    <x v="100"/>
    <x v="0"/>
    <x v="11"/>
    <x v="0"/>
    <x v="1"/>
    <x v="1"/>
    <n v="166"/>
    <n v="299"/>
    <x v="0"/>
    <n v="0"/>
    <n v="299"/>
    <n v="133"/>
    <x v="0"/>
  </r>
  <r>
    <s v="Aadhya"/>
    <x v="0"/>
    <x v="74"/>
    <x v="4"/>
    <x v="10"/>
    <x v="1"/>
    <x v="0"/>
    <x v="0"/>
    <n v="1099"/>
    <n v="1799"/>
    <x v="2"/>
    <n v="269"/>
    <n v="3060"/>
    <n v="862"/>
    <x v="0"/>
  </r>
  <r>
    <s v="Surya"/>
    <x v="1"/>
    <x v="49"/>
    <x v="2"/>
    <x v="2"/>
    <x v="1"/>
    <x v="0"/>
    <x v="3"/>
    <n v="400"/>
    <n v="599"/>
    <x v="1"/>
    <n v="119"/>
    <n v="1920"/>
    <n v="320"/>
    <x v="1"/>
  </r>
  <r>
    <s v="Chandrika"/>
    <x v="0"/>
    <x v="26"/>
    <x v="1"/>
    <x v="7"/>
    <x v="0"/>
    <x v="1"/>
    <x v="0"/>
    <n v="1503"/>
    <n v="2299"/>
    <x v="2"/>
    <n v="344"/>
    <n v="3910"/>
    <n v="904"/>
    <x v="0"/>
  </r>
  <r>
    <s v="Koushika"/>
    <x v="0"/>
    <x v="165"/>
    <x v="4"/>
    <x v="5"/>
    <x v="1"/>
    <x v="0"/>
    <x v="1"/>
    <n v="1060"/>
    <n v="1699"/>
    <x v="1"/>
    <n v="339"/>
    <n v="1360"/>
    <n v="300"/>
    <x v="0"/>
  </r>
  <r>
    <s v="Koushika"/>
    <x v="0"/>
    <x v="16"/>
    <x v="4"/>
    <x v="4"/>
    <x v="2"/>
    <x v="1"/>
    <x v="4"/>
    <n v="324"/>
    <n v="599"/>
    <x v="3"/>
    <n v="29"/>
    <n v="2850"/>
    <n v="1230"/>
    <x v="1"/>
  </r>
  <r>
    <s v="Arun"/>
    <x v="1"/>
    <x v="166"/>
    <x v="4"/>
    <x v="15"/>
    <x v="0"/>
    <x v="1"/>
    <x v="1"/>
    <n v="2810"/>
    <n v="3799"/>
    <x v="1"/>
    <n v="759"/>
    <n v="3040"/>
    <n v="230"/>
    <x v="1"/>
  </r>
  <r>
    <s v="Saanvi"/>
    <x v="0"/>
    <x v="167"/>
    <x v="1"/>
    <x v="7"/>
    <x v="2"/>
    <x v="0"/>
    <x v="0"/>
    <n v="1028"/>
    <n v="1999"/>
    <x v="3"/>
    <n v="99"/>
    <n v="3800"/>
    <n v="1744"/>
    <x v="0"/>
  </r>
  <r>
    <s v=" Praveen"/>
    <x v="1"/>
    <x v="32"/>
    <x v="2"/>
    <x v="2"/>
    <x v="1"/>
    <x v="0"/>
    <x v="1"/>
    <n v="494"/>
    <n v="699"/>
    <x v="4"/>
    <n v="69"/>
    <n v="630"/>
    <n v="136"/>
    <x v="1"/>
  </r>
  <r>
    <s v="Arjun"/>
    <x v="1"/>
    <x v="9"/>
    <x v="0"/>
    <x v="9"/>
    <x v="0"/>
    <x v="1"/>
    <x v="2"/>
    <n v="409"/>
    <n v="599"/>
    <x v="0"/>
    <n v="0"/>
    <n v="1797"/>
    <n v="570"/>
    <x v="0"/>
  </r>
  <r>
    <s v="Vinay"/>
    <x v="1"/>
    <x v="119"/>
    <x v="2"/>
    <x v="2"/>
    <x v="2"/>
    <x v="0"/>
    <x v="1"/>
    <n v="270"/>
    <n v="499"/>
    <x v="3"/>
    <n v="24"/>
    <n v="475"/>
    <n v="205"/>
    <x v="0"/>
  </r>
  <r>
    <s v="Swapna"/>
    <x v="0"/>
    <x v="86"/>
    <x v="0"/>
    <x v="11"/>
    <x v="1"/>
    <x v="1"/>
    <x v="1"/>
    <n v="265"/>
    <n v="499"/>
    <x v="0"/>
    <n v="0"/>
    <n v="499"/>
    <n v="234"/>
    <x v="0"/>
  </r>
  <r>
    <s v="Rakesh"/>
    <x v="1"/>
    <x v="168"/>
    <x v="1"/>
    <x v="7"/>
    <x v="0"/>
    <x v="0"/>
    <x v="1"/>
    <n v="1907"/>
    <n v="2999"/>
    <x v="2"/>
    <n v="449"/>
    <n v="2550"/>
    <n v="643"/>
    <x v="0"/>
  </r>
  <r>
    <s v="Shivani"/>
    <x v="0"/>
    <x v="169"/>
    <x v="0"/>
    <x v="9"/>
    <x v="0"/>
    <x v="1"/>
    <x v="0"/>
    <n v="215"/>
    <n v="299"/>
    <x v="0"/>
    <n v="0"/>
    <n v="598"/>
    <n v="168"/>
    <x v="0"/>
  </r>
  <r>
    <s v="Pranay"/>
    <x v="1"/>
    <x v="45"/>
    <x v="4"/>
    <x v="5"/>
    <x v="2"/>
    <x v="0"/>
    <x v="1"/>
    <n v="756"/>
    <n v="1399"/>
    <x v="3"/>
    <n v="69"/>
    <n v="1330"/>
    <n v="574"/>
    <x v="0"/>
  </r>
  <r>
    <s v="Thanuja"/>
    <x v="0"/>
    <x v="157"/>
    <x v="0"/>
    <x v="13"/>
    <x v="0"/>
    <x v="0"/>
    <x v="0"/>
    <n v="353"/>
    <n v="499"/>
    <x v="0"/>
    <n v="0"/>
    <n v="998"/>
    <n v="292"/>
    <x v="0"/>
  </r>
  <r>
    <s v="Harsha"/>
    <x v="1"/>
    <x v="170"/>
    <x v="3"/>
    <x v="3"/>
    <x v="1"/>
    <x v="1"/>
    <x v="2"/>
    <n v="740"/>
    <n v="999"/>
    <x v="0"/>
    <n v="0"/>
    <n v="2997"/>
    <n v="777"/>
    <x v="1"/>
  </r>
  <r>
    <s v="Vikram"/>
    <x v="1"/>
    <x v="162"/>
    <x v="2"/>
    <x v="8"/>
    <x v="2"/>
    <x v="0"/>
    <x v="1"/>
    <n v="896"/>
    <n v="1599"/>
    <x v="3"/>
    <n v="79"/>
    <n v="1520"/>
    <n v="624"/>
    <x v="0"/>
  </r>
  <r>
    <s v="Mallesh"/>
    <x v="1"/>
    <x v="33"/>
    <x v="2"/>
    <x v="8"/>
    <x v="0"/>
    <x v="1"/>
    <x v="1"/>
    <n v="889"/>
    <n v="1699"/>
    <x v="4"/>
    <n v="169"/>
    <n v="1530"/>
    <n v="641"/>
    <x v="0"/>
  </r>
  <r>
    <s v="Sai"/>
    <x v="1"/>
    <x v="23"/>
    <x v="1"/>
    <x v="1"/>
    <x v="0"/>
    <x v="1"/>
    <x v="0"/>
    <n v="1661"/>
    <n v="2399"/>
    <x v="2"/>
    <n v="359"/>
    <n v="4080"/>
    <n v="758"/>
    <x v="0"/>
  </r>
  <r>
    <s v="Sanjeev"/>
    <x v="1"/>
    <x v="171"/>
    <x v="3"/>
    <x v="3"/>
    <x v="1"/>
    <x v="1"/>
    <x v="1"/>
    <n v="541"/>
    <n v="899"/>
    <x v="0"/>
    <n v="0"/>
    <n v="899"/>
    <n v="358"/>
    <x v="1"/>
  </r>
  <r>
    <s v="Rakesh"/>
    <x v="1"/>
    <x v="140"/>
    <x v="1"/>
    <x v="7"/>
    <x v="1"/>
    <x v="1"/>
    <x v="1"/>
    <n v="2601"/>
    <n v="3799"/>
    <x v="1"/>
    <n v="759"/>
    <n v="3040"/>
    <n v="439"/>
    <x v="0"/>
  </r>
  <r>
    <s v="Sanjeev"/>
    <x v="1"/>
    <x v="61"/>
    <x v="4"/>
    <x v="10"/>
    <x v="0"/>
    <x v="0"/>
    <x v="3"/>
    <n v="493"/>
    <n v="899"/>
    <x v="3"/>
    <n v="44"/>
    <n v="3420"/>
    <n v="1448"/>
    <x v="0"/>
  </r>
  <r>
    <s v="Aarav"/>
    <x v="1"/>
    <x v="163"/>
    <x v="3"/>
    <x v="3"/>
    <x v="1"/>
    <x v="1"/>
    <x v="1"/>
    <n v="654"/>
    <n v="899"/>
    <x v="0"/>
    <n v="0"/>
    <n v="899"/>
    <n v="245"/>
    <x v="0"/>
  </r>
  <r>
    <s v="Rohan"/>
    <x v="1"/>
    <x v="159"/>
    <x v="0"/>
    <x v="13"/>
    <x v="1"/>
    <x v="0"/>
    <x v="2"/>
    <n v="276"/>
    <n v="399"/>
    <x v="0"/>
    <n v="0"/>
    <n v="1197"/>
    <n v="369"/>
    <x v="0"/>
  </r>
  <r>
    <s v="Tejas"/>
    <x v="1"/>
    <x v="172"/>
    <x v="1"/>
    <x v="7"/>
    <x v="1"/>
    <x v="0"/>
    <x v="1"/>
    <n v="1380"/>
    <n v="1999"/>
    <x v="3"/>
    <n v="99"/>
    <n v="1900"/>
    <n v="520"/>
    <x v="0"/>
  </r>
  <r>
    <s v="Uday"/>
    <x v="1"/>
    <x v="23"/>
    <x v="3"/>
    <x v="14"/>
    <x v="1"/>
    <x v="0"/>
    <x v="4"/>
    <n v="586"/>
    <n v="799"/>
    <x v="0"/>
    <n v="0"/>
    <n v="3995"/>
    <n v="1065"/>
    <x v="1"/>
  </r>
  <r>
    <s v="Ananya"/>
    <x v="0"/>
    <x v="86"/>
    <x v="1"/>
    <x v="7"/>
    <x v="1"/>
    <x v="1"/>
    <x v="1"/>
    <n v="1872"/>
    <n v="3199"/>
    <x v="1"/>
    <n v="639"/>
    <n v="2560"/>
    <n v="688"/>
    <x v="1"/>
  </r>
  <r>
    <s v="Deepak"/>
    <x v="1"/>
    <x v="173"/>
    <x v="3"/>
    <x v="14"/>
    <x v="2"/>
    <x v="1"/>
    <x v="1"/>
    <n v="637"/>
    <n v="999"/>
    <x v="0"/>
    <n v="0"/>
    <n v="999"/>
    <n v="362"/>
    <x v="0"/>
  </r>
  <r>
    <s v="Lassya"/>
    <x v="0"/>
    <x v="162"/>
    <x v="1"/>
    <x v="1"/>
    <x v="2"/>
    <x v="1"/>
    <x v="3"/>
    <n v="626"/>
    <n v="899"/>
    <x v="4"/>
    <n v="89"/>
    <n v="3240"/>
    <n v="736"/>
    <x v="1"/>
  </r>
  <r>
    <s v="Anudeep"/>
    <x v="1"/>
    <x v="73"/>
    <x v="1"/>
    <x v="1"/>
    <x v="2"/>
    <x v="0"/>
    <x v="1"/>
    <n v="599"/>
    <n v="1099"/>
    <x v="3"/>
    <n v="54"/>
    <n v="1045"/>
    <n v="446"/>
    <x v="0"/>
  </r>
  <r>
    <s v="Yeshwanth"/>
    <x v="1"/>
    <x v="118"/>
    <x v="1"/>
    <x v="7"/>
    <x v="0"/>
    <x v="1"/>
    <x v="2"/>
    <n v="1432"/>
    <n v="2599"/>
    <x v="2"/>
    <n v="389"/>
    <n v="6630"/>
    <n v="2334"/>
    <x v="0"/>
  </r>
  <r>
    <s v="Gayatri"/>
    <x v="0"/>
    <x v="32"/>
    <x v="2"/>
    <x v="2"/>
    <x v="1"/>
    <x v="0"/>
    <x v="1"/>
    <n v="448"/>
    <n v="599"/>
    <x v="4"/>
    <n v="59"/>
    <n v="540"/>
    <n v="92"/>
    <x v="0"/>
  </r>
  <r>
    <s v="Shivani"/>
    <x v="0"/>
    <x v="111"/>
    <x v="4"/>
    <x v="16"/>
    <x v="0"/>
    <x v="1"/>
    <x v="2"/>
    <n v="766"/>
    <n v="1299"/>
    <x v="1"/>
    <n v="259"/>
    <n v="3120"/>
    <n v="822"/>
    <x v="0"/>
  </r>
  <r>
    <s v="Arjun"/>
    <x v="1"/>
    <x v="39"/>
    <x v="4"/>
    <x v="10"/>
    <x v="1"/>
    <x v="0"/>
    <x v="1"/>
    <n v="917"/>
    <n v="1799"/>
    <x v="2"/>
    <n v="269"/>
    <n v="1530"/>
    <n v="613"/>
    <x v="1"/>
  </r>
  <r>
    <s v="Chandrika"/>
    <x v="0"/>
    <x v="111"/>
    <x v="3"/>
    <x v="14"/>
    <x v="2"/>
    <x v="0"/>
    <x v="1"/>
    <n v="679"/>
    <n v="1199"/>
    <x v="0"/>
    <n v="0"/>
    <n v="1199"/>
    <n v="520"/>
    <x v="0"/>
  </r>
  <r>
    <s v="Karthik"/>
    <x v="1"/>
    <x v="55"/>
    <x v="0"/>
    <x v="0"/>
    <x v="1"/>
    <x v="1"/>
    <x v="1"/>
    <n v="447"/>
    <n v="599"/>
    <x v="0"/>
    <n v="0"/>
    <n v="599"/>
    <n v="152"/>
    <x v="1"/>
  </r>
  <r>
    <s v="Vijay"/>
    <x v="1"/>
    <x v="174"/>
    <x v="3"/>
    <x v="3"/>
    <x v="1"/>
    <x v="1"/>
    <x v="1"/>
    <n v="709"/>
    <n v="999"/>
    <x v="0"/>
    <n v="0"/>
    <n v="999"/>
    <n v="290"/>
    <x v="1"/>
  </r>
  <r>
    <s v="Sanjeev"/>
    <x v="1"/>
    <x v="175"/>
    <x v="4"/>
    <x v="15"/>
    <x v="1"/>
    <x v="0"/>
    <x v="2"/>
    <n v="1283"/>
    <n v="2299"/>
    <x v="4"/>
    <n v="229"/>
    <n v="6210"/>
    <n v="2361"/>
    <x v="0"/>
  </r>
  <r>
    <s v="Mallesh"/>
    <x v="1"/>
    <x v="96"/>
    <x v="0"/>
    <x v="11"/>
    <x v="2"/>
    <x v="1"/>
    <x v="2"/>
    <n v="410"/>
    <n v="799"/>
    <x v="0"/>
    <n v="0"/>
    <n v="2397"/>
    <n v="1167"/>
    <x v="0"/>
  </r>
  <r>
    <s v="Aarav"/>
    <x v="1"/>
    <x v="92"/>
    <x v="4"/>
    <x v="5"/>
    <x v="0"/>
    <x v="0"/>
    <x v="0"/>
    <n v="914"/>
    <n v="1299"/>
    <x v="1"/>
    <n v="259"/>
    <n v="2080"/>
    <n v="252"/>
    <x v="1"/>
  </r>
  <r>
    <s v="Sai Deep"/>
    <x v="1"/>
    <x v="135"/>
    <x v="1"/>
    <x v="7"/>
    <x v="1"/>
    <x v="1"/>
    <x v="1"/>
    <n v="2317"/>
    <n v="3399"/>
    <x v="4"/>
    <n v="339"/>
    <n v="3060"/>
    <n v="743"/>
    <x v="0"/>
  </r>
  <r>
    <s v="Rakesh"/>
    <x v="1"/>
    <x v="84"/>
    <x v="4"/>
    <x v="15"/>
    <x v="1"/>
    <x v="0"/>
    <x v="0"/>
    <n v="2120"/>
    <n v="3799"/>
    <x v="1"/>
    <n v="759"/>
    <n v="6080"/>
    <n v="1840"/>
    <x v="0"/>
  </r>
  <r>
    <s v="Rahul"/>
    <x v="1"/>
    <x v="176"/>
    <x v="2"/>
    <x v="8"/>
    <x v="0"/>
    <x v="1"/>
    <x v="4"/>
    <n v="794"/>
    <n v="1099"/>
    <x v="3"/>
    <n v="54"/>
    <n v="5225"/>
    <n v="1255"/>
    <x v="0"/>
  </r>
  <r>
    <s v="Arjun"/>
    <x v="1"/>
    <x v="152"/>
    <x v="4"/>
    <x v="16"/>
    <x v="0"/>
    <x v="0"/>
    <x v="1"/>
    <n v="1303"/>
    <n v="1799"/>
    <x v="2"/>
    <n v="269"/>
    <n v="1530"/>
    <n v="227"/>
    <x v="0"/>
  </r>
  <r>
    <s v="Vinay"/>
    <x v="1"/>
    <x v="15"/>
    <x v="2"/>
    <x v="2"/>
    <x v="0"/>
    <x v="1"/>
    <x v="0"/>
    <n v="524"/>
    <n v="799"/>
    <x v="2"/>
    <n v="119"/>
    <n v="1360"/>
    <n v="312"/>
    <x v="1"/>
  </r>
  <r>
    <s v="Sanjeev"/>
    <x v="1"/>
    <x v="177"/>
    <x v="1"/>
    <x v="1"/>
    <x v="0"/>
    <x v="1"/>
    <x v="0"/>
    <n v="1016"/>
    <n v="1399"/>
    <x v="4"/>
    <n v="139"/>
    <n v="2520"/>
    <n v="488"/>
    <x v="0"/>
  </r>
  <r>
    <s v="Vijay"/>
    <x v="1"/>
    <x v="77"/>
    <x v="2"/>
    <x v="2"/>
    <x v="1"/>
    <x v="1"/>
    <x v="3"/>
    <n v="361"/>
    <n v="499"/>
    <x v="3"/>
    <n v="24"/>
    <n v="1900"/>
    <n v="456"/>
    <x v="0"/>
  </r>
  <r>
    <s v="Srujan"/>
    <x v="1"/>
    <x v="21"/>
    <x v="3"/>
    <x v="3"/>
    <x v="1"/>
    <x v="0"/>
    <x v="2"/>
    <n v="565"/>
    <n v="899"/>
    <x v="0"/>
    <n v="0"/>
    <n v="2697"/>
    <n v="1002"/>
    <x v="1"/>
  </r>
  <r>
    <s v="Leela"/>
    <x v="0"/>
    <x v="140"/>
    <x v="0"/>
    <x v="11"/>
    <x v="2"/>
    <x v="1"/>
    <x v="3"/>
    <n v="403"/>
    <n v="699"/>
    <x v="0"/>
    <n v="0"/>
    <n v="2796"/>
    <n v="1184"/>
    <x v="1"/>
  </r>
  <r>
    <s v="Tejas"/>
    <x v="1"/>
    <x v="12"/>
    <x v="4"/>
    <x v="5"/>
    <x v="2"/>
    <x v="1"/>
    <x v="0"/>
    <n v="847"/>
    <n v="1199"/>
    <x v="4"/>
    <n v="119"/>
    <n v="2160"/>
    <n v="466"/>
    <x v="1"/>
  </r>
  <r>
    <s v="Harsha"/>
    <x v="1"/>
    <x v="178"/>
    <x v="0"/>
    <x v="11"/>
    <x v="0"/>
    <x v="1"/>
    <x v="1"/>
    <n v="267"/>
    <n v="399"/>
    <x v="0"/>
    <n v="0"/>
    <n v="399"/>
    <n v="132"/>
    <x v="1"/>
  </r>
  <r>
    <s v="Arjun"/>
    <x v="1"/>
    <x v="82"/>
    <x v="2"/>
    <x v="2"/>
    <x v="2"/>
    <x v="1"/>
    <x v="1"/>
    <n v="330"/>
    <n v="499"/>
    <x v="2"/>
    <n v="74"/>
    <n v="425"/>
    <n v="95"/>
    <x v="1"/>
  </r>
  <r>
    <s v="Chandrika"/>
    <x v="0"/>
    <x v="153"/>
    <x v="3"/>
    <x v="3"/>
    <x v="0"/>
    <x v="0"/>
    <x v="3"/>
    <n v="801"/>
    <n v="1199"/>
    <x v="0"/>
    <n v="0"/>
    <n v="4796"/>
    <n v="1592"/>
    <x v="0"/>
  </r>
  <r>
    <s v="Aadhya"/>
    <x v="0"/>
    <x v="71"/>
    <x v="0"/>
    <x v="0"/>
    <x v="0"/>
    <x v="1"/>
    <x v="4"/>
    <n v="298"/>
    <n v="399"/>
    <x v="0"/>
    <n v="0"/>
    <n v="1995"/>
    <n v="505"/>
    <x v="0"/>
  </r>
  <r>
    <s v="Mallesh"/>
    <x v="1"/>
    <x v="147"/>
    <x v="1"/>
    <x v="7"/>
    <x v="1"/>
    <x v="1"/>
    <x v="0"/>
    <n v="1440"/>
    <n v="2199"/>
    <x v="4"/>
    <n v="219"/>
    <n v="3960"/>
    <n v="1080"/>
    <x v="0"/>
  </r>
  <r>
    <s v="Shiva"/>
    <x v="1"/>
    <x v="3"/>
    <x v="3"/>
    <x v="14"/>
    <x v="1"/>
    <x v="0"/>
    <x v="4"/>
    <n v="580"/>
    <n v="999"/>
    <x v="0"/>
    <n v="0"/>
    <n v="4995"/>
    <n v="2095"/>
    <x v="1"/>
  </r>
  <r>
    <s v="Anvesh"/>
    <x v="1"/>
    <x v="136"/>
    <x v="3"/>
    <x v="3"/>
    <x v="0"/>
    <x v="1"/>
    <x v="0"/>
    <n v="553"/>
    <n v="899"/>
    <x v="0"/>
    <n v="0"/>
    <n v="1798"/>
    <n v="692"/>
    <x v="1"/>
  </r>
  <r>
    <s v="Lassya"/>
    <x v="0"/>
    <x v="65"/>
    <x v="3"/>
    <x v="3"/>
    <x v="0"/>
    <x v="0"/>
    <x v="0"/>
    <n v="515"/>
    <n v="999"/>
    <x v="0"/>
    <n v="0"/>
    <n v="1998"/>
    <n v="968"/>
    <x v="0"/>
  </r>
  <r>
    <s v="Vikram"/>
    <x v="1"/>
    <x v="67"/>
    <x v="3"/>
    <x v="14"/>
    <x v="1"/>
    <x v="0"/>
    <x v="4"/>
    <n v="553"/>
    <n v="999"/>
    <x v="0"/>
    <n v="0"/>
    <n v="4995"/>
    <n v="2230"/>
    <x v="1"/>
  </r>
  <r>
    <s v="Hema"/>
    <x v="0"/>
    <x v="122"/>
    <x v="0"/>
    <x v="13"/>
    <x v="0"/>
    <x v="1"/>
    <x v="1"/>
    <n v="205"/>
    <n v="399"/>
    <x v="0"/>
    <n v="0"/>
    <n v="399"/>
    <n v="194"/>
    <x v="0"/>
  </r>
  <r>
    <s v="Neha"/>
    <x v="0"/>
    <x v="87"/>
    <x v="3"/>
    <x v="14"/>
    <x v="2"/>
    <x v="1"/>
    <x v="1"/>
    <n v="703"/>
    <n v="1199"/>
    <x v="0"/>
    <n v="0"/>
    <n v="1199"/>
    <n v="496"/>
    <x v="1"/>
  </r>
  <r>
    <s v="Laxmi"/>
    <x v="0"/>
    <x v="179"/>
    <x v="3"/>
    <x v="3"/>
    <x v="2"/>
    <x v="1"/>
    <x v="1"/>
    <n v="780"/>
    <n v="1199"/>
    <x v="0"/>
    <n v="0"/>
    <n v="1199"/>
    <n v="419"/>
    <x v="0"/>
  </r>
  <r>
    <s v="Sanjeev"/>
    <x v="1"/>
    <x v="141"/>
    <x v="2"/>
    <x v="8"/>
    <x v="1"/>
    <x v="0"/>
    <x v="3"/>
    <n v="505"/>
    <n v="699"/>
    <x v="4"/>
    <n v="69"/>
    <n v="2520"/>
    <n v="500"/>
    <x v="0"/>
  </r>
  <r>
    <s v="Isha"/>
    <x v="0"/>
    <x v="180"/>
    <x v="4"/>
    <x v="5"/>
    <x v="2"/>
    <x v="0"/>
    <x v="1"/>
    <n v="527"/>
    <n v="899"/>
    <x v="2"/>
    <n v="134"/>
    <n v="765"/>
    <n v="238"/>
    <x v="1"/>
  </r>
  <r>
    <s v="Koushika"/>
    <x v="0"/>
    <x v="181"/>
    <x v="1"/>
    <x v="7"/>
    <x v="1"/>
    <x v="0"/>
    <x v="1"/>
    <n v="1354"/>
    <n v="2299"/>
    <x v="2"/>
    <n v="344"/>
    <n v="1955"/>
    <n v="601"/>
    <x v="0"/>
  </r>
  <r>
    <s v="Surya"/>
    <x v="1"/>
    <x v="114"/>
    <x v="2"/>
    <x v="2"/>
    <x v="0"/>
    <x v="1"/>
    <x v="0"/>
    <n v="356"/>
    <n v="599"/>
    <x v="2"/>
    <n v="89"/>
    <n v="1020"/>
    <n v="308"/>
    <x v="0"/>
  </r>
  <r>
    <s v="Gayatri"/>
    <x v="0"/>
    <x v="76"/>
    <x v="0"/>
    <x v="9"/>
    <x v="0"/>
    <x v="0"/>
    <x v="2"/>
    <n v="178"/>
    <n v="299"/>
    <x v="0"/>
    <n v="0"/>
    <n v="897"/>
    <n v="363"/>
    <x v="1"/>
  </r>
  <r>
    <s v="Ananya"/>
    <x v="0"/>
    <x v="47"/>
    <x v="0"/>
    <x v="9"/>
    <x v="0"/>
    <x v="0"/>
    <x v="0"/>
    <n v="150"/>
    <n v="299"/>
    <x v="0"/>
    <n v="0"/>
    <n v="598"/>
    <n v="298"/>
    <x v="0"/>
  </r>
  <r>
    <s v="Arun"/>
    <x v="1"/>
    <x v="182"/>
    <x v="1"/>
    <x v="7"/>
    <x v="1"/>
    <x v="0"/>
    <x v="0"/>
    <n v="1168"/>
    <n v="1999"/>
    <x v="3"/>
    <n v="99"/>
    <n v="3800"/>
    <n v="1464"/>
    <x v="1"/>
  </r>
  <r>
    <s v="Manoj"/>
    <x v="1"/>
    <x v="155"/>
    <x v="1"/>
    <x v="1"/>
    <x v="2"/>
    <x v="1"/>
    <x v="3"/>
    <n v="568"/>
    <n v="899"/>
    <x v="4"/>
    <n v="89"/>
    <n v="3240"/>
    <n v="968"/>
    <x v="0"/>
  </r>
  <r>
    <s v="Laxmi"/>
    <x v="0"/>
    <x v="55"/>
    <x v="0"/>
    <x v="9"/>
    <x v="1"/>
    <x v="1"/>
    <x v="1"/>
    <n v="307"/>
    <n v="599"/>
    <x v="0"/>
    <n v="0"/>
    <n v="599"/>
    <n v="292"/>
    <x v="1"/>
  </r>
  <r>
    <s v="Sai"/>
    <x v="1"/>
    <x v="140"/>
    <x v="0"/>
    <x v="11"/>
    <x v="2"/>
    <x v="0"/>
    <x v="0"/>
    <n v="294"/>
    <n v="399"/>
    <x v="0"/>
    <n v="0"/>
    <n v="798"/>
    <n v="210"/>
    <x v="0"/>
  </r>
  <r>
    <s v="Anjali"/>
    <x v="0"/>
    <x v="183"/>
    <x v="0"/>
    <x v="13"/>
    <x v="2"/>
    <x v="0"/>
    <x v="4"/>
    <n v="253"/>
    <n v="399"/>
    <x v="0"/>
    <n v="0"/>
    <n v="1995"/>
    <n v="730"/>
    <x v="0"/>
  </r>
  <r>
    <s v="Isha"/>
    <x v="0"/>
    <x v="103"/>
    <x v="3"/>
    <x v="3"/>
    <x v="0"/>
    <x v="0"/>
    <x v="4"/>
    <n v="867"/>
    <n v="1399"/>
    <x v="0"/>
    <n v="0"/>
    <n v="6995"/>
    <n v="2660"/>
    <x v="0"/>
  </r>
  <r>
    <s v="Vikram"/>
    <x v="1"/>
    <x v="53"/>
    <x v="4"/>
    <x v="6"/>
    <x v="0"/>
    <x v="1"/>
    <x v="1"/>
    <n v="611"/>
    <n v="999"/>
    <x v="2"/>
    <n v="149"/>
    <n v="850"/>
    <n v="239"/>
    <x v="0"/>
  </r>
  <r>
    <s v="Aadhya"/>
    <x v="0"/>
    <x v="37"/>
    <x v="3"/>
    <x v="14"/>
    <x v="1"/>
    <x v="1"/>
    <x v="0"/>
    <n v="470"/>
    <n v="799"/>
    <x v="0"/>
    <n v="0"/>
    <n v="1598"/>
    <n v="658"/>
    <x v="0"/>
  </r>
  <r>
    <s v="Leela"/>
    <x v="0"/>
    <x v="35"/>
    <x v="0"/>
    <x v="13"/>
    <x v="1"/>
    <x v="0"/>
    <x v="1"/>
    <n v="296"/>
    <n v="499"/>
    <x v="0"/>
    <n v="0"/>
    <n v="499"/>
    <n v="203"/>
    <x v="0"/>
  </r>
  <r>
    <s v="Lassya"/>
    <x v="0"/>
    <x v="105"/>
    <x v="1"/>
    <x v="1"/>
    <x v="2"/>
    <x v="1"/>
    <x v="1"/>
    <n v="1073"/>
    <n v="1899"/>
    <x v="1"/>
    <n v="379"/>
    <n v="1520"/>
    <n v="447"/>
    <x v="1"/>
  </r>
  <r>
    <s v="Srawani"/>
    <x v="0"/>
    <x v="109"/>
    <x v="4"/>
    <x v="10"/>
    <x v="1"/>
    <x v="0"/>
    <x v="1"/>
    <n v="517"/>
    <n v="999"/>
    <x v="2"/>
    <n v="149"/>
    <n v="850"/>
    <n v="333"/>
    <x v="0"/>
  </r>
  <r>
    <s v="Arun"/>
    <x v="1"/>
    <x v="77"/>
    <x v="2"/>
    <x v="8"/>
    <x v="1"/>
    <x v="1"/>
    <x v="1"/>
    <n v="846"/>
    <n v="1199"/>
    <x v="4"/>
    <n v="119"/>
    <n v="1080"/>
    <n v="234"/>
    <x v="0"/>
  </r>
  <r>
    <s v="Srujan"/>
    <x v="1"/>
    <x v="63"/>
    <x v="1"/>
    <x v="7"/>
    <x v="2"/>
    <x v="0"/>
    <x v="2"/>
    <n v="2937"/>
    <n v="4199"/>
    <x v="2"/>
    <n v="629"/>
    <n v="10710"/>
    <n v="1899"/>
    <x v="0"/>
  </r>
  <r>
    <s v="Harsha"/>
    <x v="1"/>
    <x v="184"/>
    <x v="0"/>
    <x v="9"/>
    <x v="2"/>
    <x v="1"/>
    <x v="1"/>
    <n v="261"/>
    <n v="499"/>
    <x v="0"/>
    <n v="0"/>
    <n v="499"/>
    <n v="238"/>
    <x v="0"/>
  </r>
  <r>
    <s v="Deepak"/>
    <x v="1"/>
    <x v="185"/>
    <x v="0"/>
    <x v="0"/>
    <x v="1"/>
    <x v="0"/>
    <x v="1"/>
    <n v="380"/>
    <n v="599"/>
    <x v="0"/>
    <n v="0"/>
    <n v="599"/>
    <n v="219"/>
    <x v="1"/>
  </r>
  <r>
    <s v="Karthik"/>
    <x v="1"/>
    <x v="186"/>
    <x v="3"/>
    <x v="14"/>
    <x v="2"/>
    <x v="0"/>
    <x v="1"/>
    <n v="872"/>
    <n v="1499"/>
    <x v="0"/>
    <n v="0"/>
    <n v="1499"/>
    <n v="627"/>
    <x v="0"/>
  </r>
  <r>
    <s v="Hema"/>
    <x v="0"/>
    <x v="154"/>
    <x v="4"/>
    <x v="12"/>
    <x v="2"/>
    <x v="0"/>
    <x v="4"/>
    <n v="1531"/>
    <n v="2499"/>
    <x v="1"/>
    <n v="499"/>
    <n v="10000"/>
    <n v="2345"/>
    <x v="1"/>
  </r>
  <r>
    <s v="Swathi"/>
    <x v="0"/>
    <x v="33"/>
    <x v="3"/>
    <x v="3"/>
    <x v="2"/>
    <x v="1"/>
    <x v="1"/>
    <n v="1066"/>
    <n v="1499"/>
    <x v="0"/>
    <n v="0"/>
    <n v="1499"/>
    <n v="433"/>
    <x v="1"/>
  </r>
  <r>
    <s v="Vasanth"/>
    <x v="1"/>
    <x v="159"/>
    <x v="3"/>
    <x v="14"/>
    <x v="0"/>
    <x v="1"/>
    <x v="1"/>
    <n v="689"/>
    <n v="1199"/>
    <x v="0"/>
    <n v="0"/>
    <n v="1199"/>
    <n v="510"/>
    <x v="1"/>
  </r>
  <r>
    <s v="Reavanth"/>
    <x v="1"/>
    <x v="32"/>
    <x v="0"/>
    <x v="0"/>
    <x v="1"/>
    <x v="0"/>
    <x v="0"/>
    <n v="210"/>
    <n v="399"/>
    <x v="0"/>
    <n v="0"/>
    <n v="798"/>
    <n v="378"/>
    <x v="0"/>
  </r>
  <r>
    <s v="Mallesh"/>
    <x v="1"/>
    <x v="127"/>
    <x v="2"/>
    <x v="2"/>
    <x v="0"/>
    <x v="1"/>
    <x v="1"/>
    <n v="312"/>
    <n v="499"/>
    <x v="2"/>
    <n v="74"/>
    <n v="425"/>
    <n v="113"/>
    <x v="1"/>
  </r>
  <r>
    <s v="Tejas"/>
    <x v="1"/>
    <x v="9"/>
    <x v="2"/>
    <x v="2"/>
    <x v="0"/>
    <x v="1"/>
    <x v="1"/>
    <n v="523"/>
    <n v="699"/>
    <x v="4"/>
    <n v="69"/>
    <n v="630"/>
    <n v="107"/>
    <x v="0"/>
  </r>
  <r>
    <s v="Koushika"/>
    <x v="0"/>
    <x v="114"/>
    <x v="1"/>
    <x v="1"/>
    <x v="0"/>
    <x v="0"/>
    <x v="1"/>
    <n v="730"/>
    <n v="1199"/>
    <x v="2"/>
    <n v="179"/>
    <n v="1020"/>
    <n v="290"/>
    <x v="0"/>
  </r>
  <r>
    <s v=" Praveen"/>
    <x v="1"/>
    <x v="123"/>
    <x v="2"/>
    <x v="2"/>
    <x v="1"/>
    <x v="1"/>
    <x v="0"/>
    <n v="438"/>
    <n v="599"/>
    <x v="2"/>
    <n v="89"/>
    <n v="1020"/>
    <n v="144"/>
    <x v="0"/>
  </r>
  <r>
    <s v="Swathi"/>
    <x v="0"/>
    <x v="187"/>
    <x v="4"/>
    <x v="4"/>
    <x v="2"/>
    <x v="1"/>
    <x v="2"/>
    <n v="372"/>
    <n v="499"/>
    <x v="1"/>
    <n v="99"/>
    <n v="1200"/>
    <n v="84"/>
    <x v="0"/>
  </r>
  <r>
    <s v="Krishna"/>
    <x v="1"/>
    <x v="176"/>
    <x v="4"/>
    <x v="12"/>
    <x v="1"/>
    <x v="0"/>
    <x v="1"/>
    <n v="1278"/>
    <n v="2499"/>
    <x v="1"/>
    <n v="499"/>
    <n v="2000"/>
    <n v="722"/>
    <x v="0"/>
  </r>
  <r>
    <s v="Pooja"/>
    <x v="0"/>
    <x v="136"/>
    <x v="3"/>
    <x v="14"/>
    <x v="1"/>
    <x v="1"/>
    <x v="1"/>
    <n v="512"/>
    <n v="999"/>
    <x v="0"/>
    <n v="0"/>
    <n v="999"/>
    <n v="487"/>
    <x v="0"/>
  </r>
  <r>
    <s v="Aditya"/>
    <x v="1"/>
    <x v="118"/>
    <x v="4"/>
    <x v="5"/>
    <x v="0"/>
    <x v="1"/>
    <x v="4"/>
    <n v="854"/>
    <n v="1699"/>
    <x v="1"/>
    <n v="339"/>
    <n v="6800"/>
    <n v="2530"/>
    <x v="1"/>
  </r>
  <r>
    <s v="Harsha"/>
    <x v="1"/>
    <x v="129"/>
    <x v="1"/>
    <x v="7"/>
    <x v="2"/>
    <x v="0"/>
    <x v="4"/>
    <n v="2006"/>
    <n v="3199"/>
    <x v="3"/>
    <n v="159"/>
    <n v="15200"/>
    <n v="5170"/>
    <x v="0"/>
  </r>
  <r>
    <s v="Kavya"/>
    <x v="0"/>
    <x v="158"/>
    <x v="4"/>
    <x v="12"/>
    <x v="0"/>
    <x v="0"/>
    <x v="2"/>
    <n v="612"/>
    <n v="1099"/>
    <x v="3"/>
    <n v="54"/>
    <n v="3135"/>
    <n v="1299"/>
    <x v="0"/>
  </r>
  <r>
    <s v="Lavanya"/>
    <x v="0"/>
    <x v="134"/>
    <x v="3"/>
    <x v="3"/>
    <x v="0"/>
    <x v="0"/>
    <x v="1"/>
    <n v="945"/>
    <n v="1499"/>
    <x v="0"/>
    <n v="0"/>
    <n v="1499"/>
    <n v="554"/>
    <x v="0"/>
  </r>
  <r>
    <s v="Tejas"/>
    <x v="1"/>
    <x v="134"/>
    <x v="3"/>
    <x v="3"/>
    <x v="0"/>
    <x v="1"/>
    <x v="4"/>
    <n v="874"/>
    <n v="1199"/>
    <x v="0"/>
    <n v="0"/>
    <n v="5995"/>
    <n v="1625"/>
    <x v="0"/>
  </r>
  <r>
    <s v="Rahul"/>
    <x v="1"/>
    <x v="64"/>
    <x v="3"/>
    <x v="3"/>
    <x v="0"/>
    <x v="0"/>
    <x v="1"/>
    <n v="758"/>
    <n v="1499"/>
    <x v="0"/>
    <n v="0"/>
    <n v="1499"/>
    <n v="741"/>
    <x v="0"/>
  </r>
  <r>
    <s v="Surya"/>
    <x v="1"/>
    <x v="15"/>
    <x v="3"/>
    <x v="14"/>
    <x v="0"/>
    <x v="1"/>
    <x v="0"/>
    <n v="716"/>
    <n v="999"/>
    <x v="0"/>
    <n v="0"/>
    <n v="1998"/>
    <n v="566"/>
    <x v="1"/>
  </r>
  <r>
    <s v="Aditya"/>
    <x v="1"/>
    <x v="188"/>
    <x v="1"/>
    <x v="7"/>
    <x v="1"/>
    <x v="0"/>
    <x v="1"/>
    <n v="1842"/>
    <n v="2699"/>
    <x v="3"/>
    <n v="134"/>
    <n v="2565"/>
    <n v="723"/>
    <x v="0"/>
  </r>
  <r>
    <s v="Devi"/>
    <x v="0"/>
    <x v="83"/>
    <x v="0"/>
    <x v="13"/>
    <x v="1"/>
    <x v="0"/>
    <x v="2"/>
    <n v="214"/>
    <n v="399"/>
    <x v="0"/>
    <n v="0"/>
    <n v="1197"/>
    <n v="555"/>
    <x v="0"/>
  </r>
  <r>
    <s v=" Praveen"/>
    <x v="1"/>
    <x v="59"/>
    <x v="1"/>
    <x v="1"/>
    <x v="1"/>
    <x v="1"/>
    <x v="0"/>
    <n v="1415"/>
    <n v="2399"/>
    <x v="2"/>
    <n v="359"/>
    <n v="4080"/>
    <n v="1250"/>
    <x v="1"/>
  </r>
  <r>
    <s v="Vasanth"/>
    <x v="1"/>
    <x v="172"/>
    <x v="4"/>
    <x v="10"/>
    <x v="1"/>
    <x v="1"/>
    <x v="2"/>
    <n v="1017"/>
    <n v="1599"/>
    <x v="3"/>
    <n v="79"/>
    <n v="4560"/>
    <n v="1509"/>
    <x v="0"/>
  </r>
  <r>
    <s v="Viraj"/>
    <x v="1"/>
    <x v="57"/>
    <x v="3"/>
    <x v="3"/>
    <x v="1"/>
    <x v="1"/>
    <x v="1"/>
    <n v="984"/>
    <n v="1499"/>
    <x v="0"/>
    <n v="0"/>
    <n v="1499"/>
    <n v="515"/>
    <x v="0"/>
  </r>
  <r>
    <s v="Shiva"/>
    <x v="1"/>
    <x v="111"/>
    <x v="0"/>
    <x v="11"/>
    <x v="1"/>
    <x v="0"/>
    <x v="3"/>
    <n v="158"/>
    <n v="299"/>
    <x v="0"/>
    <n v="0"/>
    <n v="1196"/>
    <n v="564"/>
    <x v="0"/>
  </r>
  <r>
    <s v="Rahul"/>
    <x v="1"/>
    <x v="27"/>
    <x v="2"/>
    <x v="2"/>
    <x v="0"/>
    <x v="1"/>
    <x v="3"/>
    <n v="263"/>
    <n v="499"/>
    <x v="1"/>
    <n v="99"/>
    <n v="1600"/>
    <n v="548"/>
    <x v="0"/>
  </r>
  <r>
    <s v="Isha"/>
    <x v="0"/>
    <x v="137"/>
    <x v="4"/>
    <x v="4"/>
    <x v="1"/>
    <x v="0"/>
    <x v="1"/>
    <n v="273"/>
    <n v="399"/>
    <x v="4"/>
    <n v="39"/>
    <n v="360"/>
    <n v="87"/>
    <x v="0"/>
  </r>
  <r>
    <s v="Ananya"/>
    <x v="0"/>
    <x v="3"/>
    <x v="2"/>
    <x v="2"/>
    <x v="0"/>
    <x v="1"/>
    <x v="1"/>
    <n v="420"/>
    <n v="599"/>
    <x v="2"/>
    <n v="89"/>
    <n v="510"/>
    <n v="90"/>
    <x v="0"/>
  </r>
  <r>
    <s v="Aadhya"/>
    <x v="0"/>
    <x v="101"/>
    <x v="2"/>
    <x v="8"/>
    <x v="0"/>
    <x v="0"/>
    <x v="1"/>
    <n v="492"/>
    <n v="699"/>
    <x v="3"/>
    <n v="34"/>
    <n v="665"/>
    <n v="173"/>
    <x v="0"/>
  </r>
  <r>
    <s v="Bharath"/>
    <x v="1"/>
    <x v="4"/>
    <x v="2"/>
    <x v="8"/>
    <x v="1"/>
    <x v="1"/>
    <x v="0"/>
    <n v="783"/>
    <n v="1299"/>
    <x v="1"/>
    <n v="259"/>
    <n v="2080"/>
    <n v="514"/>
    <x v="0"/>
  </r>
  <r>
    <s v="Pravalika"/>
    <x v="0"/>
    <x v="130"/>
    <x v="0"/>
    <x v="9"/>
    <x v="1"/>
    <x v="1"/>
    <x v="1"/>
    <n v="338"/>
    <n v="599"/>
    <x v="0"/>
    <n v="0"/>
    <n v="599"/>
    <n v="261"/>
    <x v="1"/>
  </r>
  <r>
    <s v=" Praveen"/>
    <x v="1"/>
    <x v="31"/>
    <x v="0"/>
    <x v="0"/>
    <x v="1"/>
    <x v="1"/>
    <x v="2"/>
    <n v="252"/>
    <n v="499"/>
    <x v="0"/>
    <n v="0"/>
    <n v="1497"/>
    <n v="741"/>
    <x v="1"/>
  </r>
  <r>
    <s v="Viraj"/>
    <x v="1"/>
    <x v="47"/>
    <x v="2"/>
    <x v="2"/>
    <x v="1"/>
    <x v="1"/>
    <x v="1"/>
    <n v="273"/>
    <n v="499"/>
    <x v="4"/>
    <n v="49"/>
    <n v="450"/>
    <n v="177"/>
    <x v="1"/>
  </r>
  <r>
    <s v="Laxmi"/>
    <x v="0"/>
    <x v="3"/>
    <x v="3"/>
    <x v="3"/>
    <x v="0"/>
    <x v="1"/>
    <x v="3"/>
    <n v="840"/>
    <n v="1499"/>
    <x v="0"/>
    <n v="0"/>
    <n v="5996"/>
    <n v="2636"/>
    <x v="0"/>
  </r>
  <r>
    <s v="Sai"/>
    <x v="1"/>
    <x v="157"/>
    <x v="1"/>
    <x v="1"/>
    <x v="0"/>
    <x v="0"/>
    <x v="0"/>
    <n v="453"/>
    <n v="899"/>
    <x v="3"/>
    <n v="44"/>
    <n v="1710"/>
    <n v="804"/>
    <x v="0"/>
  </r>
  <r>
    <s v="Ananya"/>
    <x v="0"/>
    <x v="135"/>
    <x v="3"/>
    <x v="3"/>
    <x v="0"/>
    <x v="1"/>
    <x v="3"/>
    <n v="1057"/>
    <n v="1499"/>
    <x v="0"/>
    <n v="0"/>
    <n v="5996"/>
    <n v="1768"/>
    <x v="1"/>
  </r>
  <r>
    <s v="Rakesh"/>
    <x v="1"/>
    <x v="105"/>
    <x v="1"/>
    <x v="1"/>
    <x v="1"/>
    <x v="1"/>
    <x v="0"/>
    <n v="834"/>
    <n v="1299"/>
    <x v="3"/>
    <n v="64"/>
    <n v="2470"/>
    <n v="802"/>
    <x v="0"/>
  </r>
  <r>
    <s v="Chandrika"/>
    <x v="0"/>
    <x v="189"/>
    <x v="4"/>
    <x v="16"/>
    <x v="2"/>
    <x v="0"/>
    <x v="1"/>
    <n v="1398"/>
    <n v="2299"/>
    <x v="4"/>
    <n v="229"/>
    <n v="2070"/>
    <n v="672"/>
    <x v="1"/>
  </r>
  <r>
    <s v="Arjun"/>
    <x v="1"/>
    <x v="9"/>
    <x v="4"/>
    <x v="5"/>
    <x v="1"/>
    <x v="0"/>
    <x v="1"/>
    <n v="698"/>
    <n v="1099"/>
    <x v="3"/>
    <n v="54"/>
    <n v="1045"/>
    <n v="347"/>
    <x v="1"/>
  </r>
  <r>
    <s v="Karthik"/>
    <x v="1"/>
    <x v="63"/>
    <x v="1"/>
    <x v="1"/>
    <x v="0"/>
    <x v="1"/>
    <x v="1"/>
    <n v="1224"/>
    <n v="2199"/>
    <x v="3"/>
    <n v="109"/>
    <n v="2090"/>
    <n v="866"/>
    <x v="0"/>
  </r>
  <r>
    <s v="Anjali"/>
    <x v="0"/>
    <x v="171"/>
    <x v="3"/>
    <x v="14"/>
    <x v="1"/>
    <x v="1"/>
    <x v="1"/>
    <n v="596"/>
    <n v="999"/>
    <x v="0"/>
    <n v="0"/>
    <n v="999"/>
    <n v="403"/>
    <x v="0"/>
  </r>
  <r>
    <s v="Aditya"/>
    <x v="1"/>
    <x v="24"/>
    <x v="3"/>
    <x v="14"/>
    <x v="2"/>
    <x v="1"/>
    <x v="1"/>
    <n v="401"/>
    <n v="799"/>
    <x v="0"/>
    <n v="0"/>
    <n v="799"/>
    <n v="398"/>
    <x v="0"/>
  </r>
  <r>
    <s v="Isha"/>
    <x v="0"/>
    <x v="190"/>
    <x v="3"/>
    <x v="3"/>
    <x v="0"/>
    <x v="0"/>
    <x v="1"/>
    <n v="937"/>
    <n v="1499"/>
    <x v="0"/>
    <n v="0"/>
    <n v="1499"/>
    <n v="562"/>
    <x v="0"/>
  </r>
  <r>
    <s v="Aditya"/>
    <x v="1"/>
    <x v="115"/>
    <x v="1"/>
    <x v="7"/>
    <x v="2"/>
    <x v="1"/>
    <x v="1"/>
    <n v="1704"/>
    <n v="3399"/>
    <x v="4"/>
    <n v="339"/>
    <n v="3060"/>
    <n v="1356"/>
    <x v="1"/>
  </r>
  <r>
    <s v="Manoj"/>
    <x v="1"/>
    <x v="166"/>
    <x v="3"/>
    <x v="14"/>
    <x v="2"/>
    <x v="1"/>
    <x v="1"/>
    <n v="824"/>
    <n v="1499"/>
    <x v="0"/>
    <n v="0"/>
    <n v="1499"/>
    <n v="675"/>
    <x v="0"/>
  </r>
  <r>
    <s v="Swetha"/>
    <x v="0"/>
    <x v="191"/>
    <x v="2"/>
    <x v="8"/>
    <x v="2"/>
    <x v="0"/>
    <x v="1"/>
    <n v="579"/>
    <n v="899"/>
    <x v="3"/>
    <n v="44"/>
    <n v="855"/>
    <n v="276"/>
    <x v="1"/>
  </r>
  <r>
    <s v="Pravalika"/>
    <x v="0"/>
    <x v="84"/>
    <x v="0"/>
    <x v="0"/>
    <x v="1"/>
    <x v="0"/>
    <x v="1"/>
    <n v="363"/>
    <n v="499"/>
    <x v="0"/>
    <n v="0"/>
    <n v="499"/>
    <n v="136"/>
    <x v="0"/>
  </r>
  <r>
    <s v="Anvesh"/>
    <x v="1"/>
    <x v="192"/>
    <x v="4"/>
    <x v="6"/>
    <x v="2"/>
    <x v="0"/>
    <x v="2"/>
    <n v="662"/>
    <n v="899"/>
    <x v="4"/>
    <n v="89"/>
    <n v="2430"/>
    <n v="444"/>
    <x v="0"/>
  </r>
  <r>
    <s v="Srinivas"/>
    <x v="1"/>
    <x v="98"/>
    <x v="2"/>
    <x v="2"/>
    <x v="0"/>
    <x v="1"/>
    <x v="1"/>
    <n v="333"/>
    <n v="599"/>
    <x v="1"/>
    <n v="119"/>
    <n v="480"/>
    <n v="147"/>
    <x v="0"/>
  </r>
  <r>
    <s v="Arjun"/>
    <x v="1"/>
    <x v="192"/>
    <x v="1"/>
    <x v="1"/>
    <x v="1"/>
    <x v="1"/>
    <x v="1"/>
    <n v="958"/>
    <n v="1699"/>
    <x v="4"/>
    <n v="169"/>
    <n v="1530"/>
    <n v="572"/>
    <x v="0"/>
  </r>
  <r>
    <s v="Karthik"/>
    <x v="1"/>
    <x v="16"/>
    <x v="2"/>
    <x v="2"/>
    <x v="2"/>
    <x v="1"/>
    <x v="1"/>
    <n v="532"/>
    <n v="799"/>
    <x v="2"/>
    <n v="119"/>
    <n v="680"/>
    <n v="148"/>
    <x v="1"/>
  </r>
  <r>
    <s v="Ananya"/>
    <x v="0"/>
    <x v="93"/>
    <x v="0"/>
    <x v="0"/>
    <x v="1"/>
    <x v="0"/>
    <x v="1"/>
    <n v="214"/>
    <n v="299"/>
    <x v="0"/>
    <n v="0"/>
    <n v="299"/>
    <n v="85"/>
    <x v="1"/>
  </r>
  <r>
    <s v="Arjun"/>
    <x v="1"/>
    <x v="160"/>
    <x v="2"/>
    <x v="8"/>
    <x v="1"/>
    <x v="0"/>
    <x v="0"/>
    <n v="1011"/>
    <n v="1499"/>
    <x v="1"/>
    <n v="299"/>
    <n v="2400"/>
    <n v="378"/>
    <x v="0"/>
  </r>
  <r>
    <s v="Reavanth"/>
    <x v="1"/>
    <x v="50"/>
    <x v="4"/>
    <x v="4"/>
    <x v="2"/>
    <x v="0"/>
    <x v="1"/>
    <n v="390"/>
    <n v="699"/>
    <x v="1"/>
    <n v="139"/>
    <n v="560"/>
    <n v="170"/>
    <x v="0"/>
  </r>
  <r>
    <s v="Anjali"/>
    <x v="0"/>
    <x v="188"/>
    <x v="2"/>
    <x v="2"/>
    <x v="1"/>
    <x v="0"/>
    <x v="1"/>
    <n v="351"/>
    <n v="599"/>
    <x v="4"/>
    <n v="59"/>
    <n v="540"/>
    <n v="189"/>
    <x v="1"/>
  </r>
  <r>
    <s v="Ananya"/>
    <x v="0"/>
    <x v="27"/>
    <x v="4"/>
    <x v="12"/>
    <x v="2"/>
    <x v="1"/>
    <x v="1"/>
    <n v="1154"/>
    <n v="1699"/>
    <x v="4"/>
    <n v="169"/>
    <n v="1530"/>
    <n v="376"/>
    <x v="0"/>
  </r>
  <r>
    <s v="Ananya"/>
    <x v="0"/>
    <x v="193"/>
    <x v="4"/>
    <x v="12"/>
    <x v="0"/>
    <x v="1"/>
    <x v="0"/>
    <n v="919"/>
    <n v="1599"/>
    <x v="3"/>
    <n v="79"/>
    <n v="3040"/>
    <n v="1202"/>
    <x v="0"/>
  </r>
  <r>
    <s v="Swathi"/>
    <x v="0"/>
    <x v="15"/>
    <x v="3"/>
    <x v="3"/>
    <x v="0"/>
    <x v="1"/>
    <x v="1"/>
    <n v="538"/>
    <n v="899"/>
    <x v="0"/>
    <n v="0"/>
    <n v="899"/>
    <n v="361"/>
    <x v="0"/>
  </r>
  <r>
    <s v="Anvesh"/>
    <x v="1"/>
    <x v="93"/>
    <x v="1"/>
    <x v="7"/>
    <x v="0"/>
    <x v="1"/>
    <x v="1"/>
    <n v="1637"/>
    <n v="2199"/>
    <x v="4"/>
    <n v="219"/>
    <n v="1980"/>
    <n v="343"/>
    <x v="0"/>
  </r>
  <r>
    <s v="Saanvi"/>
    <x v="0"/>
    <x v="14"/>
    <x v="0"/>
    <x v="13"/>
    <x v="2"/>
    <x v="0"/>
    <x v="2"/>
    <n v="323"/>
    <n v="499"/>
    <x v="0"/>
    <n v="0"/>
    <n v="1497"/>
    <n v="528"/>
    <x v="0"/>
  </r>
  <r>
    <s v="Vijay"/>
    <x v="1"/>
    <x v="48"/>
    <x v="2"/>
    <x v="2"/>
    <x v="2"/>
    <x v="1"/>
    <x v="1"/>
    <n v="550"/>
    <n v="799"/>
    <x v="1"/>
    <n v="159"/>
    <n v="640"/>
    <n v="90"/>
    <x v="1"/>
  </r>
  <r>
    <s v="Mallesh"/>
    <x v="1"/>
    <x v="148"/>
    <x v="1"/>
    <x v="7"/>
    <x v="2"/>
    <x v="0"/>
    <x v="1"/>
    <n v="1878"/>
    <n v="2599"/>
    <x v="2"/>
    <n v="389"/>
    <n v="2210"/>
    <n v="332"/>
    <x v="0"/>
  </r>
  <r>
    <s v="Rahul"/>
    <x v="1"/>
    <x v="109"/>
    <x v="3"/>
    <x v="3"/>
    <x v="0"/>
    <x v="1"/>
    <x v="1"/>
    <n v="605"/>
    <n v="1199"/>
    <x v="0"/>
    <n v="0"/>
    <n v="1199"/>
    <n v="594"/>
    <x v="0"/>
  </r>
  <r>
    <s v="Koushika"/>
    <x v="0"/>
    <x v="62"/>
    <x v="1"/>
    <x v="1"/>
    <x v="0"/>
    <x v="1"/>
    <x v="0"/>
    <n v="1659"/>
    <n v="2299"/>
    <x v="4"/>
    <n v="229"/>
    <n v="4140"/>
    <n v="822"/>
    <x v="0"/>
  </r>
  <r>
    <s v="Shivani"/>
    <x v="0"/>
    <x v="17"/>
    <x v="2"/>
    <x v="2"/>
    <x v="1"/>
    <x v="1"/>
    <x v="0"/>
    <n v="353"/>
    <n v="499"/>
    <x v="2"/>
    <n v="74"/>
    <n v="850"/>
    <n v="144"/>
    <x v="0"/>
  </r>
  <r>
    <s v="Koushika"/>
    <x v="0"/>
    <x v="70"/>
    <x v="3"/>
    <x v="14"/>
    <x v="0"/>
    <x v="0"/>
    <x v="1"/>
    <n v="446"/>
    <n v="799"/>
    <x v="0"/>
    <n v="0"/>
    <n v="799"/>
    <n v="353"/>
    <x v="0"/>
  </r>
  <r>
    <s v="Devi Sree"/>
    <x v="0"/>
    <x v="137"/>
    <x v="3"/>
    <x v="14"/>
    <x v="0"/>
    <x v="1"/>
    <x v="1"/>
    <n v="442"/>
    <n v="699"/>
    <x v="0"/>
    <n v="0"/>
    <n v="699"/>
    <n v="257"/>
    <x v="0"/>
  </r>
  <r>
    <s v="Ananya"/>
    <x v="0"/>
    <x v="26"/>
    <x v="1"/>
    <x v="7"/>
    <x v="0"/>
    <x v="0"/>
    <x v="1"/>
    <n v="1167"/>
    <n v="2299"/>
    <x v="2"/>
    <n v="344"/>
    <n v="1955"/>
    <n v="788"/>
    <x v="0"/>
  </r>
  <r>
    <s v="Srinivas"/>
    <x v="1"/>
    <x v="151"/>
    <x v="3"/>
    <x v="3"/>
    <x v="2"/>
    <x v="0"/>
    <x v="2"/>
    <n v="758"/>
    <n v="1499"/>
    <x v="0"/>
    <n v="0"/>
    <n v="4497"/>
    <n v="2223"/>
    <x v="0"/>
  </r>
  <r>
    <s v="Viraj"/>
    <x v="1"/>
    <x v="194"/>
    <x v="4"/>
    <x v="6"/>
    <x v="2"/>
    <x v="1"/>
    <x v="1"/>
    <n v="785"/>
    <n v="1099"/>
    <x v="3"/>
    <n v="54"/>
    <n v="1045"/>
    <n v="260"/>
    <x v="0"/>
  </r>
  <r>
    <s v="Ananya"/>
    <x v="0"/>
    <x v="26"/>
    <x v="3"/>
    <x v="3"/>
    <x v="0"/>
    <x v="1"/>
    <x v="1"/>
    <n v="836"/>
    <n v="1399"/>
    <x v="0"/>
    <n v="0"/>
    <n v="1399"/>
    <n v="563"/>
    <x v="1"/>
  </r>
  <r>
    <s v="Aadhya"/>
    <x v="0"/>
    <x v="33"/>
    <x v="0"/>
    <x v="13"/>
    <x v="2"/>
    <x v="1"/>
    <x v="2"/>
    <n v="268"/>
    <n v="499"/>
    <x v="0"/>
    <n v="0"/>
    <n v="1497"/>
    <n v="693"/>
    <x v="1"/>
  </r>
  <r>
    <s v="Leela"/>
    <x v="0"/>
    <x v="144"/>
    <x v="3"/>
    <x v="3"/>
    <x v="2"/>
    <x v="1"/>
    <x v="1"/>
    <n v="588"/>
    <n v="899"/>
    <x v="0"/>
    <n v="0"/>
    <n v="899"/>
    <n v="311"/>
    <x v="1"/>
  </r>
  <r>
    <s v="Rakesh"/>
    <x v="1"/>
    <x v="37"/>
    <x v="0"/>
    <x v="9"/>
    <x v="0"/>
    <x v="0"/>
    <x v="3"/>
    <n v="265"/>
    <n v="399"/>
    <x v="0"/>
    <n v="0"/>
    <n v="1596"/>
    <n v="536"/>
    <x v="0"/>
  </r>
  <r>
    <s v="Chandrika"/>
    <x v="0"/>
    <x v="0"/>
    <x v="0"/>
    <x v="13"/>
    <x v="1"/>
    <x v="1"/>
    <x v="4"/>
    <n v="256"/>
    <n v="399"/>
    <x v="0"/>
    <n v="0"/>
    <n v="1995"/>
    <n v="715"/>
    <x v="0"/>
  </r>
  <r>
    <s v="Srujan"/>
    <x v="1"/>
    <x v="157"/>
    <x v="0"/>
    <x v="0"/>
    <x v="1"/>
    <x v="1"/>
    <x v="0"/>
    <n v="299"/>
    <n v="399"/>
    <x v="0"/>
    <n v="0"/>
    <n v="798"/>
    <n v="200"/>
    <x v="0"/>
  </r>
  <r>
    <s v="Vijay"/>
    <x v="1"/>
    <x v="165"/>
    <x v="3"/>
    <x v="14"/>
    <x v="0"/>
    <x v="1"/>
    <x v="1"/>
    <n v="734"/>
    <n v="999"/>
    <x v="0"/>
    <n v="0"/>
    <n v="999"/>
    <n v="265"/>
    <x v="1"/>
  </r>
  <r>
    <s v="Vikram"/>
    <x v="1"/>
    <x v="195"/>
    <x v="4"/>
    <x v="12"/>
    <x v="1"/>
    <x v="1"/>
    <x v="4"/>
    <n v="1336"/>
    <n v="2199"/>
    <x v="3"/>
    <n v="109"/>
    <n v="10450"/>
    <n v="3770"/>
    <x v="0"/>
  </r>
  <r>
    <s v="Tejas"/>
    <x v="1"/>
    <x v="143"/>
    <x v="1"/>
    <x v="1"/>
    <x v="2"/>
    <x v="1"/>
    <x v="1"/>
    <n v="591"/>
    <n v="999"/>
    <x v="1"/>
    <n v="199"/>
    <n v="800"/>
    <n v="209"/>
    <x v="0"/>
  </r>
  <r>
    <s v="Vinay"/>
    <x v="1"/>
    <x v="13"/>
    <x v="0"/>
    <x v="13"/>
    <x v="0"/>
    <x v="1"/>
    <x v="0"/>
    <n v="365"/>
    <n v="499"/>
    <x v="0"/>
    <n v="0"/>
    <n v="998"/>
    <n v="268"/>
    <x v="0"/>
  </r>
  <r>
    <s v="Leela"/>
    <x v="0"/>
    <x v="41"/>
    <x v="0"/>
    <x v="11"/>
    <x v="0"/>
    <x v="0"/>
    <x v="1"/>
    <n v="315"/>
    <n v="499"/>
    <x v="0"/>
    <n v="0"/>
    <n v="499"/>
    <n v="184"/>
    <x v="1"/>
  </r>
  <r>
    <s v="Surya"/>
    <x v="1"/>
    <x v="114"/>
    <x v="1"/>
    <x v="1"/>
    <x v="0"/>
    <x v="0"/>
    <x v="1"/>
    <n v="1365"/>
    <n v="1899"/>
    <x v="1"/>
    <n v="379"/>
    <n v="1520"/>
    <n v="155"/>
    <x v="0"/>
  </r>
  <r>
    <s v="Manoj"/>
    <x v="1"/>
    <x v="75"/>
    <x v="3"/>
    <x v="3"/>
    <x v="0"/>
    <x v="0"/>
    <x v="3"/>
    <n v="1006"/>
    <n v="1399"/>
    <x v="0"/>
    <n v="0"/>
    <n v="5596"/>
    <n v="1572"/>
    <x v="0"/>
  </r>
  <r>
    <s v="Sanjeev"/>
    <x v="1"/>
    <x v="70"/>
    <x v="3"/>
    <x v="14"/>
    <x v="0"/>
    <x v="0"/>
    <x v="1"/>
    <n v="601"/>
    <n v="999"/>
    <x v="0"/>
    <n v="0"/>
    <n v="999"/>
    <n v="398"/>
    <x v="0"/>
  </r>
  <r>
    <s v="Reavanth"/>
    <x v="1"/>
    <x v="73"/>
    <x v="1"/>
    <x v="7"/>
    <x v="1"/>
    <x v="1"/>
    <x v="1"/>
    <n v="2179"/>
    <n v="4199"/>
    <x v="2"/>
    <n v="629"/>
    <n v="3570"/>
    <n v="1391"/>
    <x v="0"/>
  </r>
  <r>
    <s v="Deepak"/>
    <x v="1"/>
    <x v="184"/>
    <x v="2"/>
    <x v="2"/>
    <x v="2"/>
    <x v="0"/>
    <x v="2"/>
    <n v="387"/>
    <n v="599"/>
    <x v="2"/>
    <n v="89"/>
    <n v="1530"/>
    <n v="369"/>
    <x v="0"/>
  </r>
  <r>
    <s v="Harsha"/>
    <x v="1"/>
    <x v="54"/>
    <x v="4"/>
    <x v="6"/>
    <x v="1"/>
    <x v="0"/>
    <x v="3"/>
    <n v="396"/>
    <n v="599"/>
    <x v="3"/>
    <n v="29"/>
    <n v="2280"/>
    <n v="696"/>
    <x v="1"/>
  </r>
  <r>
    <s v="Swapna"/>
    <x v="0"/>
    <x v="136"/>
    <x v="0"/>
    <x v="9"/>
    <x v="2"/>
    <x v="0"/>
    <x v="1"/>
    <n v="270"/>
    <n v="499"/>
    <x v="0"/>
    <n v="0"/>
    <n v="499"/>
    <n v="229"/>
    <x v="0"/>
  </r>
  <r>
    <s v="Saanvi"/>
    <x v="0"/>
    <x v="135"/>
    <x v="4"/>
    <x v="16"/>
    <x v="0"/>
    <x v="0"/>
    <x v="0"/>
    <n v="672"/>
    <n v="1299"/>
    <x v="1"/>
    <n v="259"/>
    <n v="2080"/>
    <n v="736"/>
    <x v="0"/>
  </r>
  <r>
    <s v="Kalyan"/>
    <x v="1"/>
    <x v="95"/>
    <x v="0"/>
    <x v="11"/>
    <x v="0"/>
    <x v="0"/>
    <x v="0"/>
    <n v="216"/>
    <n v="299"/>
    <x v="0"/>
    <n v="0"/>
    <n v="598"/>
    <n v="166"/>
    <x v="0"/>
  </r>
  <r>
    <s v="Rakesh"/>
    <x v="1"/>
    <x v="188"/>
    <x v="2"/>
    <x v="8"/>
    <x v="1"/>
    <x v="1"/>
    <x v="1"/>
    <n v="889"/>
    <n v="1599"/>
    <x v="3"/>
    <n v="79"/>
    <n v="1520"/>
    <n v="631"/>
    <x v="0"/>
  </r>
  <r>
    <s v="Tejas"/>
    <x v="1"/>
    <x v="194"/>
    <x v="1"/>
    <x v="7"/>
    <x v="0"/>
    <x v="0"/>
    <x v="0"/>
    <n v="1203"/>
    <n v="1999"/>
    <x v="3"/>
    <n v="99"/>
    <n v="3800"/>
    <n v="1394"/>
    <x v="0"/>
  </r>
  <r>
    <s v="Isha"/>
    <x v="0"/>
    <x v="135"/>
    <x v="2"/>
    <x v="8"/>
    <x v="1"/>
    <x v="0"/>
    <x v="3"/>
    <n v="741"/>
    <n v="1299"/>
    <x v="1"/>
    <n v="259"/>
    <n v="4160"/>
    <n v="1196"/>
    <x v="1"/>
  </r>
  <r>
    <s v="Shiva"/>
    <x v="1"/>
    <x v="40"/>
    <x v="2"/>
    <x v="2"/>
    <x v="2"/>
    <x v="0"/>
    <x v="1"/>
    <n v="539"/>
    <n v="799"/>
    <x v="2"/>
    <n v="119"/>
    <n v="680"/>
    <n v="141"/>
    <x v="0"/>
  </r>
  <r>
    <s v="Gayatri"/>
    <x v="0"/>
    <x v="69"/>
    <x v="4"/>
    <x v="16"/>
    <x v="0"/>
    <x v="0"/>
    <x v="1"/>
    <n v="1266"/>
    <n v="1799"/>
    <x v="2"/>
    <n v="269"/>
    <n v="1530"/>
    <n v="264"/>
    <x v="0"/>
  </r>
  <r>
    <s v="Sanjeev"/>
    <x v="1"/>
    <x v="159"/>
    <x v="4"/>
    <x v="10"/>
    <x v="0"/>
    <x v="0"/>
    <x v="1"/>
    <n v="625"/>
    <n v="1099"/>
    <x v="3"/>
    <n v="54"/>
    <n v="1045"/>
    <n v="420"/>
    <x v="0"/>
  </r>
  <r>
    <s v="Lassya"/>
    <x v="0"/>
    <x v="66"/>
    <x v="3"/>
    <x v="14"/>
    <x v="1"/>
    <x v="0"/>
    <x v="4"/>
    <n v="874"/>
    <n v="1199"/>
    <x v="0"/>
    <n v="0"/>
    <n v="5995"/>
    <n v="1625"/>
    <x v="0"/>
  </r>
  <r>
    <s v="Karthik"/>
    <x v="1"/>
    <x v="8"/>
    <x v="4"/>
    <x v="15"/>
    <x v="0"/>
    <x v="0"/>
    <x v="0"/>
    <n v="1570"/>
    <n v="2699"/>
    <x v="3"/>
    <n v="134"/>
    <n v="5130"/>
    <n v="1990"/>
    <x v="0"/>
  </r>
  <r>
    <s v="Anudeep"/>
    <x v="1"/>
    <x v="144"/>
    <x v="3"/>
    <x v="3"/>
    <x v="0"/>
    <x v="0"/>
    <x v="1"/>
    <n v="544"/>
    <n v="999"/>
    <x v="0"/>
    <n v="0"/>
    <n v="999"/>
    <n v="455"/>
    <x v="1"/>
  </r>
  <r>
    <s v="Reavanth"/>
    <x v="1"/>
    <x v="137"/>
    <x v="1"/>
    <x v="7"/>
    <x v="2"/>
    <x v="0"/>
    <x v="4"/>
    <n v="1564"/>
    <n v="2799"/>
    <x v="4"/>
    <n v="279"/>
    <n v="12600"/>
    <n v="4780"/>
    <x v="1"/>
  </r>
  <r>
    <s v="Saanvi"/>
    <x v="0"/>
    <x v="69"/>
    <x v="3"/>
    <x v="14"/>
    <x v="1"/>
    <x v="0"/>
    <x v="1"/>
    <n v="627"/>
    <n v="999"/>
    <x v="0"/>
    <n v="0"/>
    <n v="999"/>
    <n v="372"/>
    <x v="0"/>
  </r>
  <r>
    <s v="Anjali"/>
    <x v="0"/>
    <x v="92"/>
    <x v="1"/>
    <x v="1"/>
    <x v="1"/>
    <x v="1"/>
    <x v="0"/>
    <n v="1154"/>
    <n v="2199"/>
    <x v="3"/>
    <n v="109"/>
    <n v="4180"/>
    <n v="1872"/>
    <x v="0"/>
  </r>
  <r>
    <s v="Rohan"/>
    <x v="1"/>
    <x v="125"/>
    <x v="1"/>
    <x v="7"/>
    <x v="2"/>
    <x v="0"/>
    <x v="1"/>
    <n v="2414"/>
    <n v="4199"/>
    <x v="2"/>
    <n v="629"/>
    <n v="3570"/>
    <n v="1156"/>
    <x v="0"/>
  </r>
  <r>
    <s v="Saanvi"/>
    <x v="0"/>
    <x v="139"/>
    <x v="3"/>
    <x v="14"/>
    <x v="0"/>
    <x v="1"/>
    <x v="1"/>
    <n v="474"/>
    <n v="799"/>
    <x v="0"/>
    <n v="0"/>
    <n v="799"/>
    <n v="325"/>
    <x v="0"/>
  </r>
  <r>
    <s v="Lassya"/>
    <x v="0"/>
    <x v="66"/>
    <x v="4"/>
    <x v="12"/>
    <x v="0"/>
    <x v="1"/>
    <x v="4"/>
    <n v="962"/>
    <n v="1799"/>
    <x v="2"/>
    <n v="269"/>
    <n v="7650"/>
    <n v="2840"/>
    <x v="1"/>
  </r>
  <r>
    <s v="Mallesh"/>
    <x v="1"/>
    <x v="45"/>
    <x v="1"/>
    <x v="7"/>
    <x v="1"/>
    <x v="1"/>
    <x v="0"/>
    <n v="2971"/>
    <n v="4399"/>
    <x v="1"/>
    <n v="879"/>
    <n v="7040"/>
    <n v="1098"/>
    <x v="0"/>
  </r>
  <r>
    <s v="Ananya"/>
    <x v="0"/>
    <x v="158"/>
    <x v="2"/>
    <x v="2"/>
    <x v="2"/>
    <x v="1"/>
    <x v="1"/>
    <n v="324"/>
    <n v="499"/>
    <x v="3"/>
    <n v="24"/>
    <n v="475"/>
    <n v="151"/>
    <x v="1"/>
  </r>
  <r>
    <s v="Aditya"/>
    <x v="1"/>
    <x v="110"/>
    <x v="0"/>
    <x v="11"/>
    <x v="0"/>
    <x v="0"/>
    <x v="0"/>
    <n v="358"/>
    <n v="499"/>
    <x v="0"/>
    <n v="0"/>
    <n v="998"/>
    <n v="282"/>
    <x v="0"/>
  </r>
  <r>
    <s v="Srinivas"/>
    <x v="1"/>
    <x v="113"/>
    <x v="4"/>
    <x v="4"/>
    <x v="2"/>
    <x v="0"/>
    <x v="1"/>
    <n v="237"/>
    <n v="399"/>
    <x v="3"/>
    <n v="19"/>
    <n v="380"/>
    <n v="143"/>
    <x v="0"/>
  </r>
  <r>
    <s v="Rohan"/>
    <x v="1"/>
    <x v="72"/>
    <x v="2"/>
    <x v="2"/>
    <x v="2"/>
    <x v="0"/>
    <x v="3"/>
    <n v="302"/>
    <n v="499"/>
    <x v="3"/>
    <n v="24"/>
    <n v="1900"/>
    <n v="692"/>
    <x v="0"/>
  </r>
  <r>
    <s v="Viraj"/>
    <x v="1"/>
    <x v="53"/>
    <x v="3"/>
    <x v="14"/>
    <x v="1"/>
    <x v="0"/>
    <x v="1"/>
    <n v="547"/>
    <n v="799"/>
    <x v="0"/>
    <n v="0"/>
    <n v="799"/>
    <n v="252"/>
    <x v="0"/>
  </r>
  <r>
    <s v=" Praveen"/>
    <x v="1"/>
    <x v="191"/>
    <x v="2"/>
    <x v="8"/>
    <x v="0"/>
    <x v="0"/>
    <x v="3"/>
    <n v="1093"/>
    <n v="1799"/>
    <x v="2"/>
    <n v="269"/>
    <n v="6120"/>
    <n v="1748"/>
    <x v="0"/>
  </r>
  <r>
    <s v="Karthik"/>
    <x v="1"/>
    <x v="8"/>
    <x v="0"/>
    <x v="13"/>
    <x v="0"/>
    <x v="0"/>
    <x v="1"/>
    <n v="316"/>
    <n v="499"/>
    <x v="0"/>
    <n v="0"/>
    <n v="499"/>
    <n v="183"/>
    <x v="0"/>
  </r>
  <r>
    <s v="Deepak"/>
    <x v="1"/>
    <x v="194"/>
    <x v="0"/>
    <x v="13"/>
    <x v="2"/>
    <x v="0"/>
    <x v="0"/>
    <n v="276"/>
    <n v="399"/>
    <x v="0"/>
    <n v="0"/>
    <n v="798"/>
    <n v="246"/>
    <x v="1"/>
  </r>
  <r>
    <s v="Leela"/>
    <x v="0"/>
    <x v="48"/>
    <x v="2"/>
    <x v="8"/>
    <x v="2"/>
    <x v="0"/>
    <x v="2"/>
    <n v="746"/>
    <n v="1099"/>
    <x v="3"/>
    <n v="54"/>
    <n v="3135"/>
    <n v="897"/>
    <x v="0"/>
  </r>
  <r>
    <s v="Manoj"/>
    <x v="1"/>
    <x v="170"/>
    <x v="0"/>
    <x v="11"/>
    <x v="2"/>
    <x v="1"/>
    <x v="1"/>
    <n v="324"/>
    <n v="599"/>
    <x v="0"/>
    <n v="0"/>
    <n v="599"/>
    <n v="275"/>
    <x v="0"/>
  </r>
  <r>
    <s v="Bharath"/>
    <x v="1"/>
    <x v="156"/>
    <x v="0"/>
    <x v="13"/>
    <x v="2"/>
    <x v="1"/>
    <x v="1"/>
    <n v="310"/>
    <n v="499"/>
    <x v="0"/>
    <n v="0"/>
    <n v="499"/>
    <n v="189"/>
    <x v="1"/>
  </r>
  <r>
    <s v="Pravalika"/>
    <x v="0"/>
    <x v="118"/>
    <x v="0"/>
    <x v="0"/>
    <x v="1"/>
    <x v="1"/>
    <x v="1"/>
    <n v="168"/>
    <n v="299"/>
    <x v="0"/>
    <n v="0"/>
    <n v="299"/>
    <n v="131"/>
    <x v="1"/>
  </r>
  <r>
    <s v="Karthik"/>
    <x v="1"/>
    <x v="77"/>
    <x v="3"/>
    <x v="14"/>
    <x v="1"/>
    <x v="0"/>
    <x v="1"/>
    <n v="538"/>
    <n v="799"/>
    <x v="0"/>
    <n v="0"/>
    <n v="799"/>
    <n v="261"/>
    <x v="0"/>
  </r>
  <r>
    <s v="Rohan"/>
    <x v="1"/>
    <x v="196"/>
    <x v="0"/>
    <x v="13"/>
    <x v="1"/>
    <x v="0"/>
    <x v="1"/>
    <n v="207"/>
    <n v="399"/>
    <x v="0"/>
    <n v="0"/>
    <n v="399"/>
    <n v="192"/>
    <x v="1"/>
  </r>
  <r>
    <s v="Yeshwanth"/>
    <x v="1"/>
    <x v="40"/>
    <x v="1"/>
    <x v="1"/>
    <x v="0"/>
    <x v="1"/>
    <x v="3"/>
    <n v="974"/>
    <n v="1499"/>
    <x v="2"/>
    <n v="224"/>
    <n v="5100"/>
    <n v="1204"/>
    <x v="0"/>
  </r>
  <r>
    <s v="Pravalika"/>
    <x v="0"/>
    <x v="82"/>
    <x v="2"/>
    <x v="8"/>
    <x v="2"/>
    <x v="1"/>
    <x v="0"/>
    <n v="994"/>
    <n v="1699"/>
    <x v="4"/>
    <n v="169"/>
    <n v="3060"/>
    <n v="1072"/>
    <x v="1"/>
  </r>
  <r>
    <s v="Srawani"/>
    <x v="0"/>
    <x v="142"/>
    <x v="2"/>
    <x v="8"/>
    <x v="1"/>
    <x v="0"/>
    <x v="2"/>
    <n v="805"/>
    <n v="1199"/>
    <x v="4"/>
    <n v="119"/>
    <n v="3240"/>
    <n v="825"/>
    <x v="1"/>
  </r>
  <r>
    <s v="Nandhini"/>
    <x v="0"/>
    <x v="197"/>
    <x v="3"/>
    <x v="3"/>
    <x v="1"/>
    <x v="0"/>
    <x v="0"/>
    <n v="668"/>
    <n v="899"/>
    <x v="0"/>
    <n v="0"/>
    <n v="1798"/>
    <n v="462"/>
    <x v="0"/>
  </r>
  <r>
    <s v="Pranay"/>
    <x v="1"/>
    <x v="80"/>
    <x v="4"/>
    <x v="6"/>
    <x v="2"/>
    <x v="0"/>
    <x v="1"/>
    <n v="661"/>
    <n v="1099"/>
    <x v="3"/>
    <n v="54"/>
    <n v="1045"/>
    <n v="384"/>
    <x v="1"/>
  </r>
  <r>
    <s v="Arun"/>
    <x v="1"/>
    <x v="198"/>
    <x v="2"/>
    <x v="8"/>
    <x v="2"/>
    <x v="1"/>
    <x v="1"/>
    <n v="1500"/>
    <n v="2299"/>
    <x v="1"/>
    <n v="459"/>
    <n v="1840"/>
    <n v="340"/>
    <x v="0"/>
  </r>
  <r>
    <s v="Rahul"/>
    <x v="1"/>
    <x v="7"/>
    <x v="4"/>
    <x v="12"/>
    <x v="1"/>
    <x v="0"/>
    <x v="4"/>
    <n v="851"/>
    <n v="1199"/>
    <x v="2"/>
    <n v="179"/>
    <n v="5100"/>
    <n v="845"/>
    <x v="0"/>
  </r>
  <r>
    <s v="Arjun"/>
    <x v="1"/>
    <x v="10"/>
    <x v="4"/>
    <x v="12"/>
    <x v="2"/>
    <x v="1"/>
    <x v="1"/>
    <n v="1358"/>
    <n v="2499"/>
    <x v="1"/>
    <n v="499"/>
    <n v="2000"/>
    <n v="642"/>
    <x v="0"/>
  </r>
  <r>
    <s v="Yeshwanth"/>
    <x v="1"/>
    <x v="198"/>
    <x v="3"/>
    <x v="14"/>
    <x v="2"/>
    <x v="1"/>
    <x v="1"/>
    <n v="367"/>
    <n v="699"/>
    <x v="0"/>
    <n v="0"/>
    <n v="699"/>
    <n v="332"/>
    <x v="0"/>
  </r>
  <r>
    <s v="Swetha"/>
    <x v="0"/>
    <x v="75"/>
    <x v="0"/>
    <x v="0"/>
    <x v="1"/>
    <x v="1"/>
    <x v="4"/>
    <n v="311"/>
    <n v="599"/>
    <x v="0"/>
    <n v="0"/>
    <n v="2995"/>
    <n v="1440"/>
    <x v="0"/>
  </r>
  <r>
    <s v="Lassya"/>
    <x v="0"/>
    <x v="34"/>
    <x v="1"/>
    <x v="1"/>
    <x v="2"/>
    <x v="0"/>
    <x v="1"/>
    <n v="801"/>
    <n v="1399"/>
    <x v="4"/>
    <n v="139"/>
    <n v="1260"/>
    <n v="459"/>
    <x v="0"/>
  </r>
  <r>
    <s v="Hema"/>
    <x v="0"/>
    <x v="190"/>
    <x v="0"/>
    <x v="11"/>
    <x v="2"/>
    <x v="0"/>
    <x v="0"/>
    <n v="202"/>
    <n v="299"/>
    <x v="0"/>
    <n v="0"/>
    <n v="598"/>
    <n v="194"/>
    <x v="0"/>
  </r>
  <r>
    <s v="Isha"/>
    <x v="0"/>
    <x v="185"/>
    <x v="1"/>
    <x v="7"/>
    <x v="1"/>
    <x v="1"/>
    <x v="1"/>
    <n v="1431"/>
    <n v="2799"/>
    <x v="1"/>
    <n v="559"/>
    <n v="2240"/>
    <n v="809"/>
    <x v="0"/>
  </r>
  <r>
    <s v="Arjun"/>
    <x v="1"/>
    <x v="106"/>
    <x v="4"/>
    <x v="12"/>
    <x v="0"/>
    <x v="0"/>
    <x v="1"/>
    <n v="872"/>
    <n v="1199"/>
    <x v="4"/>
    <n v="119"/>
    <n v="1080"/>
    <n v="208"/>
    <x v="1"/>
  </r>
  <r>
    <s v=" Praveen"/>
    <x v="1"/>
    <x v="176"/>
    <x v="1"/>
    <x v="7"/>
    <x v="0"/>
    <x v="1"/>
    <x v="4"/>
    <n v="2472"/>
    <n v="4799"/>
    <x v="2"/>
    <n v="719"/>
    <n v="20400"/>
    <n v="8040"/>
    <x v="0"/>
  </r>
  <r>
    <s v="Vikram"/>
    <x v="1"/>
    <x v="110"/>
    <x v="2"/>
    <x v="2"/>
    <x v="1"/>
    <x v="0"/>
    <x v="1"/>
    <n v="423"/>
    <n v="599"/>
    <x v="2"/>
    <n v="89"/>
    <n v="510"/>
    <n v="87"/>
    <x v="0"/>
  </r>
  <r>
    <s v="Vivaan"/>
    <x v="1"/>
    <x v="129"/>
    <x v="4"/>
    <x v="6"/>
    <x v="0"/>
    <x v="1"/>
    <x v="1"/>
    <n v="535"/>
    <n v="999"/>
    <x v="1"/>
    <n v="199"/>
    <n v="800"/>
    <n v="265"/>
    <x v="0"/>
  </r>
  <r>
    <s v="Vinay"/>
    <x v="1"/>
    <x v="139"/>
    <x v="4"/>
    <x v="10"/>
    <x v="2"/>
    <x v="0"/>
    <x v="2"/>
    <n v="784"/>
    <n v="1299"/>
    <x v="1"/>
    <n v="259"/>
    <n v="3120"/>
    <n v="768"/>
    <x v="0"/>
  </r>
  <r>
    <s v="Vijay"/>
    <x v="1"/>
    <x v="168"/>
    <x v="0"/>
    <x v="13"/>
    <x v="0"/>
    <x v="1"/>
    <x v="2"/>
    <n v="326"/>
    <n v="499"/>
    <x v="0"/>
    <n v="0"/>
    <n v="1497"/>
    <n v="519"/>
    <x v="0"/>
  </r>
  <r>
    <s v="Swathi"/>
    <x v="0"/>
    <x v="199"/>
    <x v="3"/>
    <x v="3"/>
    <x v="1"/>
    <x v="0"/>
    <x v="1"/>
    <n v="676"/>
    <n v="999"/>
    <x v="0"/>
    <n v="0"/>
    <n v="999"/>
    <n v="323"/>
    <x v="0"/>
  </r>
  <r>
    <s v="Koushika"/>
    <x v="0"/>
    <x v="128"/>
    <x v="0"/>
    <x v="9"/>
    <x v="2"/>
    <x v="0"/>
    <x v="0"/>
    <n v="182"/>
    <n v="299"/>
    <x v="0"/>
    <n v="0"/>
    <n v="598"/>
    <n v="234"/>
    <x v="1"/>
  </r>
  <r>
    <s v="Sai"/>
    <x v="1"/>
    <x v="16"/>
    <x v="1"/>
    <x v="7"/>
    <x v="0"/>
    <x v="1"/>
    <x v="0"/>
    <n v="2223"/>
    <n v="3199"/>
    <x v="3"/>
    <n v="159"/>
    <n v="6080"/>
    <n v="1634"/>
    <x v="1"/>
  </r>
  <r>
    <s v="Leela"/>
    <x v="0"/>
    <x v="61"/>
    <x v="1"/>
    <x v="1"/>
    <x v="0"/>
    <x v="0"/>
    <x v="3"/>
    <n v="1002"/>
    <n v="1399"/>
    <x v="4"/>
    <n v="139"/>
    <n v="5040"/>
    <n v="1032"/>
    <x v="0"/>
  </r>
  <r>
    <s v="Siri"/>
    <x v="0"/>
    <x v="146"/>
    <x v="1"/>
    <x v="7"/>
    <x v="1"/>
    <x v="1"/>
    <x v="0"/>
    <n v="1329"/>
    <n v="1999"/>
    <x v="3"/>
    <n v="99"/>
    <n v="3800"/>
    <n v="1142"/>
    <x v="0"/>
  </r>
  <r>
    <s v="Surya"/>
    <x v="1"/>
    <x v="54"/>
    <x v="0"/>
    <x v="9"/>
    <x v="1"/>
    <x v="1"/>
    <x v="1"/>
    <n v="294"/>
    <n v="399"/>
    <x v="0"/>
    <n v="0"/>
    <n v="399"/>
    <n v="105"/>
    <x v="0"/>
  </r>
  <r>
    <s v="Siri"/>
    <x v="0"/>
    <x v="96"/>
    <x v="3"/>
    <x v="3"/>
    <x v="1"/>
    <x v="0"/>
    <x v="4"/>
    <n v="831"/>
    <n v="1499"/>
    <x v="0"/>
    <n v="0"/>
    <n v="7495"/>
    <n v="3340"/>
    <x v="0"/>
  </r>
  <r>
    <s v="Anvesh"/>
    <x v="1"/>
    <x v="84"/>
    <x v="4"/>
    <x v="5"/>
    <x v="0"/>
    <x v="1"/>
    <x v="1"/>
    <n v="666"/>
    <n v="1299"/>
    <x v="1"/>
    <n v="259"/>
    <n v="1040"/>
    <n v="374"/>
    <x v="0"/>
  </r>
  <r>
    <s v="Rahul"/>
    <x v="1"/>
    <x v="112"/>
    <x v="4"/>
    <x v="5"/>
    <x v="1"/>
    <x v="1"/>
    <x v="3"/>
    <n v="1105"/>
    <n v="1499"/>
    <x v="4"/>
    <n v="149"/>
    <n v="5400"/>
    <n v="980"/>
    <x v="1"/>
  </r>
  <r>
    <s v="Vinay"/>
    <x v="1"/>
    <x v="200"/>
    <x v="0"/>
    <x v="11"/>
    <x v="2"/>
    <x v="0"/>
    <x v="1"/>
    <n v="503"/>
    <n v="799"/>
    <x v="0"/>
    <n v="0"/>
    <n v="799"/>
    <n v="296"/>
    <x v="0"/>
  </r>
  <r>
    <s v="Rakesh"/>
    <x v="1"/>
    <x v="121"/>
    <x v="2"/>
    <x v="2"/>
    <x v="2"/>
    <x v="0"/>
    <x v="4"/>
    <n v="391"/>
    <n v="699"/>
    <x v="1"/>
    <n v="139"/>
    <n v="2800"/>
    <n v="845"/>
    <x v="0"/>
  </r>
  <r>
    <s v="Swathi"/>
    <x v="0"/>
    <x v="151"/>
    <x v="0"/>
    <x v="9"/>
    <x v="2"/>
    <x v="1"/>
    <x v="1"/>
    <n v="312"/>
    <n v="499"/>
    <x v="0"/>
    <n v="0"/>
    <n v="499"/>
    <n v="187"/>
    <x v="0"/>
  </r>
  <r>
    <s v="Swapna"/>
    <x v="0"/>
    <x v="87"/>
    <x v="1"/>
    <x v="7"/>
    <x v="1"/>
    <x v="0"/>
    <x v="1"/>
    <n v="2512"/>
    <n v="3699"/>
    <x v="3"/>
    <n v="184"/>
    <n v="3515"/>
    <n v="1003"/>
    <x v="1"/>
  </r>
  <r>
    <s v="Venu"/>
    <x v="1"/>
    <x v="17"/>
    <x v="0"/>
    <x v="0"/>
    <x v="1"/>
    <x v="1"/>
    <x v="0"/>
    <n v="340"/>
    <n v="499"/>
    <x v="0"/>
    <n v="0"/>
    <n v="998"/>
    <n v="318"/>
    <x v="1"/>
  </r>
  <r>
    <s v="Anjali"/>
    <x v="0"/>
    <x v="187"/>
    <x v="2"/>
    <x v="8"/>
    <x v="0"/>
    <x v="0"/>
    <x v="1"/>
    <n v="664"/>
    <n v="1299"/>
    <x v="1"/>
    <n v="259"/>
    <n v="1040"/>
    <n v="376"/>
    <x v="0"/>
  </r>
  <r>
    <s v="Anudeep"/>
    <x v="1"/>
    <x v="50"/>
    <x v="4"/>
    <x v="15"/>
    <x v="2"/>
    <x v="0"/>
    <x v="1"/>
    <n v="1619"/>
    <n v="2199"/>
    <x v="3"/>
    <n v="109"/>
    <n v="2090"/>
    <n v="471"/>
    <x v="0"/>
  </r>
  <r>
    <s v="Srinivas"/>
    <x v="1"/>
    <x v="196"/>
    <x v="3"/>
    <x v="14"/>
    <x v="2"/>
    <x v="1"/>
    <x v="1"/>
    <n v="513"/>
    <n v="699"/>
    <x v="0"/>
    <n v="0"/>
    <n v="699"/>
    <n v="186"/>
    <x v="0"/>
  </r>
  <r>
    <s v="Vivaan"/>
    <x v="1"/>
    <x v="61"/>
    <x v="4"/>
    <x v="10"/>
    <x v="2"/>
    <x v="0"/>
    <x v="0"/>
    <n v="571"/>
    <n v="899"/>
    <x v="4"/>
    <n v="89"/>
    <n v="1620"/>
    <n v="478"/>
    <x v="0"/>
  </r>
  <r>
    <s v="Harsha"/>
    <x v="1"/>
    <x v="167"/>
    <x v="3"/>
    <x v="14"/>
    <x v="2"/>
    <x v="0"/>
    <x v="1"/>
    <n v="709"/>
    <n v="999"/>
    <x v="0"/>
    <n v="0"/>
    <n v="999"/>
    <n v="290"/>
    <x v="0"/>
  </r>
  <r>
    <s v="Srujan"/>
    <x v="1"/>
    <x v="110"/>
    <x v="2"/>
    <x v="8"/>
    <x v="0"/>
    <x v="0"/>
    <x v="1"/>
    <n v="780"/>
    <n v="1199"/>
    <x v="2"/>
    <n v="179"/>
    <n v="1020"/>
    <n v="240"/>
    <x v="0"/>
  </r>
  <r>
    <s v="Siri"/>
    <x v="0"/>
    <x v="61"/>
    <x v="2"/>
    <x v="8"/>
    <x v="2"/>
    <x v="0"/>
    <x v="0"/>
    <n v="1201"/>
    <n v="1799"/>
    <x v="2"/>
    <n v="269"/>
    <n v="3060"/>
    <n v="658"/>
    <x v="0"/>
  </r>
  <r>
    <s v="Bharath"/>
    <x v="1"/>
    <x v="92"/>
    <x v="4"/>
    <x v="10"/>
    <x v="2"/>
    <x v="0"/>
    <x v="0"/>
    <n v="1108"/>
    <n v="1899"/>
    <x v="1"/>
    <n v="379"/>
    <n v="3040"/>
    <n v="824"/>
    <x v="0"/>
  </r>
  <r>
    <s v="Vijay"/>
    <x v="1"/>
    <x v="65"/>
    <x v="2"/>
    <x v="2"/>
    <x v="1"/>
    <x v="1"/>
    <x v="2"/>
    <n v="521"/>
    <n v="699"/>
    <x v="3"/>
    <n v="34"/>
    <n v="1995"/>
    <n v="432"/>
    <x v="0"/>
  </r>
  <r>
    <s v="Krishna"/>
    <x v="1"/>
    <x v="37"/>
    <x v="2"/>
    <x v="8"/>
    <x v="0"/>
    <x v="1"/>
    <x v="1"/>
    <n v="1616"/>
    <n v="2199"/>
    <x v="2"/>
    <n v="329"/>
    <n v="1870"/>
    <n v="254"/>
    <x v="1"/>
  </r>
  <r>
    <s v="Thanuja"/>
    <x v="0"/>
    <x v="134"/>
    <x v="1"/>
    <x v="7"/>
    <x v="0"/>
    <x v="0"/>
    <x v="1"/>
    <n v="1614"/>
    <n v="2599"/>
    <x v="2"/>
    <n v="389"/>
    <n v="2210"/>
    <n v="596"/>
    <x v="0"/>
  </r>
  <r>
    <s v="Manoj"/>
    <x v="1"/>
    <x v="10"/>
    <x v="2"/>
    <x v="8"/>
    <x v="0"/>
    <x v="0"/>
    <x v="2"/>
    <n v="602"/>
    <n v="1099"/>
    <x v="3"/>
    <n v="54"/>
    <n v="3135"/>
    <n v="1329"/>
    <x v="0"/>
  </r>
  <r>
    <s v="Swetha"/>
    <x v="0"/>
    <x v="197"/>
    <x v="0"/>
    <x v="13"/>
    <x v="2"/>
    <x v="1"/>
    <x v="2"/>
    <n v="252"/>
    <n v="399"/>
    <x v="0"/>
    <n v="0"/>
    <n v="1197"/>
    <n v="441"/>
    <x v="0"/>
  </r>
  <r>
    <s v="Lassya"/>
    <x v="0"/>
    <x v="2"/>
    <x v="3"/>
    <x v="3"/>
    <x v="0"/>
    <x v="0"/>
    <x v="4"/>
    <n v="584"/>
    <n v="999"/>
    <x v="0"/>
    <n v="0"/>
    <n v="4995"/>
    <n v="2075"/>
    <x v="1"/>
  </r>
  <r>
    <s v="Aditya"/>
    <x v="1"/>
    <x v="137"/>
    <x v="0"/>
    <x v="9"/>
    <x v="1"/>
    <x v="0"/>
    <x v="2"/>
    <n v="258"/>
    <n v="499"/>
    <x v="0"/>
    <n v="0"/>
    <n v="1497"/>
    <n v="723"/>
    <x v="0"/>
  </r>
  <r>
    <s v="Koushika"/>
    <x v="0"/>
    <x v="44"/>
    <x v="3"/>
    <x v="3"/>
    <x v="1"/>
    <x v="0"/>
    <x v="3"/>
    <n v="828"/>
    <n v="1199"/>
    <x v="0"/>
    <n v="0"/>
    <n v="4796"/>
    <n v="1484"/>
    <x v="0"/>
  </r>
  <r>
    <s v="Vivaan"/>
    <x v="1"/>
    <x v="124"/>
    <x v="2"/>
    <x v="8"/>
    <x v="1"/>
    <x v="1"/>
    <x v="1"/>
    <n v="1087"/>
    <n v="1599"/>
    <x v="3"/>
    <n v="79"/>
    <n v="1520"/>
    <n v="433"/>
    <x v="0"/>
  </r>
  <r>
    <s v="Sneha"/>
    <x v="0"/>
    <x v="169"/>
    <x v="3"/>
    <x v="14"/>
    <x v="2"/>
    <x v="0"/>
    <x v="0"/>
    <n v="555"/>
    <n v="799"/>
    <x v="0"/>
    <n v="0"/>
    <n v="1598"/>
    <n v="488"/>
    <x v="1"/>
  </r>
  <r>
    <s v="Srawani"/>
    <x v="0"/>
    <x v="120"/>
    <x v="4"/>
    <x v="5"/>
    <x v="0"/>
    <x v="1"/>
    <x v="1"/>
    <n v="425"/>
    <n v="799"/>
    <x v="3"/>
    <n v="39"/>
    <n v="760"/>
    <n v="335"/>
    <x v="0"/>
  </r>
  <r>
    <s v="Sai Deep"/>
    <x v="1"/>
    <x v="39"/>
    <x v="3"/>
    <x v="14"/>
    <x v="2"/>
    <x v="1"/>
    <x v="1"/>
    <n v="513"/>
    <n v="799"/>
    <x v="0"/>
    <n v="0"/>
    <n v="799"/>
    <n v="286"/>
    <x v="0"/>
  </r>
  <r>
    <s v="Devi"/>
    <x v="0"/>
    <x v="9"/>
    <x v="0"/>
    <x v="9"/>
    <x v="0"/>
    <x v="1"/>
    <x v="3"/>
    <n v="189"/>
    <n v="299"/>
    <x v="0"/>
    <n v="0"/>
    <n v="1196"/>
    <n v="440"/>
    <x v="0"/>
  </r>
  <r>
    <s v="Tejas"/>
    <x v="1"/>
    <x v="127"/>
    <x v="2"/>
    <x v="8"/>
    <x v="1"/>
    <x v="0"/>
    <x v="0"/>
    <n v="700"/>
    <n v="1199"/>
    <x v="2"/>
    <n v="179"/>
    <n v="2040"/>
    <n v="640"/>
    <x v="0"/>
  </r>
  <r>
    <s v="Swetha"/>
    <x v="0"/>
    <x v="101"/>
    <x v="4"/>
    <x v="12"/>
    <x v="1"/>
    <x v="1"/>
    <x v="1"/>
    <n v="556"/>
    <n v="1099"/>
    <x v="3"/>
    <n v="54"/>
    <n v="1045"/>
    <n v="489"/>
    <x v="1"/>
  </r>
  <r>
    <s v="Srawani"/>
    <x v="0"/>
    <x v="162"/>
    <x v="1"/>
    <x v="7"/>
    <x v="1"/>
    <x v="0"/>
    <x v="0"/>
    <n v="1958"/>
    <n v="2799"/>
    <x v="1"/>
    <n v="559"/>
    <n v="4480"/>
    <n v="564"/>
    <x v="0"/>
  </r>
  <r>
    <s v="Sneha"/>
    <x v="0"/>
    <x v="49"/>
    <x v="2"/>
    <x v="8"/>
    <x v="0"/>
    <x v="1"/>
    <x v="0"/>
    <n v="520"/>
    <n v="999"/>
    <x v="1"/>
    <n v="199"/>
    <n v="1600"/>
    <n v="560"/>
    <x v="0"/>
  </r>
  <r>
    <s v="Sai Deep"/>
    <x v="1"/>
    <x v="49"/>
    <x v="4"/>
    <x v="15"/>
    <x v="2"/>
    <x v="0"/>
    <x v="1"/>
    <n v="2668"/>
    <n v="3799"/>
    <x v="1"/>
    <n v="759"/>
    <n v="3040"/>
    <n v="372"/>
    <x v="0"/>
  </r>
  <r>
    <s v="Saanvi"/>
    <x v="0"/>
    <x v="49"/>
    <x v="2"/>
    <x v="8"/>
    <x v="2"/>
    <x v="1"/>
    <x v="1"/>
    <n v="827"/>
    <n v="1199"/>
    <x v="2"/>
    <n v="179"/>
    <n v="1020"/>
    <n v="193"/>
    <x v="1"/>
  </r>
  <r>
    <s v="Srinivas"/>
    <x v="1"/>
    <x v="30"/>
    <x v="4"/>
    <x v="6"/>
    <x v="1"/>
    <x v="0"/>
    <x v="1"/>
    <n v="915"/>
    <n v="1299"/>
    <x v="1"/>
    <n v="259"/>
    <n v="1040"/>
    <n v="125"/>
    <x v="1"/>
  </r>
  <r>
    <s v="Pranay"/>
    <x v="1"/>
    <x v="181"/>
    <x v="4"/>
    <x v="15"/>
    <x v="1"/>
    <x v="1"/>
    <x v="3"/>
    <n v="1509"/>
    <n v="2499"/>
    <x v="1"/>
    <n v="499"/>
    <n v="8000"/>
    <n v="1964"/>
    <x v="0"/>
  </r>
  <r>
    <s v="Lassya"/>
    <x v="0"/>
    <x v="201"/>
    <x v="4"/>
    <x v="6"/>
    <x v="2"/>
    <x v="1"/>
    <x v="0"/>
    <n v="824"/>
    <n v="1299"/>
    <x v="1"/>
    <n v="259"/>
    <n v="2080"/>
    <n v="432"/>
    <x v="1"/>
  </r>
  <r>
    <s v="Manoj"/>
    <x v="1"/>
    <x v="109"/>
    <x v="2"/>
    <x v="8"/>
    <x v="2"/>
    <x v="0"/>
    <x v="4"/>
    <n v="688"/>
    <n v="1199"/>
    <x v="4"/>
    <n v="119"/>
    <n v="5400"/>
    <n v="1960"/>
    <x v="0"/>
  </r>
  <r>
    <s v="Vijay"/>
    <x v="1"/>
    <x v="172"/>
    <x v="0"/>
    <x v="13"/>
    <x v="2"/>
    <x v="0"/>
    <x v="1"/>
    <n v="221"/>
    <n v="399"/>
    <x v="0"/>
    <n v="0"/>
    <n v="399"/>
    <n v="178"/>
    <x v="0"/>
  </r>
  <r>
    <s v="Hema"/>
    <x v="0"/>
    <x v="109"/>
    <x v="1"/>
    <x v="1"/>
    <x v="1"/>
    <x v="0"/>
    <x v="0"/>
    <n v="1820"/>
    <n v="2499"/>
    <x v="1"/>
    <n v="499"/>
    <n v="4000"/>
    <n v="360"/>
    <x v="0"/>
  </r>
  <r>
    <s v="Surya"/>
    <x v="1"/>
    <x v="77"/>
    <x v="1"/>
    <x v="7"/>
    <x v="0"/>
    <x v="0"/>
    <x v="4"/>
    <n v="1382"/>
    <n v="2299"/>
    <x v="2"/>
    <n v="344"/>
    <n v="9775"/>
    <n v="2865"/>
    <x v="0"/>
  </r>
  <r>
    <s v="Aarav"/>
    <x v="1"/>
    <x v="32"/>
    <x v="2"/>
    <x v="2"/>
    <x v="1"/>
    <x v="1"/>
    <x v="1"/>
    <n v="251"/>
    <n v="499"/>
    <x v="3"/>
    <n v="24"/>
    <n v="475"/>
    <n v="224"/>
    <x v="0"/>
  </r>
  <r>
    <s v="Neha"/>
    <x v="0"/>
    <x v="128"/>
    <x v="4"/>
    <x v="4"/>
    <x v="2"/>
    <x v="0"/>
    <x v="1"/>
    <n v="269"/>
    <n v="499"/>
    <x v="2"/>
    <n v="74"/>
    <n v="425"/>
    <n v="156"/>
    <x v="0"/>
  </r>
  <r>
    <s v="Vivaan"/>
    <x v="1"/>
    <x v="186"/>
    <x v="4"/>
    <x v="5"/>
    <x v="2"/>
    <x v="0"/>
    <x v="0"/>
    <n v="988"/>
    <n v="1699"/>
    <x v="1"/>
    <n v="339"/>
    <n v="2720"/>
    <n v="744"/>
    <x v="0"/>
  </r>
  <r>
    <s v="Gayatri"/>
    <x v="0"/>
    <x v="13"/>
    <x v="2"/>
    <x v="8"/>
    <x v="1"/>
    <x v="0"/>
    <x v="2"/>
    <n v="766"/>
    <n v="1499"/>
    <x v="1"/>
    <n v="299"/>
    <n v="3600"/>
    <n v="1302"/>
    <x v="0"/>
  </r>
  <r>
    <s v="Chandrika"/>
    <x v="0"/>
    <x v="175"/>
    <x v="4"/>
    <x v="12"/>
    <x v="1"/>
    <x v="1"/>
    <x v="0"/>
    <n v="746"/>
    <n v="1199"/>
    <x v="4"/>
    <n v="119"/>
    <n v="2160"/>
    <n v="668"/>
    <x v="0"/>
  </r>
  <r>
    <s v="Nandhini"/>
    <x v="0"/>
    <x v="202"/>
    <x v="1"/>
    <x v="7"/>
    <x v="1"/>
    <x v="1"/>
    <x v="0"/>
    <n v="1508"/>
    <n v="2299"/>
    <x v="2"/>
    <n v="344"/>
    <n v="3910"/>
    <n v="894"/>
    <x v="0"/>
  </r>
  <r>
    <s v="Sai Deep"/>
    <x v="1"/>
    <x v="15"/>
    <x v="3"/>
    <x v="14"/>
    <x v="2"/>
    <x v="0"/>
    <x v="1"/>
    <n v="1053"/>
    <n v="1499"/>
    <x v="0"/>
    <n v="0"/>
    <n v="1499"/>
    <n v="446"/>
    <x v="0"/>
  </r>
  <r>
    <s v="Reavanth"/>
    <x v="1"/>
    <x v="203"/>
    <x v="1"/>
    <x v="7"/>
    <x v="0"/>
    <x v="0"/>
    <x v="0"/>
    <n v="2302"/>
    <n v="4499"/>
    <x v="4"/>
    <n v="449"/>
    <n v="8100"/>
    <n v="3496"/>
    <x v="1"/>
  </r>
  <r>
    <s v="Uday"/>
    <x v="1"/>
    <x v="157"/>
    <x v="0"/>
    <x v="13"/>
    <x v="1"/>
    <x v="0"/>
    <x v="0"/>
    <n v="243"/>
    <n v="399"/>
    <x v="0"/>
    <n v="0"/>
    <n v="798"/>
    <n v="312"/>
    <x v="1"/>
  </r>
  <r>
    <s v="Deepak"/>
    <x v="1"/>
    <x v="99"/>
    <x v="2"/>
    <x v="8"/>
    <x v="0"/>
    <x v="0"/>
    <x v="1"/>
    <n v="919"/>
    <n v="1599"/>
    <x v="3"/>
    <n v="79"/>
    <n v="1520"/>
    <n v="601"/>
    <x v="0"/>
  </r>
  <r>
    <s v="Viraj"/>
    <x v="1"/>
    <x v="172"/>
    <x v="2"/>
    <x v="2"/>
    <x v="0"/>
    <x v="0"/>
    <x v="1"/>
    <n v="301"/>
    <n v="499"/>
    <x v="4"/>
    <n v="49"/>
    <n v="450"/>
    <n v="149"/>
    <x v="0"/>
  </r>
  <r>
    <s v="Srujan"/>
    <x v="1"/>
    <x v="81"/>
    <x v="0"/>
    <x v="0"/>
    <x v="1"/>
    <x v="1"/>
    <x v="4"/>
    <n v="284"/>
    <n v="499"/>
    <x v="0"/>
    <n v="0"/>
    <n v="2495"/>
    <n v="1075"/>
    <x v="1"/>
  </r>
  <r>
    <s v="Lassya"/>
    <x v="0"/>
    <x v="67"/>
    <x v="4"/>
    <x v="4"/>
    <x v="1"/>
    <x v="1"/>
    <x v="0"/>
    <n v="372"/>
    <n v="499"/>
    <x v="3"/>
    <n v="24"/>
    <n v="950"/>
    <n v="206"/>
    <x v="0"/>
  </r>
  <r>
    <s v="Pravalika"/>
    <x v="0"/>
    <x v="28"/>
    <x v="1"/>
    <x v="7"/>
    <x v="0"/>
    <x v="1"/>
    <x v="1"/>
    <n v="1140"/>
    <n v="1999"/>
    <x v="3"/>
    <n v="99"/>
    <n v="1900"/>
    <n v="760"/>
    <x v="0"/>
  </r>
  <r>
    <s v="Pooja"/>
    <x v="0"/>
    <x v="74"/>
    <x v="4"/>
    <x v="6"/>
    <x v="1"/>
    <x v="0"/>
    <x v="4"/>
    <n v="714"/>
    <n v="1099"/>
    <x v="3"/>
    <n v="54"/>
    <n v="5225"/>
    <n v="1655"/>
    <x v="0"/>
  </r>
  <r>
    <s v="Srujan"/>
    <x v="1"/>
    <x v="176"/>
    <x v="2"/>
    <x v="8"/>
    <x v="1"/>
    <x v="1"/>
    <x v="0"/>
    <n v="637"/>
    <n v="1199"/>
    <x v="4"/>
    <n v="119"/>
    <n v="2160"/>
    <n v="886"/>
    <x v="0"/>
  </r>
  <r>
    <s v="Sai Deep"/>
    <x v="1"/>
    <x v="11"/>
    <x v="0"/>
    <x v="13"/>
    <x v="2"/>
    <x v="0"/>
    <x v="1"/>
    <n v="275"/>
    <n v="399"/>
    <x v="0"/>
    <n v="0"/>
    <n v="399"/>
    <n v="124"/>
    <x v="0"/>
  </r>
  <r>
    <s v="Swathi"/>
    <x v="0"/>
    <x v="64"/>
    <x v="0"/>
    <x v="9"/>
    <x v="1"/>
    <x v="1"/>
    <x v="1"/>
    <n v="217"/>
    <n v="399"/>
    <x v="0"/>
    <n v="0"/>
    <n v="399"/>
    <n v="182"/>
    <x v="0"/>
  </r>
  <r>
    <s v="Tejas"/>
    <x v="1"/>
    <x v="84"/>
    <x v="0"/>
    <x v="0"/>
    <x v="0"/>
    <x v="0"/>
    <x v="1"/>
    <n v="248"/>
    <n v="399"/>
    <x v="0"/>
    <n v="0"/>
    <n v="399"/>
    <n v="151"/>
    <x v="0"/>
  </r>
  <r>
    <s v="Kalyan"/>
    <x v="1"/>
    <x v="11"/>
    <x v="1"/>
    <x v="7"/>
    <x v="0"/>
    <x v="0"/>
    <x v="1"/>
    <n v="2558"/>
    <n v="3599"/>
    <x v="2"/>
    <n v="539"/>
    <n v="3060"/>
    <n v="502"/>
    <x v="0"/>
  </r>
  <r>
    <s v="Nandhini"/>
    <x v="0"/>
    <x v="152"/>
    <x v="2"/>
    <x v="2"/>
    <x v="0"/>
    <x v="1"/>
    <x v="1"/>
    <n v="380"/>
    <n v="699"/>
    <x v="3"/>
    <n v="34"/>
    <n v="665"/>
    <n v="285"/>
    <x v="0"/>
  </r>
  <r>
    <s v="Krishna"/>
    <x v="1"/>
    <x v="55"/>
    <x v="4"/>
    <x v="12"/>
    <x v="2"/>
    <x v="0"/>
    <x v="1"/>
    <n v="1081"/>
    <n v="1599"/>
    <x v="3"/>
    <n v="79"/>
    <n v="1520"/>
    <n v="439"/>
    <x v="0"/>
  </r>
  <r>
    <s v="Swetha"/>
    <x v="0"/>
    <x v="141"/>
    <x v="1"/>
    <x v="1"/>
    <x v="0"/>
    <x v="1"/>
    <x v="0"/>
    <n v="743"/>
    <n v="999"/>
    <x v="2"/>
    <n v="149"/>
    <n v="1700"/>
    <n v="214"/>
    <x v="1"/>
  </r>
  <r>
    <s v="Isha"/>
    <x v="0"/>
    <x v="103"/>
    <x v="4"/>
    <x v="5"/>
    <x v="2"/>
    <x v="1"/>
    <x v="1"/>
    <n v="973"/>
    <n v="1599"/>
    <x v="2"/>
    <n v="239"/>
    <n v="1360"/>
    <n v="387"/>
    <x v="0"/>
  </r>
  <r>
    <s v="Srinivas"/>
    <x v="1"/>
    <x v="18"/>
    <x v="2"/>
    <x v="8"/>
    <x v="2"/>
    <x v="1"/>
    <x v="3"/>
    <n v="896"/>
    <n v="1199"/>
    <x v="2"/>
    <n v="179"/>
    <n v="4080"/>
    <n v="496"/>
    <x v="0"/>
  </r>
  <r>
    <s v="Venu"/>
    <x v="1"/>
    <x v="35"/>
    <x v="1"/>
    <x v="1"/>
    <x v="2"/>
    <x v="0"/>
    <x v="4"/>
    <n v="490"/>
    <n v="899"/>
    <x v="4"/>
    <n v="89"/>
    <n v="4050"/>
    <n v="1600"/>
    <x v="0"/>
  </r>
  <r>
    <s v="Rahul"/>
    <x v="1"/>
    <x v="174"/>
    <x v="1"/>
    <x v="7"/>
    <x v="1"/>
    <x v="1"/>
    <x v="0"/>
    <n v="1872"/>
    <n v="2499"/>
    <x v="1"/>
    <n v="499"/>
    <n v="4000"/>
    <n v="256"/>
    <x v="0"/>
  </r>
  <r>
    <s v="Rohan"/>
    <x v="1"/>
    <x v="136"/>
    <x v="4"/>
    <x v="12"/>
    <x v="2"/>
    <x v="0"/>
    <x v="1"/>
    <n v="1353"/>
    <n v="2299"/>
    <x v="4"/>
    <n v="229"/>
    <n v="2070"/>
    <n v="717"/>
    <x v="1"/>
  </r>
  <r>
    <s v="Ananya"/>
    <x v="0"/>
    <x v="44"/>
    <x v="0"/>
    <x v="9"/>
    <x v="1"/>
    <x v="1"/>
    <x v="2"/>
    <n v="240"/>
    <n v="399"/>
    <x v="0"/>
    <n v="0"/>
    <n v="1197"/>
    <n v="477"/>
    <x v="1"/>
  </r>
  <r>
    <s v="Mallesh"/>
    <x v="1"/>
    <x v="86"/>
    <x v="0"/>
    <x v="11"/>
    <x v="1"/>
    <x v="1"/>
    <x v="1"/>
    <n v="367"/>
    <n v="699"/>
    <x v="0"/>
    <n v="0"/>
    <n v="699"/>
    <n v="332"/>
    <x v="0"/>
  </r>
  <r>
    <s v="Uday"/>
    <x v="1"/>
    <x v="138"/>
    <x v="4"/>
    <x v="6"/>
    <x v="1"/>
    <x v="0"/>
    <x v="1"/>
    <n v="590"/>
    <n v="999"/>
    <x v="1"/>
    <n v="199"/>
    <n v="800"/>
    <n v="210"/>
    <x v="0"/>
  </r>
  <r>
    <s v="Venu"/>
    <x v="1"/>
    <x v="90"/>
    <x v="0"/>
    <x v="11"/>
    <x v="2"/>
    <x v="1"/>
    <x v="1"/>
    <n v="282"/>
    <n v="399"/>
    <x v="0"/>
    <n v="0"/>
    <n v="399"/>
    <n v="117"/>
    <x v="1"/>
  </r>
  <r>
    <s v="Kalyan"/>
    <x v="1"/>
    <x v="47"/>
    <x v="1"/>
    <x v="1"/>
    <x v="1"/>
    <x v="0"/>
    <x v="0"/>
    <n v="1576"/>
    <n v="2299"/>
    <x v="4"/>
    <n v="229"/>
    <n v="4140"/>
    <n v="988"/>
    <x v="0"/>
  </r>
  <r>
    <s v="Anudeep"/>
    <x v="1"/>
    <x v="91"/>
    <x v="1"/>
    <x v="7"/>
    <x v="1"/>
    <x v="0"/>
    <x v="3"/>
    <n v="2450"/>
    <n v="4399"/>
    <x v="1"/>
    <n v="879"/>
    <n v="14080"/>
    <n v="4280"/>
    <x v="1"/>
  </r>
  <r>
    <s v="Vikram"/>
    <x v="1"/>
    <x v="55"/>
    <x v="4"/>
    <x v="5"/>
    <x v="1"/>
    <x v="0"/>
    <x v="3"/>
    <n v="949"/>
    <n v="1499"/>
    <x v="4"/>
    <n v="149"/>
    <n v="5400"/>
    <n v="1604"/>
    <x v="1"/>
  </r>
  <r>
    <s v="Lavanya"/>
    <x v="0"/>
    <x v="105"/>
    <x v="1"/>
    <x v="7"/>
    <x v="0"/>
    <x v="1"/>
    <x v="2"/>
    <n v="3112"/>
    <n v="4199"/>
    <x v="2"/>
    <n v="629"/>
    <n v="10710"/>
    <n v="1374"/>
    <x v="1"/>
  </r>
  <r>
    <s v="Vinay"/>
    <x v="1"/>
    <x v="15"/>
    <x v="4"/>
    <x v="6"/>
    <x v="0"/>
    <x v="1"/>
    <x v="1"/>
    <n v="768"/>
    <n v="1199"/>
    <x v="4"/>
    <n v="119"/>
    <n v="1080"/>
    <n v="312"/>
    <x v="1"/>
  </r>
  <r>
    <s v="Swetha"/>
    <x v="0"/>
    <x v="167"/>
    <x v="4"/>
    <x v="10"/>
    <x v="1"/>
    <x v="1"/>
    <x v="1"/>
    <n v="677"/>
    <n v="1099"/>
    <x v="3"/>
    <n v="54"/>
    <n v="1045"/>
    <n v="368"/>
    <x v="0"/>
  </r>
  <r>
    <s v="Surya"/>
    <x v="1"/>
    <x v="177"/>
    <x v="0"/>
    <x v="11"/>
    <x v="0"/>
    <x v="0"/>
    <x v="1"/>
    <n v="485"/>
    <n v="799"/>
    <x v="0"/>
    <n v="0"/>
    <n v="799"/>
    <n v="314"/>
    <x v="0"/>
  </r>
  <r>
    <s v="Vivaan"/>
    <x v="1"/>
    <x v="136"/>
    <x v="1"/>
    <x v="1"/>
    <x v="2"/>
    <x v="1"/>
    <x v="1"/>
    <n v="1307"/>
    <n v="2299"/>
    <x v="4"/>
    <n v="229"/>
    <n v="2070"/>
    <n v="763"/>
    <x v="1"/>
  </r>
  <r>
    <s v="Pravalika"/>
    <x v="0"/>
    <x v="133"/>
    <x v="2"/>
    <x v="8"/>
    <x v="2"/>
    <x v="0"/>
    <x v="2"/>
    <n v="607"/>
    <n v="1199"/>
    <x v="2"/>
    <n v="179"/>
    <n v="3060"/>
    <n v="1239"/>
    <x v="0"/>
  </r>
  <r>
    <s v="Isha"/>
    <x v="0"/>
    <x v="81"/>
    <x v="0"/>
    <x v="11"/>
    <x v="1"/>
    <x v="0"/>
    <x v="4"/>
    <n v="497"/>
    <n v="799"/>
    <x v="0"/>
    <n v="0"/>
    <n v="3995"/>
    <n v="1510"/>
    <x v="0"/>
  </r>
  <r>
    <s v="Rakesh"/>
    <x v="1"/>
    <x v="168"/>
    <x v="0"/>
    <x v="11"/>
    <x v="2"/>
    <x v="0"/>
    <x v="1"/>
    <n v="311"/>
    <n v="499"/>
    <x v="0"/>
    <n v="0"/>
    <n v="499"/>
    <n v="188"/>
    <x v="1"/>
  </r>
  <r>
    <s v="Kalyan"/>
    <x v="1"/>
    <x v="40"/>
    <x v="4"/>
    <x v="15"/>
    <x v="0"/>
    <x v="1"/>
    <x v="1"/>
    <n v="1780"/>
    <n v="3199"/>
    <x v="3"/>
    <n v="159"/>
    <n v="3040"/>
    <n v="1260"/>
    <x v="0"/>
  </r>
  <r>
    <s v="Shiva"/>
    <x v="1"/>
    <x v="19"/>
    <x v="1"/>
    <x v="1"/>
    <x v="2"/>
    <x v="0"/>
    <x v="4"/>
    <n v="581"/>
    <n v="999"/>
    <x v="2"/>
    <n v="149"/>
    <n v="4250"/>
    <n v="1345"/>
    <x v="1"/>
  </r>
  <r>
    <s v="Thanuja"/>
    <x v="0"/>
    <x v="68"/>
    <x v="3"/>
    <x v="3"/>
    <x v="0"/>
    <x v="0"/>
    <x v="1"/>
    <n v="954"/>
    <n v="1399"/>
    <x v="0"/>
    <n v="0"/>
    <n v="1399"/>
    <n v="445"/>
    <x v="0"/>
  </r>
  <r>
    <s v="Arjun"/>
    <x v="1"/>
    <x v="133"/>
    <x v="0"/>
    <x v="0"/>
    <x v="1"/>
    <x v="1"/>
    <x v="1"/>
    <n v="280"/>
    <n v="499"/>
    <x v="0"/>
    <n v="0"/>
    <n v="499"/>
    <n v="219"/>
    <x v="0"/>
  </r>
  <r>
    <s v="Saanvi"/>
    <x v="0"/>
    <x v="149"/>
    <x v="0"/>
    <x v="13"/>
    <x v="1"/>
    <x v="1"/>
    <x v="1"/>
    <n v="273"/>
    <n v="499"/>
    <x v="0"/>
    <n v="0"/>
    <n v="499"/>
    <n v="226"/>
    <x v="0"/>
  </r>
  <r>
    <s v="Rakesh"/>
    <x v="1"/>
    <x v="119"/>
    <x v="2"/>
    <x v="8"/>
    <x v="2"/>
    <x v="1"/>
    <x v="1"/>
    <n v="407"/>
    <n v="799"/>
    <x v="1"/>
    <n v="159"/>
    <n v="640"/>
    <n v="233"/>
    <x v="0"/>
  </r>
  <r>
    <s v="Krishna"/>
    <x v="1"/>
    <x v="167"/>
    <x v="4"/>
    <x v="6"/>
    <x v="2"/>
    <x v="1"/>
    <x v="0"/>
    <n v="704"/>
    <n v="999"/>
    <x v="2"/>
    <n v="149"/>
    <n v="1700"/>
    <n v="292"/>
    <x v="1"/>
  </r>
  <r>
    <s v="Saanvi"/>
    <x v="0"/>
    <x v="16"/>
    <x v="3"/>
    <x v="3"/>
    <x v="1"/>
    <x v="0"/>
    <x v="4"/>
    <n v="648"/>
    <n v="899"/>
    <x v="0"/>
    <n v="0"/>
    <n v="4495"/>
    <n v="1255"/>
    <x v="0"/>
  </r>
  <r>
    <s v="Uday"/>
    <x v="1"/>
    <x v="78"/>
    <x v="4"/>
    <x v="6"/>
    <x v="2"/>
    <x v="1"/>
    <x v="4"/>
    <n v="827"/>
    <n v="1199"/>
    <x v="2"/>
    <n v="179"/>
    <n v="5100"/>
    <n v="965"/>
    <x v="0"/>
  </r>
  <r>
    <s v="Aarav"/>
    <x v="1"/>
    <x v="33"/>
    <x v="3"/>
    <x v="3"/>
    <x v="1"/>
    <x v="1"/>
    <x v="4"/>
    <n v="835"/>
    <n v="1399"/>
    <x v="0"/>
    <n v="0"/>
    <n v="6995"/>
    <n v="2820"/>
    <x v="1"/>
  </r>
  <r>
    <s v="Bharath"/>
    <x v="1"/>
    <x v="112"/>
    <x v="0"/>
    <x v="13"/>
    <x v="0"/>
    <x v="0"/>
    <x v="1"/>
    <n v="272"/>
    <n v="399"/>
    <x v="0"/>
    <n v="0"/>
    <n v="399"/>
    <n v="127"/>
    <x v="0"/>
  </r>
  <r>
    <s v="Kavya"/>
    <x v="0"/>
    <x v="33"/>
    <x v="2"/>
    <x v="8"/>
    <x v="0"/>
    <x v="0"/>
    <x v="1"/>
    <n v="414"/>
    <n v="699"/>
    <x v="3"/>
    <n v="34"/>
    <n v="665"/>
    <n v="251"/>
    <x v="1"/>
  </r>
  <r>
    <s v=" Praveen"/>
    <x v="1"/>
    <x v="176"/>
    <x v="3"/>
    <x v="14"/>
    <x v="1"/>
    <x v="0"/>
    <x v="1"/>
    <n v="1012"/>
    <n v="1499"/>
    <x v="0"/>
    <n v="0"/>
    <n v="1499"/>
    <n v="487"/>
    <x v="0"/>
  </r>
  <r>
    <s v="Anjali"/>
    <x v="0"/>
    <x v="18"/>
    <x v="2"/>
    <x v="2"/>
    <x v="2"/>
    <x v="0"/>
    <x v="3"/>
    <n v="500"/>
    <n v="699"/>
    <x v="4"/>
    <n v="69"/>
    <n v="2520"/>
    <n v="520"/>
    <x v="0"/>
  </r>
  <r>
    <s v="Thanuja"/>
    <x v="0"/>
    <x v="103"/>
    <x v="0"/>
    <x v="9"/>
    <x v="2"/>
    <x v="0"/>
    <x v="0"/>
    <n v="187"/>
    <n v="299"/>
    <x v="0"/>
    <n v="0"/>
    <n v="598"/>
    <n v="224"/>
    <x v="0"/>
  </r>
  <r>
    <s v="Sanjeev"/>
    <x v="1"/>
    <x v="30"/>
    <x v="1"/>
    <x v="1"/>
    <x v="1"/>
    <x v="0"/>
    <x v="1"/>
    <n v="1705"/>
    <n v="2399"/>
    <x v="2"/>
    <n v="359"/>
    <n v="2040"/>
    <n v="335"/>
    <x v="1"/>
  </r>
  <r>
    <s v="Hema"/>
    <x v="0"/>
    <x v="100"/>
    <x v="1"/>
    <x v="1"/>
    <x v="1"/>
    <x v="1"/>
    <x v="0"/>
    <n v="1128"/>
    <n v="2199"/>
    <x v="3"/>
    <n v="109"/>
    <n v="4180"/>
    <n v="1924"/>
    <x v="1"/>
  </r>
  <r>
    <s v="Vivaan"/>
    <x v="1"/>
    <x v="146"/>
    <x v="0"/>
    <x v="0"/>
    <x v="0"/>
    <x v="1"/>
    <x v="1"/>
    <n v="416"/>
    <n v="599"/>
    <x v="0"/>
    <n v="0"/>
    <n v="599"/>
    <n v="183"/>
    <x v="0"/>
  </r>
  <r>
    <s v="Aditya"/>
    <x v="1"/>
    <x v="162"/>
    <x v="0"/>
    <x v="9"/>
    <x v="2"/>
    <x v="0"/>
    <x v="1"/>
    <n v="234"/>
    <n v="399"/>
    <x v="0"/>
    <n v="0"/>
    <n v="399"/>
    <n v="165"/>
    <x v="0"/>
  </r>
  <r>
    <s v="Rahul"/>
    <x v="1"/>
    <x v="29"/>
    <x v="4"/>
    <x v="5"/>
    <x v="2"/>
    <x v="0"/>
    <x v="4"/>
    <n v="521"/>
    <n v="899"/>
    <x v="2"/>
    <n v="134"/>
    <n v="3825"/>
    <n v="1220"/>
    <x v="0"/>
  </r>
  <r>
    <s v="Sai"/>
    <x v="1"/>
    <x v="139"/>
    <x v="4"/>
    <x v="5"/>
    <x v="2"/>
    <x v="1"/>
    <x v="2"/>
    <n v="1123"/>
    <n v="1599"/>
    <x v="2"/>
    <n v="239"/>
    <n v="4080"/>
    <n v="711"/>
    <x v="0"/>
  </r>
  <r>
    <s v="Kavya"/>
    <x v="0"/>
    <x v="61"/>
    <x v="1"/>
    <x v="7"/>
    <x v="1"/>
    <x v="1"/>
    <x v="1"/>
    <n v="2752"/>
    <n v="3699"/>
    <x v="3"/>
    <n v="184"/>
    <n v="3515"/>
    <n v="763"/>
    <x v="0"/>
  </r>
  <r>
    <s v="Vivaan"/>
    <x v="1"/>
    <x v="14"/>
    <x v="3"/>
    <x v="14"/>
    <x v="0"/>
    <x v="0"/>
    <x v="0"/>
    <n v="871"/>
    <n v="1199"/>
    <x v="0"/>
    <n v="0"/>
    <n v="2398"/>
    <n v="656"/>
    <x v="0"/>
  </r>
  <r>
    <s v="Ananya"/>
    <x v="0"/>
    <x v="161"/>
    <x v="4"/>
    <x v="12"/>
    <x v="0"/>
    <x v="0"/>
    <x v="1"/>
    <n v="1400"/>
    <n v="2299"/>
    <x v="4"/>
    <n v="229"/>
    <n v="2070"/>
    <n v="670"/>
    <x v="1"/>
  </r>
  <r>
    <s v="Sai"/>
    <x v="1"/>
    <x v="183"/>
    <x v="4"/>
    <x v="12"/>
    <x v="1"/>
    <x v="1"/>
    <x v="1"/>
    <n v="598"/>
    <n v="1099"/>
    <x v="3"/>
    <n v="54"/>
    <n v="1045"/>
    <n v="447"/>
    <x v="0"/>
  </r>
  <r>
    <s v="Vikram"/>
    <x v="1"/>
    <x v="204"/>
    <x v="0"/>
    <x v="13"/>
    <x v="1"/>
    <x v="1"/>
    <x v="4"/>
    <n v="216"/>
    <n v="399"/>
    <x v="0"/>
    <n v="0"/>
    <n v="1995"/>
    <n v="915"/>
    <x v="0"/>
  </r>
  <r>
    <s v="Swetha"/>
    <x v="0"/>
    <x v="164"/>
    <x v="3"/>
    <x v="3"/>
    <x v="1"/>
    <x v="1"/>
    <x v="1"/>
    <n v="684"/>
    <n v="1199"/>
    <x v="0"/>
    <n v="0"/>
    <n v="1199"/>
    <n v="515"/>
    <x v="0"/>
  </r>
  <r>
    <s v="Kalyan"/>
    <x v="1"/>
    <x v="182"/>
    <x v="1"/>
    <x v="1"/>
    <x v="1"/>
    <x v="1"/>
    <x v="2"/>
    <n v="470"/>
    <n v="899"/>
    <x v="3"/>
    <n v="44"/>
    <n v="2565"/>
    <n v="1155"/>
    <x v="0"/>
  </r>
  <r>
    <s v="Tejas"/>
    <x v="1"/>
    <x v="189"/>
    <x v="3"/>
    <x v="3"/>
    <x v="0"/>
    <x v="1"/>
    <x v="1"/>
    <n v="648"/>
    <n v="999"/>
    <x v="0"/>
    <n v="0"/>
    <n v="999"/>
    <n v="351"/>
    <x v="1"/>
  </r>
  <r>
    <s v="Devi"/>
    <x v="0"/>
    <x v="161"/>
    <x v="3"/>
    <x v="3"/>
    <x v="2"/>
    <x v="1"/>
    <x v="3"/>
    <n v="634"/>
    <n v="899"/>
    <x v="0"/>
    <n v="0"/>
    <n v="3596"/>
    <n v="1060"/>
    <x v="0"/>
  </r>
  <r>
    <s v="Bharath"/>
    <x v="1"/>
    <x v="61"/>
    <x v="1"/>
    <x v="7"/>
    <x v="1"/>
    <x v="0"/>
    <x v="1"/>
    <n v="1823"/>
    <n v="2499"/>
    <x v="1"/>
    <n v="499"/>
    <n v="2000"/>
    <n v="177"/>
    <x v="1"/>
  </r>
  <r>
    <s v="Karthik"/>
    <x v="1"/>
    <x v="19"/>
    <x v="4"/>
    <x v="5"/>
    <x v="0"/>
    <x v="0"/>
    <x v="0"/>
    <n v="624"/>
    <n v="899"/>
    <x v="1"/>
    <n v="179"/>
    <n v="1440"/>
    <n v="192"/>
    <x v="0"/>
  </r>
  <r>
    <s v="Anvesh"/>
    <x v="1"/>
    <x v="78"/>
    <x v="0"/>
    <x v="0"/>
    <x v="2"/>
    <x v="0"/>
    <x v="2"/>
    <n v="295"/>
    <n v="399"/>
    <x v="0"/>
    <n v="0"/>
    <n v="1197"/>
    <n v="312"/>
    <x v="0"/>
  </r>
  <r>
    <s v="Lassya"/>
    <x v="0"/>
    <x v="160"/>
    <x v="0"/>
    <x v="11"/>
    <x v="2"/>
    <x v="1"/>
    <x v="3"/>
    <n v="446"/>
    <n v="699"/>
    <x v="0"/>
    <n v="0"/>
    <n v="2796"/>
    <n v="1012"/>
    <x v="0"/>
  </r>
  <r>
    <s v="Karthik"/>
    <x v="1"/>
    <x v="120"/>
    <x v="0"/>
    <x v="9"/>
    <x v="1"/>
    <x v="1"/>
    <x v="0"/>
    <n v="217"/>
    <n v="299"/>
    <x v="0"/>
    <n v="0"/>
    <n v="598"/>
    <n v="164"/>
    <x v="1"/>
  </r>
  <r>
    <s v="Gayatri"/>
    <x v="0"/>
    <x v="38"/>
    <x v="1"/>
    <x v="1"/>
    <x v="2"/>
    <x v="1"/>
    <x v="1"/>
    <n v="1246"/>
    <n v="2199"/>
    <x v="3"/>
    <n v="109"/>
    <n v="2090"/>
    <n v="844"/>
    <x v="0"/>
  </r>
  <r>
    <s v="Deepak"/>
    <x v="1"/>
    <x v="122"/>
    <x v="4"/>
    <x v="6"/>
    <x v="0"/>
    <x v="0"/>
    <x v="3"/>
    <n v="866"/>
    <n v="1199"/>
    <x v="2"/>
    <n v="179"/>
    <n v="4080"/>
    <n v="616"/>
    <x v="0"/>
  </r>
  <r>
    <s v="Siri"/>
    <x v="0"/>
    <x v="118"/>
    <x v="2"/>
    <x v="2"/>
    <x v="1"/>
    <x v="0"/>
    <x v="1"/>
    <n v="542"/>
    <n v="799"/>
    <x v="1"/>
    <n v="159"/>
    <n v="640"/>
    <n v="98"/>
    <x v="0"/>
  </r>
  <r>
    <s v="Vijay"/>
    <x v="1"/>
    <x v="85"/>
    <x v="2"/>
    <x v="8"/>
    <x v="0"/>
    <x v="0"/>
    <x v="1"/>
    <n v="509"/>
    <n v="799"/>
    <x v="2"/>
    <n v="119"/>
    <n v="680"/>
    <n v="171"/>
    <x v="0"/>
  </r>
  <r>
    <s v="Pravalika"/>
    <x v="0"/>
    <x v="80"/>
    <x v="3"/>
    <x v="14"/>
    <x v="0"/>
    <x v="1"/>
    <x v="4"/>
    <n v="557"/>
    <n v="999"/>
    <x v="0"/>
    <n v="0"/>
    <n v="4995"/>
    <n v="2210"/>
    <x v="0"/>
  </r>
  <r>
    <s v="Pravalika"/>
    <x v="0"/>
    <x v="179"/>
    <x v="1"/>
    <x v="7"/>
    <x v="1"/>
    <x v="1"/>
    <x v="1"/>
    <n v="1589"/>
    <n v="2199"/>
    <x v="4"/>
    <n v="219"/>
    <n v="1980"/>
    <n v="391"/>
    <x v="0"/>
  </r>
  <r>
    <s v="Swetha"/>
    <x v="0"/>
    <x v="131"/>
    <x v="3"/>
    <x v="14"/>
    <x v="1"/>
    <x v="0"/>
    <x v="0"/>
    <n v="731"/>
    <n v="999"/>
    <x v="0"/>
    <n v="0"/>
    <n v="1998"/>
    <n v="536"/>
    <x v="1"/>
  </r>
  <r>
    <s v="Arun"/>
    <x v="1"/>
    <x v="205"/>
    <x v="1"/>
    <x v="1"/>
    <x v="2"/>
    <x v="1"/>
    <x v="1"/>
    <n v="1082"/>
    <n v="1499"/>
    <x v="1"/>
    <n v="299"/>
    <n v="1200"/>
    <n v="118"/>
    <x v="0"/>
  </r>
  <r>
    <s v="Aadhya"/>
    <x v="0"/>
    <x v="74"/>
    <x v="1"/>
    <x v="1"/>
    <x v="1"/>
    <x v="0"/>
    <x v="4"/>
    <n v="741"/>
    <n v="1199"/>
    <x v="2"/>
    <n v="179"/>
    <n v="5100"/>
    <n v="1395"/>
    <x v="0"/>
  </r>
  <r>
    <s v="Krishna"/>
    <x v="1"/>
    <x v="12"/>
    <x v="4"/>
    <x v="6"/>
    <x v="2"/>
    <x v="1"/>
    <x v="4"/>
    <n v="699"/>
    <n v="1299"/>
    <x v="1"/>
    <n v="259"/>
    <n v="5200"/>
    <n v="1705"/>
    <x v="0"/>
  </r>
  <r>
    <s v="Deepak"/>
    <x v="1"/>
    <x v="2"/>
    <x v="4"/>
    <x v="10"/>
    <x v="1"/>
    <x v="0"/>
    <x v="4"/>
    <n v="646"/>
    <n v="999"/>
    <x v="1"/>
    <n v="199"/>
    <n v="4000"/>
    <n v="770"/>
    <x v="1"/>
  </r>
  <r>
    <s v="Anjali"/>
    <x v="0"/>
    <x v="160"/>
    <x v="2"/>
    <x v="2"/>
    <x v="2"/>
    <x v="1"/>
    <x v="1"/>
    <n v="263"/>
    <n v="499"/>
    <x v="4"/>
    <n v="49"/>
    <n v="450"/>
    <n v="187"/>
    <x v="0"/>
  </r>
  <r>
    <s v="Thanuja"/>
    <x v="0"/>
    <x v="18"/>
    <x v="3"/>
    <x v="14"/>
    <x v="1"/>
    <x v="0"/>
    <x v="4"/>
    <n v="413"/>
    <n v="699"/>
    <x v="0"/>
    <n v="0"/>
    <n v="3495"/>
    <n v="1430"/>
    <x v="0"/>
  </r>
  <r>
    <s v="Vijay"/>
    <x v="1"/>
    <x v="202"/>
    <x v="4"/>
    <x v="15"/>
    <x v="2"/>
    <x v="1"/>
    <x v="2"/>
    <n v="1751"/>
    <n v="2699"/>
    <x v="3"/>
    <n v="134"/>
    <n v="7695"/>
    <n v="2442"/>
    <x v="1"/>
  </r>
  <r>
    <s v="Sneha"/>
    <x v="0"/>
    <x v="206"/>
    <x v="2"/>
    <x v="2"/>
    <x v="1"/>
    <x v="0"/>
    <x v="1"/>
    <n v="419"/>
    <n v="699"/>
    <x v="4"/>
    <n v="69"/>
    <n v="630"/>
    <n v="211"/>
    <x v="0"/>
  </r>
  <r>
    <s v="Pranay"/>
    <x v="1"/>
    <x v="16"/>
    <x v="3"/>
    <x v="14"/>
    <x v="2"/>
    <x v="1"/>
    <x v="0"/>
    <n v="791"/>
    <n v="1499"/>
    <x v="0"/>
    <n v="0"/>
    <n v="2998"/>
    <n v="1416"/>
    <x v="0"/>
  </r>
  <r>
    <s v="Pravalika"/>
    <x v="0"/>
    <x v="165"/>
    <x v="2"/>
    <x v="8"/>
    <x v="0"/>
    <x v="1"/>
    <x v="1"/>
    <n v="1488"/>
    <n v="2299"/>
    <x v="1"/>
    <n v="459"/>
    <n v="1840"/>
    <n v="352"/>
    <x v="1"/>
  </r>
  <r>
    <s v="Hema"/>
    <x v="0"/>
    <x v="184"/>
    <x v="3"/>
    <x v="14"/>
    <x v="1"/>
    <x v="0"/>
    <x v="2"/>
    <n v="432"/>
    <n v="799"/>
    <x v="0"/>
    <n v="0"/>
    <n v="2397"/>
    <n v="1101"/>
    <x v="1"/>
  </r>
  <r>
    <s v="Aarav"/>
    <x v="1"/>
    <x v="82"/>
    <x v="1"/>
    <x v="1"/>
    <x v="2"/>
    <x v="0"/>
    <x v="0"/>
    <n v="785"/>
    <n v="1499"/>
    <x v="2"/>
    <n v="224"/>
    <n v="2550"/>
    <n v="980"/>
    <x v="0"/>
  </r>
  <r>
    <s v="Vikram"/>
    <x v="1"/>
    <x v="62"/>
    <x v="2"/>
    <x v="8"/>
    <x v="1"/>
    <x v="1"/>
    <x v="4"/>
    <n v="857"/>
    <n v="1199"/>
    <x v="2"/>
    <n v="179"/>
    <n v="5100"/>
    <n v="815"/>
    <x v="0"/>
  </r>
  <r>
    <s v="Vijay"/>
    <x v="1"/>
    <x v="139"/>
    <x v="4"/>
    <x v="4"/>
    <x v="0"/>
    <x v="1"/>
    <x v="4"/>
    <n v="348"/>
    <n v="499"/>
    <x v="4"/>
    <n v="49"/>
    <n v="2250"/>
    <n v="510"/>
    <x v="0"/>
  </r>
  <r>
    <s v="Reavanth"/>
    <x v="1"/>
    <x v="57"/>
    <x v="4"/>
    <x v="6"/>
    <x v="2"/>
    <x v="0"/>
    <x v="1"/>
    <n v="380"/>
    <n v="699"/>
    <x v="1"/>
    <n v="139"/>
    <n v="560"/>
    <n v="180"/>
    <x v="0"/>
  </r>
  <r>
    <s v="Devi"/>
    <x v="0"/>
    <x v="207"/>
    <x v="1"/>
    <x v="1"/>
    <x v="2"/>
    <x v="1"/>
    <x v="0"/>
    <n v="1200"/>
    <n v="2199"/>
    <x v="3"/>
    <n v="109"/>
    <n v="4180"/>
    <n v="1780"/>
    <x v="0"/>
  </r>
  <r>
    <s v="Thanuja"/>
    <x v="0"/>
    <x v="121"/>
    <x v="4"/>
    <x v="6"/>
    <x v="2"/>
    <x v="0"/>
    <x v="4"/>
    <n v="687"/>
    <n v="1099"/>
    <x v="3"/>
    <n v="54"/>
    <n v="5225"/>
    <n v="1790"/>
    <x v="0"/>
  </r>
  <r>
    <s v="Shivani"/>
    <x v="0"/>
    <x v="71"/>
    <x v="3"/>
    <x v="3"/>
    <x v="1"/>
    <x v="0"/>
    <x v="0"/>
    <n v="471"/>
    <n v="899"/>
    <x v="0"/>
    <n v="0"/>
    <n v="1798"/>
    <n v="856"/>
    <x v="0"/>
  </r>
  <r>
    <s v="Sanjeev"/>
    <x v="1"/>
    <x v="150"/>
    <x v="2"/>
    <x v="8"/>
    <x v="0"/>
    <x v="1"/>
    <x v="1"/>
    <n v="897"/>
    <n v="1699"/>
    <x v="4"/>
    <n v="169"/>
    <n v="1530"/>
    <n v="633"/>
    <x v="0"/>
  </r>
  <r>
    <s v="Sanjeev"/>
    <x v="1"/>
    <x v="47"/>
    <x v="0"/>
    <x v="13"/>
    <x v="0"/>
    <x v="0"/>
    <x v="3"/>
    <n v="293"/>
    <n v="399"/>
    <x v="0"/>
    <n v="0"/>
    <n v="1596"/>
    <n v="424"/>
    <x v="0"/>
  </r>
  <r>
    <s v="Shiva"/>
    <x v="1"/>
    <x v="79"/>
    <x v="4"/>
    <x v="12"/>
    <x v="2"/>
    <x v="1"/>
    <x v="3"/>
    <n v="813"/>
    <n v="1299"/>
    <x v="1"/>
    <n v="259"/>
    <n v="4160"/>
    <n v="908"/>
    <x v="0"/>
  </r>
  <r>
    <s v="Bharath"/>
    <x v="1"/>
    <x v="53"/>
    <x v="0"/>
    <x v="0"/>
    <x v="1"/>
    <x v="0"/>
    <x v="0"/>
    <n v="313"/>
    <n v="499"/>
    <x v="0"/>
    <n v="0"/>
    <n v="998"/>
    <n v="372"/>
    <x v="1"/>
  </r>
  <r>
    <s v="Hema"/>
    <x v="0"/>
    <x v="76"/>
    <x v="3"/>
    <x v="14"/>
    <x v="2"/>
    <x v="0"/>
    <x v="2"/>
    <n v="446"/>
    <n v="799"/>
    <x v="0"/>
    <n v="0"/>
    <n v="2397"/>
    <n v="1059"/>
    <x v="0"/>
  </r>
  <r>
    <s v="Bharath"/>
    <x v="1"/>
    <x v="82"/>
    <x v="0"/>
    <x v="0"/>
    <x v="0"/>
    <x v="1"/>
    <x v="1"/>
    <n v="226"/>
    <n v="399"/>
    <x v="0"/>
    <n v="0"/>
    <n v="399"/>
    <n v="173"/>
    <x v="0"/>
  </r>
  <r>
    <s v="Devi Sree"/>
    <x v="0"/>
    <x v="17"/>
    <x v="4"/>
    <x v="4"/>
    <x v="2"/>
    <x v="1"/>
    <x v="4"/>
    <n v="283"/>
    <n v="499"/>
    <x v="4"/>
    <n v="49"/>
    <n v="2250"/>
    <n v="835"/>
    <x v="0"/>
  </r>
  <r>
    <s v="Swetha"/>
    <x v="0"/>
    <x v="139"/>
    <x v="4"/>
    <x v="6"/>
    <x v="0"/>
    <x v="1"/>
    <x v="1"/>
    <n v="361"/>
    <n v="599"/>
    <x v="4"/>
    <n v="59"/>
    <n v="540"/>
    <n v="179"/>
    <x v="0"/>
  </r>
  <r>
    <s v="Nandhini"/>
    <x v="0"/>
    <x v="85"/>
    <x v="1"/>
    <x v="1"/>
    <x v="2"/>
    <x v="1"/>
    <x v="1"/>
    <n v="1192"/>
    <n v="1899"/>
    <x v="1"/>
    <n v="379"/>
    <n v="1520"/>
    <n v="328"/>
    <x v="1"/>
  </r>
  <r>
    <s v="Devi Sree"/>
    <x v="0"/>
    <x v="100"/>
    <x v="0"/>
    <x v="11"/>
    <x v="1"/>
    <x v="0"/>
    <x v="3"/>
    <n v="376"/>
    <n v="699"/>
    <x v="0"/>
    <n v="0"/>
    <n v="2796"/>
    <n v="1292"/>
    <x v="0"/>
  </r>
  <r>
    <s v="Swapna"/>
    <x v="0"/>
    <x v="54"/>
    <x v="1"/>
    <x v="1"/>
    <x v="0"/>
    <x v="1"/>
    <x v="1"/>
    <n v="686"/>
    <n v="999"/>
    <x v="2"/>
    <n v="149"/>
    <n v="850"/>
    <n v="164"/>
    <x v="0"/>
  </r>
  <r>
    <s v="Rohan"/>
    <x v="1"/>
    <x v="174"/>
    <x v="1"/>
    <x v="1"/>
    <x v="1"/>
    <x v="1"/>
    <x v="0"/>
    <n v="1543"/>
    <n v="2199"/>
    <x v="3"/>
    <n v="109"/>
    <n v="4180"/>
    <n v="1094"/>
    <x v="1"/>
  </r>
  <r>
    <s v="Reavanth"/>
    <x v="1"/>
    <x v="52"/>
    <x v="2"/>
    <x v="8"/>
    <x v="1"/>
    <x v="0"/>
    <x v="1"/>
    <n v="838"/>
    <n v="1499"/>
    <x v="1"/>
    <n v="299"/>
    <n v="1200"/>
    <n v="362"/>
    <x v="0"/>
  </r>
  <r>
    <s v="Neha"/>
    <x v="0"/>
    <x v="0"/>
    <x v="0"/>
    <x v="0"/>
    <x v="1"/>
    <x v="0"/>
    <x v="3"/>
    <n v="201"/>
    <n v="299"/>
    <x v="0"/>
    <n v="0"/>
    <n v="1196"/>
    <n v="392"/>
    <x v="0"/>
  </r>
  <r>
    <s v="Rahul"/>
    <x v="1"/>
    <x v="163"/>
    <x v="0"/>
    <x v="11"/>
    <x v="1"/>
    <x v="0"/>
    <x v="0"/>
    <n v="364"/>
    <n v="599"/>
    <x v="0"/>
    <n v="0"/>
    <n v="1198"/>
    <n v="470"/>
    <x v="1"/>
  </r>
  <r>
    <s v="Aadhya"/>
    <x v="0"/>
    <x v="44"/>
    <x v="4"/>
    <x v="6"/>
    <x v="0"/>
    <x v="1"/>
    <x v="1"/>
    <n v="640"/>
    <n v="899"/>
    <x v="3"/>
    <n v="44"/>
    <n v="855"/>
    <n v="215"/>
    <x v="0"/>
  </r>
  <r>
    <s v="Vivaan"/>
    <x v="1"/>
    <x v="23"/>
    <x v="0"/>
    <x v="9"/>
    <x v="2"/>
    <x v="0"/>
    <x v="1"/>
    <n v="219"/>
    <n v="399"/>
    <x v="0"/>
    <n v="0"/>
    <n v="399"/>
    <n v="180"/>
    <x v="0"/>
  </r>
  <r>
    <s v="Rakesh"/>
    <x v="1"/>
    <x v="144"/>
    <x v="4"/>
    <x v="4"/>
    <x v="2"/>
    <x v="1"/>
    <x v="0"/>
    <n v="397"/>
    <n v="599"/>
    <x v="3"/>
    <n v="29"/>
    <n v="1140"/>
    <n v="346"/>
    <x v="0"/>
  </r>
  <r>
    <s v="Anudeep"/>
    <x v="1"/>
    <x v="39"/>
    <x v="2"/>
    <x v="2"/>
    <x v="1"/>
    <x v="0"/>
    <x v="0"/>
    <n v="374"/>
    <n v="599"/>
    <x v="1"/>
    <n v="119"/>
    <n v="960"/>
    <n v="212"/>
    <x v="0"/>
  </r>
  <r>
    <s v="Harsha"/>
    <x v="1"/>
    <x v="183"/>
    <x v="3"/>
    <x v="3"/>
    <x v="2"/>
    <x v="0"/>
    <x v="0"/>
    <n v="1079"/>
    <n v="1499"/>
    <x v="0"/>
    <n v="0"/>
    <n v="2998"/>
    <n v="840"/>
    <x v="0"/>
  </r>
  <r>
    <s v="Uday"/>
    <x v="1"/>
    <x v="157"/>
    <x v="3"/>
    <x v="3"/>
    <x v="2"/>
    <x v="0"/>
    <x v="1"/>
    <n v="723"/>
    <n v="1199"/>
    <x v="0"/>
    <n v="0"/>
    <n v="1199"/>
    <n v="476"/>
    <x v="0"/>
  </r>
  <r>
    <s v="Uday"/>
    <x v="1"/>
    <x v="9"/>
    <x v="2"/>
    <x v="8"/>
    <x v="0"/>
    <x v="0"/>
    <x v="1"/>
    <n v="535"/>
    <n v="999"/>
    <x v="2"/>
    <n v="149"/>
    <n v="850"/>
    <n v="315"/>
    <x v="0"/>
  </r>
  <r>
    <s v="Vasanth"/>
    <x v="1"/>
    <x v="33"/>
    <x v="1"/>
    <x v="1"/>
    <x v="1"/>
    <x v="0"/>
    <x v="4"/>
    <n v="797"/>
    <n v="1299"/>
    <x v="3"/>
    <n v="64"/>
    <n v="6175"/>
    <n v="2190"/>
    <x v="0"/>
  </r>
  <r>
    <s v="Laxmi"/>
    <x v="0"/>
    <x v="150"/>
    <x v="1"/>
    <x v="7"/>
    <x v="0"/>
    <x v="1"/>
    <x v="1"/>
    <n v="1887"/>
    <n v="2799"/>
    <x v="1"/>
    <n v="559"/>
    <n v="2240"/>
    <n v="353"/>
    <x v="1"/>
  </r>
  <r>
    <s v="Thanuja"/>
    <x v="0"/>
    <x v="23"/>
    <x v="3"/>
    <x v="3"/>
    <x v="2"/>
    <x v="1"/>
    <x v="1"/>
    <n v="602"/>
    <n v="1199"/>
    <x v="0"/>
    <n v="0"/>
    <n v="1199"/>
    <n v="597"/>
    <x v="0"/>
  </r>
  <r>
    <s v="Anvesh"/>
    <x v="1"/>
    <x v="192"/>
    <x v="1"/>
    <x v="1"/>
    <x v="1"/>
    <x v="1"/>
    <x v="0"/>
    <n v="1003"/>
    <n v="1499"/>
    <x v="1"/>
    <n v="299"/>
    <n v="2400"/>
    <n v="394"/>
    <x v="0"/>
  </r>
  <r>
    <s v="Krishna"/>
    <x v="1"/>
    <x v="196"/>
    <x v="0"/>
    <x v="9"/>
    <x v="2"/>
    <x v="0"/>
    <x v="0"/>
    <n v="197"/>
    <n v="299"/>
    <x v="0"/>
    <n v="0"/>
    <n v="598"/>
    <n v="204"/>
    <x v="1"/>
  </r>
  <r>
    <s v="Karthik"/>
    <x v="1"/>
    <x v="180"/>
    <x v="1"/>
    <x v="1"/>
    <x v="1"/>
    <x v="1"/>
    <x v="1"/>
    <n v="662"/>
    <n v="899"/>
    <x v="3"/>
    <n v="44"/>
    <n v="855"/>
    <n v="193"/>
    <x v="0"/>
  </r>
  <r>
    <s v="Devi Sree"/>
    <x v="0"/>
    <x v="204"/>
    <x v="2"/>
    <x v="8"/>
    <x v="0"/>
    <x v="0"/>
    <x v="1"/>
    <n v="655"/>
    <n v="1199"/>
    <x v="2"/>
    <n v="179"/>
    <n v="1020"/>
    <n v="365"/>
    <x v="0"/>
  </r>
  <r>
    <s v="Vasanth"/>
    <x v="1"/>
    <x v="132"/>
    <x v="0"/>
    <x v="11"/>
    <x v="1"/>
    <x v="0"/>
    <x v="1"/>
    <n v="309"/>
    <n v="499"/>
    <x v="0"/>
    <n v="0"/>
    <n v="499"/>
    <n v="190"/>
    <x v="0"/>
  </r>
  <r>
    <s v="Lassya"/>
    <x v="0"/>
    <x v="133"/>
    <x v="4"/>
    <x v="6"/>
    <x v="0"/>
    <x v="0"/>
    <x v="1"/>
    <n v="789"/>
    <n v="1199"/>
    <x v="2"/>
    <n v="179"/>
    <n v="1020"/>
    <n v="231"/>
    <x v="0"/>
  </r>
  <r>
    <s v="Anjali"/>
    <x v="0"/>
    <x v="153"/>
    <x v="4"/>
    <x v="12"/>
    <x v="0"/>
    <x v="1"/>
    <x v="4"/>
    <n v="756"/>
    <n v="1199"/>
    <x v="2"/>
    <n v="179"/>
    <n v="5100"/>
    <n v="1320"/>
    <x v="0"/>
  </r>
  <r>
    <s v="Sanjeev"/>
    <x v="1"/>
    <x v="101"/>
    <x v="4"/>
    <x v="5"/>
    <x v="2"/>
    <x v="0"/>
    <x v="3"/>
    <n v="953"/>
    <n v="1699"/>
    <x v="1"/>
    <n v="339"/>
    <n v="5440"/>
    <n v="1628"/>
    <x v="1"/>
  </r>
  <r>
    <s v="Pooja"/>
    <x v="0"/>
    <x v="166"/>
    <x v="0"/>
    <x v="9"/>
    <x v="0"/>
    <x v="1"/>
    <x v="0"/>
    <n v="188"/>
    <n v="299"/>
    <x v="0"/>
    <n v="0"/>
    <n v="598"/>
    <n v="222"/>
    <x v="0"/>
  </r>
  <r>
    <s v="Siri"/>
    <x v="0"/>
    <x v="6"/>
    <x v="1"/>
    <x v="7"/>
    <x v="2"/>
    <x v="0"/>
    <x v="1"/>
    <n v="1231"/>
    <n v="2399"/>
    <x v="2"/>
    <n v="359"/>
    <n v="2040"/>
    <n v="809"/>
    <x v="0"/>
  </r>
  <r>
    <s v="Sai"/>
    <x v="1"/>
    <x v="181"/>
    <x v="3"/>
    <x v="14"/>
    <x v="0"/>
    <x v="0"/>
    <x v="1"/>
    <n v="1112"/>
    <n v="1499"/>
    <x v="0"/>
    <n v="0"/>
    <n v="1499"/>
    <n v="387"/>
    <x v="0"/>
  </r>
  <r>
    <s v="Lassya"/>
    <x v="0"/>
    <x v="38"/>
    <x v="1"/>
    <x v="7"/>
    <x v="2"/>
    <x v="0"/>
    <x v="1"/>
    <n v="1304"/>
    <n v="2299"/>
    <x v="4"/>
    <n v="229"/>
    <n v="2070"/>
    <n v="766"/>
    <x v="1"/>
  </r>
  <r>
    <s v="Kalyan"/>
    <x v="1"/>
    <x v="9"/>
    <x v="4"/>
    <x v="4"/>
    <x v="2"/>
    <x v="0"/>
    <x v="1"/>
    <n v="373"/>
    <n v="499"/>
    <x v="3"/>
    <n v="24"/>
    <n v="475"/>
    <n v="102"/>
    <x v="0"/>
  </r>
  <r>
    <s v="Neha"/>
    <x v="0"/>
    <x v="174"/>
    <x v="0"/>
    <x v="13"/>
    <x v="0"/>
    <x v="0"/>
    <x v="0"/>
    <n v="285"/>
    <n v="399"/>
    <x v="0"/>
    <n v="0"/>
    <n v="798"/>
    <n v="228"/>
    <x v="0"/>
  </r>
  <r>
    <s v="Deepak"/>
    <x v="1"/>
    <x v="49"/>
    <x v="2"/>
    <x v="8"/>
    <x v="2"/>
    <x v="1"/>
    <x v="2"/>
    <n v="849"/>
    <n v="1499"/>
    <x v="1"/>
    <n v="299"/>
    <n v="3600"/>
    <n v="1053"/>
    <x v="0"/>
  </r>
  <r>
    <s v="Anvesh"/>
    <x v="1"/>
    <x v="157"/>
    <x v="3"/>
    <x v="14"/>
    <x v="2"/>
    <x v="0"/>
    <x v="1"/>
    <n v="384"/>
    <n v="699"/>
    <x v="0"/>
    <n v="0"/>
    <n v="699"/>
    <n v="315"/>
    <x v="1"/>
  </r>
  <r>
    <s v="Pranay"/>
    <x v="1"/>
    <x v="172"/>
    <x v="0"/>
    <x v="11"/>
    <x v="0"/>
    <x v="1"/>
    <x v="1"/>
    <n v="400"/>
    <n v="699"/>
    <x v="0"/>
    <n v="0"/>
    <n v="699"/>
    <n v="299"/>
    <x v="1"/>
  </r>
  <r>
    <s v="Mallesh"/>
    <x v="1"/>
    <x v="172"/>
    <x v="3"/>
    <x v="14"/>
    <x v="2"/>
    <x v="0"/>
    <x v="1"/>
    <n v="711"/>
    <n v="999"/>
    <x v="0"/>
    <n v="0"/>
    <n v="999"/>
    <n v="288"/>
    <x v="0"/>
  </r>
  <r>
    <s v="Pravalika"/>
    <x v="0"/>
    <x v="83"/>
    <x v="1"/>
    <x v="1"/>
    <x v="2"/>
    <x v="1"/>
    <x v="0"/>
    <n v="760"/>
    <n v="1499"/>
    <x v="2"/>
    <n v="224"/>
    <n v="2550"/>
    <n v="1030"/>
    <x v="0"/>
  </r>
  <r>
    <s v="Arun"/>
    <x v="1"/>
    <x v="172"/>
    <x v="4"/>
    <x v="10"/>
    <x v="1"/>
    <x v="0"/>
    <x v="1"/>
    <n v="1156"/>
    <n v="1599"/>
    <x v="3"/>
    <n v="79"/>
    <n v="1520"/>
    <n v="364"/>
    <x v="0"/>
  </r>
  <r>
    <s v="Aarav"/>
    <x v="1"/>
    <x v="153"/>
    <x v="4"/>
    <x v="12"/>
    <x v="1"/>
    <x v="1"/>
    <x v="0"/>
    <n v="866"/>
    <n v="1299"/>
    <x v="1"/>
    <n v="259"/>
    <n v="2080"/>
    <n v="348"/>
    <x v="0"/>
  </r>
  <r>
    <s v="Hema"/>
    <x v="0"/>
    <x v="30"/>
    <x v="1"/>
    <x v="1"/>
    <x v="0"/>
    <x v="1"/>
    <x v="4"/>
    <n v="924"/>
    <n v="1499"/>
    <x v="2"/>
    <n v="224"/>
    <n v="6375"/>
    <n v="1755"/>
    <x v="0"/>
  </r>
  <r>
    <s v="Uday"/>
    <x v="1"/>
    <x v="54"/>
    <x v="0"/>
    <x v="9"/>
    <x v="0"/>
    <x v="1"/>
    <x v="1"/>
    <n v="371"/>
    <n v="499"/>
    <x v="0"/>
    <n v="0"/>
    <n v="499"/>
    <n v="128"/>
    <x v="1"/>
  </r>
  <r>
    <s v="Thanuja"/>
    <x v="0"/>
    <x v="0"/>
    <x v="3"/>
    <x v="3"/>
    <x v="0"/>
    <x v="1"/>
    <x v="1"/>
    <n v="1036"/>
    <n v="1499"/>
    <x v="0"/>
    <n v="0"/>
    <n v="1499"/>
    <n v="463"/>
    <x v="0"/>
  </r>
  <r>
    <s v="Shivani"/>
    <x v="0"/>
    <x v="208"/>
    <x v="3"/>
    <x v="14"/>
    <x v="1"/>
    <x v="0"/>
    <x v="1"/>
    <n v="891"/>
    <n v="1199"/>
    <x v="0"/>
    <n v="0"/>
    <n v="1199"/>
    <n v="308"/>
    <x v="0"/>
  </r>
  <r>
    <s v="Anvesh"/>
    <x v="1"/>
    <x v="62"/>
    <x v="3"/>
    <x v="3"/>
    <x v="0"/>
    <x v="1"/>
    <x v="1"/>
    <n v="657"/>
    <n v="999"/>
    <x v="0"/>
    <n v="0"/>
    <n v="999"/>
    <n v="342"/>
    <x v="0"/>
  </r>
  <r>
    <s v="Arjun"/>
    <x v="1"/>
    <x v="25"/>
    <x v="0"/>
    <x v="11"/>
    <x v="2"/>
    <x v="1"/>
    <x v="3"/>
    <n v="243"/>
    <n v="399"/>
    <x v="0"/>
    <n v="0"/>
    <n v="1596"/>
    <n v="624"/>
    <x v="0"/>
  </r>
  <r>
    <s v="Vivaan"/>
    <x v="1"/>
    <x v="8"/>
    <x v="3"/>
    <x v="3"/>
    <x v="0"/>
    <x v="1"/>
    <x v="3"/>
    <n v="798"/>
    <n v="1399"/>
    <x v="0"/>
    <n v="0"/>
    <n v="5596"/>
    <n v="2404"/>
    <x v="0"/>
  </r>
  <r>
    <s v="Bharath"/>
    <x v="1"/>
    <x v="18"/>
    <x v="2"/>
    <x v="2"/>
    <x v="1"/>
    <x v="1"/>
    <x v="3"/>
    <n v="385"/>
    <n v="699"/>
    <x v="4"/>
    <n v="69"/>
    <n v="2520"/>
    <n v="980"/>
    <x v="0"/>
  </r>
  <r>
    <s v="Lassya"/>
    <x v="0"/>
    <x v="189"/>
    <x v="0"/>
    <x v="11"/>
    <x v="1"/>
    <x v="0"/>
    <x v="1"/>
    <n v="275"/>
    <n v="499"/>
    <x v="0"/>
    <n v="0"/>
    <n v="499"/>
    <n v="224"/>
    <x v="0"/>
  </r>
  <r>
    <s v="Anjali"/>
    <x v="0"/>
    <x v="101"/>
    <x v="4"/>
    <x v="6"/>
    <x v="1"/>
    <x v="0"/>
    <x v="1"/>
    <n v="319"/>
    <n v="599"/>
    <x v="3"/>
    <n v="29"/>
    <n v="570"/>
    <n v="251"/>
    <x v="0"/>
  </r>
  <r>
    <s v="Devi Sree"/>
    <x v="0"/>
    <x v="172"/>
    <x v="0"/>
    <x v="13"/>
    <x v="2"/>
    <x v="1"/>
    <x v="1"/>
    <n v="364"/>
    <n v="499"/>
    <x v="0"/>
    <n v="0"/>
    <n v="499"/>
    <n v="135"/>
    <x v="1"/>
  </r>
  <r>
    <s v="Mallesh"/>
    <x v="1"/>
    <x v="196"/>
    <x v="2"/>
    <x v="8"/>
    <x v="0"/>
    <x v="0"/>
    <x v="4"/>
    <n v="907"/>
    <n v="1499"/>
    <x v="1"/>
    <n v="299"/>
    <n v="6000"/>
    <n v="1465"/>
    <x v="0"/>
  </r>
  <r>
    <s v="Sai Deep"/>
    <x v="1"/>
    <x v="40"/>
    <x v="3"/>
    <x v="3"/>
    <x v="1"/>
    <x v="1"/>
    <x v="0"/>
    <n v="845"/>
    <n v="1199"/>
    <x v="0"/>
    <n v="0"/>
    <n v="2398"/>
    <n v="708"/>
    <x v="0"/>
  </r>
  <r>
    <s v="Harsha"/>
    <x v="1"/>
    <x v="64"/>
    <x v="0"/>
    <x v="13"/>
    <x v="0"/>
    <x v="1"/>
    <x v="3"/>
    <n v="320"/>
    <n v="499"/>
    <x v="0"/>
    <n v="0"/>
    <n v="1996"/>
    <n v="716"/>
    <x v="1"/>
  </r>
  <r>
    <s v="Vinay"/>
    <x v="1"/>
    <x v="48"/>
    <x v="1"/>
    <x v="7"/>
    <x v="2"/>
    <x v="1"/>
    <x v="0"/>
    <n v="1441"/>
    <n v="2299"/>
    <x v="4"/>
    <n v="229"/>
    <n v="4140"/>
    <n v="1258"/>
    <x v="0"/>
  </r>
  <r>
    <s v="Srinivas"/>
    <x v="1"/>
    <x v="139"/>
    <x v="3"/>
    <x v="3"/>
    <x v="2"/>
    <x v="0"/>
    <x v="1"/>
    <n v="971"/>
    <n v="1499"/>
    <x v="0"/>
    <n v="0"/>
    <n v="1499"/>
    <n v="528"/>
    <x v="0"/>
  </r>
  <r>
    <s v="Yeshwanth"/>
    <x v="1"/>
    <x v="179"/>
    <x v="1"/>
    <x v="1"/>
    <x v="1"/>
    <x v="0"/>
    <x v="1"/>
    <n v="1167"/>
    <n v="1799"/>
    <x v="2"/>
    <n v="269"/>
    <n v="1530"/>
    <n v="363"/>
    <x v="1"/>
  </r>
  <r>
    <s v="Mallesh"/>
    <x v="1"/>
    <x v="18"/>
    <x v="4"/>
    <x v="5"/>
    <x v="0"/>
    <x v="0"/>
    <x v="0"/>
    <n v="1107"/>
    <n v="1599"/>
    <x v="2"/>
    <n v="239"/>
    <n v="2720"/>
    <n v="506"/>
    <x v="0"/>
  </r>
  <r>
    <s v="Surya"/>
    <x v="1"/>
    <x v="121"/>
    <x v="0"/>
    <x v="9"/>
    <x v="2"/>
    <x v="1"/>
    <x v="0"/>
    <n v="303"/>
    <n v="499"/>
    <x v="0"/>
    <n v="0"/>
    <n v="998"/>
    <n v="392"/>
    <x v="0"/>
  </r>
  <r>
    <s v="Aditya"/>
    <x v="1"/>
    <x v="142"/>
    <x v="3"/>
    <x v="3"/>
    <x v="0"/>
    <x v="0"/>
    <x v="0"/>
    <n v="705"/>
    <n v="999"/>
    <x v="0"/>
    <n v="0"/>
    <n v="1998"/>
    <n v="588"/>
    <x v="1"/>
  </r>
  <r>
    <s v="Shiva"/>
    <x v="1"/>
    <x v="179"/>
    <x v="1"/>
    <x v="1"/>
    <x v="0"/>
    <x v="0"/>
    <x v="4"/>
    <n v="749"/>
    <n v="999"/>
    <x v="2"/>
    <n v="149"/>
    <n v="4250"/>
    <n v="505"/>
    <x v="1"/>
  </r>
  <r>
    <s v="Isha"/>
    <x v="0"/>
    <x v="147"/>
    <x v="2"/>
    <x v="2"/>
    <x v="2"/>
    <x v="0"/>
    <x v="4"/>
    <n v="517"/>
    <n v="799"/>
    <x v="1"/>
    <n v="159"/>
    <n v="3200"/>
    <n v="615"/>
    <x v="1"/>
  </r>
  <r>
    <s v="Swapna"/>
    <x v="0"/>
    <x v="123"/>
    <x v="1"/>
    <x v="1"/>
    <x v="2"/>
    <x v="0"/>
    <x v="3"/>
    <n v="1047"/>
    <n v="1699"/>
    <x v="4"/>
    <n v="169"/>
    <n v="6120"/>
    <n v="1932"/>
    <x v="1"/>
  </r>
  <r>
    <s v="Anvesh"/>
    <x v="1"/>
    <x v="101"/>
    <x v="3"/>
    <x v="3"/>
    <x v="0"/>
    <x v="1"/>
    <x v="0"/>
    <n v="807"/>
    <n v="1199"/>
    <x v="0"/>
    <n v="0"/>
    <n v="2398"/>
    <n v="784"/>
    <x v="0"/>
  </r>
  <r>
    <s v="Lavanya"/>
    <x v="0"/>
    <x v="152"/>
    <x v="1"/>
    <x v="1"/>
    <x v="0"/>
    <x v="0"/>
    <x v="2"/>
    <n v="533"/>
    <n v="899"/>
    <x v="4"/>
    <n v="89"/>
    <n v="2430"/>
    <n v="831"/>
    <x v="0"/>
  </r>
  <r>
    <s v="Rakesh"/>
    <x v="1"/>
    <x v="39"/>
    <x v="0"/>
    <x v="11"/>
    <x v="1"/>
    <x v="1"/>
    <x v="0"/>
    <n v="216"/>
    <n v="299"/>
    <x v="0"/>
    <n v="0"/>
    <n v="598"/>
    <n v="166"/>
    <x v="0"/>
  </r>
  <r>
    <s v="Hema"/>
    <x v="0"/>
    <x v="64"/>
    <x v="3"/>
    <x v="3"/>
    <x v="0"/>
    <x v="0"/>
    <x v="0"/>
    <n v="516"/>
    <n v="999"/>
    <x v="0"/>
    <n v="0"/>
    <n v="1998"/>
    <n v="966"/>
    <x v="0"/>
  </r>
  <r>
    <s v="Arun"/>
    <x v="1"/>
    <x v="196"/>
    <x v="4"/>
    <x v="10"/>
    <x v="0"/>
    <x v="1"/>
    <x v="1"/>
    <n v="895"/>
    <n v="1299"/>
    <x v="1"/>
    <n v="259"/>
    <n v="1040"/>
    <n v="145"/>
    <x v="1"/>
  </r>
  <r>
    <s v="Arjun"/>
    <x v="1"/>
    <x v="126"/>
    <x v="3"/>
    <x v="3"/>
    <x v="0"/>
    <x v="1"/>
    <x v="1"/>
    <n v="886"/>
    <n v="1199"/>
    <x v="0"/>
    <n v="0"/>
    <n v="1199"/>
    <n v="313"/>
    <x v="0"/>
  </r>
  <r>
    <s v="Swetha"/>
    <x v="0"/>
    <x v="76"/>
    <x v="2"/>
    <x v="8"/>
    <x v="2"/>
    <x v="0"/>
    <x v="1"/>
    <n v="483"/>
    <n v="799"/>
    <x v="2"/>
    <n v="119"/>
    <n v="680"/>
    <n v="197"/>
    <x v="0"/>
  </r>
  <r>
    <s v="Vikram"/>
    <x v="1"/>
    <x v="45"/>
    <x v="2"/>
    <x v="2"/>
    <x v="1"/>
    <x v="0"/>
    <x v="3"/>
    <n v="497"/>
    <n v="799"/>
    <x v="2"/>
    <n v="119"/>
    <n v="2720"/>
    <n v="732"/>
    <x v="0"/>
  </r>
  <r>
    <s v="Nandhini"/>
    <x v="0"/>
    <x v="1"/>
    <x v="1"/>
    <x v="7"/>
    <x v="1"/>
    <x v="1"/>
    <x v="0"/>
    <n v="2675"/>
    <n v="3799"/>
    <x v="1"/>
    <n v="759"/>
    <n v="6080"/>
    <n v="730"/>
    <x v="0"/>
  </r>
  <r>
    <s v="Anudeep"/>
    <x v="1"/>
    <x v="139"/>
    <x v="2"/>
    <x v="2"/>
    <x v="2"/>
    <x v="0"/>
    <x v="0"/>
    <n v="373"/>
    <n v="599"/>
    <x v="3"/>
    <n v="29"/>
    <n v="1140"/>
    <n v="394"/>
    <x v="1"/>
  </r>
  <r>
    <s v="Kavya"/>
    <x v="0"/>
    <x v="119"/>
    <x v="4"/>
    <x v="4"/>
    <x v="0"/>
    <x v="0"/>
    <x v="1"/>
    <n v="278"/>
    <n v="399"/>
    <x v="1"/>
    <n v="79"/>
    <n v="320"/>
    <n v="42"/>
    <x v="1"/>
  </r>
  <r>
    <s v="Anjali"/>
    <x v="0"/>
    <x v="63"/>
    <x v="1"/>
    <x v="1"/>
    <x v="1"/>
    <x v="1"/>
    <x v="3"/>
    <n v="560"/>
    <n v="999"/>
    <x v="1"/>
    <n v="199"/>
    <n v="3200"/>
    <n v="960"/>
    <x v="0"/>
  </r>
  <r>
    <s v="Lassya"/>
    <x v="0"/>
    <x v="84"/>
    <x v="2"/>
    <x v="2"/>
    <x v="2"/>
    <x v="1"/>
    <x v="4"/>
    <n v="285"/>
    <n v="499"/>
    <x v="1"/>
    <n v="99"/>
    <n v="2000"/>
    <n v="575"/>
    <x v="1"/>
  </r>
  <r>
    <s v="Vasanth"/>
    <x v="1"/>
    <x v="76"/>
    <x v="3"/>
    <x v="14"/>
    <x v="0"/>
    <x v="0"/>
    <x v="4"/>
    <n v="493"/>
    <n v="699"/>
    <x v="0"/>
    <n v="0"/>
    <n v="3495"/>
    <n v="1030"/>
    <x v="0"/>
  </r>
  <r>
    <s v="Bharath"/>
    <x v="1"/>
    <x v="100"/>
    <x v="2"/>
    <x v="2"/>
    <x v="0"/>
    <x v="1"/>
    <x v="0"/>
    <n v="521"/>
    <n v="699"/>
    <x v="1"/>
    <n v="139"/>
    <n v="1120"/>
    <n v="78"/>
    <x v="0"/>
  </r>
  <r>
    <s v="Vikram"/>
    <x v="1"/>
    <x v="143"/>
    <x v="0"/>
    <x v="13"/>
    <x v="2"/>
    <x v="0"/>
    <x v="1"/>
    <n v="222"/>
    <n v="399"/>
    <x v="0"/>
    <n v="0"/>
    <n v="399"/>
    <n v="177"/>
    <x v="0"/>
  </r>
  <r>
    <s v="Deepak"/>
    <x v="1"/>
    <x v="60"/>
    <x v="2"/>
    <x v="8"/>
    <x v="2"/>
    <x v="0"/>
    <x v="4"/>
    <n v="547"/>
    <n v="799"/>
    <x v="2"/>
    <n v="119"/>
    <n v="3400"/>
    <n v="665"/>
    <x v="0"/>
  </r>
  <r>
    <s v="Vinay"/>
    <x v="1"/>
    <x v="116"/>
    <x v="1"/>
    <x v="1"/>
    <x v="1"/>
    <x v="0"/>
    <x v="3"/>
    <n v="1003"/>
    <n v="1499"/>
    <x v="2"/>
    <n v="224"/>
    <n v="5100"/>
    <n v="1088"/>
    <x v="0"/>
  </r>
  <r>
    <s v="Anudeep"/>
    <x v="1"/>
    <x v="95"/>
    <x v="0"/>
    <x v="13"/>
    <x v="1"/>
    <x v="1"/>
    <x v="2"/>
    <n v="295"/>
    <n v="499"/>
    <x v="0"/>
    <n v="0"/>
    <n v="1497"/>
    <n v="612"/>
    <x v="0"/>
  </r>
  <r>
    <s v="Lavanya"/>
    <x v="0"/>
    <x v="139"/>
    <x v="4"/>
    <x v="12"/>
    <x v="0"/>
    <x v="1"/>
    <x v="2"/>
    <n v="552"/>
    <n v="1099"/>
    <x v="3"/>
    <n v="54"/>
    <n v="3135"/>
    <n v="1479"/>
    <x v="0"/>
  </r>
  <r>
    <s v="Rohan"/>
    <x v="1"/>
    <x v="16"/>
    <x v="0"/>
    <x v="13"/>
    <x v="0"/>
    <x v="1"/>
    <x v="0"/>
    <n v="273"/>
    <n v="499"/>
    <x v="0"/>
    <n v="0"/>
    <n v="998"/>
    <n v="452"/>
    <x v="0"/>
  </r>
  <r>
    <s v="Anvesh"/>
    <x v="1"/>
    <x v="188"/>
    <x v="2"/>
    <x v="8"/>
    <x v="2"/>
    <x v="0"/>
    <x v="0"/>
    <n v="740"/>
    <n v="1399"/>
    <x v="4"/>
    <n v="139"/>
    <n v="2520"/>
    <n v="1040"/>
    <x v="0"/>
  </r>
  <r>
    <s v="Shivani"/>
    <x v="0"/>
    <x v="148"/>
    <x v="1"/>
    <x v="7"/>
    <x v="1"/>
    <x v="1"/>
    <x v="0"/>
    <n v="2047"/>
    <n v="3699"/>
    <x v="3"/>
    <n v="184"/>
    <n v="7030"/>
    <n v="2936"/>
    <x v="0"/>
  </r>
  <r>
    <s v="Rohan"/>
    <x v="1"/>
    <x v="187"/>
    <x v="2"/>
    <x v="2"/>
    <x v="2"/>
    <x v="0"/>
    <x v="4"/>
    <n v="311"/>
    <n v="599"/>
    <x v="2"/>
    <n v="89"/>
    <n v="2550"/>
    <n v="995"/>
    <x v="0"/>
  </r>
  <r>
    <s v="Nandhini"/>
    <x v="0"/>
    <x v="25"/>
    <x v="2"/>
    <x v="2"/>
    <x v="0"/>
    <x v="1"/>
    <x v="0"/>
    <n v="310"/>
    <n v="499"/>
    <x v="3"/>
    <n v="24"/>
    <n v="950"/>
    <n v="330"/>
    <x v="0"/>
  </r>
  <r>
    <s v="Lavanya"/>
    <x v="0"/>
    <x v="93"/>
    <x v="0"/>
    <x v="11"/>
    <x v="2"/>
    <x v="1"/>
    <x v="0"/>
    <n v="345"/>
    <n v="499"/>
    <x v="0"/>
    <n v="0"/>
    <n v="998"/>
    <n v="308"/>
    <x v="0"/>
  </r>
  <r>
    <s v="Venu"/>
    <x v="1"/>
    <x v="83"/>
    <x v="2"/>
    <x v="8"/>
    <x v="2"/>
    <x v="0"/>
    <x v="0"/>
    <n v="984"/>
    <n v="1499"/>
    <x v="2"/>
    <n v="224"/>
    <n v="2550"/>
    <n v="582"/>
    <x v="0"/>
  </r>
  <r>
    <s v="Devi Sree"/>
    <x v="0"/>
    <x v="171"/>
    <x v="4"/>
    <x v="12"/>
    <x v="0"/>
    <x v="1"/>
    <x v="1"/>
    <n v="1222"/>
    <n v="1899"/>
    <x v="1"/>
    <n v="379"/>
    <n v="1520"/>
    <n v="298"/>
    <x v="0"/>
  </r>
  <r>
    <s v="Sanjeev"/>
    <x v="1"/>
    <x v="186"/>
    <x v="4"/>
    <x v="12"/>
    <x v="0"/>
    <x v="1"/>
    <x v="3"/>
    <n v="868"/>
    <n v="1199"/>
    <x v="4"/>
    <n v="119"/>
    <n v="4320"/>
    <n v="848"/>
    <x v="0"/>
  </r>
  <r>
    <s v="Krishna"/>
    <x v="1"/>
    <x v="23"/>
    <x v="3"/>
    <x v="14"/>
    <x v="2"/>
    <x v="1"/>
    <x v="3"/>
    <n v="830"/>
    <n v="1499"/>
    <x v="0"/>
    <n v="0"/>
    <n v="5996"/>
    <n v="2676"/>
    <x v="0"/>
  </r>
  <r>
    <s v="Aadhya"/>
    <x v="0"/>
    <x v="9"/>
    <x v="0"/>
    <x v="0"/>
    <x v="0"/>
    <x v="0"/>
    <x v="3"/>
    <n v="197"/>
    <n v="299"/>
    <x v="0"/>
    <n v="0"/>
    <n v="1196"/>
    <n v="408"/>
    <x v="0"/>
  </r>
  <r>
    <s v="Lassya"/>
    <x v="0"/>
    <x v="66"/>
    <x v="1"/>
    <x v="1"/>
    <x v="0"/>
    <x v="1"/>
    <x v="3"/>
    <n v="847"/>
    <n v="1199"/>
    <x v="2"/>
    <n v="179"/>
    <n v="4080"/>
    <n v="692"/>
    <x v="0"/>
  </r>
  <r>
    <s v="Viraj"/>
    <x v="1"/>
    <x v="104"/>
    <x v="3"/>
    <x v="3"/>
    <x v="2"/>
    <x v="0"/>
    <x v="1"/>
    <n v="877"/>
    <n v="1399"/>
    <x v="0"/>
    <n v="0"/>
    <n v="1399"/>
    <n v="522"/>
    <x v="0"/>
  </r>
  <r>
    <s v="Pooja"/>
    <x v="0"/>
    <x v="172"/>
    <x v="4"/>
    <x v="12"/>
    <x v="0"/>
    <x v="0"/>
    <x v="2"/>
    <n v="954"/>
    <n v="1699"/>
    <x v="4"/>
    <n v="169"/>
    <n v="4590"/>
    <n v="1728"/>
    <x v="1"/>
  </r>
  <r>
    <s v="Arun"/>
    <x v="1"/>
    <x v="148"/>
    <x v="1"/>
    <x v="1"/>
    <x v="1"/>
    <x v="1"/>
    <x v="1"/>
    <n v="483"/>
    <n v="899"/>
    <x v="3"/>
    <n v="44"/>
    <n v="855"/>
    <n v="372"/>
    <x v="0"/>
  </r>
  <r>
    <s v="Vikram"/>
    <x v="1"/>
    <x v="175"/>
    <x v="3"/>
    <x v="14"/>
    <x v="1"/>
    <x v="1"/>
    <x v="2"/>
    <n v="679"/>
    <n v="999"/>
    <x v="0"/>
    <n v="0"/>
    <n v="2997"/>
    <n v="960"/>
    <x v="1"/>
  </r>
  <r>
    <s v="Sai Deep"/>
    <x v="1"/>
    <x v="129"/>
    <x v="2"/>
    <x v="8"/>
    <x v="1"/>
    <x v="0"/>
    <x v="3"/>
    <n v="1590"/>
    <n v="2199"/>
    <x v="2"/>
    <n v="329"/>
    <n v="7480"/>
    <n v="1120"/>
    <x v="0"/>
  </r>
  <r>
    <s v="Lassya"/>
    <x v="0"/>
    <x v="80"/>
    <x v="0"/>
    <x v="13"/>
    <x v="0"/>
    <x v="0"/>
    <x v="1"/>
    <n v="254"/>
    <n v="399"/>
    <x v="0"/>
    <n v="0"/>
    <n v="399"/>
    <n v="145"/>
    <x v="1"/>
  </r>
  <r>
    <s v="Vinay"/>
    <x v="1"/>
    <x v="69"/>
    <x v="3"/>
    <x v="14"/>
    <x v="1"/>
    <x v="0"/>
    <x v="4"/>
    <n v="655"/>
    <n v="999"/>
    <x v="0"/>
    <n v="0"/>
    <n v="4995"/>
    <n v="1720"/>
    <x v="1"/>
  </r>
  <r>
    <s v="Shivani"/>
    <x v="0"/>
    <x v="167"/>
    <x v="2"/>
    <x v="8"/>
    <x v="1"/>
    <x v="1"/>
    <x v="4"/>
    <n v="736"/>
    <n v="1199"/>
    <x v="4"/>
    <n v="119"/>
    <n v="5400"/>
    <n v="1720"/>
    <x v="0"/>
  </r>
  <r>
    <s v="Aarav"/>
    <x v="1"/>
    <x v="63"/>
    <x v="3"/>
    <x v="3"/>
    <x v="0"/>
    <x v="1"/>
    <x v="1"/>
    <n v="649"/>
    <n v="1199"/>
    <x v="0"/>
    <n v="0"/>
    <n v="1199"/>
    <n v="550"/>
    <x v="1"/>
  </r>
  <r>
    <s v="Tejas"/>
    <x v="1"/>
    <x v="118"/>
    <x v="0"/>
    <x v="11"/>
    <x v="0"/>
    <x v="1"/>
    <x v="3"/>
    <n v="209"/>
    <n v="299"/>
    <x v="0"/>
    <n v="0"/>
    <n v="1196"/>
    <n v="360"/>
    <x v="0"/>
  </r>
  <r>
    <s v="Uday"/>
    <x v="1"/>
    <x v="140"/>
    <x v="0"/>
    <x v="13"/>
    <x v="0"/>
    <x v="0"/>
    <x v="1"/>
    <n v="274"/>
    <n v="399"/>
    <x v="0"/>
    <n v="0"/>
    <n v="399"/>
    <n v="125"/>
    <x v="0"/>
  </r>
  <r>
    <s v="Anjali"/>
    <x v="0"/>
    <x v="186"/>
    <x v="4"/>
    <x v="6"/>
    <x v="2"/>
    <x v="0"/>
    <x v="3"/>
    <n v="303"/>
    <n v="599"/>
    <x v="4"/>
    <n v="59"/>
    <n v="2160"/>
    <n v="948"/>
    <x v="0"/>
  </r>
  <r>
    <s v="Sai"/>
    <x v="1"/>
    <x v="143"/>
    <x v="4"/>
    <x v="5"/>
    <x v="2"/>
    <x v="1"/>
    <x v="0"/>
    <n v="540"/>
    <n v="799"/>
    <x v="4"/>
    <n v="79"/>
    <n v="1440"/>
    <n v="360"/>
    <x v="1"/>
  </r>
  <r>
    <s v="Anjali"/>
    <x v="0"/>
    <x v="145"/>
    <x v="0"/>
    <x v="0"/>
    <x v="0"/>
    <x v="0"/>
    <x v="4"/>
    <n v="216"/>
    <n v="299"/>
    <x v="0"/>
    <n v="0"/>
    <n v="1495"/>
    <n v="415"/>
    <x v="1"/>
  </r>
  <r>
    <s v="Devi"/>
    <x v="0"/>
    <x v="117"/>
    <x v="4"/>
    <x v="6"/>
    <x v="2"/>
    <x v="1"/>
    <x v="2"/>
    <n v="884"/>
    <n v="1299"/>
    <x v="1"/>
    <n v="259"/>
    <n v="3120"/>
    <n v="468"/>
    <x v="0"/>
  </r>
  <r>
    <s v="Anvesh"/>
    <x v="1"/>
    <x v="93"/>
    <x v="1"/>
    <x v="7"/>
    <x v="1"/>
    <x v="1"/>
    <x v="2"/>
    <n v="2979"/>
    <n v="4199"/>
    <x v="2"/>
    <n v="629"/>
    <n v="10710"/>
    <n v="1773"/>
    <x v="1"/>
  </r>
  <r>
    <s v="Sai Deep"/>
    <x v="1"/>
    <x v="142"/>
    <x v="3"/>
    <x v="14"/>
    <x v="1"/>
    <x v="0"/>
    <x v="1"/>
    <n v="407"/>
    <n v="799"/>
    <x v="0"/>
    <n v="0"/>
    <n v="799"/>
    <n v="392"/>
    <x v="0"/>
  </r>
  <r>
    <s v="Srawani"/>
    <x v="0"/>
    <x v="34"/>
    <x v="2"/>
    <x v="2"/>
    <x v="2"/>
    <x v="1"/>
    <x v="1"/>
    <n v="324"/>
    <n v="599"/>
    <x v="1"/>
    <n v="119"/>
    <n v="480"/>
    <n v="156"/>
    <x v="0"/>
  </r>
  <r>
    <s v="Neha"/>
    <x v="0"/>
    <x v="209"/>
    <x v="4"/>
    <x v="4"/>
    <x v="2"/>
    <x v="1"/>
    <x v="1"/>
    <n v="319"/>
    <n v="599"/>
    <x v="2"/>
    <n v="89"/>
    <n v="510"/>
    <n v="191"/>
    <x v="1"/>
  </r>
  <r>
    <s v="Yeshwanth"/>
    <x v="1"/>
    <x v="139"/>
    <x v="0"/>
    <x v="13"/>
    <x v="0"/>
    <x v="1"/>
    <x v="4"/>
    <n v="285"/>
    <n v="399"/>
    <x v="0"/>
    <n v="0"/>
    <n v="1995"/>
    <n v="570"/>
    <x v="0"/>
  </r>
  <r>
    <s v="Kalyan"/>
    <x v="1"/>
    <x v="91"/>
    <x v="1"/>
    <x v="1"/>
    <x v="1"/>
    <x v="1"/>
    <x v="2"/>
    <n v="796"/>
    <n v="1199"/>
    <x v="4"/>
    <n v="119"/>
    <n v="3240"/>
    <n v="852"/>
    <x v="0"/>
  </r>
  <r>
    <s v="Vikram"/>
    <x v="1"/>
    <x v="178"/>
    <x v="4"/>
    <x v="15"/>
    <x v="1"/>
    <x v="0"/>
    <x v="1"/>
    <n v="1275"/>
    <n v="2299"/>
    <x v="4"/>
    <n v="229"/>
    <n v="2070"/>
    <n v="795"/>
    <x v="0"/>
  </r>
  <r>
    <s v="Srujan"/>
    <x v="1"/>
    <x v="188"/>
    <x v="1"/>
    <x v="1"/>
    <x v="2"/>
    <x v="0"/>
    <x v="1"/>
    <n v="484"/>
    <n v="899"/>
    <x v="4"/>
    <n v="89"/>
    <n v="810"/>
    <n v="326"/>
    <x v="0"/>
  </r>
  <r>
    <s v="Reavanth"/>
    <x v="1"/>
    <x v="15"/>
    <x v="3"/>
    <x v="14"/>
    <x v="0"/>
    <x v="1"/>
    <x v="1"/>
    <n v="1038"/>
    <n v="1499"/>
    <x v="0"/>
    <n v="0"/>
    <n v="1499"/>
    <n v="461"/>
    <x v="0"/>
  </r>
  <r>
    <s v="Kavya"/>
    <x v="0"/>
    <x v="112"/>
    <x v="0"/>
    <x v="9"/>
    <x v="0"/>
    <x v="0"/>
    <x v="0"/>
    <n v="246"/>
    <n v="399"/>
    <x v="0"/>
    <n v="0"/>
    <n v="798"/>
    <n v="306"/>
    <x v="0"/>
  </r>
  <r>
    <s v="Uday"/>
    <x v="1"/>
    <x v="134"/>
    <x v="4"/>
    <x v="6"/>
    <x v="0"/>
    <x v="1"/>
    <x v="0"/>
    <n v="408"/>
    <n v="599"/>
    <x v="4"/>
    <n v="59"/>
    <n v="1080"/>
    <n v="264"/>
    <x v="1"/>
  </r>
  <r>
    <s v="Isha"/>
    <x v="0"/>
    <x v="107"/>
    <x v="2"/>
    <x v="8"/>
    <x v="0"/>
    <x v="1"/>
    <x v="1"/>
    <n v="669"/>
    <n v="1299"/>
    <x v="1"/>
    <n v="259"/>
    <n v="1040"/>
    <n v="371"/>
    <x v="0"/>
  </r>
  <r>
    <s v="Gayatri"/>
    <x v="0"/>
    <x v="135"/>
    <x v="1"/>
    <x v="1"/>
    <x v="1"/>
    <x v="0"/>
    <x v="1"/>
    <n v="1245"/>
    <n v="2199"/>
    <x v="3"/>
    <n v="109"/>
    <n v="2090"/>
    <n v="845"/>
    <x v="0"/>
  </r>
  <r>
    <s v="Yeshwanth"/>
    <x v="1"/>
    <x v="74"/>
    <x v="1"/>
    <x v="1"/>
    <x v="1"/>
    <x v="0"/>
    <x v="3"/>
    <n v="606"/>
    <n v="999"/>
    <x v="1"/>
    <n v="199"/>
    <n v="3200"/>
    <n v="776"/>
    <x v="1"/>
  </r>
  <r>
    <s v="Karthik"/>
    <x v="1"/>
    <x v="182"/>
    <x v="3"/>
    <x v="14"/>
    <x v="2"/>
    <x v="1"/>
    <x v="2"/>
    <n v="1121"/>
    <n v="1499"/>
    <x v="0"/>
    <n v="0"/>
    <n v="4497"/>
    <n v="1134"/>
    <x v="0"/>
  </r>
  <r>
    <s v="Vinay"/>
    <x v="1"/>
    <x v="51"/>
    <x v="2"/>
    <x v="2"/>
    <x v="0"/>
    <x v="0"/>
    <x v="2"/>
    <n v="439"/>
    <n v="799"/>
    <x v="2"/>
    <n v="119"/>
    <n v="2040"/>
    <n v="723"/>
    <x v="0"/>
  </r>
  <r>
    <s v="Pooja"/>
    <x v="0"/>
    <x v="206"/>
    <x v="2"/>
    <x v="2"/>
    <x v="0"/>
    <x v="0"/>
    <x v="1"/>
    <n v="382"/>
    <n v="599"/>
    <x v="2"/>
    <n v="89"/>
    <n v="510"/>
    <n v="128"/>
    <x v="1"/>
  </r>
  <r>
    <s v="Lavanya"/>
    <x v="0"/>
    <x v="49"/>
    <x v="0"/>
    <x v="11"/>
    <x v="2"/>
    <x v="0"/>
    <x v="3"/>
    <n v="164"/>
    <n v="299"/>
    <x v="0"/>
    <n v="0"/>
    <n v="1196"/>
    <n v="540"/>
    <x v="1"/>
  </r>
  <r>
    <s v="Arjun"/>
    <x v="1"/>
    <x v="167"/>
    <x v="1"/>
    <x v="1"/>
    <x v="0"/>
    <x v="1"/>
    <x v="1"/>
    <n v="1443"/>
    <n v="2399"/>
    <x v="2"/>
    <n v="359"/>
    <n v="2040"/>
    <n v="597"/>
    <x v="0"/>
  </r>
  <r>
    <s v="Swathi"/>
    <x v="0"/>
    <x v="58"/>
    <x v="2"/>
    <x v="2"/>
    <x v="2"/>
    <x v="0"/>
    <x v="3"/>
    <n v="378"/>
    <n v="699"/>
    <x v="1"/>
    <n v="139"/>
    <n v="2240"/>
    <n v="728"/>
    <x v="1"/>
  </r>
  <r>
    <s v="Nandhini"/>
    <x v="0"/>
    <x v="153"/>
    <x v="2"/>
    <x v="8"/>
    <x v="1"/>
    <x v="1"/>
    <x v="1"/>
    <n v="1121"/>
    <n v="1699"/>
    <x v="4"/>
    <n v="169"/>
    <n v="1530"/>
    <n v="409"/>
    <x v="0"/>
  </r>
  <r>
    <s v="Gayatri"/>
    <x v="0"/>
    <x v="171"/>
    <x v="0"/>
    <x v="9"/>
    <x v="1"/>
    <x v="1"/>
    <x v="0"/>
    <n v="296"/>
    <n v="399"/>
    <x v="0"/>
    <n v="0"/>
    <n v="798"/>
    <n v="206"/>
    <x v="0"/>
  </r>
  <r>
    <s v="Bharath"/>
    <x v="1"/>
    <x v="67"/>
    <x v="4"/>
    <x v="16"/>
    <x v="1"/>
    <x v="0"/>
    <x v="1"/>
    <n v="804"/>
    <n v="1199"/>
    <x v="2"/>
    <n v="179"/>
    <n v="1020"/>
    <n v="216"/>
    <x v="0"/>
  </r>
  <r>
    <s v="Anvesh"/>
    <x v="1"/>
    <x v="71"/>
    <x v="0"/>
    <x v="13"/>
    <x v="2"/>
    <x v="0"/>
    <x v="1"/>
    <n v="292"/>
    <n v="499"/>
    <x v="0"/>
    <n v="0"/>
    <n v="499"/>
    <n v="207"/>
    <x v="0"/>
  </r>
  <r>
    <s v="Viraj"/>
    <x v="1"/>
    <x v="49"/>
    <x v="1"/>
    <x v="7"/>
    <x v="2"/>
    <x v="0"/>
    <x v="4"/>
    <n v="2647"/>
    <n v="4399"/>
    <x v="1"/>
    <n v="879"/>
    <n v="17600"/>
    <n v="4365"/>
    <x v="0"/>
  </r>
  <r>
    <s v="Rohan"/>
    <x v="1"/>
    <x v="4"/>
    <x v="2"/>
    <x v="8"/>
    <x v="2"/>
    <x v="0"/>
    <x v="1"/>
    <n v="1173"/>
    <n v="2299"/>
    <x v="1"/>
    <n v="459"/>
    <n v="1840"/>
    <n v="667"/>
    <x v="0"/>
  </r>
  <r>
    <s v="Manoj"/>
    <x v="1"/>
    <x v="195"/>
    <x v="4"/>
    <x v="12"/>
    <x v="1"/>
    <x v="0"/>
    <x v="1"/>
    <n v="1129"/>
    <n v="1699"/>
    <x v="4"/>
    <n v="169"/>
    <n v="1530"/>
    <n v="401"/>
    <x v="1"/>
  </r>
  <r>
    <s v="Lassya"/>
    <x v="0"/>
    <x v="126"/>
    <x v="1"/>
    <x v="1"/>
    <x v="1"/>
    <x v="0"/>
    <x v="0"/>
    <n v="1036"/>
    <n v="1399"/>
    <x v="4"/>
    <n v="139"/>
    <n v="2520"/>
    <n v="448"/>
    <x v="0"/>
  </r>
  <r>
    <s v="Viraj"/>
    <x v="1"/>
    <x v="79"/>
    <x v="3"/>
    <x v="14"/>
    <x v="0"/>
    <x v="0"/>
    <x v="1"/>
    <n v="990"/>
    <n v="1499"/>
    <x v="0"/>
    <n v="0"/>
    <n v="1499"/>
    <n v="509"/>
    <x v="0"/>
  </r>
  <r>
    <s v=" Praveen"/>
    <x v="1"/>
    <x v="7"/>
    <x v="3"/>
    <x v="14"/>
    <x v="2"/>
    <x v="0"/>
    <x v="2"/>
    <n v="562"/>
    <n v="799"/>
    <x v="0"/>
    <n v="0"/>
    <n v="2397"/>
    <n v="711"/>
    <x v="0"/>
  </r>
  <r>
    <s v="Venu"/>
    <x v="1"/>
    <x v="78"/>
    <x v="1"/>
    <x v="7"/>
    <x v="1"/>
    <x v="0"/>
    <x v="3"/>
    <n v="1807"/>
    <n v="2599"/>
    <x v="2"/>
    <n v="389"/>
    <n v="8840"/>
    <n v="1612"/>
    <x v="0"/>
  </r>
  <r>
    <s v="Pravalika"/>
    <x v="0"/>
    <x v="142"/>
    <x v="2"/>
    <x v="2"/>
    <x v="1"/>
    <x v="1"/>
    <x v="2"/>
    <n v="268"/>
    <n v="499"/>
    <x v="4"/>
    <n v="49"/>
    <n v="1350"/>
    <n v="546"/>
    <x v="0"/>
  </r>
  <r>
    <s v="Reavanth"/>
    <x v="1"/>
    <x v="124"/>
    <x v="1"/>
    <x v="7"/>
    <x v="1"/>
    <x v="1"/>
    <x v="4"/>
    <n v="1288"/>
    <n v="2299"/>
    <x v="4"/>
    <n v="229"/>
    <n v="10350"/>
    <n v="3910"/>
    <x v="0"/>
  </r>
  <r>
    <s v="Ananya"/>
    <x v="0"/>
    <x v="84"/>
    <x v="3"/>
    <x v="3"/>
    <x v="0"/>
    <x v="1"/>
    <x v="1"/>
    <n v="1106"/>
    <n v="1499"/>
    <x v="0"/>
    <n v="0"/>
    <n v="1499"/>
    <n v="393"/>
    <x v="1"/>
  </r>
  <r>
    <s v="Mallesh"/>
    <x v="1"/>
    <x v="60"/>
    <x v="4"/>
    <x v="12"/>
    <x v="1"/>
    <x v="1"/>
    <x v="1"/>
    <n v="1471"/>
    <n v="2299"/>
    <x v="4"/>
    <n v="229"/>
    <n v="2070"/>
    <n v="599"/>
    <x v="0"/>
  </r>
  <r>
    <s v="Viraj"/>
    <x v="1"/>
    <x v="21"/>
    <x v="2"/>
    <x v="2"/>
    <x v="0"/>
    <x v="0"/>
    <x v="1"/>
    <n v="304"/>
    <n v="499"/>
    <x v="4"/>
    <n v="49"/>
    <n v="450"/>
    <n v="146"/>
    <x v="0"/>
  </r>
  <r>
    <s v="Leela"/>
    <x v="0"/>
    <x v="146"/>
    <x v="3"/>
    <x v="14"/>
    <x v="0"/>
    <x v="0"/>
    <x v="1"/>
    <n v="423"/>
    <n v="699"/>
    <x v="0"/>
    <n v="0"/>
    <n v="699"/>
    <n v="276"/>
    <x v="0"/>
  </r>
  <r>
    <s v="Aadhya"/>
    <x v="0"/>
    <x v="57"/>
    <x v="4"/>
    <x v="5"/>
    <x v="2"/>
    <x v="1"/>
    <x v="2"/>
    <n v="1122"/>
    <n v="1499"/>
    <x v="4"/>
    <n v="149"/>
    <n v="4050"/>
    <n v="684"/>
    <x v="1"/>
  </r>
  <r>
    <s v="Arjun"/>
    <x v="1"/>
    <x v="82"/>
    <x v="3"/>
    <x v="3"/>
    <x v="0"/>
    <x v="1"/>
    <x v="1"/>
    <n v="545"/>
    <n v="899"/>
    <x v="0"/>
    <n v="0"/>
    <n v="899"/>
    <n v="354"/>
    <x v="1"/>
  </r>
  <r>
    <s v="Viraj"/>
    <x v="1"/>
    <x v="30"/>
    <x v="3"/>
    <x v="14"/>
    <x v="1"/>
    <x v="0"/>
    <x v="1"/>
    <n v="466"/>
    <n v="799"/>
    <x v="0"/>
    <n v="0"/>
    <n v="799"/>
    <n v="333"/>
    <x v="0"/>
  </r>
  <r>
    <s v="Harsha"/>
    <x v="1"/>
    <x v="72"/>
    <x v="1"/>
    <x v="7"/>
    <x v="0"/>
    <x v="0"/>
    <x v="1"/>
    <n v="2342"/>
    <n v="4399"/>
    <x v="1"/>
    <n v="879"/>
    <n v="3520"/>
    <n v="1178"/>
    <x v="0"/>
  </r>
  <r>
    <s v="Ananya"/>
    <x v="0"/>
    <x v="169"/>
    <x v="4"/>
    <x v="5"/>
    <x v="2"/>
    <x v="0"/>
    <x v="1"/>
    <n v="923"/>
    <n v="1599"/>
    <x v="2"/>
    <n v="239"/>
    <n v="1360"/>
    <n v="437"/>
    <x v="0"/>
  </r>
  <r>
    <s v="Vivaan"/>
    <x v="1"/>
    <x v="1"/>
    <x v="0"/>
    <x v="11"/>
    <x v="2"/>
    <x v="0"/>
    <x v="1"/>
    <n v="315"/>
    <n v="499"/>
    <x v="0"/>
    <n v="0"/>
    <n v="499"/>
    <n v="184"/>
    <x v="0"/>
  </r>
  <r>
    <s v="Siri"/>
    <x v="0"/>
    <x v="146"/>
    <x v="2"/>
    <x v="8"/>
    <x v="2"/>
    <x v="0"/>
    <x v="1"/>
    <n v="1056"/>
    <n v="1999"/>
    <x v="4"/>
    <n v="199"/>
    <n v="1800"/>
    <n v="744"/>
    <x v="1"/>
  </r>
  <r>
    <s v="Harsha"/>
    <x v="1"/>
    <x v="58"/>
    <x v="0"/>
    <x v="11"/>
    <x v="2"/>
    <x v="1"/>
    <x v="1"/>
    <n v="354"/>
    <n v="499"/>
    <x v="0"/>
    <n v="0"/>
    <n v="499"/>
    <n v="145"/>
    <x v="0"/>
  </r>
  <r>
    <s v="Vijay"/>
    <x v="1"/>
    <x v="138"/>
    <x v="2"/>
    <x v="2"/>
    <x v="0"/>
    <x v="0"/>
    <x v="2"/>
    <n v="364"/>
    <n v="499"/>
    <x v="4"/>
    <n v="49"/>
    <n v="1350"/>
    <n v="258"/>
    <x v="0"/>
  </r>
  <r>
    <s v="Mallesh"/>
    <x v="1"/>
    <x v="179"/>
    <x v="2"/>
    <x v="8"/>
    <x v="2"/>
    <x v="1"/>
    <x v="1"/>
    <n v="851"/>
    <n v="1199"/>
    <x v="4"/>
    <n v="119"/>
    <n v="1080"/>
    <n v="229"/>
    <x v="1"/>
  </r>
  <r>
    <s v="Srinivas"/>
    <x v="1"/>
    <x v="69"/>
    <x v="1"/>
    <x v="1"/>
    <x v="2"/>
    <x v="1"/>
    <x v="1"/>
    <n v="655"/>
    <n v="999"/>
    <x v="2"/>
    <n v="149"/>
    <n v="850"/>
    <n v="195"/>
    <x v="0"/>
  </r>
  <r>
    <s v="Krishna"/>
    <x v="1"/>
    <x v="200"/>
    <x v="0"/>
    <x v="0"/>
    <x v="1"/>
    <x v="0"/>
    <x v="1"/>
    <n v="319"/>
    <n v="599"/>
    <x v="0"/>
    <n v="0"/>
    <n v="599"/>
    <n v="280"/>
    <x v="0"/>
  </r>
  <r>
    <s v="Hema"/>
    <x v="0"/>
    <x v="86"/>
    <x v="1"/>
    <x v="7"/>
    <x v="2"/>
    <x v="0"/>
    <x v="1"/>
    <n v="2730"/>
    <n v="4399"/>
    <x v="1"/>
    <n v="879"/>
    <n v="3520"/>
    <n v="790"/>
    <x v="0"/>
  </r>
  <r>
    <s v="Vikram"/>
    <x v="1"/>
    <x v="20"/>
    <x v="0"/>
    <x v="11"/>
    <x v="1"/>
    <x v="0"/>
    <x v="0"/>
    <n v="503"/>
    <n v="799"/>
    <x v="0"/>
    <n v="0"/>
    <n v="1598"/>
    <n v="592"/>
    <x v="0"/>
  </r>
  <r>
    <s v="Kalyan"/>
    <x v="1"/>
    <x v="182"/>
    <x v="0"/>
    <x v="11"/>
    <x v="2"/>
    <x v="0"/>
    <x v="0"/>
    <n v="265"/>
    <n v="499"/>
    <x v="0"/>
    <n v="0"/>
    <n v="998"/>
    <n v="468"/>
    <x v="1"/>
  </r>
  <r>
    <s v="Pranay"/>
    <x v="1"/>
    <x v="182"/>
    <x v="0"/>
    <x v="11"/>
    <x v="2"/>
    <x v="0"/>
    <x v="1"/>
    <n v="501"/>
    <n v="699"/>
    <x v="0"/>
    <n v="0"/>
    <n v="699"/>
    <n v="198"/>
    <x v="0"/>
  </r>
  <r>
    <s v="Pravalika"/>
    <x v="0"/>
    <x v="142"/>
    <x v="0"/>
    <x v="11"/>
    <x v="0"/>
    <x v="0"/>
    <x v="4"/>
    <n v="496"/>
    <n v="699"/>
    <x v="0"/>
    <n v="0"/>
    <n v="3495"/>
    <n v="1015"/>
    <x v="0"/>
  </r>
  <r>
    <s v="Lavanya"/>
    <x v="0"/>
    <x v="171"/>
    <x v="1"/>
    <x v="1"/>
    <x v="0"/>
    <x v="0"/>
    <x v="0"/>
    <n v="658"/>
    <n v="1299"/>
    <x v="3"/>
    <n v="64"/>
    <n v="2470"/>
    <n v="1154"/>
    <x v="0"/>
  </r>
  <r>
    <s v="Arjun"/>
    <x v="1"/>
    <x v="149"/>
    <x v="2"/>
    <x v="8"/>
    <x v="0"/>
    <x v="0"/>
    <x v="1"/>
    <n v="1126"/>
    <n v="1799"/>
    <x v="2"/>
    <n v="269"/>
    <n v="1530"/>
    <n v="404"/>
    <x v="0"/>
  </r>
  <r>
    <s v="Krishna"/>
    <x v="1"/>
    <x v="118"/>
    <x v="1"/>
    <x v="1"/>
    <x v="1"/>
    <x v="0"/>
    <x v="1"/>
    <n v="614"/>
    <n v="899"/>
    <x v="3"/>
    <n v="44"/>
    <n v="855"/>
    <n v="241"/>
    <x v="0"/>
  </r>
  <r>
    <s v="Swathi"/>
    <x v="0"/>
    <x v="7"/>
    <x v="2"/>
    <x v="8"/>
    <x v="0"/>
    <x v="1"/>
    <x v="1"/>
    <n v="1017"/>
    <n v="1699"/>
    <x v="4"/>
    <n v="169"/>
    <n v="1530"/>
    <n v="513"/>
    <x v="0"/>
  </r>
  <r>
    <s v="Hema"/>
    <x v="0"/>
    <x v="13"/>
    <x v="2"/>
    <x v="2"/>
    <x v="0"/>
    <x v="0"/>
    <x v="1"/>
    <n v="316"/>
    <n v="599"/>
    <x v="4"/>
    <n v="59"/>
    <n v="540"/>
    <n v="224"/>
    <x v="1"/>
  </r>
  <r>
    <s v="Vikram"/>
    <x v="1"/>
    <x v="153"/>
    <x v="4"/>
    <x v="10"/>
    <x v="2"/>
    <x v="1"/>
    <x v="1"/>
    <n v="767"/>
    <n v="1199"/>
    <x v="2"/>
    <n v="179"/>
    <n v="1020"/>
    <n v="253"/>
    <x v="0"/>
  </r>
  <r>
    <s v="Swathi"/>
    <x v="0"/>
    <x v="139"/>
    <x v="0"/>
    <x v="0"/>
    <x v="0"/>
    <x v="1"/>
    <x v="2"/>
    <n v="254"/>
    <n v="399"/>
    <x v="0"/>
    <n v="0"/>
    <n v="1197"/>
    <n v="435"/>
    <x v="0"/>
  </r>
  <r>
    <s v="Lassya"/>
    <x v="0"/>
    <x v="100"/>
    <x v="4"/>
    <x v="6"/>
    <x v="1"/>
    <x v="1"/>
    <x v="1"/>
    <n v="958"/>
    <n v="1299"/>
    <x v="1"/>
    <n v="259"/>
    <n v="1040"/>
    <n v="82"/>
    <x v="0"/>
  </r>
  <r>
    <s v="Swapna"/>
    <x v="0"/>
    <x v="102"/>
    <x v="2"/>
    <x v="2"/>
    <x v="0"/>
    <x v="1"/>
    <x v="2"/>
    <n v="569"/>
    <n v="799"/>
    <x v="1"/>
    <n v="159"/>
    <n v="1920"/>
    <n v="213"/>
    <x v="1"/>
  </r>
  <r>
    <s v="Manoj"/>
    <x v="1"/>
    <x v="158"/>
    <x v="2"/>
    <x v="2"/>
    <x v="2"/>
    <x v="0"/>
    <x v="1"/>
    <n v="330"/>
    <n v="499"/>
    <x v="1"/>
    <n v="99"/>
    <n v="400"/>
    <n v="70"/>
    <x v="0"/>
  </r>
  <r>
    <s v="Rahul"/>
    <x v="1"/>
    <x v="9"/>
    <x v="4"/>
    <x v="4"/>
    <x v="1"/>
    <x v="1"/>
    <x v="1"/>
    <n v="426"/>
    <n v="599"/>
    <x v="4"/>
    <n v="59"/>
    <n v="540"/>
    <n v="114"/>
    <x v="0"/>
  </r>
  <r>
    <s v="Rakesh"/>
    <x v="1"/>
    <x v="147"/>
    <x v="0"/>
    <x v="0"/>
    <x v="1"/>
    <x v="1"/>
    <x v="3"/>
    <n v="249"/>
    <n v="399"/>
    <x v="0"/>
    <n v="0"/>
    <n v="1596"/>
    <n v="600"/>
    <x v="0"/>
  </r>
  <r>
    <s v="Reavanth"/>
    <x v="1"/>
    <x v="48"/>
    <x v="3"/>
    <x v="3"/>
    <x v="1"/>
    <x v="1"/>
    <x v="1"/>
    <n v="961"/>
    <n v="1499"/>
    <x v="0"/>
    <n v="0"/>
    <n v="1499"/>
    <n v="538"/>
    <x v="0"/>
  </r>
  <r>
    <s v="Mallesh"/>
    <x v="1"/>
    <x v="112"/>
    <x v="0"/>
    <x v="9"/>
    <x v="0"/>
    <x v="1"/>
    <x v="0"/>
    <n v="175"/>
    <n v="299"/>
    <x v="0"/>
    <n v="0"/>
    <n v="598"/>
    <n v="248"/>
    <x v="0"/>
  </r>
  <r>
    <s v="Vivaan"/>
    <x v="1"/>
    <x v="122"/>
    <x v="3"/>
    <x v="14"/>
    <x v="2"/>
    <x v="1"/>
    <x v="1"/>
    <n v="396"/>
    <n v="699"/>
    <x v="0"/>
    <n v="0"/>
    <n v="699"/>
    <n v="303"/>
    <x v="0"/>
  </r>
  <r>
    <s v="Nandhini"/>
    <x v="0"/>
    <x v="159"/>
    <x v="0"/>
    <x v="9"/>
    <x v="2"/>
    <x v="1"/>
    <x v="2"/>
    <n v="351"/>
    <n v="599"/>
    <x v="0"/>
    <n v="0"/>
    <n v="1797"/>
    <n v="744"/>
    <x v="0"/>
  </r>
  <r>
    <s v="Pravalika"/>
    <x v="0"/>
    <x v="107"/>
    <x v="0"/>
    <x v="13"/>
    <x v="1"/>
    <x v="1"/>
    <x v="1"/>
    <n v="238"/>
    <n v="399"/>
    <x v="0"/>
    <n v="0"/>
    <n v="399"/>
    <n v="161"/>
    <x v="1"/>
  </r>
  <r>
    <s v="Sanjeev"/>
    <x v="1"/>
    <x v="203"/>
    <x v="3"/>
    <x v="14"/>
    <x v="2"/>
    <x v="1"/>
    <x v="1"/>
    <n v="964"/>
    <n v="1499"/>
    <x v="0"/>
    <n v="0"/>
    <n v="1499"/>
    <n v="535"/>
    <x v="1"/>
  </r>
  <r>
    <s v="Swapna"/>
    <x v="0"/>
    <x v="163"/>
    <x v="3"/>
    <x v="3"/>
    <x v="1"/>
    <x v="1"/>
    <x v="2"/>
    <n v="566"/>
    <n v="999"/>
    <x v="0"/>
    <n v="0"/>
    <n v="2997"/>
    <n v="1299"/>
    <x v="0"/>
  </r>
  <r>
    <s v="Gayatri"/>
    <x v="0"/>
    <x v="38"/>
    <x v="4"/>
    <x v="6"/>
    <x v="0"/>
    <x v="0"/>
    <x v="1"/>
    <n v="679"/>
    <n v="1199"/>
    <x v="4"/>
    <n v="119"/>
    <n v="1080"/>
    <n v="401"/>
    <x v="1"/>
  </r>
  <r>
    <s v="Srujan"/>
    <x v="1"/>
    <x v="102"/>
    <x v="2"/>
    <x v="8"/>
    <x v="2"/>
    <x v="0"/>
    <x v="0"/>
    <n v="459"/>
    <n v="699"/>
    <x v="3"/>
    <n v="34"/>
    <n v="1330"/>
    <n v="412"/>
    <x v="0"/>
  </r>
  <r>
    <s v="Uday"/>
    <x v="1"/>
    <x v="210"/>
    <x v="0"/>
    <x v="9"/>
    <x v="1"/>
    <x v="0"/>
    <x v="1"/>
    <n v="268"/>
    <n v="399"/>
    <x v="0"/>
    <n v="0"/>
    <n v="399"/>
    <n v="131"/>
    <x v="0"/>
  </r>
  <r>
    <s v="Aarav"/>
    <x v="1"/>
    <x v="33"/>
    <x v="2"/>
    <x v="8"/>
    <x v="2"/>
    <x v="0"/>
    <x v="0"/>
    <n v="1282"/>
    <n v="1799"/>
    <x v="2"/>
    <n v="269"/>
    <n v="3060"/>
    <n v="496"/>
    <x v="1"/>
  </r>
  <r>
    <s v="Sai Deep"/>
    <x v="1"/>
    <x v="159"/>
    <x v="2"/>
    <x v="8"/>
    <x v="1"/>
    <x v="1"/>
    <x v="3"/>
    <n v="945"/>
    <n v="1599"/>
    <x v="3"/>
    <n v="79"/>
    <n v="6080"/>
    <n v="2300"/>
    <x v="0"/>
  </r>
  <r>
    <s v="Reavanth"/>
    <x v="1"/>
    <x v="210"/>
    <x v="4"/>
    <x v="4"/>
    <x v="0"/>
    <x v="0"/>
    <x v="4"/>
    <n v="331"/>
    <n v="499"/>
    <x v="4"/>
    <n v="49"/>
    <n v="2250"/>
    <n v="595"/>
    <x v="1"/>
  </r>
  <r>
    <s v="Kalyan"/>
    <x v="1"/>
    <x v="168"/>
    <x v="0"/>
    <x v="9"/>
    <x v="0"/>
    <x v="1"/>
    <x v="1"/>
    <n v="427"/>
    <n v="599"/>
    <x v="0"/>
    <n v="0"/>
    <n v="599"/>
    <n v="172"/>
    <x v="0"/>
  </r>
  <r>
    <s v="Lassya"/>
    <x v="0"/>
    <x v="72"/>
    <x v="1"/>
    <x v="7"/>
    <x v="1"/>
    <x v="0"/>
    <x v="1"/>
    <n v="1520"/>
    <n v="2799"/>
    <x v="4"/>
    <n v="279"/>
    <n v="2520"/>
    <n v="1000"/>
    <x v="0"/>
  </r>
  <r>
    <s v="Vasanth"/>
    <x v="1"/>
    <x v="144"/>
    <x v="3"/>
    <x v="3"/>
    <x v="2"/>
    <x v="1"/>
    <x v="0"/>
    <n v="617"/>
    <n v="1199"/>
    <x v="0"/>
    <n v="0"/>
    <n v="2398"/>
    <n v="1164"/>
    <x v="0"/>
  </r>
  <r>
    <s v="Krishna"/>
    <x v="1"/>
    <x v="36"/>
    <x v="3"/>
    <x v="14"/>
    <x v="2"/>
    <x v="0"/>
    <x v="1"/>
    <n v="487"/>
    <n v="699"/>
    <x v="0"/>
    <n v="0"/>
    <n v="699"/>
    <n v="212"/>
    <x v="0"/>
  </r>
  <r>
    <s v="Shiva"/>
    <x v="1"/>
    <x v="73"/>
    <x v="0"/>
    <x v="9"/>
    <x v="0"/>
    <x v="0"/>
    <x v="0"/>
    <n v="286"/>
    <n v="499"/>
    <x v="0"/>
    <n v="0"/>
    <n v="998"/>
    <n v="426"/>
    <x v="1"/>
  </r>
  <r>
    <s v="Swapna"/>
    <x v="0"/>
    <x v="91"/>
    <x v="3"/>
    <x v="3"/>
    <x v="0"/>
    <x v="1"/>
    <x v="2"/>
    <n v="578"/>
    <n v="899"/>
    <x v="0"/>
    <n v="0"/>
    <n v="2697"/>
    <n v="963"/>
    <x v="0"/>
  </r>
  <r>
    <s v="Koushika"/>
    <x v="0"/>
    <x v="162"/>
    <x v="0"/>
    <x v="9"/>
    <x v="0"/>
    <x v="1"/>
    <x v="1"/>
    <n v="362"/>
    <n v="599"/>
    <x v="0"/>
    <n v="0"/>
    <n v="599"/>
    <n v="237"/>
    <x v="0"/>
  </r>
  <r>
    <s v="Sai"/>
    <x v="1"/>
    <x v="23"/>
    <x v="2"/>
    <x v="2"/>
    <x v="1"/>
    <x v="1"/>
    <x v="0"/>
    <n v="360"/>
    <n v="499"/>
    <x v="4"/>
    <n v="49"/>
    <n v="900"/>
    <n v="180"/>
    <x v="0"/>
  </r>
  <r>
    <s v="Aarav"/>
    <x v="1"/>
    <x v="167"/>
    <x v="3"/>
    <x v="3"/>
    <x v="0"/>
    <x v="1"/>
    <x v="4"/>
    <n v="1053"/>
    <n v="1499"/>
    <x v="0"/>
    <n v="0"/>
    <n v="7495"/>
    <n v="2230"/>
    <x v="0"/>
  </r>
  <r>
    <s v="Kalyan"/>
    <x v="1"/>
    <x v="50"/>
    <x v="0"/>
    <x v="9"/>
    <x v="0"/>
    <x v="0"/>
    <x v="1"/>
    <n v="381"/>
    <n v="599"/>
    <x v="0"/>
    <n v="0"/>
    <n v="599"/>
    <n v="218"/>
    <x v="1"/>
  </r>
  <r>
    <s v="Siri"/>
    <x v="0"/>
    <x v="120"/>
    <x v="3"/>
    <x v="14"/>
    <x v="2"/>
    <x v="0"/>
    <x v="1"/>
    <n v="401"/>
    <n v="799"/>
    <x v="0"/>
    <n v="0"/>
    <n v="799"/>
    <n v="398"/>
    <x v="0"/>
  </r>
  <r>
    <s v="Vasanth"/>
    <x v="1"/>
    <x v="122"/>
    <x v="3"/>
    <x v="14"/>
    <x v="1"/>
    <x v="0"/>
    <x v="1"/>
    <n v="463"/>
    <n v="699"/>
    <x v="0"/>
    <n v="0"/>
    <n v="699"/>
    <n v="236"/>
    <x v="0"/>
  </r>
  <r>
    <s v="Arjun"/>
    <x v="1"/>
    <x v="9"/>
    <x v="1"/>
    <x v="1"/>
    <x v="1"/>
    <x v="0"/>
    <x v="0"/>
    <n v="1005"/>
    <n v="1699"/>
    <x v="4"/>
    <n v="169"/>
    <n v="3060"/>
    <n v="1050"/>
    <x v="1"/>
  </r>
  <r>
    <s v="Vijay"/>
    <x v="1"/>
    <x v="182"/>
    <x v="0"/>
    <x v="13"/>
    <x v="2"/>
    <x v="1"/>
    <x v="3"/>
    <n v="371"/>
    <n v="499"/>
    <x v="0"/>
    <n v="0"/>
    <n v="1996"/>
    <n v="512"/>
    <x v="0"/>
  </r>
  <r>
    <s v="Sai Deep"/>
    <x v="1"/>
    <x v="33"/>
    <x v="3"/>
    <x v="3"/>
    <x v="0"/>
    <x v="1"/>
    <x v="0"/>
    <n v="736"/>
    <n v="1199"/>
    <x v="0"/>
    <n v="0"/>
    <n v="2398"/>
    <n v="926"/>
    <x v="0"/>
  </r>
  <r>
    <s v="Sai"/>
    <x v="1"/>
    <x v="60"/>
    <x v="3"/>
    <x v="14"/>
    <x v="1"/>
    <x v="1"/>
    <x v="4"/>
    <n v="574"/>
    <n v="799"/>
    <x v="0"/>
    <n v="0"/>
    <n v="3995"/>
    <n v="1125"/>
    <x v="0"/>
  </r>
  <r>
    <s v="Chandrika"/>
    <x v="0"/>
    <x v="126"/>
    <x v="1"/>
    <x v="7"/>
    <x v="2"/>
    <x v="1"/>
    <x v="1"/>
    <n v="1950"/>
    <n v="3799"/>
    <x v="1"/>
    <n v="759"/>
    <n v="3040"/>
    <n v="1090"/>
    <x v="1"/>
  </r>
  <r>
    <s v="Ananya"/>
    <x v="0"/>
    <x v="114"/>
    <x v="2"/>
    <x v="2"/>
    <x v="0"/>
    <x v="0"/>
    <x v="0"/>
    <n v="448"/>
    <n v="599"/>
    <x v="1"/>
    <n v="119"/>
    <n v="960"/>
    <n v="64"/>
    <x v="0"/>
  </r>
  <r>
    <s v="Viraj"/>
    <x v="1"/>
    <x v="45"/>
    <x v="1"/>
    <x v="7"/>
    <x v="0"/>
    <x v="0"/>
    <x v="2"/>
    <n v="2551"/>
    <n v="4799"/>
    <x v="2"/>
    <n v="719"/>
    <n v="12240"/>
    <n v="4587"/>
    <x v="0"/>
  </r>
  <r>
    <s v="Lassya"/>
    <x v="0"/>
    <x v="2"/>
    <x v="1"/>
    <x v="1"/>
    <x v="1"/>
    <x v="1"/>
    <x v="0"/>
    <n v="655"/>
    <n v="1199"/>
    <x v="2"/>
    <n v="179"/>
    <n v="2040"/>
    <n v="730"/>
    <x v="0"/>
  </r>
  <r>
    <s v="Reavanth"/>
    <x v="1"/>
    <x v="64"/>
    <x v="0"/>
    <x v="0"/>
    <x v="0"/>
    <x v="1"/>
    <x v="2"/>
    <n v="445"/>
    <n v="599"/>
    <x v="0"/>
    <n v="0"/>
    <n v="1797"/>
    <n v="462"/>
    <x v="1"/>
  </r>
  <r>
    <s v="Saanvi"/>
    <x v="0"/>
    <x v="153"/>
    <x v="4"/>
    <x v="12"/>
    <x v="2"/>
    <x v="0"/>
    <x v="1"/>
    <n v="1185"/>
    <n v="2299"/>
    <x v="4"/>
    <n v="229"/>
    <n v="2070"/>
    <n v="885"/>
    <x v="0"/>
  </r>
  <r>
    <s v="Aditya"/>
    <x v="1"/>
    <x v="190"/>
    <x v="4"/>
    <x v="5"/>
    <x v="2"/>
    <x v="1"/>
    <x v="1"/>
    <n v="852"/>
    <n v="1199"/>
    <x v="2"/>
    <n v="179"/>
    <n v="1020"/>
    <n v="168"/>
    <x v="0"/>
  </r>
  <r>
    <s v="Shiva"/>
    <x v="1"/>
    <x v="162"/>
    <x v="0"/>
    <x v="9"/>
    <x v="1"/>
    <x v="0"/>
    <x v="1"/>
    <n v="151"/>
    <n v="299"/>
    <x v="0"/>
    <n v="0"/>
    <n v="299"/>
    <n v="148"/>
    <x v="0"/>
  </r>
  <r>
    <s v="Kavya"/>
    <x v="0"/>
    <x v="211"/>
    <x v="1"/>
    <x v="7"/>
    <x v="1"/>
    <x v="0"/>
    <x v="1"/>
    <n v="1518"/>
    <n v="2299"/>
    <x v="4"/>
    <n v="229"/>
    <n v="2070"/>
    <n v="552"/>
    <x v="1"/>
  </r>
  <r>
    <s v="Pranay"/>
    <x v="1"/>
    <x v="144"/>
    <x v="3"/>
    <x v="14"/>
    <x v="0"/>
    <x v="0"/>
    <x v="0"/>
    <n v="757"/>
    <n v="1499"/>
    <x v="0"/>
    <n v="0"/>
    <n v="2998"/>
    <n v="1484"/>
    <x v="1"/>
  </r>
  <r>
    <s v="Venu"/>
    <x v="1"/>
    <x v="30"/>
    <x v="3"/>
    <x v="14"/>
    <x v="0"/>
    <x v="1"/>
    <x v="0"/>
    <n v="805"/>
    <n v="1199"/>
    <x v="0"/>
    <n v="0"/>
    <n v="2398"/>
    <n v="788"/>
    <x v="0"/>
  </r>
  <r>
    <s v="Krishna"/>
    <x v="1"/>
    <x v="196"/>
    <x v="3"/>
    <x v="14"/>
    <x v="0"/>
    <x v="1"/>
    <x v="1"/>
    <n v="443"/>
    <n v="699"/>
    <x v="0"/>
    <n v="0"/>
    <n v="699"/>
    <n v="256"/>
    <x v="0"/>
  </r>
  <r>
    <s v="Kalyan"/>
    <x v="1"/>
    <x v="206"/>
    <x v="4"/>
    <x v="6"/>
    <x v="1"/>
    <x v="1"/>
    <x v="1"/>
    <n v="558"/>
    <n v="999"/>
    <x v="2"/>
    <n v="149"/>
    <n v="850"/>
    <n v="292"/>
    <x v="0"/>
  </r>
  <r>
    <s v="Sai Deep"/>
    <x v="1"/>
    <x v="121"/>
    <x v="3"/>
    <x v="3"/>
    <x v="1"/>
    <x v="1"/>
    <x v="1"/>
    <n v="559"/>
    <n v="999"/>
    <x v="0"/>
    <n v="0"/>
    <n v="999"/>
    <n v="440"/>
    <x v="0"/>
  </r>
  <r>
    <s v="Srinivas"/>
    <x v="1"/>
    <x v="15"/>
    <x v="1"/>
    <x v="7"/>
    <x v="2"/>
    <x v="0"/>
    <x v="1"/>
    <n v="1900"/>
    <n v="2699"/>
    <x v="3"/>
    <n v="134"/>
    <n v="2565"/>
    <n v="665"/>
    <x v="0"/>
  </r>
  <r>
    <s v="Uday"/>
    <x v="1"/>
    <x v="190"/>
    <x v="3"/>
    <x v="3"/>
    <x v="2"/>
    <x v="1"/>
    <x v="4"/>
    <n v="527"/>
    <n v="899"/>
    <x v="0"/>
    <n v="0"/>
    <n v="4495"/>
    <n v="1860"/>
    <x v="0"/>
  </r>
  <r>
    <s v="Siri"/>
    <x v="0"/>
    <x v="60"/>
    <x v="4"/>
    <x v="5"/>
    <x v="1"/>
    <x v="0"/>
    <x v="0"/>
    <n v="866"/>
    <n v="1299"/>
    <x v="1"/>
    <n v="259"/>
    <n v="2080"/>
    <n v="348"/>
    <x v="0"/>
  </r>
  <r>
    <s v="Vasanth"/>
    <x v="1"/>
    <x v="194"/>
    <x v="4"/>
    <x v="5"/>
    <x v="1"/>
    <x v="1"/>
    <x v="2"/>
    <n v="874"/>
    <n v="1499"/>
    <x v="4"/>
    <n v="149"/>
    <n v="4050"/>
    <n v="1428"/>
    <x v="0"/>
  </r>
  <r>
    <s v="Pranay"/>
    <x v="1"/>
    <x v="146"/>
    <x v="3"/>
    <x v="14"/>
    <x v="1"/>
    <x v="1"/>
    <x v="1"/>
    <n v="770"/>
    <n v="1199"/>
    <x v="0"/>
    <n v="0"/>
    <n v="1199"/>
    <n v="429"/>
    <x v="0"/>
  </r>
  <r>
    <s v="Sanjeev"/>
    <x v="1"/>
    <x v="78"/>
    <x v="4"/>
    <x v="4"/>
    <x v="2"/>
    <x v="0"/>
    <x v="1"/>
    <n v="204"/>
    <n v="399"/>
    <x v="2"/>
    <n v="59"/>
    <n v="340"/>
    <n v="136"/>
    <x v="0"/>
  </r>
  <r>
    <s v="Saanvi"/>
    <x v="0"/>
    <x v="142"/>
    <x v="0"/>
    <x v="11"/>
    <x v="1"/>
    <x v="1"/>
    <x v="1"/>
    <n v="241"/>
    <n v="399"/>
    <x v="0"/>
    <n v="0"/>
    <n v="399"/>
    <n v="158"/>
    <x v="0"/>
  </r>
  <r>
    <s v="Swathi"/>
    <x v="0"/>
    <x v="19"/>
    <x v="3"/>
    <x v="14"/>
    <x v="1"/>
    <x v="1"/>
    <x v="1"/>
    <n v="552"/>
    <n v="999"/>
    <x v="0"/>
    <n v="0"/>
    <n v="999"/>
    <n v="447"/>
    <x v="0"/>
  </r>
  <r>
    <s v="Lassya"/>
    <x v="0"/>
    <x v="188"/>
    <x v="0"/>
    <x v="13"/>
    <x v="2"/>
    <x v="1"/>
    <x v="1"/>
    <n v="281"/>
    <n v="399"/>
    <x v="0"/>
    <n v="0"/>
    <n v="399"/>
    <n v="118"/>
    <x v="0"/>
  </r>
  <r>
    <s v="Rakesh"/>
    <x v="1"/>
    <x v="80"/>
    <x v="0"/>
    <x v="13"/>
    <x v="0"/>
    <x v="0"/>
    <x v="1"/>
    <n v="297"/>
    <n v="399"/>
    <x v="0"/>
    <n v="0"/>
    <n v="399"/>
    <n v="102"/>
    <x v="1"/>
  </r>
  <r>
    <s v="Sai Deep"/>
    <x v="1"/>
    <x v="166"/>
    <x v="0"/>
    <x v="13"/>
    <x v="1"/>
    <x v="0"/>
    <x v="1"/>
    <n v="374"/>
    <n v="499"/>
    <x v="0"/>
    <n v="0"/>
    <n v="499"/>
    <n v="125"/>
    <x v="0"/>
  </r>
  <r>
    <s v="Gayatri"/>
    <x v="0"/>
    <x v="165"/>
    <x v="4"/>
    <x v="10"/>
    <x v="1"/>
    <x v="0"/>
    <x v="1"/>
    <n v="718"/>
    <n v="999"/>
    <x v="2"/>
    <n v="149"/>
    <n v="850"/>
    <n v="132"/>
    <x v="0"/>
  </r>
  <r>
    <s v="Srujan"/>
    <x v="1"/>
    <x v="198"/>
    <x v="4"/>
    <x v="16"/>
    <x v="0"/>
    <x v="0"/>
    <x v="1"/>
    <n v="1709"/>
    <n v="2299"/>
    <x v="4"/>
    <n v="229"/>
    <n v="2070"/>
    <n v="361"/>
    <x v="0"/>
  </r>
  <r>
    <s v="Sanjeev"/>
    <x v="1"/>
    <x v="58"/>
    <x v="3"/>
    <x v="14"/>
    <x v="1"/>
    <x v="0"/>
    <x v="1"/>
    <n v="690"/>
    <n v="1199"/>
    <x v="0"/>
    <n v="0"/>
    <n v="1199"/>
    <n v="509"/>
    <x v="0"/>
  </r>
  <r>
    <s v="Isha"/>
    <x v="0"/>
    <x v="87"/>
    <x v="4"/>
    <x v="12"/>
    <x v="1"/>
    <x v="0"/>
    <x v="1"/>
    <n v="747"/>
    <n v="1099"/>
    <x v="3"/>
    <n v="54"/>
    <n v="1045"/>
    <n v="298"/>
    <x v="0"/>
  </r>
  <r>
    <s v="Neha"/>
    <x v="0"/>
    <x v="151"/>
    <x v="2"/>
    <x v="2"/>
    <x v="1"/>
    <x v="0"/>
    <x v="2"/>
    <n v="493"/>
    <n v="799"/>
    <x v="1"/>
    <n v="159"/>
    <n v="1920"/>
    <n v="441"/>
    <x v="1"/>
  </r>
  <r>
    <s v="Leela"/>
    <x v="0"/>
    <x v="37"/>
    <x v="4"/>
    <x v="5"/>
    <x v="0"/>
    <x v="1"/>
    <x v="1"/>
    <n v="859"/>
    <n v="1399"/>
    <x v="3"/>
    <n v="69"/>
    <n v="1330"/>
    <n v="471"/>
    <x v="0"/>
  </r>
  <r>
    <s v="Karthik"/>
    <x v="1"/>
    <x v="3"/>
    <x v="1"/>
    <x v="1"/>
    <x v="1"/>
    <x v="0"/>
    <x v="4"/>
    <n v="1113"/>
    <n v="1799"/>
    <x v="2"/>
    <n v="269"/>
    <n v="7650"/>
    <n v="2085"/>
    <x v="0"/>
  </r>
  <r>
    <s v="Surya"/>
    <x v="1"/>
    <x v="145"/>
    <x v="0"/>
    <x v="9"/>
    <x v="2"/>
    <x v="0"/>
    <x v="2"/>
    <n v="329"/>
    <n v="599"/>
    <x v="0"/>
    <n v="0"/>
    <n v="1797"/>
    <n v="810"/>
    <x v="0"/>
  </r>
  <r>
    <s v="Harsha"/>
    <x v="1"/>
    <x v="168"/>
    <x v="4"/>
    <x v="12"/>
    <x v="0"/>
    <x v="0"/>
    <x v="0"/>
    <n v="1662"/>
    <n v="2299"/>
    <x v="4"/>
    <n v="229"/>
    <n v="4140"/>
    <n v="816"/>
    <x v="1"/>
  </r>
  <r>
    <s v=" Praveen"/>
    <x v="1"/>
    <x v="64"/>
    <x v="0"/>
    <x v="9"/>
    <x v="0"/>
    <x v="1"/>
    <x v="0"/>
    <n v="390"/>
    <n v="599"/>
    <x v="0"/>
    <n v="0"/>
    <n v="1198"/>
    <n v="418"/>
    <x v="0"/>
  </r>
  <r>
    <s v="Isha"/>
    <x v="0"/>
    <x v="32"/>
    <x v="2"/>
    <x v="8"/>
    <x v="2"/>
    <x v="0"/>
    <x v="0"/>
    <n v="735"/>
    <n v="1099"/>
    <x v="3"/>
    <n v="54"/>
    <n v="2090"/>
    <n v="620"/>
    <x v="1"/>
  </r>
  <r>
    <s v="Sai Deep"/>
    <x v="1"/>
    <x v="143"/>
    <x v="1"/>
    <x v="1"/>
    <x v="2"/>
    <x v="0"/>
    <x v="3"/>
    <n v="899"/>
    <n v="1699"/>
    <x v="4"/>
    <n v="169"/>
    <n v="6120"/>
    <n v="2524"/>
    <x v="1"/>
  </r>
  <r>
    <s v="Vikram"/>
    <x v="1"/>
    <x v="25"/>
    <x v="1"/>
    <x v="1"/>
    <x v="0"/>
    <x v="0"/>
    <x v="1"/>
    <n v="1468"/>
    <n v="2299"/>
    <x v="4"/>
    <n v="229"/>
    <n v="2070"/>
    <n v="602"/>
    <x v="0"/>
  </r>
  <r>
    <s v="Thanuja"/>
    <x v="0"/>
    <x v="34"/>
    <x v="1"/>
    <x v="1"/>
    <x v="1"/>
    <x v="0"/>
    <x v="1"/>
    <n v="1033"/>
    <n v="1799"/>
    <x v="2"/>
    <n v="269"/>
    <n v="1530"/>
    <n v="497"/>
    <x v="0"/>
  </r>
  <r>
    <s v="Venu"/>
    <x v="1"/>
    <x v="185"/>
    <x v="0"/>
    <x v="13"/>
    <x v="2"/>
    <x v="1"/>
    <x v="1"/>
    <n v="220"/>
    <n v="399"/>
    <x v="0"/>
    <n v="0"/>
    <n v="399"/>
    <n v="179"/>
    <x v="0"/>
  </r>
  <r>
    <s v="Sanjeev"/>
    <x v="1"/>
    <x v="128"/>
    <x v="2"/>
    <x v="2"/>
    <x v="0"/>
    <x v="0"/>
    <x v="2"/>
    <n v="363"/>
    <n v="499"/>
    <x v="3"/>
    <n v="24"/>
    <n v="1425"/>
    <n v="336"/>
    <x v="1"/>
  </r>
  <r>
    <s v="Sneha"/>
    <x v="0"/>
    <x v="39"/>
    <x v="4"/>
    <x v="12"/>
    <x v="1"/>
    <x v="1"/>
    <x v="4"/>
    <n v="1404"/>
    <n v="1899"/>
    <x v="1"/>
    <n v="379"/>
    <n v="7600"/>
    <n v="580"/>
    <x v="0"/>
  </r>
  <r>
    <s v="Karthik"/>
    <x v="1"/>
    <x v="105"/>
    <x v="4"/>
    <x v="6"/>
    <x v="0"/>
    <x v="1"/>
    <x v="1"/>
    <n v="344"/>
    <n v="599"/>
    <x v="3"/>
    <n v="29"/>
    <n v="570"/>
    <n v="226"/>
    <x v="0"/>
  </r>
  <r>
    <s v="Krishna"/>
    <x v="1"/>
    <x v="90"/>
    <x v="4"/>
    <x v="10"/>
    <x v="1"/>
    <x v="1"/>
    <x v="3"/>
    <n v="917"/>
    <n v="1799"/>
    <x v="2"/>
    <n v="269"/>
    <n v="6120"/>
    <n v="2452"/>
    <x v="0"/>
  </r>
  <r>
    <s v="Anudeep"/>
    <x v="1"/>
    <x v="84"/>
    <x v="0"/>
    <x v="13"/>
    <x v="1"/>
    <x v="1"/>
    <x v="1"/>
    <n v="367"/>
    <n v="499"/>
    <x v="0"/>
    <n v="0"/>
    <n v="499"/>
    <n v="132"/>
    <x v="1"/>
  </r>
  <r>
    <s v="Shiva"/>
    <x v="1"/>
    <x v="68"/>
    <x v="4"/>
    <x v="12"/>
    <x v="1"/>
    <x v="1"/>
    <x v="1"/>
    <n v="1053"/>
    <n v="1599"/>
    <x v="3"/>
    <n v="79"/>
    <n v="1520"/>
    <n v="467"/>
    <x v="0"/>
  </r>
  <r>
    <s v="Rakesh"/>
    <x v="1"/>
    <x v="133"/>
    <x v="3"/>
    <x v="14"/>
    <x v="1"/>
    <x v="0"/>
    <x v="1"/>
    <n v="831"/>
    <n v="1499"/>
    <x v="0"/>
    <n v="0"/>
    <n v="1499"/>
    <n v="668"/>
    <x v="0"/>
  </r>
  <r>
    <s v="Saanvi"/>
    <x v="0"/>
    <x v="104"/>
    <x v="1"/>
    <x v="7"/>
    <x v="2"/>
    <x v="0"/>
    <x v="1"/>
    <n v="2505"/>
    <n v="3399"/>
    <x v="4"/>
    <n v="339"/>
    <n v="3060"/>
    <n v="555"/>
    <x v="0"/>
  </r>
  <r>
    <s v="Sai"/>
    <x v="1"/>
    <x v="144"/>
    <x v="3"/>
    <x v="14"/>
    <x v="0"/>
    <x v="1"/>
    <x v="1"/>
    <n v="889"/>
    <n v="1199"/>
    <x v="0"/>
    <n v="0"/>
    <n v="1199"/>
    <n v="310"/>
    <x v="0"/>
  </r>
  <r>
    <s v="Rohan"/>
    <x v="1"/>
    <x v="23"/>
    <x v="2"/>
    <x v="8"/>
    <x v="1"/>
    <x v="1"/>
    <x v="1"/>
    <n v="891"/>
    <n v="1699"/>
    <x v="4"/>
    <n v="169"/>
    <n v="1530"/>
    <n v="639"/>
    <x v="0"/>
  </r>
  <r>
    <s v="Kalyan"/>
    <x v="1"/>
    <x v="119"/>
    <x v="0"/>
    <x v="0"/>
    <x v="1"/>
    <x v="0"/>
    <x v="1"/>
    <n v="311"/>
    <n v="599"/>
    <x v="0"/>
    <n v="0"/>
    <n v="599"/>
    <n v="288"/>
    <x v="0"/>
  </r>
  <r>
    <s v="Sai"/>
    <x v="1"/>
    <x v="148"/>
    <x v="1"/>
    <x v="1"/>
    <x v="1"/>
    <x v="0"/>
    <x v="2"/>
    <n v="705"/>
    <n v="1299"/>
    <x v="1"/>
    <n v="259"/>
    <n v="3120"/>
    <n v="1005"/>
    <x v="1"/>
  </r>
  <r>
    <s v="Reavanth"/>
    <x v="1"/>
    <x v="121"/>
    <x v="1"/>
    <x v="7"/>
    <x v="1"/>
    <x v="1"/>
    <x v="3"/>
    <n v="1173"/>
    <n v="2199"/>
    <x v="4"/>
    <n v="219"/>
    <n v="7920"/>
    <n v="3228"/>
    <x v="0"/>
  </r>
  <r>
    <s v="Pranay"/>
    <x v="1"/>
    <x v="171"/>
    <x v="0"/>
    <x v="9"/>
    <x v="2"/>
    <x v="1"/>
    <x v="3"/>
    <n v="246"/>
    <n v="399"/>
    <x v="0"/>
    <n v="0"/>
    <n v="1596"/>
    <n v="612"/>
    <x v="0"/>
  </r>
  <r>
    <s v="Srujan"/>
    <x v="1"/>
    <x v="154"/>
    <x v="4"/>
    <x v="5"/>
    <x v="0"/>
    <x v="1"/>
    <x v="0"/>
    <n v="806"/>
    <n v="1199"/>
    <x v="4"/>
    <n v="119"/>
    <n v="2160"/>
    <n v="548"/>
    <x v="0"/>
  </r>
  <r>
    <s v="Nandhini"/>
    <x v="0"/>
    <x v="103"/>
    <x v="4"/>
    <x v="5"/>
    <x v="0"/>
    <x v="1"/>
    <x v="4"/>
    <n v="531"/>
    <n v="799"/>
    <x v="3"/>
    <n v="39"/>
    <n v="3800"/>
    <n v="1145"/>
    <x v="0"/>
  </r>
  <r>
    <s v="Lassya"/>
    <x v="0"/>
    <x v="87"/>
    <x v="3"/>
    <x v="3"/>
    <x v="0"/>
    <x v="0"/>
    <x v="3"/>
    <n v="792"/>
    <n v="1399"/>
    <x v="0"/>
    <n v="0"/>
    <n v="5596"/>
    <n v="2428"/>
    <x v="1"/>
  </r>
  <r>
    <s v="Vijay"/>
    <x v="1"/>
    <x v="101"/>
    <x v="1"/>
    <x v="1"/>
    <x v="2"/>
    <x v="1"/>
    <x v="0"/>
    <n v="994"/>
    <n v="1499"/>
    <x v="2"/>
    <n v="224"/>
    <n v="2550"/>
    <n v="562"/>
    <x v="1"/>
  </r>
  <r>
    <s v="Sai Deep"/>
    <x v="1"/>
    <x v="6"/>
    <x v="4"/>
    <x v="5"/>
    <x v="1"/>
    <x v="1"/>
    <x v="0"/>
    <n v="657"/>
    <n v="1199"/>
    <x v="4"/>
    <n v="119"/>
    <n v="2160"/>
    <n v="846"/>
    <x v="0"/>
  </r>
  <r>
    <s v="Pravalika"/>
    <x v="0"/>
    <x v="45"/>
    <x v="3"/>
    <x v="3"/>
    <x v="1"/>
    <x v="1"/>
    <x v="3"/>
    <n v="826"/>
    <n v="1499"/>
    <x v="0"/>
    <n v="0"/>
    <n v="5996"/>
    <n v="2692"/>
    <x v="0"/>
  </r>
  <r>
    <s v="Arjun"/>
    <x v="1"/>
    <x v="112"/>
    <x v="1"/>
    <x v="1"/>
    <x v="2"/>
    <x v="1"/>
    <x v="1"/>
    <n v="653"/>
    <n v="1199"/>
    <x v="4"/>
    <n v="119"/>
    <n v="1080"/>
    <n v="427"/>
    <x v="0"/>
  </r>
  <r>
    <s v="Anudeep"/>
    <x v="1"/>
    <x v="181"/>
    <x v="2"/>
    <x v="2"/>
    <x v="2"/>
    <x v="1"/>
    <x v="1"/>
    <n v="432"/>
    <n v="599"/>
    <x v="4"/>
    <n v="59"/>
    <n v="540"/>
    <n v="108"/>
    <x v="1"/>
  </r>
  <r>
    <s v="Arjun"/>
    <x v="1"/>
    <x v="211"/>
    <x v="4"/>
    <x v="5"/>
    <x v="0"/>
    <x v="0"/>
    <x v="1"/>
    <n v="527"/>
    <n v="799"/>
    <x v="4"/>
    <n v="79"/>
    <n v="720"/>
    <n v="193"/>
    <x v="1"/>
  </r>
  <r>
    <s v="Sanjeev"/>
    <x v="1"/>
    <x v="182"/>
    <x v="3"/>
    <x v="3"/>
    <x v="1"/>
    <x v="0"/>
    <x v="1"/>
    <n v="653"/>
    <n v="899"/>
    <x v="0"/>
    <n v="0"/>
    <n v="899"/>
    <n v="246"/>
    <x v="1"/>
  </r>
  <r>
    <s v="Pooja"/>
    <x v="0"/>
    <x v="6"/>
    <x v="1"/>
    <x v="7"/>
    <x v="0"/>
    <x v="0"/>
    <x v="1"/>
    <n v="3069"/>
    <n v="4299"/>
    <x v="3"/>
    <n v="214"/>
    <n v="4085"/>
    <n v="1016"/>
    <x v="0"/>
  </r>
  <r>
    <s v="Srujan"/>
    <x v="1"/>
    <x v="127"/>
    <x v="3"/>
    <x v="3"/>
    <x v="0"/>
    <x v="1"/>
    <x v="0"/>
    <n v="553"/>
    <n v="999"/>
    <x v="0"/>
    <n v="0"/>
    <n v="1998"/>
    <n v="892"/>
    <x v="0"/>
  </r>
  <r>
    <s v="Vasanth"/>
    <x v="1"/>
    <x v="130"/>
    <x v="3"/>
    <x v="3"/>
    <x v="2"/>
    <x v="1"/>
    <x v="1"/>
    <n v="718"/>
    <n v="999"/>
    <x v="0"/>
    <n v="0"/>
    <n v="999"/>
    <n v="281"/>
    <x v="0"/>
  </r>
  <r>
    <s v="Rohan"/>
    <x v="1"/>
    <x v="61"/>
    <x v="4"/>
    <x v="16"/>
    <x v="1"/>
    <x v="1"/>
    <x v="1"/>
    <n v="765"/>
    <n v="1199"/>
    <x v="4"/>
    <n v="119"/>
    <n v="1080"/>
    <n v="315"/>
    <x v="0"/>
  </r>
  <r>
    <s v="Sanjeev"/>
    <x v="1"/>
    <x v="73"/>
    <x v="4"/>
    <x v="15"/>
    <x v="0"/>
    <x v="0"/>
    <x v="1"/>
    <n v="1970"/>
    <n v="3599"/>
    <x v="2"/>
    <n v="539"/>
    <n v="3060"/>
    <n v="1090"/>
    <x v="1"/>
  </r>
  <r>
    <s v="Sanjeev"/>
    <x v="1"/>
    <x v="157"/>
    <x v="3"/>
    <x v="14"/>
    <x v="0"/>
    <x v="1"/>
    <x v="1"/>
    <n v="624"/>
    <n v="999"/>
    <x v="0"/>
    <n v="0"/>
    <n v="999"/>
    <n v="375"/>
    <x v="0"/>
  </r>
  <r>
    <s v="Viraj"/>
    <x v="1"/>
    <x v="116"/>
    <x v="4"/>
    <x v="15"/>
    <x v="2"/>
    <x v="1"/>
    <x v="1"/>
    <n v="1510"/>
    <n v="2799"/>
    <x v="4"/>
    <n v="279"/>
    <n v="2520"/>
    <n v="1010"/>
    <x v="1"/>
  </r>
  <r>
    <s v="Srujan"/>
    <x v="1"/>
    <x v="157"/>
    <x v="4"/>
    <x v="6"/>
    <x v="2"/>
    <x v="0"/>
    <x v="1"/>
    <n v="562"/>
    <n v="999"/>
    <x v="1"/>
    <n v="199"/>
    <n v="800"/>
    <n v="238"/>
    <x v="0"/>
  </r>
  <r>
    <s v="Viraj"/>
    <x v="1"/>
    <x v="85"/>
    <x v="4"/>
    <x v="6"/>
    <x v="0"/>
    <x v="1"/>
    <x v="1"/>
    <n v="306"/>
    <n v="599"/>
    <x v="2"/>
    <n v="89"/>
    <n v="510"/>
    <n v="204"/>
    <x v="0"/>
  </r>
  <r>
    <s v="Rahul"/>
    <x v="1"/>
    <x v="182"/>
    <x v="2"/>
    <x v="2"/>
    <x v="0"/>
    <x v="0"/>
    <x v="1"/>
    <n v="499"/>
    <n v="699"/>
    <x v="1"/>
    <n v="139"/>
    <n v="560"/>
    <n v="61"/>
    <x v="1"/>
  </r>
  <r>
    <s v="Harsha"/>
    <x v="1"/>
    <x v="200"/>
    <x v="3"/>
    <x v="3"/>
    <x v="0"/>
    <x v="0"/>
    <x v="1"/>
    <n v="665"/>
    <n v="1199"/>
    <x v="0"/>
    <n v="0"/>
    <n v="1199"/>
    <n v="534"/>
    <x v="1"/>
  </r>
  <r>
    <s v="Devi"/>
    <x v="0"/>
    <x v="93"/>
    <x v="4"/>
    <x v="10"/>
    <x v="1"/>
    <x v="1"/>
    <x v="1"/>
    <n v="1368"/>
    <n v="1899"/>
    <x v="1"/>
    <n v="379"/>
    <n v="1520"/>
    <n v="152"/>
    <x v="0"/>
  </r>
  <r>
    <s v="Shiva"/>
    <x v="1"/>
    <x v="179"/>
    <x v="0"/>
    <x v="11"/>
    <x v="0"/>
    <x v="0"/>
    <x v="0"/>
    <n v="178"/>
    <n v="299"/>
    <x v="0"/>
    <n v="0"/>
    <n v="598"/>
    <n v="242"/>
    <x v="0"/>
  </r>
  <r>
    <s v="Bharath"/>
    <x v="1"/>
    <x v="16"/>
    <x v="4"/>
    <x v="12"/>
    <x v="1"/>
    <x v="0"/>
    <x v="1"/>
    <n v="1076"/>
    <n v="1899"/>
    <x v="1"/>
    <n v="379"/>
    <n v="1520"/>
    <n v="444"/>
    <x v="0"/>
  </r>
  <r>
    <s v="Devi Sree"/>
    <x v="0"/>
    <x v="72"/>
    <x v="3"/>
    <x v="14"/>
    <x v="0"/>
    <x v="1"/>
    <x v="1"/>
    <n v="481"/>
    <n v="799"/>
    <x v="0"/>
    <n v="0"/>
    <n v="799"/>
    <n v="318"/>
    <x v="1"/>
  </r>
  <r>
    <s v="Yeshwanth"/>
    <x v="1"/>
    <x v="195"/>
    <x v="1"/>
    <x v="1"/>
    <x v="1"/>
    <x v="1"/>
    <x v="0"/>
    <n v="665"/>
    <n v="999"/>
    <x v="1"/>
    <n v="199"/>
    <n v="1600"/>
    <n v="270"/>
    <x v="0"/>
  </r>
  <r>
    <s v="Srinivas"/>
    <x v="1"/>
    <x v="28"/>
    <x v="4"/>
    <x v="12"/>
    <x v="1"/>
    <x v="0"/>
    <x v="0"/>
    <n v="796"/>
    <n v="1299"/>
    <x v="1"/>
    <n v="259"/>
    <n v="2080"/>
    <n v="488"/>
    <x v="0"/>
  </r>
  <r>
    <s v="Deepak"/>
    <x v="1"/>
    <x v="128"/>
    <x v="4"/>
    <x v="10"/>
    <x v="1"/>
    <x v="0"/>
    <x v="3"/>
    <n v="586"/>
    <n v="999"/>
    <x v="1"/>
    <n v="199"/>
    <n v="3200"/>
    <n v="856"/>
    <x v="1"/>
  </r>
  <r>
    <s v="Kalyan"/>
    <x v="1"/>
    <x v="199"/>
    <x v="1"/>
    <x v="1"/>
    <x v="2"/>
    <x v="0"/>
    <x v="2"/>
    <n v="839"/>
    <n v="1199"/>
    <x v="2"/>
    <n v="179"/>
    <n v="3060"/>
    <n v="543"/>
    <x v="1"/>
  </r>
  <r>
    <s v="Reavanth"/>
    <x v="1"/>
    <x v="41"/>
    <x v="4"/>
    <x v="12"/>
    <x v="1"/>
    <x v="0"/>
    <x v="1"/>
    <n v="1502"/>
    <n v="2399"/>
    <x v="2"/>
    <n v="359"/>
    <n v="2040"/>
    <n v="538"/>
    <x v="0"/>
  </r>
  <r>
    <s v="Swathi"/>
    <x v="0"/>
    <x v="173"/>
    <x v="2"/>
    <x v="8"/>
    <x v="2"/>
    <x v="0"/>
    <x v="1"/>
    <n v="664"/>
    <n v="1299"/>
    <x v="1"/>
    <n v="259"/>
    <n v="1040"/>
    <n v="376"/>
    <x v="0"/>
  </r>
  <r>
    <s v="Chandrika"/>
    <x v="0"/>
    <x v="105"/>
    <x v="0"/>
    <x v="0"/>
    <x v="0"/>
    <x v="1"/>
    <x v="1"/>
    <n v="367"/>
    <n v="599"/>
    <x v="0"/>
    <n v="0"/>
    <n v="599"/>
    <n v="232"/>
    <x v="0"/>
  </r>
  <r>
    <s v="Srujan"/>
    <x v="1"/>
    <x v="36"/>
    <x v="2"/>
    <x v="2"/>
    <x v="2"/>
    <x v="1"/>
    <x v="1"/>
    <n v="309"/>
    <n v="499"/>
    <x v="1"/>
    <n v="99"/>
    <n v="400"/>
    <n v="91"/>
    <x v="0"/>
  </r>
  <r>
    <s v="Vivaan"/>
    <x v="1"/>
    <x v="99"/>
    <x v="4"/>
    <x v="16"/>
    <x v="2"/>
    <x v="0"/>
    <x v="1"/>
    <n v="740"/>
    <n v="1099"/>
    <x v="3"/>
    <n v="54"/>
    <n v="1045"/>
    <n v="305"/>
    <x v="0"/>
  </r>
  <r>
    <s v="Isha"/>
    <x v="0"/>
    <x v="35"/>
    <x v="2"/>
    <x v="2"/>
    <x v="0"/>
    <x v="0"/>
    <x v="1"/>
    <n v="361"/>
    <n v="699"/>
    <x v="4"/>
    <n v="69"/>
    <n v="630"/>
    <n v="269"/>
    <x v="0"/>
  </r>
  <r>
    <s v="Arun"/>
    <x v="1"/>
    <x v="172"/>
    <x v="2"/>
    <x v="8"/>
    <x v="1"/>
    <x v="0"/>
    <x v="3"/>
    <n v="418"/>
    <n v="699"/>
    <x v="4"/>
    <n v="69"/>
    <n v="2520"/>
    <n v="848"/>
    <x v="0"/>
  </r>
  <r>
    <s v="Vijay"/>
    <x v="1"/>
    <x v="117"/>
    <x v="3"/>
    <x v="3"/>
    <x v="0"/>
    <x v="1"/>
    <x v="2"/>
    <n v="843"/>
    <n v="1199"/>
    <x v="0"/>
    <n v="0"/>
    <n v="3597"/>
    <n v="1068"/>
    <x v="1"/>
  </r>
  <r>
    <s v="Vijay"/>
    <x v="1"/>
    <x v="35"/>
    <x v="4"/>
    <x v="6"/>
    <x v="0"/>
    <x v="1"/>
    <x v="3"/>
    <n v="680"/>
    <n v="1299"/>
    <x v="1"/>
    <n v="259"/>
    <n v="4160"/>
    <n v="1440"/>
    <x v="0"/>
  </r>
  <r>
    <s v="Vijay"/>
    <x v="1"/>
    <x v="124"/>
    <x v="4"/>
    <x v="5"/>
    <x v="2"/>
    <x v="1"/>
    <x v="0"/>
    <n v="723"/>
    <n v="1099"/>
    <x v="3"/>
    <n v="54"/>
    <n v="2090"/>
    <n v="644"/>
    <x v="0"/>
  </r>
  <r>
    <s v="Vasanth"/>
    <x v="1"/>
    <x v="147"/>
    <x v="2"/>
    <x v="8"/>
    <x v="2"/>
    <x v="1"/>
    <x v="1"/>
    <n v="888"/>
    <n v="1199"/>
    <x v="4"/>
    <n v="119"/>
    <n v="1080"/>
    <n v="192"/>
    <x v="0"/>
  </r>
  <r>
    <s v="Viraj"/>
    <x v="1"/>
    <x v="189"/>
    <x v="3"/>
    <x v="14"/>
    <x v="1"/>
    <x v="1"/>
    <x v="0"/>
    <n v="825"/>
    <n v="1199"/>
    <x v="0"/>
    <n v="0"/>
    <n v="2398"/>
    <n v="748"/>
    <x v="0"/>
  </r>
  <r>
    <s v="Arjun"/>
    <x v="1"/>
    <x v="112"/>
    <x v="4"/>
    <x v="6"/>
    <x v="1"/>
    <x v="1"/>
    <x v="3"/>
    <n v="909"/>
    <n v="1299"/>
    <x v="1"/>
    <n v="259"/>
    <n v="4160"/>
    <n v="524"/>
    <x v="1"/>
  </r>
  <r>
    <s v="Chandrika"/>
    <x v="0"/>
    <x v="60"/>
    <x v="4"/>
    <x v="4"/>
    <x v="0"/>
    <x v="1"/>
    <x v="0"/>
    <n v="268"/>
    <n v="499"/>
    <x v="1"/>
    <n v="99"/>
    <n v="800"/>
    <n v="264"/>
    <x v="1"/>
  </r>
  <r>
    <s v="Yeshwanth"/>
    <x v="1"/>
    <x v="34"/>
    <x v="4"/>
    <x v="16"/>
    <x v="2"/>
    <x v="1"/>
    <x v="0"/>
    <n v="1242"/>
    <n v="2399"/>
    <x v="2"/>
    <n v="359"/>
    <n v="4080"/>
    <n v="1596"/>
    <x v="0"/>
  </r>
  <r>
    <s v="Manoj"/>
    <x v="1"/>
    <x v="149"/>
    <x v="4"/>
    <x v="12"/>
    <x v="1"/>
    <x v="1"/>
    <x v="1"/>
    <n v="759"/>
    <n v="1299"/>
    <x v="1"/>
    <n v="259"/>
    <n v="1040"/>
    <n v="281"/>
    <x v="0"/>
  </r>
  <r>
    <s v="Viraj"/>
    <x v="1"/>
    <x v="103"/>
    <x v="1"/>
    <x v="1"/>
    <x v="0"/>
    <x v="1"/>
    <x v="1"/>
    <n v="1076"/>
    <n v="1699"/>
    <x v="4"/>
    <n v="169"/>
    <n v="1530"/>
    <n v="454"/>
    <x v="0"/>
  </r>
  <r>
    <s v="Pranay"/>
    <x v="1"/>
    <x v="120"/>
    <x v="3"/>
    <x v="14"/>
    <x v="2"/>
    <x v="1"/>
    <x v="0"/>
    <n v="1032"/>
    <n v="1499"/>
    <x v="0"/>
    <n v="0"/>
    <n v="2998"/>
    <n v="934"/>
    <x v="0"/>
  </r>
  <r>
    <s v="Devi"/>
    <x v="0"/>
    <x v="45"/>
    <x v="2"/>
    <x v="2"/>
    <x v="1"/>
    <x v="0"/>
    <x v="1"/>
    <n v="518"/>
    <n v="799"/>
    <x v="2"/>
    <n v="119"/>
    <n v="680"/>
    <n v="162"/>
    <x v="0"/>
  </r>
  <r>
    <s v="Anjali"/>
    <x v="0"/>
    <x v="125"/>
    <x v="3"/>
    <x v="3"/>
    <x v="1"/>
    <x v="1"/>
    <x v="1"/>
    <n v="1005"/>
    <n v="1499"/>
    <x v="0"/>
    <n v="0"/>
    <n v="1499"/>
    <n v="494"/>
    <x v="0"/>
  </r>
  <r>
    <s v="Arjun"/>
    <x v="1"/>
    <x v="61"/>
    <x v="0"/>
    <x v="9"/>
    <x v="1"/>
    <x v="1"/>
    <x v="1"/>
    <n v="332"/>
    <n v="499"/>
    <x v="0"/>
    <n v="0"/>
    <n v="499"/>
    <n v="167"/>
    <x v="0"/>
  </r>
  <r>
    <s v="Chandrika"/>
    <x v="0"/>
    <x v="51"/>
    <x v="3"/>
    <x v="3"/>
    <x v="0"/>
    <x v="1"/>
    <x v="2"/>
    <n v="491"/>
    <n v="899"/>
    <x v="0"/>
    <n v="0"/>
    <n v="2697"/>
    <n v="1224"/>
    <x v="0"/>
  </r>
  <r>
    <s v="Anvesh"/>
    <x v="1"/>
    <x v="164"/>
    <x v="0"/>
    <x v="0"/>
    <x v="2"/>
    <x v="0"/>
    <x v="1"/>
    <n v="397"/>
    <n v="599"/>
    <x v="0"/>
    <n v="0"/>
    <n v="599"/>
    <n v="202"/>
    <x v="0"/>
  </r>
  <r>
    <s v="Vivaan"/>
    <x v="1"/>
    <x v="125"/>
    <x v="0"/>
    <x v="0"/>
    <x v="2"/>
    <x v="1"/>
    <x v="1"/>
    <n v="346"/>
    <n v="599"/>
    <x v="0"/>
    <n v="0"/>
    <n v="599"/>
    <n v="253"/>
    <x v="0"/>
  </r>
  <r>
    <s v="Siri"/>
    <x v="0"/>
    <x v="98"/>
    <x v="0"/>
    <x v="11"/>
    <x v="0"/>
    <x v="1"/>
    <x v="4"/>
    <n v="545"/>
    <n v="799"/>
    <x v="0"/>
    <n v="0"/>
    <n v="3995"/>
    <n v="1270"/>
    <x v="0"/>
  </r>
  <r>
    <s v="Srawani"/>
    <x v="0"/>
    <x v="151"/>
    <x v="1"/>
    <x v="1"/>
    <x v="0"/>
    <x v="0"/>
    <x v="2"/>
    <n v="1192"/>
    <n v="1799"/>
    <x v="2"/>
    <n v="269"/>
    <n v="4590"/>
    <n v="1014"/>
    <x v="0"/>
  </r>
  <r>
    <s v="Hema"/>
    <x v="0"/>
    <x v="40"/>
    <x v="0"/>
    <x v="13"/>
    <x v="1"/>
    <x v="1"/>
    <x v="0"/>
    <n v="260"/>
    <n v="499"/>
    <x v="0"/>
    <n v="0"/>
    <n v="998"/>
    <n v="478"/>
    <x v="0"/>
  </r>
  <r>
    <s v="Mallesh"/>
    <x v="1"/>
    <x v="198"/>
    <x v="2"/>
    <x v="2"/>
    <x v="2"/>
    <x v="1"/>
    <x v="3"/>
    <n v="319"/>
    <n v="499"/>
    <x v="4"/>
    <n v="49"/>
    <n v="1800"/>
    <n v="524"/>
    <x v="0"/>
  </r>
  <r>
    <s v="Arun"/>
    <x v="1"/>
    <x v="34"/>
    <x v="3"/>
    <x v="3"/>
    <x v="1"/>
    <x v="0"/>
    <x v="2"/>
    <n v="1081"/>
    <n v="1499"/>
    <x v="0"/>
    <n v="0"/>
    <n v="4497"/>
    <n v="1254"/>
    <x v="0"/>
  </r>
  <r>
    <s v="Srinivas"/>
    <x v="1"/>
    <x v="105"/>
    <x v="3"/>
    <x v="3"/>
    <x v="1"/>
    <x v="1"/>
    <x v="3"/>
    <n v="626"/>
    <n v="1199"/>
    <x v="0"/>
    <n v="0"/>
    <n v="4796"/>
    <n v="2292"/>
    <x v="0"/>
  </r>
  <r>
    <s v="Shiva"/>
    <x v="1"/>
    <x v="143"/>
    <x v="3"/>
    <x v="14"/>
    <x v="1"/>
    <x v="0"/>
    <x v="1"/>
    <n v="375"/>
    <n v="699"/>
    <x v="0"/>
    <n v="0"/>
    <n v="699"/>
    <n v="324"/>
    <x v="0"/>
  </r>
  <r>
    <s v="Aadhya"/>
    <x v="0"/>
    <x v="62"/>
    <x v="1"/>
    <x v="1"/>
    <x v="2"/>
    <x v="0"/>
    <x v="4"/>
    <n v="1100"/>
    <n v="1899"/>
    <x v="1"/>
    <n v="379"/>
    <n v="7600"/>
    <n v="2100"/>
    <x v="0"/>
  </r>
  <r>
    <s v="Vivaan"/>
    <x v="1"/>
    <x v="52"/>
    <x v="3"/>
    <x v="14"/>
    <x v="1"/>
    <x v="0"/>
    <x v="3"/>
    <n v="409"/>
    <n v="799"/>
    <x v="0"/>
    <n v="0"/>
    <n v="3196"/>
    <n v="1560"/>
    <x v="0"/>
  </r>
  <r>
    <s v="Srawani"/>
    <x v="0"/>
    <x v="132"/>
    <x v="3"/>
    <x v="14"/>
    <x v="2"/>
    <x v="0"/>
    <x v="4"/>
    <n v="616"/>
    <n v="999"/>
    <x v="0"/>
    <n v="0"/>
    <n v="4995"/>
    <n v="1915"/>
    <x v="0"/>
  </r>
  <r>
    <s v="Aadhya"/>
    <x v="0"/>
    <x v="32"/>
    <x v="3"/>
    <x v="3"/>
    <x v="0"/>
    <x v="1"/>
    <x v="4"/>
    <n v="522"/>
    <n v="999"/>
    <x v="0"/>
    <n v="0"/>
    <n v="4995"/>
    <n v="2385"/>
    <x v="1"/>
  </r>
  <r>
    <s v="Vinay"/>
    <x v="1"/>
    <x v="170"/>
    <x v="4"/>
    <x v="10"/>
    <x v="0"/>
    <x v="0"/>
    <x v="3"/>
    <n v="659"/>
    <n v="1199"/>
    <x v="2"/>
    <n v="179"/>
    <n v="4080"/>
    <n v="1444"/>
    <x v="0"/>
  </r>
  <r>
    <s v="Sanjeev"/>
    <x v="1"/>
    <x v="43"/>
    <x v="3"/>
    <x v="14"/>
    <x v="2"/>
    <x v="1"/>
    <x v="1"/>
    <n v="506"/>
    <n v="699"/>
    <x v="0"/>
    <n v="0"/>
    <n v="699"/>
    <n v="193"/>
    <x v="0"/>
  </r>
  <r>
    <s v="Bharath"/>
    <x v="1"/>
    <x v="13"/>
    <x v="2"/>
    <x v="8"/>
    <x v="2"/>
    <x v="1"/>
    <x v="1"/>
    <n v="553"/>
    <n v="1099"/>
    <x v="3"/>
    <n v="54"/>
    <n v="1045"/>
    <n v="492"/>
    <x v="0"/>
  </r>
  <r>
    <s v="Sai Deep"/>
    <x v="1"/>
    <x v="105"/>
    <x v="2"/>
    <x v="8"/>
    <x v="2"/>
    <x v="1"/>
    <x v="1"/>
    <n v="1260"/>
    <n v="1899"/>
    <x v="3"/>
    <n v="94"/>
    <n v="1805"/>
    <n v="545"/>
    <x v="1"/>
  </r>
  <r>
    <s v="Karthik"/>
    <x v="1"/>
    <x v="51"/>
    <x v="4"/>
    <x v="6"/>
    <x v="2"/>
    <x v="1"/>
    <x v="1"/>
    <n v="804"/>
    <n v="1199"/>
    <x v="4"/>
    <n v="119"/>
    <n v="1080"/>
    <n v="276"/>
    <x v="0"/>
  </r>
  <r>
    <s v="Vinay"/>
    <x v="1"/>
    <x v="184"/>
    <x v="0"/>
    <x v="13"/>
    <x v="1"/>
    <x v="0"/>
    <x v="0"/>
    <n v="241"/>
    <n v="399"/>
    <x v="0"/>
    <n v="0"/>
    <n v="798"/>
    <n v="316"/>
    <x v="0"/>
  </r>
  <r>
    <s v="Shivani"/>
    <x v="0"/>
    <x v="34"/>
    <x v="2"/>
    <x v="2"/>
    <x v="1"/>
    <x v="0"/>
    <x v="2"/>
    <n v="514"/>
    <n v="799"/>
    <x v="2"/>
    <n v="119"/>
    <n v="2040"/>
    <n v="498"/>
    <x v="0"/>
  </r>
  <r>
    <s v="Chandrika"/>
    <x v="0"/>
    <x v="212"/>
    <x v="2"/>
    <x v="8"/>
    <x v="2"/>
    <x v="0"/>
    <x v="3"/>
    <n v="884"/>
    <n v="1399"/>
    <x v="4"/>
    <n v="139"/>
    <n v="5040"/>
    <n v="1504"/>
    <x v="0"/>
  </r>
  <r>
    <s v="Deepak"/>
    <x v="1"/>
    <x v="117"/>
    <x v="0"/>
    <x v="0"/>
    <x v="1"/>
    <x v="0"/>
    <x v="4"/>
    <n v="342"/>
    <n v="499"/>
    <x v="0"/>
    <n v="0"/>
    <n v="2495"/>
    <n v="785"/>
    <x v="1"/>
  </r>
  <r>
    <s v="Sai Deep"/>
    <x v="1"/>
    <x v="110"/>
    <x v="1"/>
    <x v="1"/>
    <x v="0"/>
    <x v="1"/>
    <x v="1"/>
    <n v="1335"/>
    <n v="2399"/>
    <x v="2"/>
    <n v="359"/>
    <n v="2040"/>
    <n v="705"/>
    <x v="0"/>
  </r>
  <r>
    <s v="Leela"/>
    <x v="0"/>
    <x v="29"/>
    <x v="2"/>
    <x v="8"/>
    <x v="2"/>
    <x v="1"/>
    <x v="1"/>
    <n v="1201"/>
    <n v="1799"/>
    <x v="2"/>
    <n v="269"/>
    <n v="1530"/>
    <n v="329"/>
    <x v="0"/>
  </r>
  <r>
    <s v="Srujan"/>
    <x v="1"/>
    <x v="57"/>
    <x v="0"/>
    <x v="11"/>
    <x v="0"/>
    <x v="0"/>
    <x v="2"/>
    <n v="429"/>
    <n v="599"/>
    <x v="0"/>
    <n v="0"/>
    <n v="1797"/>
    <n v="510"/>
    <x v="0"/>
  </r>
  <r>
    <s v="Neha"/>
    <x v="0"/>
    <x v="155"/>
    <x v="2"/>
    <x v="8"/>
    <x v="0"/>
    <x v="0"/>
    <x v="0"/>
    <n v="538"/>
    <n v="899"/>
    <x v="4"/>
    <n v="89"/>
    <n v="1620"/>
    <n v="544"/>
    <x v="0"/>
  </r>
  <r>
    <s v="Nandhini"/>
    <x v="0"/>
    <x v="175"/>
    <x v="2"/>
    <x v="8"/>
    <x v="2"/>
    <x v="1"/>
    <x v="2"/>
    <n v="893"/>
    <n v="1299"/>
    <x v="1"/>
    <n v="259"/>
    <n v="3120"/>
    <n v="441"/>
    <x v="1"/>
  </r>
  <r>
    <s v="Pravalika"/>
    <x v="0"/>
    <x v="163"/>
    <x v="1"/>
    <x v="1"/>
    <x v="2"/>
    <x v="1"/>
    <x v="4"/>
    <n v="570"/>
    <n v="999"/>
    <x v="1"/>
    <n v="199"/>
    <n v="4000"/>
    <n v="1150"/>
    <x v="0"/>
  </r>
  <r>
    <s v="Srawani"/>
    <x v="0"/>
    <x v="144"/>
    <x v="3"/>
    <x v="3"/>
    <x v="1"/>
    <x v="0"/>
    <x v="1"/>
    <n v="932"/>
    <n v="1499"/>
    <x v="0"/>
    <n v="0"/>
    <n v="1499"/>
    <n v="567"/>
    <x v="0"/>
  </r>
  <r>
    <s v="Srujan"/>
    <x v="1"/>
    <x v="85"/>
    <x v="0"/>
    <x v="11"/>
    <x v="1"/>
    <x v="0"/>
    <x v="1"/>
    <n v="205"/>
    <n v="299"/>
    <x v="0"/>
    <n v="0"/>
    <n v="299"/>
    <n v="94"/>
    <x v="1"/>
  </r>
  <r>
    <s v="Thanuja"/>
    <x v="0"/>
    <x v="178"/>
    <x v="1"/>
    <x v="1"/>
    <x v="2"/>
    <x v="0"/>
    <x v="3"/>
    <n v="743"/>
    <n v="999"/>
    <x v="2"/>
    <n v="149"/>
    <n v="3400"/>
    <n v="428"/>
    <x v="0"/>
  </r>
  <r>
    <s v="Rohan"/>
    <x v="1"/>
    <x v="141"/>
    <x v="3"/>
    <x v="3"/>
    <x v="0"/>
    <x v="1"/>
    <x v="1"/>
    <n v="617"/>
    <n v="899"/>
    <x v="0"/>
    <n v="0"/>
    <n v="899"/>
    <n v="282"/>
    <x v="0"/>
  </r>
  <r>
    <s v="Pooja"/>
    <x v="0"/>
    <x v="45"/>
    <x v="1"/>
    <x v="1"/>
    <x v="2"/>
    <x v="0"/>
    <x v="3"/>
    <n v="579"/>
    <n v="899"/>
    <x v="4"/>
    <n v="89"/>
    <n v="3240"/>
    <n v="924"/>
    <x v="0"/>
  </r>
  <r>
    <s v="Swathi"/>
    <x v="0"/>
    <x v="98"/>
    <x v="1"/>
    <x v="1"/>
    <x v="1"/>
    <x v="0"/>
    <x v="0"/>
    <n v="945"/>
    <n v="1499"/>
    <x v="2"/>
    <n v="224"/>
    <n v="2550"/>
    <n v="660"/>
    <x v="1"/>
  </r>
  <r>
    <s v="Sneha"/>
    <x v="0"/>
    <x v="31"/>
    <x v="1"/>
    <x v="7"/>
    <x v="0"/>
    <x v="0"/>
    <x v="1"/>
    <n v="2473"/>
    <n v="4499"/>
    <x v="4"/>
    <n v="449"/>
    <n v="4050"/>
    <n v="1577"/>
    <x v="1"/>
  </r>
  <r>
    <s v="Krishna"/>
    <x v="1"/>
    <x v="208"/>
    <x v="0"/>
    <x v="11"/>
    <x v="1"/>
    <x v="1"/>
    <x v="4"/>
    <n v="374"/>
    <n v="599"/>
    <x v="0"/>
    <n v="0"/>
    <n v="2995"/>
    <n v="1125"/>
    <x v="0"/>
  </r>
  <r>
    <s v="Viraj"/>
    <x v="1"/>
    <x v="205"/>
    <x v="4"/>
    <x v="6"/>
    <x v="1"/>
    <x v="0"/>
    <x v="4"/>
    <n v="502"/>
    <n v="999"/>
    <x v="2"/>
    <n v="149"/>
    <n v="4250"/>
    <n v="1740"/>
    <x v="0"/>
  </r>
  <r>
    <s v="Sanjeev"/>
    <x v="1"/>
    <x v="192"/>
    <x v="3"/>
    <x v="3"/>
    <x v="1"/>
    <x v="0"/>
    <x v="1"/>
    <n v="463"/>
    <n v="899"/>
    <x v="0"/>
    <n v="0"/>
    <n v="899"/>
    <n v="436"/>
    <x v="0"/>
  </r>
  <r>
    <s v="Koushika"/>
    <x v="0"/>
    <x v="20"/>
    <x v="4"/>
    <x v="4"/>
    <x v="2"/>
    <x v="1"/>
    <x v="4"/>
    <n v="253"/>
    <n v="399"/>
    <x v="1"/>
    <n v="79"/>
    <n v="1600"/>
    <n v="335"/>
    <x v="0"/>
  </r>
  <r>
    <s v="Sai Deep"/>
    <x v="1"/>
    <x v="195"/>
    <x v="4"/>
    <x v="15"/>
    <x v="1"/>
    <x v="0"/>
    <x v="1"/>
    <n v="1768"/>
    <n v="2999"/>
    <x v="2"/>
    <n v="449"/>
    <n v="2550"/>
    <n v="782"/>
    <x v="1"/>
  </r>
  <r>
    <s v="Srinivas"/>
    <x v="1"/>
    <x v="76"/>
    <x v="0"/>
    <x v="13"/>
    <x v="2"/>
    <x v="0"/>
    <x v="0"/>
    <n v="220"/>
    <n v="399"/>
    <x v="0"/>
    <n v="0"/>
    <n v="798"/>
    <n v="358"/>
    <x v="0"/>
  </r>
  <r>
    <s v="Lavanya"/>
    <x v="0"/>
    <x v="25"/>
    <x v="2"/>
    <x v="8"/>
    <x v="1"/>
    <x v="1"/>
    <x v="2"/>
    <n v="439"/>
    <n v="699"/>
    <x v="4"/>
    <n v="69"/>
    <n v="1890"/>
    <n v="573"/>
    <x v="0"/>
  </r>
  <r>
    <s v="Sai Deep"/>
    <x v="1"/>
    <x v="18"/>
    <x v="0"/>
    <x v="13"/>
    <x v="0"/>
    <x v="0"/>
    <x v="2"/>
    <n v="229"/>
    <n v="399"/>
    <x v="0"/>
    <n v="0"/>
    <n v="1197"/>
    <n v="510"/>
    <x v="0"/>
  </r>
  <r>
    <s v="Venu"/>
    <x v="1"/>
    <x v="45"/>
    <x v="0"/>
    <x v="0"/>
    <x v="0"/>
    <x v="1"/>
    <x v="1"/>
    <n v="219"/>
    <n v="299"/>
    <x v="0"/>
    <n v="0"/>
    <n v="299"/>
    <n v="80"/>
    <x v="0"/>
  </r>
  <r>
    <s v="Reavanth"/>
    <x v="1"/>
    <x v="32"/>
    <x v="1"/>
    <x v="1"/>
    <x v="1"/>
    <x v="1"/>
    <x v="4"/>
    <n v="892"/>
    <n v="1499"/>
    <x v="2"/>
    <n v="224"/>
    <n v="6375"/>
    <n v="1915"/>
    <x v="0"/>
  </r>
  <r>
    <s v="Tejas"/>
    <x v="1"/>
    <x v="124"/>
    <x v="3"/>
    <x v="3"/>
    <x v="1"/>
    <x v="0"/>
    <x v="1"/>
    <n v="852"/>
    <n v="1199"/>
    <x v="0"/>
    <n v="0"/>
    <n v="1199"/>
    <n v="347"/>
    <x v="0"/>
  </r>
  <r>
    <s v="Vinay"/>
    <x v="1"/>
    <x v="185"/>
    <x v="4"/>
    <x v="5"/>
    <x v="0"/>
    <x v="0"/>
    <x v="1"/>
    <n v="838"/>
    <n v="1599"/>
    <x v="2"/>
    <n v="239"/>
    <n v="1360"/>
    <n v="522"/>
    <x v="0"/>
  </r>
  <r>
    <s v="Sanjeev"/>
    <x v="1"/>
    <x v="16"/>
    <x v="1"/>
    <x v="1"/>
    <x v="1"/>
    <x v="0"/>
    <x v="1"/>
    <n v="1255"/>
    <n v="1699"/>
    <x v="4"/>
    <n v="169"/>
    <n v="1530"/>
    <n v="275"/>
    <x v="0"/>
  </r>
  <r>
    <s v="Tejas"/>
    <x v="1"/>
    <x v="102"/>
    <x v="0"/>
    <x v="11"/>
    <x v="1"/>
    <x v="1"/>
    <x v="1"/>
    <n v="248"/>
    <n v="399"/>
    <x v="0"/>
    <n v="0"/>
    <n v="399"/>
    <n v="151"/>
    <x v="1"/>
  </r>
  <r>
    <s v="Tejas"/>
    <x v="1"/>
    <x v="50"/>
    <x v="1"/>
    <x v="1"/>
    <x v="1"/>
    <x v="1"/>
    <x v="1"/>
    <n v="1266"/>
    <n v="2499"/>
    <x v="1"/>
    <n v="499"/>
    <n v="2000"/>
    <n v="734"/>
    <x v="0"/>
  </r>
  <r>
    <s v="Devi Sree"/>
    <x v="0"/>
    <x v="21"/>
    <x v="3"/>
    <x v="3"/>
    <x v="2"/>
    <x v="1"/>
    <x v="1"/>
    <n v="653"/>
    <n v="1199"/>
    <x v="0"/>
    <n v="0"/>
    <n v="1199"/>
    <n v="546"/>
    <x v="1"/>
  </r>
  <r>
    <s v="Mallesh"/>
    <x v="1"/>
    <x v="68"/>
    <x v="0"/>
    <x v="0"/>
    <x v="2"/>
    <x v="1"/>
    <x v="2"/>
    <n v="177"/>
    <n v="299"/>
    <x v="0"/>
    <n v="0"/>
    <n v="897"/>
    <n v="366"/>
    <x v="0"/>
  </r>
  <r>
    <s v="Swathi"/>
    <x v="0"/>
    <x v="159"/>
    <x v="3"/>
    <x v="3"/>
    <x v="1"/>
    <x v="0"/>
    <x v="1"/>
    <n v="589"/>
    <n v="999"/>
    <x v="0"/>
    <n v="0"/>
    <n v="999"/>
    <n v="410"/>
    <x v="0"/>
  </r>
  <r>
    <s v="Arun"/>
    <x v="1"/>
    <x v="119"/>
    <x v="3"/>
    <x v="3"/>
    <x v="2"/>
    <x v="1"/>
    <x v="0"/>
    <n v="644"/>
    <n v="1199"/>
    <x v="0"/>
    <n v="0"/>
    <n v="2398"/>
    <n v="1110"/>
    <x v="0"/>
  </r>
  <r>
    <s v="Manoj"/>
    <x v="1"/>
    <x v="37"/>
    <x v="1"/>
    <x v="1"/>
    <x v="2"/>
    <x v="0"/>
    <x v="1"/>
    <n v="1059"/>
    <n v="1699"/>
    <x v="4"/>
    <n v="169"/>
    <n v="1530"/>
    <n v="471"/>
    <x v="0"/>
  </r>
  <r>
    <s v="Rahul"/>
    <x v="1"/>
    <x v="25"/>
    <x v="3"/>
    <x v="14"/>
    <x v="2"/>
    <x v="0"/>
    <x v="1"/>
    <n v="834"/>
    <n v="1199"/>
    <x v="0"/>
    <n v="0"/>
    <n v="1199"/>
    <n v="365"/>
    <x v="0"/>
  </r>
  <r>
    <s v="Uday"/>
    <x v="1"/>
    <x v="179"/>
    <x v="4"/>
    <x v="12"/>
    <x v="0"/>
    <x v="1"/>
    <x v="2"/>
    <n v="1261"/>
    <n v="2399"/>
    <x v="2"/>
    <n v="359"/>
    <n v="6120"/>
    <n v="2337"/>
    <x v="0"/>
  </r>
  <r>
    <s v="Rohan"/>
    <x v="1"/>
    <x v="115"/>
    <x v="4"/>
    <x v="6"/>
    <x v="2"/>
    <x v="1"/>
    <x v="1"/>
    <n v="344"/>
    <n v="599"/>
    <x v="4"/>
    <n v="59"/>
    <n v="540"/>
    <n v="196"/>
    <x v="0"/>
  </r>
  <r>
    <s v="Swapna"/>
    <x v="0"/>
    <x v="5"/>
    <x v="1"/>
    <x v="7"/>
    <x v="0"/>
    <x v="0"/>
    <x v="1"/>
    <n v="1262"/>
    <n v="2199"/>
    <x v="3"/>
    <n v="109"/>
    <n v="2090"/>
    <n v="828"/>
    <x v="1"/>
  </r>
  <r>
    <s v="Rohan"/>
    <x v="1"/>
    <x v="95"/>
    <x v="4"/>
    <x v="6"/>
    <x v="0"/>
    <x v="1"/>
    <x v="1"/>
    <n v="343"/>
    <n v="599"/>
    <x v="3"/>
    <n v="29"/>
    <n v="570"/>
    <n v="227"/>
    <x v="0"/>
  </r>
  <r>
    <s v="Manoj"/>
    <x v="1"/>
    <x v="81"/>
    <x v="4"/>
    <x v="6"/>
    <x v="2"/>
    <x v="0"/>
    <x v="1"/>
    <n v="468"/>
    <n v="899"/>
    <x v="3"/>
    <n v="44"/>
    <n v="855"/>
    <n v="387"/>
    <x v="0"/>
  </r>
  <r>
    <s v="Rakesh"/>
    <x v="1"/>
    <x v="44"/>
    <x v="2"/>
    <x v="8"/>
    <x v="1"/>
    <x v="1"/>
    <x v="4"/>
    <n v="871"/>
    <n v="1199"/>
    <x v="4"/>
    <n v="119"/>
    <n v="5400"/>
    <n v="1045"/>
    <x v="0"/>
  </r>
  <r>
    <s v="Anudeep"/>
    <x v="1"/>
    <x v="87"/>
    <x v="2"/>
    <x v="8"/>
    <x v="2"/>
    <x v="1"/>
    <x v="0"/>
    <n v="855"/>
    <n v="1499"/>
    <x v="1"/>
    <n v="299"/>
    <n v="2400"/>
    <n v="690"/>
    <x v="0"/>
  </r>
  <r>
    <s v="Arjun"/>
    <x v="1"/>
    <x v="173"/>
    <x v="1"/>
    <x v="7"/>
    <x v="0"/>
    <x v="0"/>
    <x v="0"/>
    <n v="1439"/>
    <n v="2799"/>
    <x v="4"/>
    <n v="279"/>
    <n v="5040"/>
    <n v="2162"/>
    <x v="0"/>
  </r>
  <r>
    <s v="Kavya"/>
    <x v="0"/>
    <x v="73"/>
    <x v="1"/>
    <x v="7"/>
    <x v="1"/>
    <x v="0"/>
    <x v="2"/>
    <n v="1583"/>
    <n v="2399"/>
    <x v="3"/>
    <n v="119"/>
    <n v="6840"/>
    <n v="2091"/>
    <x v="0"/>
  </r>
  <r>
    <s v="Vikram"/>
    <x v="1"/>
    <x v="19"/>
    <x v="2"/>
    <x v="8"/>
    <x v="1"/>
    <x v="1"/>
    <x v="1"/>
    <n v="974"/>
    <n v="1499"/>
    <x v="2"/>
    <n v="224"/>
    <n v="1275"/>
    <n v="301"/>
    <x v="1"/>
  </r>
  <r>
    <s v="Vijay"/>
    <x v="1"/>
    <x v="89"/>
    <x v="1"/>
    <x v="1"/>
    <x v="2"/>
    <x v="0"/>
    <x v="1"/>
    <n v="928"/>
    <n v="1299"/>
    <x v="3"/>
    <n v="64"/>
    <n v="1235"/>
    <n v="307"/>
    <x v="0"/>
  </r>
  <r>
    <s v="Vinay"/>
    <x v="1"/>
    <x v="58"/>
    <x v="3"/>
    <x v="3"/>
    <x v="0"/>
    <x v="1"/>
    <x v="3"/>
    <n v="541"/>
    <n v="999"/>
    <x v="0"/>
    <n v="0"/>
    <n v="3996"/>
    <n v="1832"/>
    <x v="1"/>
  </r>
  <r>
    <s v="Rakesh"/>
    <x v="1"/>
    <x v="80"/>
    <x v="3"/>
    <x v="3"/>
    <x v="2"/>
    <x v="1"/>
    <x v="3"/>
    <n v="817"/>
    <n v="1199"/>
    <x v="0"/>
    <n v="0"/>
    <n v="4796"/>
    <n v="1528"/>
    <x v="1"/>
  </r>
  <r>
    <s v="Sai Deep"/>
    <x v="1"/>
    <x v="32"/>
    <x v="2"/>
    <x v="8"/>
    <x v="2"/>
    <x v="1"/>
    <x v="0"/>
    <n v="427"/>
    <n v="699"/>
    <x v="4"/>
    <n v="69"/>
    <n v="1260"/>
    <n v="406"/>
    <x v="0"/>
  </r>
  <r>
    <s v="Nandhini"/>
    <x v="0"/>
    <x v="191"/>
    <x v="0"/>
    <x v="13"/>
    <x v="2"/>
    <x v="1"/>
    <x v="1"/>
    <n v="325"/>
    <n v="499"/>
    <x v="0"/>
    <n v="0"/>
    <n v="499"/>
    <n v="174"/>
    <x v="0"/>
  </r>
  <r>
    <s v="Arjun"/>
    <x v="1"/>
    <x v="180"/>
    <x v="0"/>
    <x v="11"/>
    <x v="1"/>
    <x v="0"/>
    <x v="2"/>
    <n v="463"/>
    <n v="799"/>
    <x v="0"/>
    <n v="0"/>
    <n v="2397"/>
    <n v="1008"/>
    <x v="1"/>
  </r>
  <r>
    <s v="Anjali"/>
    <x v="0"/>
    <x v="44"/>
    <x v="1"/>
    <x v="7"/>
    <x v="1"/>
    <x v="0"/>
    <x v="1"/>
    <n v="1641"/>
    <n v="2599"/>
    <x v="2"/>
    <n v="389"/>
    <n v="2210"/>
    <n v="569"/>
    <x v="1"/>
  </r>
  <r>
    <s v="Anjali"/>
    <x v="0"/>
    <x v="62"/>
    <x v="2"/>
    <x v="2"/>
    <x v="1"/>
    <x v="1"/>
    <x v="0"/>
    <n v="478"/>
    <n v="699"/>
    <x v="3"/>
    <n v="34"/>
    <n v="1330"/>
    <n v="374"/>
    <x v="0"/>
  </r>
  <r>
    <s v="Uday"/>
    <x v="1"/>
    <x v="145"/>
    <x v="2"/>
    <x v="2"/>
    <x v="1"/>
    <x v="1"/>
    <x v="4"/>
    <n v="318"/>
    <n v="599"/>
    <x v="2"/>
    <n v="89"/>
    <n v="2550"/>
    <n v="960"/>
    <x v="0"/>
  </r>
  <r>
    <s v="Bharath"/>
    <x v="1"/>
    <x v="9"/>
    <x v="0"/>
    <x v="11"/>
    <x v="2"/>
    <x v="1"/>
    <x v="2"/>
    <n v="396"/>
    <n v="599"/>
    <x v="0"/>
    <n v="0"/>
    <n v="1797"/>
    <n v="609"/>
    <x v="0"/>
  </r>
  <r>
    <s v="Neha"/>
    <x v="0"/>
    <x v="65"/>
    <x v="4"/>
    <x v="16"/>
    <x v="2"/>
    <x v="0"/>
    <x v="0"/>
    <n v="887"/>
    <n v="1199"/>
    <x v="4"/>
    <n v="119"/>
    <n v="2160"/>
    <n v="386"/>
    <x v="1"/>
  </r>
  <r>
    <s v="Rakesh"/>
    <x v="1"/>
    <x v="187"/>
    <x v="1"/>
    <x v="1"/>
    <x v="2"/>
    <x v="1"/>
    <x v="1"/>
    <n v="1649"/>
    <n v="2299"/>
    <x v="4"/>
    <n v="229"/>
    <n v="2070"/>
    <n v="421"/>
    <x v="0"/>
  </r>
  <r>
    <s v="Sai"/>
    <x v="1"/>
    <x v="208"/>
    <x v="2"/>
    <x v="2"/>
    <x v="2"/>
    <x v="0"/>
    <x v="1"/>
    <n v="310"/>
    <n v="499"/>
    <x v="4"/>
    <n v="49"/>
    <n v="450"/>
    <n v="140"/>
    <x v="0"/>
  </r>
  <r>
    <s v="Srujan"/>
    <x v="1"/>
    <x v="15"/>
    <x v="4"/>
    <x v="6"/>
    <x v="0"/>
    <x v="1"/>
    <x v="0"/>
    <n v="850"/>
    <n v="1199"/>
    <x v="4"/>
    <n v="119"/>
    <n v="2160"/>
    <n v="460"/>
    <x v="1"/>
  </r>
  <r>
    <s v="Srujan"/>
    <x v="1"/>
    <x v="86"/>
    <x v="3"/>
    <x v="3"/>
    <x v="0"/>
    <x v="0"/>
    <x v="0"/>
    <n v="839"/>
    <n v="1499"/>
    <x v="0"/>
    <n v="0"/>
    <n v="2998"/>
    <n v="1320"/>
    <x v="0"/>
  </r>
  <r>
    <s v="Rahul"/>
    <x v="1"/>
    <x v="62"/>
    <x v="1"/>
    <x v="1"/>
    <x v="2"/>
    <x v="0"/>
    <x v="1"/>
    <n v="753"/>
    <n v="1299"/>
    <x v="3"/>
    <n v="64"/>
    <n v="1235"/>
    <n v="482"/>
    <x v="0"/>
  </r>
  <r>
    <s v="Shivani"/>
    <x v="0"/>
    <x v="3"/>
    <x v="2"/>
    <x v="2"/>
    <x v="0"/>
    <x v="1"/>
    <x v="2"/>
    <n v="358"/>
    <n v="499"/>
    <x v="4"/>
    <n v="49"/>
    <n v="1350"/>
    <n v="276"/>
    <x v="0"/>
  </r>
  <r>
    <s v="Reavanth"/>
    <x v="1"/>
    <x v="152"/>
    <x v="3"/>
    <x v="3"/>
    <x v="2"/>
    <x v="0"/>
    <x v="1"/>
    <n v="639"/>
    <n v="999"/>
    <x v="0"/>
    <n v="0"/>
    <n v="999"/>
    <n v="360"/>
    <x v="1"/>
  </r>
  <r>
    <s v="Srujan"/>
    <x v="1"/>
    <x v="116"/>
    <x v="4"/>
    <x v="12"/>
    <x v="0"/>
    <x v="1"/>
    <x v="2"/>
    <n v="1721"/>
    <n v="2499"/>
    <x v="1"/>
    <n v="499"/>
    <n v="6000"/>
    <n v="837"/>
    <x v="1"/>
  </r>
  <r>
    <s v="Manoj"/>
    <x v="1"/>
    <x v="180"/>
    <x v="3"/>
    <x v="14"/>
    <x v="0"/>
    <x v="1"/>
    <x v="4"/>
    <n v="699"/>
    <n v="999"/>
    <x v="0"/>
    <n v="0"/>
    <n v="4995"/>
    <n v="1500"/>
    <x v="0"/>
  </r>
  <r>
    <s v="Viraj"/>
    <x v="1"/>
    <x v="129"/>
    <x v="2"/>
    <x v="2"/>
    <x v="2"/>
    <x v="1"/>
    <x v="0"/>
    <n v="382"/>
    <n v="599"/>
    <x v="4"/>
    <n v="59"/>
    <n v="1080"/>
    <n v="316"/>
    <x v="0"/>
  </r>
  <r>
    <s v="Vikram"/>
    <x v="1"/>
    <x v="150"/>
    <x v="2"/>
    <x v="8"/>
    <x v="1"/>
    <x v="0"/>
    <x v="4"/>
    <n v="1204"/>
    <n v="1699"/>
    <x v="4"/>
    <n v="169"/>
    <n v="7650"/>
    <n v="1630"/>
    <x v="1"/>
  </r>
  <r>
    <s v="Rakesh"/>
    <x v="1"/>
    <x v="93"/>
    <x v="0"/>
    <x v="13"/>
    <x v="2"/>
    <x v="1"/>
    <x v="1"/>
    <n v="252"/>
    <n v="499"/>
    <x v="0"/>
    <n v="0"/>
    <n v="499"/>
    <n v="247"/>
    <x v="1"/>
  </r>
  <r>
    <s v="Devi Sree"/>
    <x v="0"/>
    <x v="18"/>
    <x v="4"/>
    <x v="4"/>
    <x v="0"/>
    <x v="1"/>
    <x v="1"/>
    <n v="272"/>
    <n v="499"/>
    <x v="1"/>
    <n v="99"/>
    <n v="400"/>
    <n v="128"/>
    <x v="0"/>
  </r>
  <r>
    <s v="Karthik"/>
    <x v="1"/>
    <x v="47"/>
    <x v="0"/>
    <x v="11"/>
    <x v="1"/>
    <x v="0"/>
    <x v="4"/>
    <n v="222"/>
    <n v="399"/>
    <x v="0"/>
    <n v="0"/>
    <n v="1995"/>
    <n v="885"/>
    <x v="1"/>
  </r>
  <r>
    <s v="Laxmi"/>
    <x v="0"/>
    <x v="172"/>
    <x v="3"/>
    <x v="3"/>
    <x v="2"/>
    <x v="1"/>
    <x v="4"/>
    <n v="914"/>
    <n v="1499"/>
    <x v="0"/>
    <n v="0"/>
    <n v="7495"/>
    <n v="2925"/>
    <x v="0"/>
  </r>
  <r>
    <s v="Bharath"/>
    <x v="1"/>
    <x v="65"/>
    <x v="4"/>
    <x v="15"/>
    <x v="2"/>
    <x v="0"/>
    <x v="1"/>
    <n v="1507"/>
    <n v="2699"/>
    <x v="3"/>
    <n v="134"/>
    <n v="2565"/>
    <n v="1058"/>
    <x v="1"/>
  </r>
  <r>
    <s v="Isha"/>
    <x v="0"/>
    <x v="99"/>
    <x v="0"/>
    <x v="0"/>
    <x v="2"/>
    <x v="1"/>
    <x v="1"/>
    <n v="374"/>
    <n v="499"/>
    <x v="0"/>
    <n v="0"/>
    <n v="499"/>
    <n v="125"/>
    <x v="0"/>
  </r>
  <r>
    <s v="Anjali"/>
    <x v="0"/>
    <x v="50"/>
    <x v="3"/>
    <x v="14"/>
    <x v="2"/>
    <x v="1"/>
    <x v="0"/>
    <n v="1075"/>
    <n v="1499"/>
    <x v="0"/>
    <n v="0"/>
    <n v="2998"/>
    <n v="848"/>
    <x v="0"/>
  </r>
  <r>
    <s v="Sneha"/>
    <x v="0"/>
    <x v="60"/>
    <x v="3"/>
    <x v="14"/>
    <x v="2"/>
    <x v="0"/>
    <x v="0"/>
    <n v="936"/>
    <n v="1499"/>
    <x v="0"/>
    <n v="0"/>
    <n v="2998"/>
    <n v="1126"/>
    <x v="1"/>
  </r>
  <r>
    <s v="Shiva"/>
    <x v="1"/>
    <x v="53"/>
    <x v="2"/>
    <x v="8"/>
    <x v="2"/>
    <x v="0"/>
    <x v="1"/>
    <n v="1094"/>
    <n v="1499"/>
    <x v="1"/>
    <n v="299"/>
    <n v="1200"/>
    <n v="106"/>
    <x v="1"/>
  </r>
  <r>
    <s v="Pravalika"/>
    <x v="0"/>
    <x v="61"/>
    <x v="0"/>
    <x v="11"/>
    <x v="1"/>
    <x v="0"/>
    <x v="1"/>
    <n v="278"/>
    <n v="499"/>
    <x v="0"/>
    <n v="0"/>
    <n v="499"/>
    <n v="221"/>
    <x v="0"/>
  </r>
  <r>
    <s v="Bharath"/>
    <x v="1"/>
    <x v="193"/>
    <x v="3"/>
    <x v="3"/>
    <x v="2"/>
    <x v="1"/>
    <x v="0"/>
    <n v="490"/>
    <n v="899"/>
    <x v="0"/>
    <n v="0"/>
    <n v="1798"/>
    <n v="818"/>
    <x v="0"/>
  </r>
  <r>
    <s v="Vasanth"/>
    <x v="1"/>
    <x v="194"/>
    <x v="1"/>
    <x v="7"/>
    <x v="2"/>
    <x v="1"/>
    <x v="1"/>
    <n v="1694"/>
    <n v="2499"/>
    <x v="1"/>
    <n v="499"/>
    <n v="2000"/>
    <n v="306"/>
    <x v="0"/>
  </r>
  <r>
    <s v=" Praveen"/>
    <x v="1"/>
    <x v="48"/>
    <x v="4"/>
    <x v="6"/>
    <x v="2"/>
    <x v="0"/>
    <x v="1"/>
    <n v="626"/>
    <n v="899"/>
    <x v="4"/>
    <n v="89"/>
    <n v="810"/>
    <n v="184"/>
    <x v="1"/>
  </r>
  <r>
    <s v="Shiva"/>
    <x v="1"/>
    <x v="30"/>
    <x v="1"/>
    <x v="1"/>
    <x v="0"/>
    <x v="0"/>
    <x v="0"/>
    <n v="838"/>
    <n v="1199"/>
    <x v="4"/>
    <n v="119"/>
    <n v="2160"/>
    <n v="484"/>
    <x v="0"/>
  </r>
  <r>
    <s v="Anudeep"/>
    <x v="1"/>
    <x v="187"/>
    <x v="3"/>
    <x v="3"/>
    <x v="1"/>
    <x v="0"/>
    <x v="4"/>
    <n v="521"/>
    <n v="999"/>
    <x v="0"/>
    <n v="0"/>
    <n v="4995"/>
    <n v="2390"/>
    <x v="0"/>
  </r>
  <r>
    <s v="Sneha"/>
    <x v="0"/>
    <x v="118"/>
    <x v="0"/>
    <x v="0"/>
    <x v="1"/>
    <x v="0"/>
    <x v="3"/>
    <n v="410"/>
    <n v="599"/>
    <x v="0"/>
    <n v="0"/>
    <n v="2396"/>
    <n v="756"/>
    <x v="0"/>
  </r>
  <r>
    <s v="Aditya"/>
    <x v="1"/>
    <x v="131"/>
    <x v="0"/>
    <x v="13"/>
    <x v="1"/>
    <x v="0"/>
    <x v="0"/>
    <n v="249"/>
    <n v="399"/>
    <x v="0"/>
    <n v="0"/>
    <n v="798"/>
    <n v="300"/>
    <x v="0"/>
  </r>
  <r>
    <s v="Srawani"/>
    <x v="0"/>
    <x v="150"/>
    <x v="0"/>
    <x v="13"/>
    <x v="2"/>
    <x v="1"/>
    <x v="1"/>
    <n v="359"/>
    <n v="499"/>
    <x v="0"/>
    <n v="0"/>
    <n v="499"/>
    <n v="140"/>
    <x v="1"/>
  </r>
  <r>
    <s v="Venu"/>
    <x v="1"/>
    <x v="64"/>
    <x v="0"/>
    <x v="11"/>
    <x v="1"/>
    <x v="0"/>
    <x v="4"/>
    <n v="393"/>
    <n v="599"/>
    <x v="0"/>
    <n v="0"/>
    <n v="2995"/>
    <n v="1030"/>
    <x v="0"/>
  </r>
  <r>
    <s v="Deepak"/>
    <x v="1"/>
    <x v="179"/>
    <x v="0"/>
    <x v="13"/>
    <x v="0"/>
    <x v="0"/>
    <x v="4"/>
    <n v="271"/>
    <n v="399"/>
    <x v="0"/>
    <n v="0"/>
    <n v="1995"/>
    <n v="640"/>
    <x v="0"/>
  </r>
  <r>
    <s v="Viraj"/>
    <x v="1"/>
    <x v="164"/>
    <x v="4"/>
    <x v="12"/>
    <x v="2"/>
    <x v="1"/>
    <x v="3"/>
    <n v="1138"/>
    <n v="1899"/>
    <x v="1"/>
    <n v="379"/>
    <n v="6080"/>
    <n v="1528"/>
    <x v="0"/>
  </r>
  <r>
    <s v="Pravalika"/>
    <x v="0"/>
    <x v="207"/>
    <x v="4"/>
    <x v="12"/>
    <x v="0"/>
    <x v="0"/>
    <x v="1"/>
    <n v="1505"/>
    <n v="2399"/>
    <x v="2"/>
    <n v="359"/>
    <n v="2040"/>
    <n v="535"/>
    <x v="0"/>
  </r>
  <r>
    <s v="Thanuja"/>
    <x v="0"/>
    <x v="110"/>
    <x v="2"/>
    <x v="2"/>
    <x v="1"/>
    <x v="0"/>
    <x v="1"/>
    <n v="349"/>
    <n v="499"/>
    <x v="4"/>
    <n v="49"/>
    <n v="450"/>
    <n v="101"/>
    <x v="0"/>
  </r>
  <r>
    <s v="Rahul"/>
    <x v="1"/>
    <x v="87"/>
    <x v="4"/>
    <x v="6"/>
    <x v="2"/>
    <x v="0"/>
    <x v="0"/>
    <n v="612"/>
    <n v="999"/>
    <x v="1"/>
    <n v="199"/>
    <n v="1600"/>
    <n v="376"/>
    <x v="0"/>
  </r>
  <r>
    <s v="Pooja"/>
    <x v="0"/>
    <x v="10"/>
    <x v="3"/>
    <x v="14"/>
    <x v="1"/>
    <x v="1"/>
    <x v="0"/>
    <n v="1100"/>
    <n v="1499"/>
    <x v="0"/>
    <n v="0"/>
    <n v="2998"/>
    <n v="798"/>
    <x v="0"/>
  </r>
  <r>
    <s v="Aarav"/>
    <x v="1"/>
    <x v="114"/>
    <x v="4"/>
    <x v="16"/>
    <x v="0"/>
    <x v="1"/>
    <x v="0"/>
    <n v="1186"/>
    <n v="2199"/>
    <x v="3"/>
    <n v="109"/>
    <n v="4180"/>
    <n v="1808"/>
    <x v="0"/>
  </r>
  <r>
    <s v="Srujan"/>
    <x v="1"/>
    <x v="43"/>
    <x v="4"/>
    <x v="15"/>
    <x v="0"/>
    <x v="1"/>
    <x v="3"/>
    <n v="1561"/>
    <n v="2199"/>
    <x v="3"/>
    <n v="109"/>
    <n v="8360"/>
    <n v="2116"/>
    <x v="0"/>
  </r>
  <r>
    <s v="Koushika"/>
    <x v="0"/>
    <x v="161"/>
    <x v="4"/>
    <x v="5"/>
    <x v="0"/>
    <x v="1"/>
    <x v="0"/>
    <n v="959"/>
    <n v="1399"/>
    <x v="3"/>
    <n v="69"/>
    <n v="2660"/>
    <n v="742"/>
    <x v="1"/>
  </r>
  <r>
    <s v="Krishna"/>
    <x v="1"/>
    <x v="33"/>
    <x v="0"/>
    <x v="13"/>
    <x v="2"/>
    <x v="0"/>
    <x v="3"/>
    <n v="303"/>
    <n v="499"/>
    <x v="0"/>
    <n v="0"/>
    <n v="1996"/>
    <n v="784"/>
    <x v="0"/>
  </r>
  <r>
    <s v="Ananya"/>
    <x v="0"/>
    <x v="45"/>
    <x v="2"/>
    <x v="8"/>
    <x v="2"/>
    <x v="0"/>
    <x v="0"/>
    <n v="1398"/>
    <n v="1999"/>
    <x v="4"/>
    <n v="199"/>
    <n v="3600"/>
    <n v="804"/>
    <x v="0"/>
  </r>
  <r>
    <s v="Kavya"/>
    <x v="0"/>
    <x v="181"/>
    <x v="4"/>
    <x v="5"/>
    <x v="1"/>
    <x v="0"/>
    <x v="3"/>
    <n v="497"/>
    <n v="899"/>
    <x v="2"/>
    <n v="134"/>
    <n v="3060"/>
    <n v="1072"/>
    <x v="0"/>
  </r>
  <r>
    <s v="Pooja"/>
    <x v="0"/>
    <x v="95"/>
    <x v="0"/>
    <x v="9"/>
    <x v="0"/>
    <x v="0"/>
    <x v="1"/>
    <n v="175"/>
    <n v="299"/>
    <x v="0"/>
    <n v="0"/>
    <n v="299"/>
    <n v="124"/>
    <x v="0"/>
  </r>
  <r>
    <s v="Sai Deep"/>
    <x v="1"/>
    <x v="183"/>
    <x v="2"/>
    <x v="2"/>
    <x v="0"/>
    <x v="1"/>
    <x v="4"/>
    <n v="544"/>
    <n v="799"/>
    <x v="2"/>
    <n v="119"/>
    <n v="3400"/>
    <n v="680"/>
    <x v="0"/>
  </r>
  <r>
    <s v="Neha"/>
    <x v="0"/>
    <x v="97"/>
    <x v="4"/>
    <x v="6"/>
    <x v="0"/>
    <x v="0"/>
    <x v="0"/>
    <n v="453"/>
    <n v="699"/>
    <x v="1"/>
    <n v="139"/>
    <n v="1120"/>
    <n v="214"/>
    <x v="0"/>
  </r>
  <r>
    <s v="Pooja"/>
    <x v="0"/>
    <x v="200"/>
    <x v="2"/>
    <x v="8"/>
    <x v="0"/>
    <x v="1"/>
    <x v="3"/>
    <n v="430"/>
    <n v="699"/>
    <x v="3"/>
    <n v="34"/>
    <n v="2660"/>
    <n v="940"/>
    <x v="0"/>
  </r>
  <r>
    <s v="Harsha"/>
    <x v="1"/>
    <x v="180"/>
    <x v="0"/>
    <x v="11"/>
    <x v="1"/>
    <x v="0"/>
    <x v="3"/>
    <n v="212"/>
    <n v="299"/>
    <x v="0"/>
    <n v="0"/>
    <n v="1196"/>
    <n v="348"/>
    <x v="1"/>
  </r>
  <r>
    <s v="Arjun"/>
    <x v="1"/>
    <x v="67"/>
    <x v="4"/>
    <x v="12"/>
    <x v="2"/>
    <x v="0"/>
    <x v="0"/>
    <n v="1123"/>
    <n v="2199"/>
    <x v="3"/>
    <n v="109"/>
    <n v="4180"/>
    <n v="1934"/>
    <x v="0"/>
  </r>
  <r>
    <s v="Anudeep"/>
    <x v="1"/>
    <x v="45"/>
    <x v="2"/>
    <x v="2"/>
    <x v="0"/>
    <x v="0"/>
    <x v="0"/>
    <n v="271"/>
    <n v="499"/>
    <x v="1"/>
    <n v="99"/>
    <n v="800"/>
    <n v="258"/>
    <x v="0"/>
  </r>
  <r>
    <s v="Swathi"/>
    <x v="0"/>
    <x v="149"/>
    <x v="0"/>
    <x v="13"/>
    <x v="0"/>
    <x v="1"/>
    <x v="1"/>
    <n v="272"/>
    <n v="399"/>
    <x v="0"/>
    <n v="0"/>
    <n v="399"/>
    <n v="127"/>
    <x v="0"/>
  </r>
  <r>
    <s v="Swathi"/>
    <x v="0"/>
    <x v="139"/>
    <x v="1"/>
    <x v="1"/>
    <x v="1"/>
    <x v="0"/>
    <x v="4"/>
    <n v="1503"/>
    <n v="2199"/>
    <x v="3"/>
    <n v="109"/>
    <n v="10450"/>
    <n v="2935"/>
    <x v="0"/>
  </r>
  <r>
    <s v="Krishna"/>
    <x v="1"/>
    <x v="153"/>
    <x v="1"/>
    <x v="7"/>
    <x v="2"/>
    <x v="1"/>
    <x v="1"/>
    <n v="1896"/>
    <n v="2699"/>
    <x v="3"/>
    <n v="134"/>
    <n v="2565"/>
    <n v="669"/>
    <x v="0"/>
  </r>
  <r>
    <s v="Anudeep"/>
    <x v="1"/>
    <x v="102"/>
    <x v="2"/>
    <x v="2"/>
    <x v="0"/>
    <x v="0"/>
    <x v="1"/>
    <n v="429"/>
    <n v="799"/>
    <x v="2"/>
    <n v="119"/>
    <n v="680"/>
    <n v="251"/>
    <x v="1"/>
  </r>
  <r>
    <s v="Devi"/>
    <x v="0"/>
    <x v="23"/>
    <x v="3"/>
    <x v="3"/>
    <x v="2"/>
    <x v="1"/>
    <x v="3"/>
    <n v="518"/>
    <n v="999"/>
    <x v="0"/>
    <n v="0"/>
    <n v="3996"/>
    <n v="1924"/>
    <x v="1"/>
  </r>
  <r>
    <s v="Vinay"/>
    <x v="1"/>
    <x v="27"/>
    <x v="2"/>
    <x v="2"/>
    <x v="1"/>
    <x v="1"/>
    <x v="0"/>
    <n v="588"/>
    <n v="799"/>
    <x v="1"/>
    <n v="159"/>
    <n v="1280"/>
    <n v="104"/>
    <x v="1"/>
  </r>
  <r>
    <s v="Rakesh"/>
    <x v="1"/>
    <x v="39"/>
    <x v="3"/>
    <x v="3"/>
    <x v="1"/>
    <x v="0"/>
    <x v="1"/>
    <n v="640"/>
    <n v="899"/>
    <x v="0"/>
    <n v="0"/>
    <n v="899"/>
    <n v="259"/>
    <x v="0"/>
  </r>
  <r>
    <s v="Vinay"/>
    <x v="1"/>
    <x v="133"/>
    <x v="4"/>
    <x v="4"/>
    <x v="1"/>
    <x v="1"/>
    <x v="1"/>
    <n v="246"/>
    <n v="399"/>
    <x v="1"/>
    <n v="79"/>
    <n v="320"/>
    <n v="74"/>
    <x v="0"/>
  </r>
  <r>
    <s v="Rohan"/>
    <x v="1"/>
    <x v="143"/>
    <x v="1"/>
    <x v="7"/>
    <x v="1"/>
    <x v="0"/>
    <x v="4"/>
    <n v="1740"/>
    <n v="2799"/>
    <x v="4"/>
    <n v="279"/>
    <n v="12600"/>
    <n v="3900"/>
    <x v="0"/>
  </r>
  <r>
    <s v="Vinay"/>
    <x v="1"/>
    <x v="167"/>
    <x v="2"/>
    <x v="8"/>
    <x v="0"/>
    <x v="1"/>
    <x v="3"/>
    <n v="446"/>
    <n v="799"/>
    <x v="2"/>
    <n v="119"/>
    <n v="2720"/>
    <n v="936"/>
    <x v="0"/>
  </r>
  <r>
    <s v="Shiva"/>
    <x v="1"/>
    <x v="68"/>
    <x v="0"/>
    <x v="13"/>
    <x v="1"/>
    <x v="0"/>
    <x v="1"/>
    <n v="208"/>
    <n v="399"/>
    <x v="0"/>
    <n v="0"/>
    <n v="399"/>
    <n v="191"/>
    <x v="1"/>
  </r>
  <r>
    <s v="Hema"/>
    <x v="0"/>
    <x v="209"/>
    <x v="4"/>
    <x v="12"/>
    <x v="0"/>
    <x v="1"/>
    <x v="1"/>
    <n v="1134"/>
    <n v="2199"/>
    <x v="3"/>
    <n v="109"/>
    <n v="2090"/>
    <n v="956"/>
    <x v="1"/>
  </r>
  <r>
    <s v="Sai"/>
    <x v="1"/>
    <x v="47"/>
    <x v="4"/>
    <x v="5"/>
    <x v="2"/>
    <x v="0"/>
    <x v="1"/>
    <n v="650"/>
    <n v="899"/>
    <x v="2"/>
    <n v="134"/>
    <n v="765"/>
    <n v="115"/>
    <x v="0"/>
  </r>
  <r>
    <s v="Vasanth"/>
    <x v="1"/>
    <x v="116"/>
    <x v="2"/>
    <x v="8"/>
    <x v="1"/>
    <x v="1"/>
    <x v="0"/>
    <n v="1412"/>
    <n v="1999"/>
    <x v="4"/>
    <n v="199"/>
    <n v="3600"/>
    <n v="776"/>
    <x v="0"/>
  </r>
  <r>
    <s v="Aditya"/>
    <x v="1"/>
    <x v="58"/>
    <x v="3"/>
    <x v="14"/>
    <x v="1"/>
    <x v="0"/>
    <x v="1"/>
    <n v="395"/>
    <n v="699"/>
    <x v="0"/>
    <n v="0"/>
    <n v="699"/>
    <n v="304"/>
    <x v="0"/>
  </r>
  <r>
    <s v="Sanjeev"/>
    <x v="1"/>
    <x v="88"/>
    <x v="3"/>
    <x v="14"/>
    <x v="1"/>
    <x v="1"/>
    <x v="1"/>
    <n v="688"/>
    <n v="999"/>
    <x v="0"/>
    <n v="0"/>
    <n v="999"/>
    <n v="311"/>
    <x v="0"/>
  </r>
  <r>
    <s v="Arjun"/>
    <x v="1"/>
    <x v="45"/>
    <x v="0"/>
    <x v="13"/>
    <x v="0"/>
    <x v="0"/>
    <x v="1"/>
    <n v="258"/>
    <n v="499"/>
    <x v="0"/>
    <n v="0"/>
    <n v="499"/>
    <n v="241"/>
    <x v="1"/>
  </r>
  <r>
    <s v="Chandrika"/>
    <x v="0"/>
    <x v="176"/>
    <x v="0"/>
    <x v="0"/>
    <x v="0"/>
    <x v="1"/>
    <x v="1"/>
    <n v="418"/>
    <n v="599"/>
    <x v="0"/>
    <n v="0"/>
    <n v="599"/>
    <n v="181"/>
    <x v="1"/>
  </r>
  <r>
    <s v="Vivaan"/>
    <x v="1"/>
    <x v="123"/>
    <x v="4"/>
    <x v="10"/>
    <x v="0"/>
    <x v="0"/>
    <x v="1"/>
    <n v="559"/>
    <n v="899"/>
    <x v="4"/>
    <n v="89"/>
    <n v="810"/>
    <n v="251"/>
    <x v="1"/>
  </r>
  <r>
    <s v="Swapna"/>
    <x v="0"/>
    <x v="206"/>
    <x v="4"/>
    <x v="6"/>
    <x v="2"/>
    <x v="1"/>
    <x v="3"/>
    <n v="642"/>
    <n v="899"/>
    <x v="3"/>
    <n v="44"/>
    <n v="3420"/>
    <n v="852"/>
    <x v="0"/>
  </r>
  <r>
    <s v="Srujan"/>
    <x v="1"/>
    <x v="206"/>
    <x v="4"/>
    <x v="16"/>
    <x v="2"/>
    <x v="1"/>
    <x v="1"/>
    <n v="1333"/>
    <n v="1799"/>
    <x v="2"/>
    <n v="269"/>
    <n v="1530"/>
    <n v="197"/>
    <x v="1"/>
  </r>
  <r>
    <s v="Anvesh"/>
    <x v="1"/>
    <x v="82"/>
    <x v="2"/>
    <x v="8"/>
    <x v="1"/>
    <x v="0"/>
    <x v="1"/>
    <n v="719"/>
    <n v="1299"/>
    <x v="1"/>
    <n v="259"/>
    <n v="1040"/>
    <n v="321"/>
    <x v="1"/>
  </r>
  <r>
    <s v="Shivani"/>
    <x v="0"/>
    <x v="73"/>
    <x v="3"/>
    <x v="3"/>
    <x v="2"/>
    <x v="0"/>
    <x v="1"/>
    <n v="699"/>
    <n v="1199"/>
    <x v="0"/>
    <n v="0"/>
    <n v="1199"/>
    <n v="500"/>
    <x v="1"/>
  </r>
  <r>
    <s v="Tejas"/>
    <x v="1"/>
    <x v="183"/>
    <x v="3"/>
    <x v="3"/>
    <x v="2"/>
    <x v="1"/>
    <x v="1"/>
    <n v="774"/>
    <n v="1199"/>
    <x v="0"/>
    <n v="0"/>
    <n v="1199"/>
    <n v="425"/>
    <x v="0"/>
  </r>
  <r>
    <s v="Vasanth"/>
    <x v="1"/>
    <x v="41"/>
    <x v="0"/>
    <x v="9"/>
    <x v="0"/>
    <x v="0"/>
    <x v="1"/>
    <n v="345"/>
    <n v="499"/>
    <x v="0"/>
    <n v="0"/>
    <n v="499"/>
    <n v="154"/>
    <x v="1"/>
  </r>
  <r>
    <s v="Rakesh"/>
    <x v="1"/>
    <x v="134"/>
    <x v="2"/>
    <x v="2"/>
    <x v="0"/>
    <x v="0"/>
    <x v="0"/>
    <n v="381"/>
    <n v="599"/>
    <x v="2"/>
    <n v="89"/>
    <n v="1020"/>
    <n v="258"/>
    <x v="1"/>
  </r>
  <r>
    <s v="Hema"/>
    <x v="0"/>
    <x v="16"/>
    <x v="4"/>
    <x v="6"/>
    <x v="2"/>
    <x v="0"/>
    <x v="1"/>
    <n v="913"/>
    <n v="1299"/>
    <x v="1"/>
    <n v="259"/>
    <n v="1040"/>
    <n v="127"/>
    <x v="1"/>
  </r>
  <r>
    <s v="Aadhya"/>
    <x v="0"/>
    <x v="11"/>
    <x v="0"/>
    <x v="11"/>
    <x v="2"/>
    <x v="0"/>
    <x v="1"/>
    <n v="488"/>
    <n v="799"/>
    <x v="0"/>
    <n v="0"/>
    <n v="799"/>
    <n v="311"/>
    <x v="0"/>
  </r>
  <r>
    <s v=" Praveen"/>
    <x v="1"/>
    <x v="47"/>
    <x v="3"/>
    <x v="3"/>
    <x v="2"/>
    <x v="0"/>
    <x v="0"/>
    <n v="737"/>
    <n v="1399"/>
    <x v="0"/>
    <n v="0"/>
    <n v="2798"/>
    <n v="1324"/>
    <x v="0"/>
  </r>
  <r>
    <s v="Swetha"/>
    <x v="0"/>
    <x v="123"/>
    <x v="2"/>
    <x v="2"/>
    <x v="0"/>
    <x v="1"/>
    <x v="1"/>
    <n v="343"/>
    <n v="499"/>
    <x v="2"/>
    <n v="74"/>
    <n v="425"/>
    <n v="82"/>
    <x v="0"/>
  </r>
  <r>
    <s v="Venu"/>
    <x v="1"/>
    <x v="124"/>
    <x v="2"/>
    <x v="8"/>
    <x v="0"/>
    <x v="1"/>
    <x v="4"/>
    <n v="778"/>
    <n v="1299"/>
    <x v="1"/>
    <n v="259"/>
    <n v="5200"/>
    <n v="1310"/>
    <x v="0"/>
  </r>
  <r>
    <s v="Aarav"/>
    <x v="1"/>
    <x v="79"/>
    <x v="1"/>
    <x v="7"/>
    <x v="2"/>
    <x v="1"/>
    <x v="1"/>
    <n v="1985"/>
    <n v="2799"/>
    <x v="1"/>
    <n v="559"/>
    <n v="2240"/>
    <n v="255"/>
    <x v="0"/>
  </r>
  <r>
    <s v="Swetha"/>
    <x v="0"/>
    <x v="26"/>
    <x v="2"/>
    <x v="2"/>
    <x v="1"/>
    <x v="1"/>
    <x v="1"/>
    <n v="346"/>
    <n v="599"/>
    <x v="4"/>
    <n v="59"/>
    <n v="540"/>
    <n v="194"/>
    <x v="1"/>
  </r>
  <r>
    <s v="Swapna"/>
    <x v="0"/>
    <x v="209"/>
    <x v="1"/>
    <x v="1"/>
    <x v="2"/>
    <x v="1"/>
    <x v="1"/>
    <n v="870"/>
    <n v="1299"/>
    <x v="3"/>
    <n v="64"/>
    <n v="1235"/>
    <n v="365"/>
    <x v="0"/>
  </r>
  <r>
    <s v="Deepak"/>
    <x v="1"/>
    <x v="162"/>
    <x v="3"/>
    <x v="3"/>
    <x v="0"/>
    <x v="0"/>
    <x v="0"/>
    <n v="783"/>
    <n v="1499"/>
    <x v="0"/>
    <n v="0"/>
    <n v="2998"/>
    <n v="1432"/>
    <x v="1"/>
  </r>
  <r>
    <s v="Anvesh"/>
    <x v="1"/>
    <x v="50"/>
    <x v="3"/>
    <x v="14"/>
    <x v="2"/>
    <x v="0"/>
    <x v="1"/>
    <n v="480"/>
    <n v="799"/>
    <x v="0"/>
    <n v="0"/>
    <n v="799"/>
    <n v="319"/>
    <x v="0"/>
  </r>
  <r>
    <s v="Viraj"/>
    <x v="1"/>
    <x v="90"/>
    <x v="0"/>
    <x v="9"/>
    <x v="0"/>
    <x v="1"/>
    <x v="1"/>
    <n v="306"/>
    <n v="499"/>
    <x v="0"/>
    <n v="0"/>
    <n v="499"/>
    <n v="193"/>
    <x v="1"/>
  </r>
  <r>
    <s v="Leela"/>
    <x v="0"/>
    <x v="120"/>
    <x v="1"/>
    <x v="7"/>
    <x v="1"/>
    <x v="0"/>
    <x v="1"/>
    <n v="1549"/>
    <n v="2399"/>
    <x v="3"/>
    <n v="119"/>
    <n v="2280"/>
    <n v="731"/>
    <x v="1"/>
  </r>
  <r>
    <s v="Harsha"/>
    <x v="1"/>
    <x v="120"/>
    <x v="1"/>
    <x v="1"/>
    <x v="0"/>
    <x v="0"/>
    <x v="0"/>
    <n v="1188"/>
    <n v="1699"/>
    <x v="4"/>
    <n v="169"/>
    <n v="3060"/>
    <n v="684"/>
    <x v="1"/>
  </r>
  <r>
    <s v="Kavya"/>
    <x v="0"/>
    <x v="210"/>
    <x v="1"/>
    <x v="7"/>
    <x v="1"/>
    <x v="1"/>
    <x v="1"/>
    <n v="1390"/>
    <n v="2599"/>
    <x v="2"/>
    <n v="389"/>
    <n v="2210"/>
    <n v="820"/>
    <x v="0"/>
  </r>
  <r>
    <s v="Vikram"/>
    <x v="1"/>
    <x v="4"/>
    <x v="4"/>
    <x v="4"/>
    <x v="1"/>
    <x v="0"/>
    <x v="1"/>
    <n v="249"/>
    <n v="399"/>
    <x v="3"/>
    <n v="19"/>
    <n v="380"/>
    <n v="131"/>
    <x v="1"/>
  </r>
  <r>
    <s v="Arjun"/>
    <x v="1"/>
    <x v="138"/>
    <x v="1"/>
    <x v="1"/>
    <x v="1"/>
    <x v="0"/>
    <x v="0"/>
    <n v="994"/>
    <n v="1399"/>
    <x v="4"/>
    <n v="139"/>
    <n v="2520"/>
    <n v="532"/>
    <x v="0"/>
  </r>
  <r>
    <s v="Sai"/>
    <x v="1"/>
    <x v="67"/>
    <x v="4"/>
    <x v="6"/>
    <x v="0"/>
    <x v="1"/>
    <x v="4"/>
    <n v="652"/>
    <n v="899"/>
    <x v="4"/>
    <n v="89"/>
    <n v="4050"/>
    <n v="790"/>
    <x v="0"/>
  </r>
  <r>
    <s v="Krishna"/>
    <x v="1"/>
    <x v="185"/>
    <x v="1"/>
    <x v="1"/>
    <x v="0"/>
    <x v="0"/>
    <x v="3"/>
    <n v="939"/>
    <n v="1399"/>
    <x v="4"/>
    <n v="139"/>
    <n v="5040"/>
    <n v="1284"/>
    <x v="0"/>
  </r>
  <r>
    <s v="Devi"/>
    <x v="0"/>
    <x v="149"/>
    <x v="2"/>
    <x v="2"/>
    <x v="1"/>
    <x v="0"/>
    <x v="1"/>
    <n v="440"/>
    <n v="699"/>
    <x v="1"/>
    <n v="139"/>
    <n v="560"/>
    <n v="120"/>
    <x v="0"/>
  </r>
  <r>
    <s v="Rohan"/>
    <x v="1"/>
    <x v="212"/>
    <x v="4"/>
    <x v="5"/>
    <x v="2"/>
    <x v="1"/>
    <x v="3"/>
    <n v="913"/>
    <n v="1299"/>
    <x v="1"/>
    <n v="259"/>
    <n v="4160"/>
    <n v="508"/>
    <x v="0"/>
  </r>
  <r>
    <s v="Anjali"/>
    <x v="0"/>
    <x v="49"/>
    <x v="2"/>
    <x v="8"/>
    <x v="2"/>
    <x v="0"/>
    <x v="1"/>
    <n v="866"/>
    <n v="1299"/>
    <x v="1"/>
    <n v="259"/>
    <n v="1040"/>
    <n v="174"/>
    <x v="1"/>
  </r>
  <r>
    <s v="Srujan"/>
    <x v="1"/>
    <x v="82"/>
    <x v="3"/>
    <x v="3"/>
    <x v="2"/>
    <x v="0"/>
    <x v="4"/>
    <n v="630"/>
    <n v="899"/>
    <x v="0"/>
    <n v="0"/>
    <n v="4495"/>
    <n v="1345"/>
    <x v="0"/>
  </r>
  <r>
    <s v="Srawani"/>
    <x v="0"/>
    <x v="69"/>
    <x v="3"/>
    <x v="14"/>
    <x v="0"/>
    <x v="0"/>
    <x v="1"/>
    <n v="1083"/>
    <n v="1499"/>
    <x v="0"/>
    <n v="0"/>
    <n v="1499"/>
    <n v="416"/>
    <x v="0"/>
  </r>
  <r>
    <s v="Saanvi"/>
    <x v="0"/>
    <x v="133"/>
    <x v="4"/>
    <x v="12"/>
    <x v="1"/>
    <x v="1"/>
    <x v="3"/>
    <n v="1218"/>
    <n v="2199"/>
    <x v="3"/>
    <n v="109"/>
    <n v="8360"/>
    <n v="3488"/>
    <x v="0"/>
  </r>
  <r>
    <s v="Venu"/>
    <x v="1"/>
    <x v="12"/>
    <x v="2"/>
    <x v="2"/>
    <x v="1"/>
    <x v="1"/>
    <x v="2"/>
    <n v="490"/>
    <n v="699"/>
    <x v="4"/>
    <n v="69"/>
    <n v="1890"/>
    <n v="420"/>
    <x v="0"/>
  </r>
  <r>
    <s v="Lavanya"/>
    <x v="0"/>
    <x v="148"/>
    <x v="4"/>
    <x v="4"/>
    <x v="2"/>
    <x v="0"/>
    <x v="1"/>
    <n v="422"/>
    <n v="599"/>
    <x v="4"/>
    <n v="59"/>
    <n v="540"/>
    <n v="118"/>
    <x v="0"/>
  </r>
  <r>
    <s v="Siri"/>
    <x v="0"/>
    <x v="93"/>
    <x v="2"/>
    <x v="2"/>
    <x v="1"/>
    <x v="0"/>
    <x v="1"/>
    <n v="429"/>
    <n v="799"/>
    <x v="2"/>
    <n v="119"/>
    <n v="680"/>
    <n v="251"/>
    <x v="0"/>
  </r>
  <r>
    <s v="Yeshwanth"/>
    <x v="1"/>
    <x v="137"/>
    <x v="3"/>
    <x v="14"/>
    <x v="2"/>
    <x v="1"/>
    <x v="1"/>
    <n v="429"/>
    <n v="699"/>
    <x v="0"/>
    <n v="0"/>
    <n v="699"/>
    <n v="270"/>
    <x v="0"/>
  </r>
  <r>
    <s v="Shiva"/>
    <x v="1"/>
    <x v="117"/>
    <x v="3"/>
    <x v="14"/>
    <x v="0"/>
    <x v="0"/>
    <x v="0"/>
    <n v="736"/>
    <n v="1199"/>
    <x v="0"/>
    <n v="0"/>
    <n v="2398"/>
    <n v="926"/>
    <x v="1"/>
  </r>
  <r>
    <s v="Shiva"/>
    <x v="1"/>
    <x v="52"/>
    <x v="3"/>
    <x v="3"/>
    <x v="0"/>
    <x v="0"/>
    <x v="1"/>
    <n v="770"/>
    <n v="1499"/>
    <x v="0"/>
    <n v="0"/>
    <n v="1499"/>
    <n v="729"/>
    <x v="0"/>
  </r>
  <r>
    <s v="Pravalika"/>
    <x v="0"/>
    <x v="122"/>
    <x v="3"/>
    <x v="14"/>
    <x v="1"/>
    <x v="0"/>
    <x v="1"/>
    <n v="759"/>
    <n v="1499"/>
    <x v="0"/>
    <n v="0"/>
    <n v="1499"/>
    <n v="740"/>
    <x v="0"/>
  </r>
  <r>
    <s v="Chandrika"/>
    <x v="0"/>
    <x v="124"/>
    <x v="3"/>
    <x v="3"/>
    <x v="1"/>
    <x v="1"/>
    <x v="1"/>
    <n v="1026"/>
    <n v="1399"/>
    <x v="0"/>
    <n v="0"/>
    <n v="1399"/>
    <n v="373"/>
    <x v="0"/>
  </r>
  <r>
    <s v="Anudeep"/>
    <x v="1"/>
    <x v="116"/>
    <x v="0"/>
    <x v="11"/>
    <x v="1"/>
    <x v="1"/>
    <x v="1"/>
    <n v="482"/>
    <n v="699"/>
    <x v="0"/>
    <n v="0"/>
    <n v="699"/>
    <n v="217"/>
    <x v="0"/>
  </r>
  <r>
    <s v="Vivaan"/>
    <x v="1"/>
    <x v="0"/>
    <x v="1"/>
    <x v="1"/>
    <x v="0"/>
    <x v="1"/>
    <x v="2"/>
    <n v="514"/>
    <n v="899"/>
    <x v="4"/>
    <n v="89"/>
    <n v="2430"/>
    <n v="888"/>
    <x v="0"/>
  </r>
  <r>
    <s v="Arjun"/>
    <x v="1"/>
    <x v="151"/>
    <x v="4"/>
    <x v="15"/>
    <x v="0"/>
    <x v="0"/>
    <x v="1"/>
    <n v="1838"/>
    <n v="2799"/>
    <x v="4"/>
    <n v="279"/>
    <n v="2520"/>
    <n v="682"/>
    <x v="0"/>
  </r>
  <r>
    <s v="Pranay"/>
    <x v="1"/>
    <x v="208"/>
    <x v="4"/>
    <x v="6"/>
    <x v="2"/>
    <x v="1"/>
    <x v="1"/>
    <n v="519"/>
    <n v="899"/>
    <x v="4"/>
    <n v="89"/>
    <n v="810"/>
    <n v="291"/>
    <x v="0"/>
  </r>
  <r>
    <s v="Mallesh"/>
    <x v="1"/>
    <x v="62"/>
    <x v="2"/>
    <x v="8"/>
    <x v="0"/>
    <x v="1"/>
    <x v="2"/>
    <n v="559"/>
    <n v="899"/>
    <x v="4"/>
    <n v="89"/>
    <n v="2430"/>
    <n v="753"/>
    <x v="0"/>
  </r>
  <r>
    <s v="Karthik"/>
    <x v="1"/>
    <x v="198"/>
    <x v="1"/>
    <x v="7"/>
    <x v="2"/>
    <x v="1"/>
    <x v="1"/>
    <n v="1166"/>
    <n v="1999"/>
    <x v="3"/>
    <n v="99"/>
    <n v="1900"/>
    <n v="734"/>
    <x v="0"/>
  </r>
  <r>
    <s v="Yeshwanth"/>
    <x v="1"/>
    <x v="160"/>
    <x v="0"/>
    <x v="0"/>
    <x v="2"/>
    <x v="1"/>
    <x v="4"/>
    <n v="417"/>
    <n v="599"/>
    <x v="0"/>
    <n v="0"/>
    <n v="2995"/>
    <n v="910"/>
    <x v="0"/>
  </r>
  <r>
    <s v=" Praveen"/>
    <x v="1"/>
    <x v="189"/>
    <x v="4"/>
    <x v="5"/>
    <x v="1"/>
    <x v="1"/>
    <x v="3"/>
    <n v="424"/>
    <n v="799"/>
    <x v="4"/>
    <n v="79"/>
    <n v="2880"/>
    <n v="1184"/>
    <x v="0"/>
  </r>
  <r>
    <s v="Arjun"/>
    <x v="1"/>
    <x v="72"/>
    <x v="1"/>
    <x v="7"/>
    <x v="1"/>
    <x v="0"/>
    <x v="1"/>
    <n v="1805"/>
    <n v="2799"/>
    <x v="1"/>
    <n v="559"/>
    <n v="2240"/>
    <n v="435"/>
    <x v="0"/>
  </r>
  <r>
    <s v="Srawani"/>
    <x v="0"/>
    <x v="23"/>
    <x v="3"/>
    <x v="3"/>
    <x v="2"/>
    <x v="0"/>
    <x v="3"/>
    <n v="1089"/>
    <n v="1499"/>
    <x v="0"/>
    <n v="0"/>
    <n v="5996"/>
    <n v="1640"/>
    <x v="1"/>
  </r>
  <r>
    <s v="Vinay"/>
    <x v="1"/>
    <x v="122"/>
    <x v="4"/>
    <x v="5"/>
    <x v="2"/>
    <x v="1"/>
    <x v="0"/>
    <n v="773"/>
    <n v="1199"/>
    <x v="4"/>
    <n v="119"/>
    <n v="2160"/>
    <n v="614"/>
    <x v="0"/>
  </r>
  <r>
    <s v="Ananya"/>
    <x v="0"/>
    <x v="181"/>
    <x v="1"/>
    <x v="7"/>
    <x v="0"/>
    <x v="1"/>
    <x v="1"/>
    <n v="2010"/>
    <n v="2799"/>
    <x v="4"/>
    <n v="279"/>
    <n v="2520"/>
    <n v="510"/>
    <x v="0"/>
  </r>
  <r>
    <s v="Vikram"/>
    <x v="1"/>
    <x v="39"/>
    <x v="1"/>
    <x v="1"/>
    <x v="1"/>
    <x v="0"/>
    <x v="1"/>
    <n v="577"/>
    <n v="999"/>
    <x v="1"/>
    <n v="199"/>
    <n v="800"/>
    <n v="223"/>
    <x v="1"/>
  </r>
  <r>
    <s v="Laxmi"/>
    <x v="0"/>
    <x v="152"/>
    <x v="1"/>
    <x v="1"/>
    <x v="1"/>
    <x v="0"/>
    <x v="1"/>
    <n v="1557"/>
    <n v="2299"/>
    <x v="4"/>
    <n v="229"/>
    <n v="2070"/>
    <n v="513"/>
    <x v="0"/>
  </r>
  <r>
    <s v="Shiva"/>
    <x v="1"/>
    <x v="146"/>
    <x v="3"/>
    <x v="3"/>
    <x v="1"/>
    <x v="0"/>
    <x v="1"/>
    <n v="616"/>
    <n v="899"/>
    <x v="0"/>
    <n v="0"/>
    <n v="899"/>
    <n v="283"/>
    <x v="1"/>
  </r>
  <r>
    <s v="Pooja"/>
    <x v="0"/>
    <x v="109"/>
    <x v="0"/>
    <x v="9"/>
    <x v="0"/>
    <x v="0"/>
    <x v="1"/>
    <n v="297"/>
    <n v="499"/>
    <x v="0"/>
    <n v="0"/>
    <n v="499"/>
    <n v="202"/>
    <x v="1"/>
  </r>
  <r>
    <s v="Saanvi"/>
    <x v="0"/>
    <x v="169"/>
    <x v="3"/>
    <x v="14"/>
    <x v="2"/>
    <x v="0"/>
    <x v="2"/>
    <n v="616"/>
    <n v="999"/>
    <x v="0"/>
    <n v="0"/>
    <n v="2997"/>
    <n v="1149"/>
    <x v="1"/>
  </r>
  <r>
    <s v="Anjali"/>
    <x v="0"/>
    <x v="148"/>
    <x v="3"/>
    <x v="14"/>
    <x v="1"/>
    <x v="0"/>
    <x v="2"/>
    <n v="816"/>
    <n v="1499"/>
    <x v="0"/>
    <n v="0"/>
    <n v="4497"/>
    <n v="2049"/>
    <x v="0"/>
  </r>
  <r>
    <s v="Surya"/>
    <x v="1"/>
    <x v="140"/>
    <x v="2"/>
    <x v="8"/>
    <x v="0"/>
    <x v="1"/>
    <x v="2"/>
    <n v="451"/>
    <n v="899"/>
    <x v="4"/>
    <n v="89"/>
    <n v="2430"/>
    <n v="1077"/>
    <x v="1"/>
  </r>
  <r>
    <s v="Koushika"/>
    <x v="0"/>
    <x v="17"/>
    <x v="3"/>
    <x v="3"/>
    <x v="1"/>
    <x v="0"/>
    <x v="1"/>
    <n v="711"/>
    <n v="1199"/>
    <x v="0"/>
    <n v="0"/>
    <n v="1199"/>
    <n v="488"/>
    <x v="0"/>
  </r>
  <r>
    <s v="Manoj"/>
    <x v="1"/>
    <x v="102"/>
    <x v="4"/>
    <x v="12"/>
    <x v="1"/>
    <x v="1"/>
    <x v="3"/>
    <n v="1453"/>
    <n v="2399"/>
    <x v="2"/>
    <n v="359"/>
    <n v="8160"/>
    <n v="2348"/>
    <x v="0"/>
  </r>
  <r>
    <s v="Siri"/>
    <x v="0"/>
    <x v="132"/>
    <x v="2"/>
    <x v="8"/>
    <x v="1"/>
    <x v="0"/>
    <x v="4"/>
    <n v="948"/>
    <n v="1499"/>
    <x v="1"/>
    <n v="299"/>
    <n v="6000"/>
    <n v="1260"/>
    <x v="1"/>
  </r>
  <r>
    <s v="Viraj"/>
    <x v="1"/>
    <x v="135"/>
    <x v="0"/>
    <x v="0"/>
    <x v="2"/>
    <x v="1"/>
    <x v="1"/>
    <n v="341"/>
    <n v="599"/>
    <x v="0"/>
    <n v="0"/>
    <n v="599"/>
    <n v="258"/>
    <x v="1"/>
  </r>
  <r>
    <s v="Anvesh"/>
    <x v="1"/>
    <x v="158"/>
    <x v="1"/>
    <x v="7"/>
    <x v="2"/>
    <x v="1"/>
    <x v="2"/>
    <n v="2460"/>
    <n v="3399"/>
    <x v="4"/>
    <n v="339"/>
    <n v="9180"/>
    <n v="1800"/>
    <x v="1"/>
  </r>
  <r>
    <s v="Lavanya"/>
    <x v="0"/>
    <x v="12"/>
    <x v="0"/>
    <x v="9"/>
    <x v="1"/>
    <x v="1"/>
    <x v="1"/>
    <n v="263"/>
    <n v="399"/>
    <x v="0"/>
    <n v="0"/>
    <n v="399"/>
    <n v="136"/>
    <x v="1"/>
  </r>
  <r>
    <s v="Manoj"/>
    <x v="1"/>
    <x v="201"/>
    <x v="2"/>
    <x v="8"/>
    <x v="2"/>
    <x v="0"/>
    <x v="4"/>
    <n v="1171"/>
    <n v="2199"/>
    <x v="2"/>
    <n v="329"/>
    <n v="9350"/>
    <n v="3495"/>
    <x v="0"/>
  </r>
  <r>
    <s v="Pooja"/>
    <x v="0"/>
    <x v="192"/>
    <x v="0"/>
    <x v="0"/>
    <x v="2"/>
    <x v="0"/>
    <x v="1"/>
    <n v="150"/>
    <n v="299"/>
    <x v="0"/>
    <n v="0"/>
    <n v="299"/>
    <n v="149"/>
    <x v="1"/>
  </r>
  <r>
    <s v="Vijay"/>
    <x v="1"/>
    <x v="181"/>
    <x v="3"/>
    <x v="3"/>
    <x v="1"/>
    <x v="0"/>
    <x v="4"/>
    <n v="882"/>
    <n v="1499"/>
    <x v="0"/>
    <n v="0"/>
    <n v="7495"/>
    <n v="3085"/>
    <x v="0"/>
  </r>
  <r>
    <s v="Manoj"/>
    <x v="1"/>
    <x v="5"/>
    <x v="1"/>
    <x v="7"/>
    <x v="0"/>
    <x v="0"/>
    <x v="4"/>
    <n v="2021"/>
    <n v="3399"/>
    <x v="4"/>
    <n v="339"/>
    <n v="15300"/>
    <n v="5195"/>
    <x v="0"/>
  </r>
  <r>
    <s v="Surya"/>
    <x v="1"/>
    <x v="42"/>
    <x v="0"/>
    <x v="0"/>
    <x v="0"/>
    <x v="0"/>
    <x v="3"/>
    <n v="344"/>
    <n v="499"/>
    <x v="0"/>
    <n v="0"/>
    <n v="1996"/>
    <n v="620"/>
    <x v="1"/>
  </r>
  <r>
    <s v="Tejas"/>
    <x v="1"/>
    <x v="167"/>
    <x v="1"/>
    <x v="1"/>
    <x v="2"/>
    <x v="1"/>
    <x v="4"/>
    <n v="878"/>
    <n v="1199"/>
    <x v="2"/>
    <n v="179"/>
    <n v="5100"/>
    <n v="710"/>
    <x v="0"/>
  </r>
  <r>
    <s v="Reavanth"/>
    <x v="1"/>
    <x v="203"/>
    <x v="0"/>
    <x v="13"/>
    <x v="0"/>
    <x v="0"/>
    <x v="0"/>
    <n v="274"/>
    <n v="399"/>
    <x v="0"/>
    <n v="0"/>
    <n v="798"/>
    <n v="250"/>
    <x v="1"/>
  </r>
  <r>
    <s v="Rakesh"/>
    <x v="1"/>
    <x v="185"/>
    <x v="1"/>
    <x v="7"/>
    <x v="1"/>
    <x v="0"/>
    <x v="1"/>
    <n v="2335"/>
    <n v="3399"/>
    <x v="4"/>
    <n v="339"/>
    <n v="3060"/>
    <n v="725"/>
    <x v="0"/>
  </r>
  <r>
    <s v="Surya"/>
    <x v="1"/>
    <x v="76"/>
    <x v="0"/>
    <x v="13"/>
    <x v="1"/>
    <x v="0"/>
    <x v="0"/>
    <n v="202"/>
    <n v="399"/>
    <x v="0"/>
    <n v="0"/>
    <n v="798"/>
    <n v="394"/>
    <x v="1"/>
  </r>
  <r>
    <s v="Sai"/>
    <x v="1"/>
    <x v="188"/>
    <x v="1"/>
    <x v="7"/>
    <x v="2"/>
    <x v="1"/>
    <x v="3"/>
    <n v="1438"/>
    <n v="2499"/>
    <x v="1"/>
    <n v="499"/>
    <n v="8000"/>
    <n v="2248"/>
    <x v="0"/>
  </r>
  <r>
    <s v="Venu"/>
    <x v="1"/>
    <x v="104"/>
    <x v="3"/>
    <x v="14"/>
    <x v="2"/>
    <x v="1"/>
    <x v="1"/>
    <n v="570"/>
    <n v="799"/>
    <x v="0"/>
    <n v="0"/>
    <n v="799"/>
    <n v="229"/>
    <x v="0"/>
  </r>
  <r>
    <s v="Thanuja"/>
    <x v="0"/>
    <x v="32"/>
    <x v="1"/>
    <x v="1"/>
    <x v="1"/>
    <x v="0"/>
    <x v="4"/>
    <n v="824"/>
    <n v="1199"/>
    <x v="4"/>
    <n v="119"/>
    <n v="5400"/>
    <n v="1280"/>
    <x v="0"/>
  </r>
  <r>
    <s v="Mallesh"/>
    <x v="1"/>
    <x v="80"/>
    <x v="2"/>
    <x v="2"/>
    <x v="1"/>
    <x v="1"/>
    <x v="1"/>
    <n v="264"/>
    <n v="499"/>
    <x v="1"/>
    <n v="99"/>
    <n v="400"/>
    <n v="136"/>
    <x v="1"/>
  </r>
  <r>
    <s v="Saanvi"/>
    <x v="0"/>
    <x v="115"/>
    <x v="4"/>
    <x v="5"/>
    <x v="0"/>
    <x v="0"/>
    <x v="0"/>
    <n v="817"/>
    <n v="1099"/>
    <x v="3"/>
    <n v="54"/>
    <n v="2090"/>
    <n v="456"/>
    <x v="0"/>
  </r>
  <r>
    <s v="Rakesh"/>
    <x v="1"/>
    <x v="111"/>
    <x v="3"/>
    <x v="14"/>
    <x v="1"/>
    <x v="1"/>
    <x v="1"/>
    <n v="445"/>
    <n v="799"/>
    <x v="0"/>
    <n v="0"/>
    <n v="799"/>
    <n v="354"/>
    <x v="1"/>
  </r>
  <r>
    <s v="Viraj"/>
    <x v="1"/>
    <x v="146"/>
    <x v="4"/>
    <x v="5"/>
    <x v="0"/>
    <x v="1"/>
    <x v="0"/>
    <n v="689"/>
    <n v="1099"/>
    <x v="3"/>
    <n v="54"/>
    <n v="2090"/>
    <n v="712"/>
    <x v="1"/>
  </r>
  <r>
    <s v="Isha"/>
    <x v="0"/>
    <x v="68"/>
    <x v="1"/>
    <x v="7"/>
    <x v="1"/>
    <x v="1"/>
    <x v="1"/>
    <n v="1320"/>
    <n v="2499"/>
    <x v="1"/>
    <n v="499"/>
    <n v="2000"/>
    <n v="680"/>
    <x v="0"/>
  </r>
  <r>
    <s v="Arjun"/>
    <x v="1"/>
    <x v="178"/>
    <x v="2"/>
    <x v="2"/>
    <x v="2"/>
    <x v="0"/>
    <x v="2"/>
    <n v="385"/>
    <n v="599"/>
    <x v="3"/>
    <n v="29"/>
    <n v="1710"/>
    <n v="555"/>
    <x v="0"/>
  </r>
  <r>
    <s v="Rakesh"/>
    <x v="1"/>
    <x v="193"/>
    <x v="2"/>
    <x v="2"/>
    <x v="2"/>
    <x v="0"/>
    <x v="2"/>
    <n v="420"/>
    <n v="599"/>
    <x v="1"/>
    <n v="119"/>
    <n v="1440"/>
    <n v="180"/>
    <x v="0"/>
  </r>
  <r>
    <s v="Thanuja"/>
    <x v="0"/>
    <x v="123"/>
    <x v="2"/>
    <x v="8"/>
    <x v="1"/>
    <x v="1"/>
    <x v="0"/>
    <n v="1409"/>
    <n v="1899"/>
    <x v="3"/>
    <n v="94"/>
    <n v="3610"/>
    <n v="792"/>
    <x v="0"/>
  </r>
  <r>
    <s v="Aadhya"/>
    <x v="0"/>
    <x v="139"/>
    <x v="1"/>
    <x v="7"/>
    <x v="2"/>
    <x v="1"/>
    <x v="1"/>
    <n v="1522"/>
    <n v="2299"/>
    <x v="4"/>
    <n v="229"/>
    <n v="2070"/>
    <n v="548"/>
    <x v="0"/>
  </r>
  <r>
    <s v="Shivani"/>
    <x v="0"/>
    <x v="54"/>
    <x v="1"/>
    <x v="1"/>
    <x v="1"/>
    <x v="1"/>
    <x v="1"/>
    <n v="494"/>
    <n v="899"/>
    <x v="3"/>
    <n v="44"/>
    <n v="855"/>
    <n v="361"/>
    <x v="0"/>
  </r>
  <r>
    <s v="Rahul"/>
    <x v="1"/>
    <x v="139"/>
    <x v="2"/>
    <x v="2"/>
    <x v="1"/>
    <x v="0"/>
    <x v="1"/>
    <n v="324"/>
    <n v="499"/>
    <x v="4"/>
    <n v="49"/>
    <n v="450"/>
    <n v="126"/>
    <x v="1"/>
  </r>
  <r>
    <s v="Chandrika"/>
    <x v="0"/>
    <x v="126"/>
    <x v="1"/>
    <x v="1"/>
    <x v="2"/>
    <x v="0"/>
    <x v="1"/>
    <n v="552"/>
    <n v="899"/>
    <x v="4"/>
    <n v="89"/>
    <n v="810"/>
    <n v="258"/>
    <x v="0"/>
  </r>
  <r>
    <s v="Surya"/>
    <x v="1"/>
    <x v="123"/>
    <x v="3"/>
    <x v="14"/>
    <x v="0"/>
    <x v="1"/>
    <x v="4"/>
    <n v="423"/>
    <n v="699"/>
    <x v="0"/>
    <n v="0"/>
    <n v="3495"/>
    <n v="1380"/>
    <x v="0"/>
  </r>
  <r>
    <s v="Sai"/>
    <x v="1"/>
    <x v="64"/>
    <x v="4"/>
    <x v="5"/>
    <x v="0"/>
    <x v="1"/>
    <x v="4"/>
    <n v="532"/>
    <n v="899"/>
    <x v="2"/>
    <n v="134"/>
    <n v="3825"/>
    <n v="1165"/>
    <x v="0"/>
  </r>
  <r>
    <s v="Viraj"/>
    <x v="1"/>
    <x v="208"/>
    <x v="2"/>
    <x v="2"/>
    <x v="2"/>
    <x v="0"/>
    <x v="1"/>
    <n v="575"/>
    <n v="799"/>
    <x v="2"/>
    <n v="119"/>
    <n v="680"/>
    <n v="105"/>
    <x v="1"/>
  </r>
  <r>
    <s v="Vasanth"/>
    <x v="1"/>
    <x v="156"/>
    <x v="3"/>
    <x v="14"/>
    <x v="0"/>
    <x v="0"/>
    <x v="3"/>
    <n v="524"/>
    <n v="699"/>
    <x v="0"/>
    <n v="0"/>
    <n v="2796"/>
    <n v="700"/>
    <x v="1"/>
  </r>
  <r>
    <s v="Shivani"/>
    <x v="0"/>
    <x v="133"/>
    <x v="0"/>
    <x v="13"/>
    <x v="1"/>
    <x v="0"/>
    <x v="2"/>
    <n v="373"/>
    <n v="499"/>
    <x v="0"/>
    <n v="0"/>
    <n v="1497"/>
    <n v="378"/>
    <x v="1"/>
  </r>
  <r>
    <s v="Harsha"/>
    <x v="1"/>
    <x v="185"/>
    <x v="2"/>
    <x v="2"/>
    <x v="1"/>
    <x v="0"/>
    <x v="4"/>
    <n v="407"/>
    <n v="599"/>
    <x v="2"/>
    <n v="89"/>
    <n v="2550"/>
    <n v="515"/>
    <x v="0"/>
  </r>
  <r>
    <s v="Gayatri"/>
    <x v="0"/>
    <x v="187"/>
    <x v="3"/>
    <x v="14"/>
    <x v="1"/>
    <x v="0"/>
    <x v="0"/>
    <n v="795"/>
    <n v="1199"/>
    <x v="0"/>
    <n v="0"/>
    <n v="2398"/>
    <n v="808"/>
    <x v="0"/>
  </r>
  <r>
    <s v="Srinivas"/>
    <x v="1"/>
    <x v="181"/>
    <x v="4"/>
    <x v="15"/>
    <x v="1"/>
    <x v="1"/>
    <x v="3"/>
    <n v="1901"/>
    <n v="2699"/>
    <x v="3"/>
    <n v="134"/>
    <n v="10260"/>
    <n v="2656"/>
    <x v="0"/>
  </r>
  <r>
    <s v="Srawani"/>
    <x v="0"/>
    <x v="47"/>
    <x v="4"/>
    <x v="5"/>
    <x v="0"/>
    <x v="1"/>
    <x v="1"/>
    <n v="1004"/>
    <n v="1499"/>
    <x v="4"/>
    <n v="149"/>
    <n v="1350"/>
    <n v="346"/>
    <x v="0"/>
  </r>
  <r>
    <s v="Chandrika"/>
    <x v="0"/>
    <x v="28"/>
    <x v="1"/>
    <x v="7"/>
    <x v="1"/>
    <x v="0"/>
    <x v="4"/>
    <n v="1668"/>
    <n v="2399"/>
    <x v="1"/>
    <n v="479"/>
    <n v="9600"/>
    <n v="1260"/>
    <x v="0"/>
  </r>
  <r>
    <s v="Nandhini"/>
    <x v="0"/>
    <x v="62"/>
    <x v="2"/>
    <x v="2"/>
    <x v="0"/>
    <x v="0"/>
    <x v="0"/>
    <n v="413"/>
    <n v="599"/>
    <x v="4"/>
    <n v="59"/>
    <n v="1080"/>
    <n v="254"/>
    <x v="0"/>
  </r>
  <r>
    <s v="Pranay"/>
    <x v="1"/>
    <x v="131"/>
    <x v="4"/>
    <x v="6"/>
    <x v="0"/>
    <x v="1"/>
    <x v="3"/>
    <n v="656"/>
    <n v="999"/>
    <x v="2"/>
    <n v="149"/>
    <n v="3400"/>
    <n v="776"/>
    <x v="1"/>
  </r>
  <r>
    <s v="Sanjeev"/>
    <x v="1"/>
    <x v="202"/>
    <x v="4"/>
    <x v="5"/>
    <x v="0"/>
    <x v="1"/>
    <x v="4"/>
    <n v="428"/>
    <n v="799"/>
    <x v="4"/>
    <n v="79"/>
    <n v="3600"/>
    <n v="1460"/>
    <x v="0"/>
  </r>
  <r>
    <s v="Karthik"/>
    <x v="1"/>
    <x v="135"/>
    <x v="2"/>
    <x v="2"/>
    <x v="0"/>
    <x v="0"/>
    <x v="4"/>
    <n v="414"/>
    <n v="599"/>
    <x v="4"/>
    <n v="59"/>
    <n v="2700"/>
    <n v="630"/>
    <x v="0"/>
  </r>
  <r>
    <s v="Devi"/>
    <x v="0"/>
    <x v="19"/>
    <x v="0"/>
    <x v="0"/>
    <x v="1"/>
    <x v="0"/>
    <x v="1"/>
    <n v="287"/>
    <n v="499"/>
    <x v="0"/>
    <n v="0"/>
    <n v="499"/>
    <n v="212"/>
    <x v="0"/>
  </r>
  <r>
    <s v="Arjun"/>
    <x v="1"/>
    <x v="64"/>
    <x v="2"/>
    <x v="8"/>
    <x v="2"/>
    <x v="1"/>
    <x v="2"/>
    <n v="904"/>
    <n v="1699"/>
    <x v="4"/>
    <n v="169"/>
    <n v="4590"/>
    <n v="1878"/>
    <x v="0"/>
  </r>
  <r>
    <s v="Deepak"/>
    <x v="1"/>
    <x v="82"/>
    <x v="3"/>
    <x v="14"/>
    <x v="0"/>
    <x v="0"/>
    <x v="2"/>
    <n v="827"/>
    <n v="1499"/>
    <x v="0"/>
    <n v="0"/>
    <n v="4497"/>
    <n v="2016"/>
    <x v="0"/>
  </r>
  <r>
    <s v="Arjun"/>
    <x v="1"/>
    <x v="36"/>
    <x v="1"/>
    <x v="7"/>
    <x v="1"/>
    <x v="0"/>
    <x v="0"/>
    <n v="2998"/>
    <n v="4499"/>
    <x v="4"/>
    <n v="449"/>
    <n v="8100"/>
    <n v="2104"/>
    <x v="1"/>
  </r>
  <r>
    <s v="Vivaan"/>
    <x v="1"/>
    <x v="172"/>
    <x v="2"/>
    <x v="8"/>
    <x v="0"/>
    <x v="1"/>
    <x v="1"/>
    <n v="1187"/>
    <n v="1699"/>
    <x v="4"/>
    <n v="169"/>
    <n v="1530"/>
    <n v="343"/>
    <x v="1"/>
  </r>
  <r>
    <s v="Kavya"/>
    <x v="0"/>
    <x v="99"/>
    <x v="4"/>
    <x v="15"/>
    <x v="1"/>
    <x v="0"/>
    <x v="1"/>
    <n v="2397"/>
    <n v="3599"/>
    <x v="2"/>
    <n v="539"/>
    <n v="3060"/>
    <n v="663"/>
    <x v="0"/>
  </r>
  <r>
    <s v="Sai"/>
    <x v="1"/>
    <x v="179"/>
    <x v="0"/>
    <x v="11"/>
    <x v="1"/>
    <x v="1"/>
    <x v="3"/>
    <n v="438"/>
    <n v="599"/>
    <x v="0"/>
    <n v="0"/>
    <n v="2396"/>
    <n v="644"/>
    <x v="0"/>
  </r>
  <r>
    <s v="Rakesh"/>
    <x v="1"/>
    <x v="100"/>
    <x v="2"/>
    <x v="2"/>
    <x v="1"/>
    <x v="0"/>
    <x v="1"/>
    <n v="443"/>
    <n v="599"/>
    <x v="1"/>
    <n v="119"/>
    <n v="480"/>
    <n v="37"/>
    <x v="0"/>
  </r>
  <r>
    <s v="Hema"/>
    <x v="0"/>
    <x v="42"/>
    <x v="0"/>
    <x v="9"/>
    <x v="0"/>
    <x v="1"/>
    <x v="2"/>
    <n v="361"/>
    <n v="599"/>
    <x v="0"/>
    <n v="0"/>
    <n v="1797"/>
    <n v="714"/>
    <x v="0"/>
  </r>
  <r>
    <s v="Neha"/>
    <x v="0"/>
    <x v="48"/>
    <x v="0"/>
    <x v="0"/>
    <x v="0"/>
    <x v="1"/>
    <x v="1"/>
    <n v="323"/>
    <n v="499"/>
    <x v="0"/>
    <n v="0"/>
    <n v="499"/>
    <n v="176"/>
    <x v="1"/>
  </r>
  <r>
    <s v="Hema"/>
    <x v="0"/>
    <x v="9"/>
    <x v="2"/>
    <x v="2"/>
    <x v="0"/>
    <x v="0"/>
    <x v="1"/>
    <n v="441"/>
    <n v="799"/>
    <x v="1"/>
    <n v="159"/>
    <n v="640"/>
    <n v="199"/>
    <x v="0"/>
  </r>
  <r>
    <s v="Uday"/>
    <x v="1"/>
    <x v="64"/>
    <x v="0"/>
    <x v="0"/>
    <x v="1"/>
    <x v="1"/>
    <x v="1"/>
    <n v="211"/>
    <n v="299"/>
    <x v="0"/>
    <n v="0"/>
    <n v="299"/>
    <n v="88"/>
    <x v="1"/>
  </r>
  <r>
    <s v="Surya"/>
    <x v="1"/>
    <x v="45"/>
    <x v="2"/>
    <x v="8"/>
    <x v="2"/>
    <x v="1"/>
    <x v="1"/>
    <n v="526"/>
    <n v="999"/>
    <x v="1"/>
    <n v="199"/>
    <n v="800"/>
    <n v="274"/>
    <x v="1"/>
  </r>
  <r>
    <s v="Sai Deep"/>
    <x v="1"/>
    <x v="33"/>
    <x v="0"/>
    <x v="11"/>
    <x v="2"/>
    <x v="0"/>
    <x v="1"/>
    <n v="186"/>
    <n v="299"/>
    <x v="0"/>
    <n v="0"/>
    <n v="299"/>
    <n v="113"/>
    <x v="0"/>
  </r>
  <r>
    <s v="Hema"/>
    <x v="0"/>
    <x v="142"/>
    <x v="2"/>
    <x v="2"/>
    <x v="1"/>
    <x v="1"/>
    <x v="1"/>
    <n v="520"/>
    <n v="799"/>
    <x v="2"/>
    <n v="119"/>
    <n v="680"/>
    <n v="160"/>
    <x v="0"/>
  </r>
  <r>
    <s v="Shivani"/>
    <x v="0"/>
    <x v="165"/>
    <x v="1"/>
    <x v="7"/>
    <x v="2"/>
    <x v="0"/>
    <x v="1"/>
    <n v="2271"/>
    <n v="4299"/>
    <x v="3"/>
    <n v="214"/>
    <n v="4085"/>
    <n v="1814"/>
    <x v="0"/>
  </r>
  <r>
    <s v="Rakesh"/>
    <x v="1"/>
    <x v="136"/>
    <x v="2"/>
    <x v="8"/>
    <x v="1"/>
    <x v="1"/>
    <x v="1"/>
    <n v="662"/>
    <n v="899"/>
    <x v="3"/>
    <n v="44"/>
    <n v="855"/>
    <n v="193"/>
    <x v="0"/>
  </r>
  <r>
    <s v="Surya"/>
    <x v="1"/>
    <x v="70"/>
    <x v="3"/>
    <x v="3"/>
    <x v="2"/>
    <x v="0"/>
    <x v="1"/>
    <n v="505"/>
    <n v="999"/>
    <x v="0"/>
    <n v="0"/>
    <n v="999"/>
    <n v="494"/>
    <x v="1"/>
  </r>
  <r>
    <s v="Anudeep"/>
    <x v="1"/>
    <x v="141"/>
    <x v="4"/>
    <x v="12"/>
    <x v="0"/>
    <x v="0"/>
    <x v="1"/>
    <n v="745"/>
    <n v="1199"/>
    <x v="2"/>
    <n v="179"/>
    <n v="1020"/>
    <n v="275"/>
    <x v="0"/>
  </r>
  <r>
    <s v="Vijay"/>
    <x v="1"/>
    <x v="36"/>
    <x v="2"/>
    <x v="2"/>
    <x v="0"/>
    <x v="0"/>
    <x v="1"/>
    <n v="375"/>
    <n v="599"/>
    <x v="2"/>
    <n v="89"/>
    <n v="510"/>
    <n v="135"/>
    <x v="0"/>
  </r>
  <r>
    <s v="Arjun"/>
    <x v="1"/>
    <x v="200"/>
    <x v="0"/>
    <x v="13"/>
    <x v="0"/>
    <x v="1"/>
    <x v="3"/>
    <n v="254"/>
    <n v="399"/>
    <x v="0"/>
    <n v="0"/>
    <n v="1596"/>
    <n v="580"/>
    <x v="1"/>
  </r>
  <r>
    <s v="Koushika"/>
    <x v="0"/>
    <x v="74"/>
    <x v="3"/>
    <x v="14"/>
    <x v="0"/>
    <x v="1"/>
    <x v="2"/>
    <n v="935"/>
    <n v="1499"/>
    <x v="0"/>
    <n v="0"/>
    <n v="4497"/>
    <n v="1692"/>
    <x v="0"/>
  </r>
  <r>
    <s v="Lassya"/>
    <x v="0"/>
    <x v="213"/>
    <x v="1"/>
    <x v="1"/>
    <x v="1"/>
    <x v="1"/>
    <x v="1"/>
    <n v="553"/>
    <n v="899"/>
    <x v="4"/>
    <n v="89"/>
    <n v="810"/>
    <n v="257"/>
    <x v="1"/>
  </r>
  <r>
    <s v="Swetha"/>
    <x v="0"/>
    <x v="74"/>
    <x v="2"/>
    <x v="8"/>
    <x v="1"/>
    <x v="1"/>
    <x v="2"/>
    <n v="1276"/>
    <n v="1999"/>
    <x v="4"/>
    <n v="199"/>
    <n v="5400"/>
    <n v="1572"/>
    <x v="0"/>
  </r>
  <r>
    <s v="Shivani"/>
    <x v="0"/>
    <x v="54"/>
    <x v="1"/>
    <x v="1"/>
    <x v="2"/>
    <x v="0"/>
    <x v="1"/>
    <n v="772"/>
    <n v="1099"/>
    <x v="3"/>
    <n v="54"/>
    <n v="1045"/>
    <n v="273"/>
    <x v="0"/>
  </r>
  <r>
    <s v="Aadhya"/>
    <x v="0"/>
    <x v="84"/>
    <x v="2"/>
    <x v="8"/>
    <x v="2"/>
    <x v="0"/>
    <x v="1"/>
    <n v="795"/>
    <n v="1299"/>
    <x v="3"/>
    <n v="64"/>
    <n v="1235"/>
    <n v="440"/>
    <x v="0"/>
  </r>
  <r>
    <s v="Srawani"/>
    <x v="0"/>
    <x v="213"/>
    <x v="3"/>
    <x v="3"/>
    <x v="2"/>
    <x v="1"/>
    <x v="1"/>
    <n v="625"/>
    <n v="899"/>
    <x v="0"/>
    <n v="0"/>
    <n v="899"/>
    <n v="274"/>
    <x v="0"/>
  </r>
  <r>
    <s v="Sai Deep"/>
    <x v="1"/>
    <x v="208"/>
    <x v="3"/>
    <x v="14"/>
    <x v="1"/>
    <x v="0"/>
    <x v="1"/>
    <n v="1024"/>
    <n v="1499"/>
    <x v="0"/>
    <n v="0"/>
    <n v="1499"/>
    <n v="475"/>
    <x v="0"/>
  </r>
  <r>
    <s v="Anudeep"/>
    <x v="1"/>
    <x v="211"/>
    <x v="3"/>
    <x v="3"/>
    <x v="1"/>
    <x v="0"/>
    <x v="1"/>
    <n v="855"/>
    <n v="1199"/>
    <x v="0"/>
    <n v="0"/>
    <n v="1199"/>
    <n v="344"/>
    <x v="1"/>
  </r>
  <r>
    <s v="Rohan"/>
    <x v="1"/>
    <x v="153"/>
    <x v="4"/>
    <x v="5"/>
    <x v="2"/>
    <x v="1"/>
    <x v="1"/>
    <n v="638"/>
    <n v="1099"/>
    <x v="3"/>
    <n v="54"/>
    <n v="1045"/>
    <n v="407"/>
    <x v="0"/>
  </r>
  <r>
    <s v="Sneha"/>
    <x v="0"/>
    <x v="48"/>
    <x v="4"/>
    <x v="10"/>
    <x v="2"/>
    <x v="1"/>
    <x v="3"/>
    <n v="1198"/>
    <n v="1899"/>
    <x v="1"/>
    <n v="379"/>
    <n v="6080"/>
    <n v="1288"/>
    <x v="1"/>
  </r>
  <r>
    <s v="Venu"/>
    <x v="1"/>
    <x v="111"/>
    <x v="3"/>
    <x v="14"/>
    <x v="0"/>
    <x v="1"/>
    <x v="1"/>
    <n v="487"/>
    <n v="699"/>
    <x v="0"/>
    <n v="0"/>
    <n v="699"/>
    <n v="212"/>
    <x v="0"/>
  </r>
  <r>
    <s v="Reavanth"/>
    <x v="1"/>
    <x v="42"/>
    <x v="3"/>
    <x v="3"/>
    <x v="1"/>
    <x v="1"/>
    <x v="4"/>
    <n v="772"/>
    <n v="1199"/>
    <x v="0"/>
    <n v="0"/>
    <n v="5995"/>
    <n v="2135"/>
    <x v="0"/>
  </r>
  <r>
    <s v="Reavanth"/>
    <x v="1"/>
    <x v="115"/>
    <x v="4"/>
    <x v="6"/>
    <x v="0"/>
    <x v="0"/>
    <x v="2"/>
    <n v="594"/>
    <n v="999"/>
    <x v="1"/>
    <n v="199"/>
    <n v="2400"/>
    <n v="618"/>
    <x v="0"/>
  </r>
  <r>
    <s v="Surya"/>
    <x v="1"/>
    <x v="98"/>
    <x v="3"/>
    <x v="14"/>
    <x v="0"/>
    <x v="0"/>
    <x v="1"/>
    <n v="598"/>
    <n v="799"/>
    <x v="0"/>
    <n v="0"/>
    <n v="799"/>
    <n v="201"/>
    <x v="0"/>
  </r>
  <r>
    <s v="Siri"/>
    <x v="0"/>
    <x v="65"/>
    <x v="4"/>
    <x v="5"/>
    <x v="0"/>
    <x v="1"/>
    <x v="3"/>
    <n v="632"/>
    <n v="899"/>
    <x v="1"/>
    <n v="179"/>
    <n v="2880"/>
    <n v="352"/>
    <x v="1"/>
  </r>
  <r>
    <s v="Srinivas"/>
    <x v="1"/>
    <x v="11"/>
    <x v="2"/>
    <x v="8"/>
    <x v="2"/>
    <x v="1"/>
    <x v="2"/>
    <n v="479"/>
    <n v="699"/>
    <x v="3"/>
    <n v="34"/>
    <n v="1995"/>
    <n v="558"/>
    <x v="0"/>
  </r>
  <r>
    <s v="Arjun"/>
    <x v="1"/>
    <x v="35"/>
    <x v="3"/>
    <x v="14"/>
    <x v="0"/>
    <x v="0"/>
    <x v="1"/>
    <n v="698"/>
    <n v="999"/>
    <x v="0"/>
    <n v="0"/>
    <n v="999"/>
    <n v="301"/>
    <x v="0"/>
  </r>
  <r>
    <s v="Surya"/>
    <x v="1"/>
    <x v="142"/>
    <x v="0"/>
    <x v="11"/>
    <x v="2"/>
    <x v="1"/>
    <x v="2"/>
    <n v="315"/>
    <n v="499"/>
    <x v="0"/>
    <n v="0"/>
    <n v="1497"/>
    <n v="552"/>
    <x v="1"/>
  </r>
  <r>
    <s v="Bharath"/>
    <x v="1"/>
    <x v="15"/>
    <x v="0"/>
    <x v="9"/>
    <x v="0"/>
    <x v="1"/>
    <x v="1"/>
    <n v="350"/>
    <n v="499"/>
    <x v="0"/>
    <n v="0"/>
    <n v="499"/>
    <n v="149"/>
    <x v="1"/>
  </r>
  <r>
    <s v="Isha"/>
    <x v="0"/>
    <x v="28"/>
    <x v="2"/>
    <x v="2"/>
    <x v="1"/>
    <x v="0"/>
    <x v="1"/>
    <n v="447"/>
    <n v="599"/>
    <x v="1"/>
    <n v="119"/>
    <n v="480"/>
    <n v="33"/>
    <x v="0"/>
  </r>
  <r>
    <s v="Rohan"/>
    <x v="1"/>
    <x v="182"/>
    <x v="3"/>
    <x v="14"/>
    <x v="1"/>
    <x v="0"/>
    <x v="1"/>
    <n v="478"/>
    <n v="799"/>
    <x v="0"/>
    <n v="0"/>
    <n v="799"/>
    <n v="321"/>
    <x v="0"/>
  </r>
  <r>
    <s v="Vivaan"/>
    <x v="1"/>
    <x v="123"/>
    <x v="2"/>
    <x v="8"/>
    <x v="1"/>
    <x v="1"/>
    <x v="0"/>
    <n v="1198"/>
    <n v="2299"/>
    <x v="1"/>
    <n v="459"/>
    <n v="3680"/>
    <n v="1284"/>
    <x v="0"/>
  </r>
  <r>
    <s v="Koushika"/>
    <x v="0"/>
    <x v="204"/>
    <x v="0"/>
    <x v="9"/>
    <x v="2"/>
    <x v="0"/>
    <x v="0"/>
    <n v="348"/>
    <n v="499"/>
    <x v="0"/>
    <n v="0"/>
    <n v="998"/>
    <n v="302"/>
    <x v="1"/>
  </r>
  <r>
    <s v="Ananya"/>
    <x v="0"/>
    <x v="49"/>
    <x v="0"/>
    <x v="0"/>
    <x v="1"/>
    <x v="0"/>
    <x v="1"/>
    <n v="256"/>
    <n v="399"/>
    <x v="0"/>
    <n v="0"/>
    <n v="399"/>
    <n v="143"/>
    <x v="1"/>
  </r>
  <r>
    <s v="Lavanya"/>
    <x v="0"/>
    <x v="56"/>
    <x v="3"/>
    <x v="3"/>
    <x v="0"/>
    <x v="1"/>
    <x v="1"/>
    <n v="867"/>
    <n v="1399"/>
    <x v="0"/>
    <n v="0"/>
    <n v="1399"/>
    <n v="532"/>
    <x v="1"/>
  </r>
  <r>
    <s v="Kavya"/>
    <x v="0"/>
    <x v="203"/>
    <x v="3"/>
    <x v="3"/>
    <x v="2"/>
    <x v="1"/>
    <x v="2"/>
    <n v="499"/>
    <n v="899"/>
    <x v="0"/>
    <n v="0"/>
    <n v="2697"/>
    <n v="1200"/>
    <x v="0"/>
  </r>
  <r>
    <s v="Venu"/>
    <x v="1"/>
    <x v="63"/>
    <x v="2"/>
    <x v="8"/>
    <x v="2"/>
    <x v="0"/>
    <x v="1"/>
    <n v="417"/>
    <n v="699"/>
    <x v="4"/>
    <n v="69"/>
    <n v="630"/>
    <n v="213"/>
    <x v="1"/>
  </r>
  <r>
    <s v="Vivaan"/>
    <x v="1"/>
    <x v="182"/>
    <x v="2"/>
    <x v="8"/>
    <x v="1"/>
    <x v="0"/>
    <x v="2"/>
    <n v="918"/>
    <n v="1299"/>
    <x v="3"/>
    <n v="64"/>
    <n v="3705"/>
    <n v="951"/>
    <x v="0"/>
  </r>
  <r>
    <s v="Pravalika"/>
    <x v="0"/>
    <x v="148"/>
    <x v="3"/>
    <x v="14"/>
    <x v="0"/>
    <x v="1"/>
    <x v="1"/>
    <n v="583"/>
    <n v="999"/>
    <x v="0"/>
    <n v="0"/>
    <n v="999"/>
    <n v="416"/>
    <x v="0"/>
  </r>
  <r>
    <s v="Shivani"/>
    <x v="0"/>
    <x v="74"/>
    <x v="1"/>
    <x v="1"/>
    <x v="2"/>
    <x v="1"/>
    <x v="4"/>
    <n v="800"/>
    <n v="1499"/>
    <x v="1"/>
    <n v="299"/>
    <n v="6000"/>
    <n v="2000"/>
    <x v="1"/>
  </r>
  <r>
    <s v="Rohan"/>
    <x v="1"/>
    <x v="123"/>
    <x v="1"/>
    <x v="1"/>
    <x v="2"/>
    <x v="1"/>
    <x v="1"/>
    <n v="1492"/>
    <n v="2399"/>
    <x v="2"/>
    <n v="359"/>
    <n v="2040"/>
    <n v="548"/>
    <x v="1"/>
  </r>
  <r>
    <s v="Siri"/>
    <x v="0"/>
    <x v="44"/>
    <x v="4"/>
    <x v="4"/>
    <x v="0"/>
    <x v="1"/>
    <x v="1"/>
    <n v="373"/>
    <n v="499"/>
    <x v="4"/>
    <n v="49"/>
    <n v="450"/>
    <n v="77"/>
    <x v="0"/>
  </r>
  <r>
    <s v="Lavanya"/>
    <x v="0"/>
    <x v="51"/>
    <x v="2"/>
    <x v="8"/>
    <x v="1"/>
    <x v="0"/>
    <x v="1"/>
    <n v="1491"/>
    <n v="2299"/>
    <x v="1"/>
    <n v="459"/>
    <n v="1840"/>
    <n v="349"/>
    <x v="0"/>
  </r>
  <r>
    <s v="Uday"/>
    <x v="1"/>
    <x v="66"/>
    <x v="1"/>
    <x v="7"/>
    <x v="2"/>
    <x v="1"/>
    <x v="2"/>
    <n v="2070"/>
    <n v="3599"/>
    <x v="2"/>
    <n v="539"/>
    <n v="9180"/>
    <n v="2970"/>
    <x v="1"/>
  </r>
  <r>
    <s v="Aditya"/>
    <x v="1"/>
    <x v="90"/>
    <x v="1"/>
    <x v="1"/>
    <x v="1"/>
    <x v="0"/>
    <x v="1"/>
    <n v="656"/>
    <n v="1199"/>
    <x v="4"/>
    <n v="119"/>
    <n v="1080"/>
    <n v="424"/>
    <x v="1"/>
  </r>
  <r>
    <s v="Shiva"/>
    <x v="1"/>
    <x v="157"/>
    <x v="3"/>
    <x v="14"/>
    <x v="2"/>
    <x v="1"/>
    <x v="1"/>
    <n v="377"/>
    <n v="699"/>
    <x v="0"/>
    <n v="0"/>
    <n v="699"/>
    <n v="322"/>
    <x v="0"/>
  </r>
  <r>
    <s v="Ananya"/>
    <x v="0"/>
    <x v="191"/>
    <x v="4"/>
    <x v="16"/>
    <x v="2"/>
    <x v="0"/>
    <x v="1"/>
    <n v="820"/>
    <n v="1099"/>
    <x v="3"/>
    <n v="54"/>
    <n v="1045"/>
    <n v="225"/>
    <x v="0"/>
  </r>
  <r>
    <s v="Swapna"/>
    <x v="0"/>
    <x v="121"/>
    <x v="4"/>
    <x v="15"/>
    <x v="0"/>
    <x v="0"/>
    <x v="0"/>
    <n v="2367"/>
    <n v="3599"/>
    <x v="2"/>
    <n v="539"/>
    <n v="6120"/>
    <n v="1386"/>
    <x v="0"/>
  </r>
  <r>
    <s v="Srinivas"/>
    <x v="1"/>
    <x v="187"/>
    <x v="0"/>
    <x v="11"/>
    <x v="0"/>
    <x v="1"/>
    <x v="1"/>
    <n v="517"/>
    <n v="799"/>
    <x v="0"/>
    <n v="0"/>
    <n v="799"/>
    <n v="282"/>
    <x v="0"/>
  </r>
  <r>
    <s v="Vikram"/>
    <x v="1"/>
    <x v="97"/>
    <x v="1"/>
    <x v="1"/>
    <x v="0"/>
    <x v="1"/>
    <x v="3"/>
    <n v="809"/>
    <n v="1199"/>
    <x v="2"/>
    <n v="179"/>
    <n v="4080"/>
    <n v="844"/>
    <x v="0"/>
  </r>
  <r>
    <s v="Rohan"/>
    <x v="1"/>
    <x v="60"/>
    <x v="1"/>
    <x v="7"/>
    <x v="0"/>
    <x v="0"/>
    <x v="1"/>
    <n v="1680"/>
    <n v="2399"/>
    <x v="1"/>
    <n v="479"/>
    <n v="1920"/>
    <n v="240"/>
    <x v="0"/>
  </r>
  <r>
    <s v="Siri"/>
    <x v="0"/>
    <x v="59"/>
    <x v="4"/>
    <x v="6"/>
    <x v="2"/>
    <x v="0"/>
    <x v="4"/>
    <n v="849"/>
    <n v="1199"/>
    <x v="4"/>
    <n v="119"/>
    <n v="5400"/>
    <n v="1155"/>
    <x v="1"/>
  </r>
  <r>
    <s v="Anjali"/>
    <x v="0"/>
    <x v="101"/>
    <x v="2"/>
    <x v="2"/>
    <x v="1"/>
    <x v="0"/>
    <x v="1"/>
    <n v="375"/>
    <n v="699"/>
    <x v="3"/>
    <n v="34"/>
    <n v="665"/>
    <n v="290"/>
    <x v="0"/>
  </r>
  <r>
    <s v="Viraj"/>
    <x v="1"/>
    <x v="165"/>
    <x v="3"/>
    <x v="3"/>
    <x v="2"/>
    <x v="1"/>
    <x v="1"/>
    <n v="723"/>
    <n v="999"/>
    <x v="0"/>
    <n v="0"/>
    <n v="999"/>
    <n v="276"/>
    <x v="0"/>
  </r>
  <r>
    <s v="Leela"/>
    <x v="0"/>
    <x v="19"/>
    <x v="2"/>
    <x v="8"/>
    <x v="2"/>
    <x v="0"/>
    <x v="0"/>
    <n v="1132"/>
    <n v="1899"/>
    <x v="3"/>
    <n v="94"/>
    <n v="3610"/>
    <n v="1346"/>
    <x v="1"/>
  </r>
  <r>
    <s v="Krishna"/>
    <x v="1"/>
    <x v="91"/>
    <x v="2"/>
    <x v="8"/>
    <x v="0"/>
    <x v="1"/>
    <x v="0"/>
    <n v="1312"/>
    <n v="2199"/>
    <x v="2"/>
    <n v="329"/>
    <n v="3740"/>
    <n v="1116"/>
    <x v="0"/>
  </r>
  <r>
    <s v="Sanjeev"/>
    <x v="1"/>
    <x v="213"/>
    <x v="2"/>
    <x v="2"/>
    <x v="0"/>
    <x v="0"/>
    <x v="3"/>
    <n v="308"/>
    <n v="499"/>
    <x v="2"/>
    <n v="74"/>
    <n v="1700"/>
    <n v="468"/>
    <x v="0"/>
  </r>
  <r>
    <s v="Arjun"/>
    <x v="1"/>
    <x v="81"/>
    <x v="3"/>
    <x v="14"/>
    <x v="2"/>
    <x v="1"/>
    <x v="1"/>
    <n v="686"/>
    <n v="1199"/>
    <x v="0"/>
    <n v="0"/>
    <n v="1199"/>
    <n v="513"/>
    <x v="1"/>
  </r>
  <r>
    <s v="Anjali"/>
    <x v="0"/>
    <x v="44"/>
    <x v="0"/>
    <x v="0"/>
    <x v="2"/>
    <x v="0"/>
    <x v="1"/>
    <n v="405"/>
    <n v="599"/>
    <x v="0"/>
    <n v="0"/>
    <n v="599"/>
    <n v="194"/>
    <x v="0"/>
  </r>
  <r>
    <s v="Anjali"/>
    <x v="0"/>
    <x v="93"/>
    <x v="2"/>
    <x v="8"/>
    <x v="2"/>
    <x v="0"/>
    <x v="1"/>
    <n v="1240"/>
    <n v="1799"/>
    <x v="2"/>
    <n v="269"/>
    <n v="1530"/>
    <n v="290"/>
    <x v="1"/>
  </r>
  <r>
    <s v="Aadhya"/>
    <x v="0"/>
    <x v="185"/>
    <x v="3"/>
    <x v="14"/>
    <x v="2"/>
    <x v="1"/>
    <x v="0"/>
    <n v="1000"/>
    <n v="1499"/>
    <x v="0"/>
    <n v="0"/>
    <n v="2998"/>
    <n v="998"/>
    <x v="0"/>
  </r>
  <r>
    <s v="Srujan"/>
    <x v="1"/>
    <x v="83"/>
    <x v="4"/>
    <x v="6"/>
    <x v="0"/>
    <x v="0"/>
    <x v="4"/>
    <n v="422"/>
    <n v="699"/>
    <x v="1"/>
    <n v="139"/>
    <n v="2800"/>
    <n v="690"/>
    <x v="0"/>
  </r>
  <r>
    <s v="Shiva"/>
    <x v="1"/>
    <x v="203"/>
    <x v="4"/>
    <x v="12"/>
    <x v="1"/>
    <x v="0"/>
    <x v="3"/>
    <n v="1292"/>
    <n v="2399"/>
    <x v="2"/>
    <n v="359"/>
    <n v="8160"/>
    <n v="2992"/>
    <x v="1"/>
  </r>
  <r>
    <s v="Srinivas"/>
    <x v="1"/>
    <x v="165"/>
    <x v="0"/>
    <x v="13"/>
    <x v="1"/>
    <x v="1"/>
    <x v="1"/>
    <n v="307"/>
    <n v="499"/>
    <x v="0"/>
    <n v="0"/>
    <n v="499"/>
    <n v="192"/>
    <x v="0"/>
  </r>
  <r>
    <s v="Srujan"/>
    <x v="1"/>
    <x v="212"/>
    <x v="1"/>
    <x v="7"/>
    <x v="2"/>
    <x v="0"/>
    <x v="1"/>
    <n v="2510"/>
    <n v="3399"/>
    <x v="4"/>
    <n v="339"/>
    <n v="3060"/>
    <n v="550"/>
    <x v="0"/>
  </r>
  <r>
    <s v="Sanjeev"/>
    <x v="1"/>
    <x v="34"/>
    <x v="3"/>
    <x v="3"/>
    <x v="2"/>
    <x v="0"/>
    <x v="4"/>
    <n v="1002"/>
    <n v="1399"/>
    <x v="0"/>
    <n v="0"/>
    <n v="6995"/>
    <n v="1985"/>
    <x v="0"/>
  </r>
  <r>
    <s v="Anudeep"/>
    <x v="1"/>
    <x v="20"/>
    <x v="2"/>
    <x v="8"/>
    <x v="1"/>
    <x v="0"/>
    <x v="1"/>
    <n v="939"/>
    <n v="1599"/>
    <x v="3"/>
    <n v="79"/>
    <n v="1520"/>
    <n v="581"/>
    <x v="0"/>
  </r>
  <r>
    <s v="Sai"/>
    <x v="1"/>
    <x v="36"/>
    <x v="1"/>
    <x v="1"/>
    <x v="0"/>
    <x v="1"/>
    <x v="1"/>
    <n v="658"/>
    <n v="1199"/>
    <x v="2"/>
    <n v="179"/>
    <n v="1020"/>
    <n v="362"/>
    <x v="0"/>
  </r>
  <r>
    <s v="Rakesh"/>
    <x v="1"/>
    <x v="32"/>
    <x v="3"/>
    <x v="3"/>
    <x v="1"/>
    <x v="1"/>
    <x v="4"/>
    <n v="869"/>
    <n v="1499"/>
    <x v="0"/>
    <n v="0"/>
    <n v="7495"/>
    <n v="3150"/>
    <x v="1"/>
  </r>
  <r>
    <s v="Arun"/>
    <x v="1"/>
    <x v="122"/>
    <x v="2"/>
    <x v="8"/>
    <x v="1"/>
    <x v="1"/>
    <x v="2"/>
    <n v="1308"/>
    <n v="1899"/>
    <x v="1"/>
    <n v="379"/>
    <n v="4560"/>
    <n v="636"/>
    <x v="1"/>
  </r>
  <r>
    <s v="Devi"/>
    <x v="0"/>
    <x v="164"/>
    <x v="3"/>
    <x v="14"/>
    <x v="2"/>
    <x v="0"/>
    <x v="1"/>
    <n v="509"/>
    <n v="799"/>
    <x v="0"/>
    <n v="0"/>
    <n v="799"/>
    <n v="290"/>
    <x v="0"/>
  </r>
  <r>
    <s v="Sai"/>
    <x v="1"/>
    <x v="98"/>
    <x v="0"/>
    <x v="11"/>
    <x v="0"/>
    <x v="0"/>
    <x v="1"/>
    <n v="296"/>
    <n v="399"/>
    <x v="0"/>
    <n v="0"/>
    <n v="399"/>
    <n v="103"/>
    <x v="0"/>
  </r>
  <r>
    <s v="Vijay"/>
    <x v="1"/>
    <x v="20"/>
    <x v="3"/>
    <x v="14"/>
    <x v="1"/>
    <x v="0"/>
    <x v="1"/>
    <n v="562"/>
    <n v="799"/>
    <x v="0"/>
    <n v="0"/>
    <n v="799"/>
    <n v="237"/>
    <x v="1"/>
  </r>
  <r>
    <s v="Hema"/>
    <x v="0"/>
    <x v="71"/>
    <x v="4"/>
    <x v="15"/>
    <x v="0"/>
    <x v="0"/>
    <x v="3"/>
    <n v="2495"/>
    <n v="3599"/>
    <x v="2"/>
    <n v="539"/>
    <n v="12240"/>
    <n v="2260"/>
    <x v="0"/>
  </r>
  <r>
    <s v="Reavanth"/>
    <x v="1"/>
    <x v="44"/>
    <x v="2"/>
    <x v="2"/>
    <x v="1"/>
    <x v="0"/>
    <x v="0"/>
    <n v="357"/>
    <n v="499"/>
    <x v="1"/>
    <n v="99"/>
    <n v="800"/>
    <n v="86"/>
    <x v="0"/>
  </r>
  <r>
    <s v="Vinay"/>
    <x v="1"/>
    <x v="199"/>
    <x v="2"/>
    <x v="8"/>
    <x v="1"/>
    <x v="0"/>
    <x v="3"/>
    <n v="564"/>
    <n v="999"/>
    <x v="2"/>
    <n v="149"/>
    <n v="3400"/>
    <n v="1144"/>
    <x v="0"/>
  </r>
  <r>
    <s v="Anjali"/>
    <x v="0"/>
    <x v="12"/>
    <x v="0"/>
    <x v="0"/>
    <x v="1"/>
    <x v="1"/>
    <x v="2"/>
    <n v="265"/>
    <n v="399"/>
    <x v="0"/>
    <n v="0"/>
    <n v="1197"/>
    <n v="402"/>
    <x v="1"/>
  </r>
  <r>
    <s v="Kavya"/>
    <x v="0"/>
    <x v="138"/>
    <x v="3"/>
    <x v="3"/>
    <x v="2"/>
    <x v="1"/>
    <x v="1"/>
    <n v="834"/>
    <n v="1499"/>
    <x v="0"/>
    <n v="0"/>
    <n v="1499"/>
    <n v="665"/>
    <x v="0"/>
  </r>
  <r>
    <s v="Reavanth"/>
    <x v="1"/>
    <x v="3"/>
    <x v="2"/>
    <x v="2"/>
    <x v="0"/>
    <x v="1"/>
    <x v="0"/>
    <n v="365"/>
    <n v="699"/>
    <x v="3"/>
    <n v="34"/>
    <n v="1330"/>
    <n v="600"/>
    <x v="0"/>
  </r>
  <r>
    <s v="Devi Sree"/>
    <x v="0"/>
    <x v="49"/>
    <x v="0"/>
    <x v="13"/>
    <x v="0"/>
    <x v="1"/>
    <x v="4"/>
    <n v="285"/>
    <n v="499"/>
    <x v="0"/>
    <n v="0"/>
    <n v="2495"/>
    <n v="1070"/>
    <x v="0"/>
  </r>
  <r>
    <s v="Krishna"/>
    <x v="1"/>
    <x v="143"/>
    <x v="4"/>
    <x v="12"/>
    <x v="0"/>
    <x v="0"/>
    <x v="0"/>
    <n v="1011"/>
    <n v="1599"/>
    <x v="3"/>
    <n v="79"/>
    <n v="3040"/>
    <n v="1018"/>
    <x v="0"/>
  </r>
  <r>
    <s v="Vivaan"/>
    <x v="1"/>
    <x v="148"/>
    <x v="4"/>
    <x v="5"/>
    <x v="2"/>
    <x v="0"/>
    <x v="1"/>
    <n v="473"/>
    <n v="799"/>
    <x v="4"/>
    <n v="79"/>
    <n v="720"/>
    <n v="247"/>
    <x v="1"/>
  </r>
  <r>
    <s v="Devi"/>
    <x v="0"/>
    <x v="86"/>
    <x v="3"/>
    <x v="14"/>
    <x v="0"/>
    <x v="0"/>
    <x v="1"/>
    <n v="689"/>
    <n v="999"/>
    <x v="0"/>
    <n v="0"/>
    <n v="999"/>
    <n v="310"/>
    <x v="0"/>
  </r>
  <r>
    <s v="Venu"/>
    <x v="1"/>
    <x v="122"/>
    <x v="1"/>
    <x v="1"/>
    <x v="1"/>
    <x v="0"/>
    <x v="2"/>
    <n v="945"/>
    <n v="1399"/>
    <x v="4"/>
    <n v="139"/>
    <n v="3780"/>
    <n v="945"/>
    <x v="0"/>
  </r>
  <r>
    <s v="Leela"/>
    <x v="0"/>
    <x v="18"/>
    <x v="1"/>
    <x v="7"/>
    <x v="1"/>
    <x v="1"/>
    <x v="0"/>
    <n v="1697"/>
    <n v="2499"/>
    <x v="1"/>
    <n v="499"/>
    <n v="4000"/>
    <n v="606"/>
    <x v="0"/>
  </r>
  <r>
    <s v="Sai"/>
    <x v="1"/>
    <x v="100"/>
    <x v="3"/>
    <x v="3"/>
    <x v="0"/>
    <x v="0"/>
    <x v="1"/>
    <n v="596"/>
    <n v="899"/>
    <x v="0"/>
    <n v="0"/>
    <n v="899"/>
    <n v="303"/>
    <x v="0"/>
  </r>
  <r>
    <s v="Thanuja"/>
    <x v="0"/>
    <x v="76"/>
    <x v="3"/>
    <x v="14"/>
    <x v="0"/>
    <x v="1"/>
    <x v="1"/>
    <n v="461"/>
    <n v="699"/>
    <x v="0"/>
    <n v="0"/>
    <n v="699"/>
    <n v="238"/>
    <x v="0"/>
  </r>
  <r>
    <s v="Swetha"/>
    <x v="0"/>
    <x v="83"/>
    <x v="1"/>
    <x v="1"/>
    <x v="2"/>
    <x v="0"/>
    <x v="1"/>
    <n v="738"/>
    <n v="1099"/>
    <x v="3"/>
    <n v="54"/>
    <n v="1045"/>
    <n v="307"/>
    <x v="0"/>
  </r>
  <r>
    <s v="Srawani"/>
    <x v="0"/>
    <x v="58"/>
    <x v="0"/>
    <x v="11"/>
    <x v="0"/>
    <x v="1"/>
    <x v="1"/>
    <n v="421"/>
    <n v="599"/>
    <x v="0"/>
    <n v="0"/>
    <n v="599"/>
    <n v="178"/>
    <x v="0"/>
  </r>
  <r>
    <s v="Shiva"/>
    <x v="1"/>
    <x v="143"/>
    <x v="0"/>
    <x v="11"/>
    <x v="1"/>
    <x v="1"/>
    <x v="0"/>
    <n v="359"/>
    <n v="599"/>
    <x v="0"/>
    <n v="0"/>
    <n v="1198"/>
    <n v="480"/>
    <x v="1"/>
  </r>
  <r>
    <s v="Ananya"/>
    <x v="0"/>
    <x v="95"/>
    <x v="3"/>
    <x v="14"/>
    <x v="2"/>
    <x v="0"/>
    <x v="1"/>
    <n v="1087"/>
    <n v="1499"/>
    <x v="0"/>
    <n v="0"/>
    <n v="1499"/>
    <n v="412"/>
    <x v="1"/>
  </r>
  <r>
    <s v="Uday"/>
    <x v="1"/>
    <x v="167"/>
    <x v="0"/>
    <x v="0"/>
    <x v="1"/>
    <x v="0"/>
    <x v="1"/>
    <n v="318"/>
    <n v="599"/>
    <x v="0"/>
    <n v="0"/>
    <n v="599"/>
    <n v="281"/>
    <x v="0"/>
  </r>
  <r>
    <s v="Aditya"/>
    <x v="1"/>
    <x v="126"/>
    <x v="1"/>
    <x v="1"/>
    <x v="1"/>
    <x v="0"/>
    <x v="4"/>
    <n v="1616"/>
    <n v="2299"/>
    <x v="4"/>
    <n v="229"/>
    <n v="10350"/>
    <n v="2270"/>
    <x v="0"/>
  </r>
  <r>
    <s v="Yeshwanth"/>
    <x v="1"/>
    <x v="93"/>
    <x v="2"/>
    <x v="8"/>
    <x v="2"/>
    <x v="1"/>
    <x v="1"/>
    <n v="1006"/>
    <n v="1499"/>
    <x v="2"/>
    <n v="224"/>
    <n v="1275"/>
    <n v="269"/>
    <x v="0"/>
  </r>
  <r>
    <s v="Kalyan"/>
    <x v="1"/>
    <x v="165"/>
    <x v="0"/>
    <x v="0"/>
    <x v="0"/>
    <x v="1"/>
    <x v="1"/>
    <n v="431"/>
    <n v="599"/>
    <x v="0"/>
    <n v="0"/>
    <n v="599"/>
    <n v="168"/>
    <x v="1"/>
  </r>
  <r>
    <s v="Chandrika"/>
    <x v="0"/>
    <x v="55"/>
    <x v="4"/>
    <x v="15"/>
    <x v="2"/>
    <x v="0"/>
    <x v="0"/>
    <n v="1792"/>
    <n v="2799"/>
    <x v="4"/>
    <n v="279"/>
    <n v="5040"/>
    <n v="1456"/>
    <x v="0"/>
  </r>
  <r>
    <s v="Vinay"/>
    <x v="1"/>
    <x v="123"/>
    <x v="4"/>
    <x v="4"/>
    <x v="2"/>
    <x v="0"/>
    <x v="2"/>
    <n v="355"/>
    <n v="499"/>
    <x v="3"/>
    <n v="24"/>
    <n v="1425"/>
    <n v="360"/>
    <x v="0"/>
  </r>
  <r>
    <s v="Neha"/>
    <x v="0"/>
    <x v="194"/>
    <x v="1"/>
    <x v="1"/>
    <x v="1"/>
    <x v="0"/>
    <x v="1"/>
    <n v="1416"/>
    <n v="2199"/>
    <x v="3"/>
    <n v="109"/>
    <n v="2090"/>
    <n v="674"/>
    <x v="0"/>
  </r>
  <r>
    <s v="Shivani"/>
    <x v="0"/>
    <x v="213"/>
    <x v="3"/>
    <x v="14"/>
    <x v="2"/>
    <x v="0"/>
    <x v="1"/>
    <n v="619"/>
    <n v="999"/>
    <x v="0"/>
    <n v="0"/>
    <n v="999"/>
    <n v="380"/>
    <x v="0"/>
  </r>
  <r>
    <s v="Devi Sree"/>
    <x v="0"/>
    <x v="85"/>
    <x v="1"/>
    <x v="7"/>
    <x v="1"/>
    <x v="0"/>
    <x v="0"/>
    <n v="1868"/>
    <n v="2499"/>
    <x v="1"/>
    <n v="499"/>
    <n v="4000"/>
    <n v="264"/>
    <x v="0"/>
  </r>
  <r>
    <s v="Laxmi"/>
    <x v="0"/>
    <x v="126"/>
    <x v="4"/>
    <x v="12"/>
    <x v="0"/>
    <x v="0"/>
    <x v="1"/>
    <n v="1299"/>
    <n v="2499"/>
    <x v="1"/>
    <n v="499"/>
    <n v="2000"/>
    <n v="701"/>
    <x v="1"/>
  </r>
  <r>
    <s v="Shiva"/>
    <x v="1"/>
    <x v="24"/>
    <x v="0"/>
    <x v="13"/>
    <x v="1"/>
    <x v="1"/>
    <x v="0"/>
    <n v="345"/>
    <n v="499"/>
    <x v="0"/>
    <n v="0"/>
    <n v="998"/>
    <n v="308"/>
    <x v="0"/>
  </r>
  <r>
    <s v="Arjun"/>
    <x v="1"/>
    <x v="43"/>
    <x v="2"/>
    <x v="2"/>
    <x v="2"/>
    <x v="1"/>
    <x v="0"/>
    <n v="428"/>
    <n v="599"/>
    <x v="4"/>
    <n v="59"/>
    <n v="1080"/>
    <n v="224"/>
    <x v="1"/>
  </r>
  <r>
    <s v="Tejas"/>
    <x v="1"/>
    <x v="186"/>
    <x v="1"/>
    <x v="7"/>
    <x v="2"/>
    <x v="0"/>
    <x v="0"/>
    <n v="2139"/>
    <n v="2999"/>
    <x v="2"/>
    <n v="449"/>
    <n v="5100"/>
    <n v="822"/>
    <x v="1"/>
  </r>
  <r>
    <s v="Hema"/>
    <x v="0"/>
    <x v="185"/>
    <x v="1"/>
    <x v="7"/>
    <x v="2"/>
    <x v="1"/>
    <x v="2"/>
    <n v="2477"/>
    <n v="3699"/>
    <x v="3"/>
    <n v="184"/>
    <n v="10545"/>
    <n v="3114"/>
    <x v="0"/>
  </r>
  <r>
    <s v="Devi"/>
    <x v="0"/>
    <x v="87"/>
    <x v="4"/>
    <x v="12"/>
    <x v="2"/>
    <x v="0"/>
    <x v="2"/>
    <n v="1083"/>
    <n v="1699"/>
    <x v="4"/>
    <n v="169"/>
    <n v="4590"/>
    <n v="1341"/>
    <x v="0"/>
  </r>
  <r>
    <s v="Anvesh"/>
    <x v="1"/>
    <x v="8"/>
    <x v="4"/>
    <x v="16"/>
    <x v="2"/>
    <x v="1"/>
    <x v="1"/>
    <n v="1187"/>
    <n v="2199"/>
    <x v="3"/>
    <n v="109"/>
    <n v="2090"/>
    <n v="903"/>
    <x v="0"/>
  </r>
  <r>
    <s v="Aarav"/>
    <x v="1"/>
    <x v="122"/>
    <x v="3"/>
    <x v="14"/>
    <x v="0"/>
    <x v="1"/>
    <x v="3"/>
    <n v="539"/>
    <n v="799"/>
    <x v="0"/>
    <n v="0"/>
    <n v="3196"/>
    <n v="1040"/>
    <x v="0"/>
  </r>
  <r>
    <s v="Rahul"/>
    <x v="1"/>
    <x v="114"/>
    <x v="0"/>
    <x v="13"/>
    <x v="1"/>
    <x v="0"/>
    <x v="1"/>
    <n v="350"/>
    <n v="499"/>
    <x v="0"/>
    <n v="0"/>
    <n v="499"/>
    <n v="149"/>
    <x v="1"/>
  </r>
  <r>
    <s v="Lassya"/>
    <x v="0"/>
    <x v="100"/>
    <x v="1"/>
    <x v="1"/>
    <x v="2"/>
    <x v="1"/>
    <x v="1"/>
    <n v="1301"/>
    <n v="2399"/>
    <x v="2"/>
    <n v="359"/>
    <n v="2040"/>
    <n v="739"/>
    <x v="0"/>
  </r>
  <r>
    <s v="Kalyan"/>
    <x v="1"/>
    <x v="64"/>
    <x v="1"/>
    <x v="7"/>
    <x v="0"/>
    <x v="0"/>
    <x v="1"/>
    <n v="1304"/>
    <n v="1999"/>
    <x v="3"/>
    <n v="99"/>
    <n v="1900"/>
    <n v="596"/>
    <x v="1"/>
  </r>
  <r>
    <s v="Rahul"/>
    <x v="1"/>
    <x v="124"/>
    <x v="3"/>
    <x v="3"/>
    <x v="0"/>
    <x v="1"/>
    <x v="1"/>
    <n v="1015"/>
    <n v="1399"/>
    <x v="0"/>
    <n v="0"/>
    <n v="1399"/>
    <n v="384"/>
    <x v="0"/>
  </r>
  <r>
    <s v="Swapna"/>
    <x v="0"/>
    <x v="39"/>
    <x v="4"/>
    <x v="6"/>
    <x v="1"/>
    <x v="0"/>
    <x v="0"/>
    <n v="448"/>
    <n v="599"/>
    <x v="4"/>
    <n v="59"/>
    <n v="1080"/>
    <n v="184"/>
    <x v="1"/>
  </r>
  <r>
    <s v="Koushika"/>
    <x v="0"/>
    <x v="95"/>
    <x v="2"/>
    <x v="8"/>
    <x v="2"/>
    <x v="0"/>
    <x v="1"/>
    <n v="549"/>
    <n v="799"/>
    <x v="2"/>
    <n v="119"/>
    <n v="680"/>
    <n v="131"/>
    <x v="0"/>
  </r>
  <r>
    <s v="Bharath"/>
    <x v="1"/>
    <x v="140"/>
    <x v="3"/>
    <x v="3"/>
    <x v="0"/>
    <x v="0"/>
    <x v="1"/>
    <n v="741"/>
    <n v="999"/>
    <x v="0"/>
    <n v="0"/>
    <n v="999"/>
    <n v="258"/>
    <x v="0"/>
  </r>
  <r>
    <s v="Sneha"/>
    <x v="0"/>
    <x v="24"/>
    <x v="3"/>
    <x v="14"/>
    <x v="0"/>
    <x v="1"/>
    <x v="2"/>
    <n v="673"/>
    <n v="999"/>
    <x v="0"/>
    <n v="0"/>
    <n v="2997"/>
    <n v="978"/>
    <x v="0"/>
  </r>
  <r>
    <s v="Vivaan"/>
    <x v="1"/>
    <x v="106"/>
    <x v="1"/>
    <x v="7"/>
    <x v="2"/>
    <x v="0"/>
    <x v="0"/>
    <n v="1850"/>
    <n v="2799"/>
    <x v="4"/>
    <n v="279"/>
    <n v="5040"/>
    <n v="1340"/>
    <x v="0"/>
  </r>
  <r>
    <s v="Vikram"/>
    <x v="1"/>
    <x v="140"/>
    <x v="0"/>
    <x v="0"/>
    <x v="1"/>
    <x v="1"/>
    <x v="1"/>
    <n v="310"/>
    <n v="499"/>
    <x v="0"/>
    <n v="0"/>
    <n v="499"/>
    <n v="189"/>
    <x v="1"/>
  </r>
  <r>
    <s v="Vivaan"/>
    <x v="1"/>
    <x v="30"/>
    <x v="1"/>
    <x v="7"/>
    <x v="1"/>
    <x v="0"/>
    <x v="1"/>
    <n v="2024"/>
    <n v="3799"/>
    <x v="1"/>
    <n v="759"/>
    <n v="3040"/>
    <n v="1016"/>
    <x v="0"/>
  </r>
  <r>
    <s v="Surya"/>
    <x v="1"/>
    <x v="197"/>
    <x v="2"/>
    <x v="8"/>
    <x v="2"/>
    <x v="1"/>
    <x v="2"/>
    <n v="747"/>
    <n v="1099"/>
    <x v="3"/>
    <n v="54"/>
    <n v="3135"/>
    <n v="894"/>
    <x v="0"/>
  </r>
  <r>
    <s v="Vinay"/>
    <x v="1"/>
    <x v="59"/>
    <x v="0"/>
    <x v="11"/>
    <x v="2"/>
    <x v="1"/>
    <x v="3"/>
    <n v="401"/>
    <n v="599"/>
    <x v="0"/>
    <n v="0"/>
    <n v="2396"/>
    <n v="792"/>
    <x v="1"/>
  </r>
  <r>
    <s v="Vinay"/>
    <x v="1"/>
    <x v="146"/>
    <x v="2"/>
    <x v="8"/>
    <x v="1"/>
    <x v="0"/>
    <x v="1"/>
    <n v="812"/>
    <n v="1299"/>
    <x v="1"/>
    <n v="259"/>
    <n v="1040"/>
    <n v="228"/>
    <x v="1"/>
  </r>
  <r>
    <s v="Devi"/>
    <x v="0"/>
    <x v="135"/>
    <x v="4"/>
    <x v="5"/>
    <x v="2"/>
    <x v="0"/>
    <x v="1"/>
    <n v="840"/>
    <n v="1299"/>
    <x v="1"/>
    <n v="259"/>
    <n v="1040"/>
    <n v="200"/>
    <x v="1"/>
  </r>
  <r>
    <s v="Kavya"/>
    <x v="0"/>
    <x v="97"/>
    <x v="4"/>
    <x v="12"/>
    <x v="0"/>
    <x v="0"/>
    <x v="1"/>
    <n v="605"/>
    <n v="1199"/>
    <x v="2"/>
    <n v="179"/>
    <n v="1020"/>
    <n v="415"/>
    <x v="0"/>
  </r>
  <r>
    <s v="Rahul"/>
    <x v="1"/>
    <x v="47"/>
    <x v="1"/>
    <x v="7"/>
    <x v="1"/>
    <x v="0"/>
    <x v="1"/>
    <n v="2046"/>
    <n v="2799"/>
    <x v="4"/>
    <n v="279"/>
    <n v="2520"/>
    <n v="474"/>
    <x v="0"/>
  </r>
  <r>
    <s v="Venu"/>
    <x v="1"/>
    <x v="92"/>
    <x v="0"/>
    <x v="0"/>
    <x v="0"/>
    <x v="1"/>
    <x v="1"/>
    <n v="265"/>
    <n v="399"/>
    <x v="0"/>
    <n v="0"/>
    <n v="399"/>
    <n v="134"/>
    <x v="1"/>
  </r>
  <r>
    <s v="Leela"/>
    <x v="0"/>
    <x v="65"/>
    <x v="2"/>
    <x v="8"/>
    <x v="0"/>
    <x v="0"/>
    <x v="1"/>
    <n v="813"/>
    <n v="1499"/>
    <x v="2"/>
    <n v="224"/>
    <n v="1275"/>
    <n v="462"/>
    <x v="0"/>
  </r>
  <r>
    <s v="Sneha"/>
    <x v="0"/>
    <x v="185"/>
    <x v="2"/>
    <x v="8"/>
    <x v="2"/>
    <x v="1"/>
    <x v="1"/>
    <n v="1392"/>
    <n v="2299"/>
    <x v="1"/>
    <n v="459"/>
    <n v="1840"/>
    <n v="448"/>
    <x v="0"/>
  </r>
  <r>
    <s v="Sanjeev"/>
    <x v="1"/>
    <x v="1"/>
    <x v="3"/>
    <x v="3"/>
    <x v="1"/>
    <x v="0"/>
    <x v="1"/>
    <n v="690"/>
    <n v="1199"/>
    <x v="0"/>
    <n v="0"/>
    <n v="1199"/>
    <n v="509"/>
    <x v="0"/>
  </r>
  <r>
    <s v="Swapna"/>
    <x v="0"/>
    <x v="107"/>
    <x v="4"/>
    <x v="10"/>
    <x v="2"/>
    <x v="0"/>
    <x v="3"/>
    <n v="1017"/>
    <n v="1899"/>
    <x v="1"/>
    <n v="379"/>
    <n v="6080"/>
    <n v="2012"/>
    <x v="1"/>
  </r>
  <r>
    <s v="Aarav"/>
    <x v="1"/>
    <x v="119"/>
    <x v="2"/>
    <x v="8"/>
    <x v="2"/>
    <x v="0"/>
    <x v="4"/>
    <n v="852"/>
    <n v="1399"/>
    <x v="4"/>
    <n v="139"/>
    <n v="6300"/>
    <n v="2040"/>
    <x v="1"/>
  </r>
  <r>
    <s v="Aadhya"/>
    <x v="0"/>
    <x v="110"/>
    <x v="4"/>
    <x v="10"/>
    <x v="2"/>
    <x v="1"/>
    <x v="1"/>
    <n v="517"/>
    <n v="899"/>
    <x v="4"/>
    <n v="89"/>
    <n v="810"/>
    <n v="293"/>
    <x v="0"/>
  </r>
  <r>
    <s v="Saanvi"/>
    <x v="0"/>
    <x v="154"/>
    <x v="3"/>
    <x v="14"/>
    <x v="2"/>
    <x v="1"/>
    <x v="0"/>
    <n v="741"/>
    <n v="999"/>
    <x v="0"/>
    <n v="0"/>
    <n v="1998"/>
    <n v="516"/>
    <x v="0"/>
  </r>
  <r>
    <s v="Koushika"/>
    <x v="0"/>
    <x v="93"/>
    <x v="1"/>
    <x v="7"/>
    <x v="2"/>
    <x v="1"/>
    <x v="1"/>
    <n v="2174"/>
    <n v="4299"/>
    <x v="3"/>
    <n v="214"/>
    <n v="4085"/>
    <n v="1911"/>
    <x v="0"/>
  </r>
  <r>
    <s v="Lassya"/>
    <x v="0"/>
    <x v="91"/>
    <x v="2"/>
    <x v="8"/>
    <x v="1"/>
    <x v="0"/>
    <x v="1"/>
    <n v="777"/>
    <n v="1299"/>
    <x v="1"/>
    <n v="259"/>
    <n v="1040"/>
    <n v="263"/>
    <x v="0"/>
  </r>
  <r>
    <s v="Swathi"/>
    <x v="0"/>
    <x v="122"/>
    <x v="3"/>
    <x v="14"/>
    <x v="0"/>
    <x v="1"/>
    <x v="4"/>
    <n v="730"/>
    <n v="1199"/>
    <x v="0"/>
    <n v="0"/>
    <n v="5995"/>
    <n v="2345"/>
    <x v="0"/>
  </r>
  <r>
    <s v="Rohan"/>
    <x v="1"/>
    <x v="108"/>
    <x v="4"/>
    <x v="6"/>
    <x v="1"/>
    <x v="0"/>
    <x v="0"/>
    <n v="373"/>
    <n v="699"/>
    <x v="1"/>
    <n v="139"/>
    <n v="1120"/>
    <n v="374"/>
    <x v="0"/>
  </r>
  <r>
    <s v="Rakesh"/>
    <x v="1"/>
    <x v="91"/>
    <x v="2"/>
    <x v="8"/>
    <x v="2"/>
    <x v="0"/>
    <x v="1"/>
    <n v="668"/>
    <n v="1199"/>
    <x v="2"/>
    <n v="179"/>
    <n v="1020"/>
    <n v="352"/>
    <x v="1"/>
  </r>
  <r>
    <s v="Chandrika"/>
    <x v="0"/>
    <x v="101"/>
    <x v="0"/>
    <x v="9"/>
    <x v="2"/>
    <x v="0"/>
    <x v="3"/>
    <n v="338"/>
    <n v="499"/>
    <x v="0"/>
    <n v="0"/>
    <n v="1996"/>
    <n v="644"/>
    <x v="1"/>
  </r>
  <r>
    <s v=" Praveen"/>
    <x v="1"/>
    <x v="120"/>
    <x v="3"/>
    <x v="3"/>
    <x v="1"/>
    <x v="1"/>
    <x v="0"/>
    <n v="536"/>
    <n v="899"/>
    <x v="0"/>
    <n v="0"/>
    <n v="1798"/>
    <n v="726"/>
    <x v="0"/>
  </r>
  <r>
    <s v="Sai"/>
    <x v="1"/>
    <x v="92"/>
    <x v="1"/>
    <x v="1"/>
    <x v="2"/>
    <x v="0"/>
    <x v="1"/>
    <n v="953"/>
    <n v="1299"/>
    <x v="3"/>
    <n v="64"/>
    <n v="1235"/>
    <n v="282"/>
    <x v="1"/>
  </r>
  <r>
    <s v="Srujan"/>
    <x v="1"/>
    <x v="61"/>
    <x v="1"/>
    <x v="7"/>
    <x v="2"/>
    <x v="1"/>
    <x v="1"/>
    <n v="1611"/>
    <n v="2799"/>
    <x v="1"/>
    <n v="559"/>
    <n v="2240"/>
    <n v="629"/>
    <x v="0"/>
  </r>
  <r>
    <s v="Sai"/>
    <x v="1"/>
    <x v="72"/>
    <x v="0"/>
    <x v="13"/>
    <x v="2"/>
    <x v="1"/>
    <x v="2"/>
    <n v="251"/>
    <n v="399"/>
    <x v="0"/>
    <n v="0"/>
    <n v="1197"/>
    <n v="444"/>
    <x v="0"/>
  </r>
  <r>
    <s v="Arjun"/>
    <x v="1"/>
    <x v="146"/>
    <x v="1"/>
    <x v="7"/>
    <x v="1"/>
    <x v="0"/>
    <x v="3"/>
    <n v="2965"/>
    <n v="4399"/>
    <x v="1"/>
    <n v="879"/>
    <n v="14080"/>
    <n v="2220"/>
    <x v="0"/>
  </r>
  <r>
    <s v="Srinivas"/>
    <x v="1"/>
    <x v="158"/>
    <x v="2"/>
    <x v="8"/>
    <x v="2"/>
    <x v="1"/>
    <x v="1"/>
    <n v="963"/>
    <n v="1499"/>
    <x v="1"/>
    <n v="299"/>
    <n v="1200"/>
    <n v="237"/>
    <x v="1"/>
  </r>
  <r>
    <s v="Swathi"/>
    <x v="0"/>
    <x v="151"/>
    <x v="1"/>
    <x v="1"/>
    <x v="0"/>
    <x v="0"/>
    <x v="3"/>
    <n v="1371"/>
    <n v="2299"/>
    <x v="4"/>
    <n v="229"/>
    <n v="8280"/>
    <n v="2796"/>
    <x v="0"/>
  </r>
  <r>
    <s v="Devi Sree"/>
    <x v="0"/>
    <x v="138"/>
    <x v="2"/>
    <x v="2"/>
    <x v="2"/>
    <x v="0"/>
    <x v="1"/>
    <n v="388"/>
    <n v="699"/>
    <x v="4"/>
    <n v="69"/>
    <n v="630"/>
    <n v="242"/>
    <x v="1"/>
  </r>
  <r>
    <s v="Yeshwanth"/>
    <x v="1"/>
    <x v="133"/>
    <x v="2"/>
    <x v="2"/>
    <x v="0"/>
    <x v="0"/>
    <x v="0"/>
    <n v="372"/>
    <n v="599"/>
    <x v="4"/>
    <n v="59"/>
    <n v="1080"/>
    <n v="336"/>
    <x v="1"/>
  </r>
  <r>
    <s v="Pooja"/>
    <x v="0"/>
    <x v="82"/>
    <x v="2"/>
    <x v="2"/>
    <x v="1"/>
    <x v="0"/>
    <x v="1"/>
    <n v="441"/>
    <n v="599"/>
    <x v="2"/>
    <n v="89"/>
    <n v="510"/>
    <n v="69"/>
    <x v="0"/>
  </r>
  <r>
    <s v="Vijay"/>
    <x v="1"/>
    <x v="206"/>
    <x v="4"/>
    <x v="6"/>
    <x v="1"/>
    <x v="1"/>
    <x v="0"/>
    <n v="534"/>
    <n v="899"/>
    <x v="4"/>
    <n v="89"/>
    <n v="1620"/>
    <n v="552"/>
    <x v="0"/>
  </r>
  <r>
    <s v="Sanjeev"/>
    <x v="1"/>
    <x v="28"/>
    <x v="2"/>
    <x v="2"/>
    <x v="2"/>
    <x v="0"/>
    <x v="3"/>
    <n v="349"/>
    <n v="599"/>
    <x v="1"/>
    <n v="119"/>
    <n v="1920"/>
    <n v="524"/>
    <x v="0"/>
  </r>
  <r>
    <s v="Srinivas"/>
    <x v="1"/>
    <x v="106"/>
    <x v="3"/>
    <x v="14"/>
    <x v="0"/>
    <x v="0"/>
    <x v="2"/>
    <n v="372"/>
    <n v="699"/>
    <x v="0"/>
    <n v="0"/>
    <n v="2097"/>
    <n v="981"/>
    <x v="1"/>
  </r>
  <r>
    <s v="Aadhya"/>
    <x v="0"/>
    <x v="6"/>
    <x v="3"/>
    <x v="3"/>
    <x v="1"/>
    <x v="0"/>
    <x v="0"/>
    <n v="650"/>
    <n v="1199"/>
    <x v="0"/>
    <n v="0"/>
    <n v="2398"/>
    <n v="1098"/>
    <x v="1"/>
  </r>
  <r>
    <s v="Harsha"/>
    <x v="1"/>
    <x v="188"/>
    <x v="4"/>
    <x v="6"/>
    <x v="2"/>
    <x v="0"/>
    <x v="0"/>
    <n v="616"/>
    <n v="999"/>
    <x v="1"/>
    <n v="199"/>
    <n v="1600"/>
    <n v="368"/>
    <x v="0"/>
  </r>
  <r>
    <s v="Ananya"/>
    <x v="0"/>
    <x v="78"/>
    <x v="3"/>
    <x v="3"/>
    <x v="2"/>
    <x v="0"/>
    <x v="1"/>
    <n v="527"/>
    <n v="899"/>
    <x v="0"/>
    <n v="0"/>
    <n v="899"/>
    <n v="372"/>
    <x v="1"/>
  </r>
  <r>
    <s v="Srinivas"/>
    <x v="1"/>
    <x v="205"/>
    <x v="0"/>
    <x v="0"/>
    <x v="1"/>
    <x v="0"/>
    <x v="4"/>
    <n v="206"/>
    <n v="299"/>
    <x v="0"/>
    <n v="0"/>
    <n v="1495"/>
    <n v="465"/>
    <x v="0"/>
  </r>
  <r>
    <s v="Yeshwanth"/>
    <x v="1"/>
    <x v="119"/>
    <x v="4"/>
    <x v="6"/>
    <x v="2"/>
    <x v="0"/>
    <x v="1"/>
    <n v="413"/>
    <n v="599"/>
    <x v="2"/>
    <n v="89"/>
    <n v="510"/>
    <n v="97"/>
    <x v="0"/>
  </r>
  <r>
    <s v="Aadhya"/>
    <x v="0"/>
    <x v="68"/>
    <x v="0"/>
    <x v="11"/>
    <x v="1"/>
    <x v="0"/>
    <x v="1"/>
    <n v="525"/>
    <n v="799"/>
    <x v="0"/>
    <n v="0"/>
    <n v="799"/>
    <n v="274"/>
    <x v="1"/>
  </r>
  <r>
    <s v="Vasanth"/>
    <x v="1"/>
    <x v="137"/>
    <x v="3"/>
    <x v="3"/>
    <x v="1"/>
    <x v="0"/>
    <x v="0"/>
    <n v="735"/>
    <n v="1199"/>
    <x v="0"/>
    <n v="0"/>
    <n v="2398"/>
    <n v="928"/>
    <x v="0"/>
  </r>
  <r>
    <s v="Swathi"/>
    <x v="0"/>
    <x v="50"/>
    <x v="2"/>
    <x v="2"/>
    <x v="2"/>
    <x v="1"/>
    <x v="1"/>
    <n v="304"/>
    <n v="499"/>
    <x v="4"/>
    <n v="49"/>
    <n v="450"/>
    <n v="146"/>
    <x v="1"/>
  </r>
  <r>
    <s v="Yeshwanth"/>
    <x v="1"/>
    <x v="170"/>
    <x v="0"/>
    <x v="11"/>
    <x v="2"/>
    <x v="0"/>
    <x v="1"/>
    <n v="179"/>
    <n v="299"/>
    <x v="0"/>
    <n v="0"/>
    <n v="299"/>
    <n v="120"/>
    <x v="1"/>
  </r>
  <r>
    <s v="Pooja"/>
    <x v="0"/>
    <x v="172"/>
    <x v="0"/>
    <x v="11"/>
    <x v="1"/>
    <x v="1"/>
    <x v="1"/>
    <n v="367"/>
    <n v="599"/>
    <x v="0"/>
    <n v="0"/>
    <n v="599"/>
    <n v="232"/>
    <x v="0"/>
  </r>
  <r>
    <s v="Kavya"/>
    <x v="0"/>
    <x v="91"/>
    <x v="0"/>
    <x v="9"/>
    <x v="2"/>
    <x v="0"/>
    <x v="0"/>
    <n v="269"/>
    <n v="399"/>
    <x v="0"/>
    <n v="0"/>
    <n v="798"/>
    <n v="260"/>
    <x v="0"/>
  </r>
  <r>
    <s v="Viraj"/>
    <x v="1"/>
    <x v="173"/>
    <x v="3"/>
    <x v="14"/>
    <x v="0"/>
    <x v="1"/>
    <x v="0"/>
    <n v="1048"/>
    <n v="1499"/>
    <x v="0"/>
    <n v="0"/>
    <n v="2998"/>
    <n v="902"/>
    <x v="0"/>
  </r>
  <r>
    <s v="Pooja"/>
    <x v="0"/>
    <x v="203"/>
    <x v="0"/>
    <x v="9"/>
    <x v="0"/>
    <x v="0"/>
    <x v="0"/>
    <n v="408"/>
    <n v="599"/>
    <x v="0"/>
    <n v="0"/>
    <n v="1198"/>
    <n v="382"/>
    <x v="0"/>
  </r>
  <r>
    <s v="Swathi"/>
    <x v="0"/>
    <x v="187"/>
    <x v="1"/>
    <x v="7"/>
    <x v="1"/>
    <x v="0"/>
    <x v="1"/>
    <n v="1401"/>
    <n v="2599"/>
    <x v="2"/>
    <n v="389"/>
    <n v="2210"/>
    <n v="809"/>
    <x v="0"/>
  </r>
  <r>
    <s v="Swetha"/>
    <x v="0"/>
    <x v="194"/>
    <x v="4"/>
    <x v="12"/>
    <x v="2"/>
    <x v="1"/>
    <x v="1"/>
    <n v="1385"/>
    <n v="2199"/>
    <x v="3"/>
    <n v="109"/>
    <n v="2090"/>
    <n v="705"/>
    <x v="0"/>
  </r>
  <r>
    <s v="Devi"/>
    <x v="0"/>
    <x v="114"/>
    <x v="1"/>
    <x v="1"/>
    <x v="0"/>
    <x v="0"/>
    <x v="0"/>
    <n v="1167"/>
    <n v="2299"/>
    <x v="4"/>
    <n v="229"/>
    <n v="4140"/>
    <n v="1806"/>
    <x v="0"/>
  </r>
  <r>
    <s v="Sai"/>
    <x v="1"/>
    <x v="115"/>
    <x v="2"/>
    <x v="8"/>
    <x v="2"/>
    <x v="1"/>
    <x v="4"/>
    <n v="670"/>
    <n v="999"/>
    <x v="1"/>
    <n v="199"/>
    <n v="4000"/>
    <n v="650"/>
    <x v="1"/>
  </r>
  <r>
    <s v="Thanuja"/>
    <x v="0"/>
    <x v="24"/>
    <x v="0"/>
    <x v="0"/>
    <x v="2"/>
    <x v="1"/>
    <x v="2"/>
    <n v="345"/>
    <n v="599"/>
    <x v="0"/>
    <n v="0"/>
    <n v="1797"/>
    <n v="762"/>
    <x v="0"/>
  </r>
  <r>
    <s v="Laxmi"/>
    <x v="0"/>
    <x v="1"/>
    <x v="0"/>
    <x v="13"/>
    <x v="0"/>
    <x v="1"/>
    <x v="1"/>
    <n v="216"/>
    <n v="399"/>
    <x v="0"/>
    <n v="0"/>
    <n v="399"/>
    <n v="183"/>
    <x v="1"/>
  </r>
  <r>
    <s v="Sanjeev"/>
    <x v="1"/>
    <x v="45"/>
    <x v="1"/>
    <x v="7"/>
    <x v="2"/>
    <x v="0"/>
    <x v="1"/>
    <n v="1413"/>
    <n v="2399"/>
    <x v="2"/>
    <n v="359"/>
    <n v="2040"/>
    <n v="627"/>
    <x v="0"/>
  </r>
  <r>
    <s v="Vasanth"/>
    <x v="1"/>
    <x v="140"/>
    <x v="4"/>
    <x v="12"/>
    <x v="0"/>
    <x v="0"/>
    <x v="3"/>
    <n v="672"/>
    <n v="1199"/>
    <x v="2"/>
    <n v="179"/>
    <n v="4080"/>
    <n v="1392"/>
    <x v="0"/>
  </r>
  <r>
    <s v="Vinay"/>
    <x v="1"/>
    <x v="194"/>
    <x v="4"/>
    <x v="5"/>
    <x v="1"/>
    <x v="0"/>
    <x v="1"/>
    <n v="639"/>
    <n v="899"/>
    <x v="1"/>
    <n v="179"/>
    <n v="720"/>
    <n v="81"/>
    <x v="1"/>
  </r>
  <r>
    <s v="Yeshwanth"/>
    <x v="1"/>
    <x v="119"/>
    <x v="4"/>
    <x v="6"/>
    <x v="0"/>
    <x v="0"/>
    <x v="1"/>
    <n v="391"/>
    <n v="699"/>
    <x v="1"/>
    <n v="139"/>
    <n v="560"/>
    <n v="169"/>
    <x v="1"/>
  </r>
  <r>
    <s v="Sanjeev"/>
    <x v="1"/>
    <x v="180"/>
    <x v="1"/>
    <x v="1"/>
    <x v="0"/>
    <x v="1"/>
    <x v="1"/>
    <n v="737"/>
    <n v="1399"/>
    <x v="4"/>
    <n v="139"/>
    <n v="1260"/>
    <n v="523"/>
    <x v="0"/>
  </r>
  <r>
    <s v="Yeshwanth"/>
    <x v="1"/>
    <x v="9"/>
    <x v="4"/>
    <x v="5"/>
    <x v="1"/>
    <x v="1"/>
    <x v="4"/>
    <n v="1051"/>
    <n v="1599"/>
    <x v="2"/>
    <n v="239"/>
    <n v="6800"/>
    <n v="1545"/>
    <x v="0"/>
  </r>
  <r>
    <s v="Pranay"/>
    <x v="1"/>
    <x v="121"/>
    <x v="4"/>
    <x v="15"/>
    <x v="0"/>
    <x v="1"/>
    <x v="1"/>
    <n v="1772"/>
    <n v="3199"/>
    <x v="3"/>
    <n v="159"/>
    <n v="3040"/>
    <n v="1268"/>
    <x v="1"/>
  </r>
  <r>
    <s v="Uday"/>
    <x v="1"/>
    <x v="59"/>
    <x v="1"/>
    <x v="7"/>
    <x v="0"/>
    <x v="1"/>
    <x v="4"/>
    <n v="3181"/>
    <n v="4799"/>
    <x v="2"/>
    <n v="719"/>
    <n v="20400"/>
    <n v="4495"/>
    <x v="0"/>
  </r>
  <r>
    <s v="Reavanth"/>
    <x v="1"/>
    <x v="179"/>
    <x v="4"/>
    <x v="15"/>
    <x v="2"/>
    <x v="0"/>
    <x v="4"/>
    <n v="2064"/>
    <n v="2999"/>
    <x v="2"/>
    <n v="449"/>
    <n v="12750"/>
    <n v="2430"/>
    <x v="1"/>
  </r>
  <r>
    <s v="Pranay"/>
    <x v="1"/>
    <x v="92"/>
    <x v="1"/>
    <x v="7"/>
    <x v="0"/>
    <x v="0"/>
    <x v="1"/>
    <n v="1949"/>
    <n v="3199"/>
    <x v="1"/>
    <n v="639"/>
    <n v="2560"/>
    <n v="611"/>
    <x v="0"/>
  </r>
  <r>
    <s v="Chandrika"/>
    <x v="0"/>
    <x v="84"/>
    <x v="1"/>
    <x v="1"/>
    <x v="0"/>
    <x v="1"/>
    <x v="0"/>
    <n v="1060"/>
    <n v="1799"/>
    <x v="2"/>
    <n v="269"/>
    <n v="3060"/>
    <n v="940"/>
    <x v="1"/>
  </r>
  <r>
    <s v="Surya"/>
    <x v="1"/>
    <x v="158"/>
    <x v="0"/>
    <x v="0"/>
    <x v="2"/>
    <x v="0"/>
    <x v="1"/>
    <n v="254"/>
    <n v="399"/>
    <x v="0"/>
    <n v="0"/>
    <n v="399"/>
    <n v="145"/>
    <x v="0"/>
  </r>
  <r>
    <s v="Nandhini"/>
    <x v="0"/>
    <x v="148"/>
    <x v="2"/>
    <x v="8"/>
    <x v="2"/>
    <x v="0"/>
    <x v="1"/>
    <n v="666"/>
    <n v="1099"/>
    <x v="3"/>
    <n v="54"/>
    <n v="1045"/>
    <n v="379"/>
    <x v="0"/>
  </r>
  <r>
    <s v="Pooja"/>
    <x v="0"/>
    <x v="8"/>
    <x v="0"/>
    <x v="11"/>
    <x v="0"/>
    <x v="0"/>
    <x v="1"/>
    <n v="182"/>
    <n v="299"/>
    <x v="0"/>
    <n v="0"/>
    <n v="299"/>
    <n v="117"/>
    <x v="0"/>
  </r>
  <r>
    <s v="Lavanya"/>
    <x v="0"/>
    <x v="11"/>
    <x v="1"/>
    <x v="1"/>
    <x v="2"/>
    <x v="0"/>
    <x v="3"/>
    <n v="695"/>
    <n v="1299"/>
    <x v="1"/>
    <n v="259"/>
    <n v="4160"/>
    <n v="1380"/>
    <x v="0"/>
  </r>
  <r>
    <s v="Swathi"/>
    <x v="0"/>
    <x v="78"/>
    <x v="0"/>
    <x v="13"/>
    <x v="0"/>
    <x v="0"/>
    <x v="1"/>
    <n v="212"/>
    <n v="399"/>
    <x v="0"/>
    <n v="0"/>
    <n v="399"/>
    <n v="187"/>
    <x v="0"/>
  </r>
  <r>
    <s v="Yeshwanth"/>
    <x v="1"/>
    <x v="78"/>
    <x v="1"/>
    <x v="7"/>
    <x v="1"/>
    <x v="0"/>
    <x v="0"/>
    <n v="2347"/>
    <n v="3699"/>
    <x v="3"/>
    <n v="184"/>
    <n v="7030"/>
    <n v="2336"/>
    <x v="0"/>
  </r>
  <r>
    <s v="Aditya"/>
    <x v="1"/>
    <x v="109"/>
    <x v="4"/>
    <x v="10"/>
    <x v="2"/>
    <x v="1"/>
    <x v="1"/>
    <n v="844"/>
    <n v="1199"/>
    <x v="2"/>
    <n v="179"/>
    <n v="1020"/>
    <n v="176"/>
    <x v="1"/>
  </r>
  <r>
    <s v="Aadhya"/>
    <x v="0"/>
    <x v="177"/>
    <x v="3"/>
    <x v="3"/>
    <x v="1"/>
    <x v="0"/>
    <x v="1"/>
    <n v="571"/>
    <n v="899"/>
    <x v="0"/>
    <n v="0"/>
    <n v="899"/>
    <n v="328"/>
    <x v="0"/>
  </r>
  <r>
    <s v="Deepak"/>
    <x v="1"/>
    <x v="61"/>
    <x v="2"/>
    <x v="8"/>
    <x v="2"/>
    <x v="1"/>
    <x v="1"/>
    <n v="861"/>
    <n v="1199"/>
    <x v="4"/>
    <n v="119"/>
    <n v="1080"/>
    <n v="219"/>
    <x v="1"/>
  </r>
  <r>
    <s v="Swetha"/>
    <x v="0"/>
    <x v="158"/>
    <x v="0"/>
    <x v="9"/>
    <x v="1"/>
    <x v="0"/>
    <x v="0"/>
    <n v="300"/>
    <n v="499"/>
    <x v="0"/>
    <n v="0"/>
    <n v="998"/>
    <n v="398"/>
    <x v="0"/>
  </r>
  <r>
    <s v="Swathi"/>
    <x v="0"/>
    <x v="17"/>
    <x v="0"/>
    <x v="13"/>
    <x v="2"/>
    <x v="0"/>
    <x v="1"/>
    <n v="366"/>
    <n v="499"/>
    <x v="0"/>
    <n v="0"/>
    <n v="499"/>
    <n v="133"/>
    <x v="0"/>
  </r>
  <r>
    <s v="Tejas"/>
    <x v="1"/>
    <x v="104"/>
    <x v="4"/>
    <x v="12"/>
    <x v="0"/>
    <x v="0"/>
    <x v="1"/>
    <n v="570"/>
    <n v="1099"/>
    <x v="3"/>
    <n v="54"/>
    <n v="1045"/>
    <n v="475"/>
    <x v="1"/>
  </r>
  <r>
    <s v="Arjun"/>
    <x v="1"/>
    <x v="73"/>
    <x v="0"/>
    <x v="9"/>
    <x v="2"/>
    <x v="1"/>
    <x v="1"/>
    <n v="184"/>
    <n v="299"/>
    <x v="0"/>
    <n v="0"/>
    <n v="299"/>
    <n v="115"/>
    <x v="0"/>
  </r>
  <r>
    <s v="Lassya"/>
    <x v="0"/>
    <x v="143"/>
    <x v="4"/>
    <x v="16"/>
    <x v="2"/>
    <x v="0"/>
    <x v="1"/>
    <n v="912"/>
    <n v="1299"/>
    <x v="1"/>
    <n v="259"/>
    <n v="1040"/>
    <n v="128"/>
    <x v="0"/>
  </r>
  <r>
    <s v="Pooja"/>
    <x v="0"/>
    <x v="149"/>
    <x v="3"/>
    <x v="3"/>
    <x v="1"/>
    <x v="0"/>
    <x v="3"/>
    <n v="1080"/>
    <n v="1499"/>
    <x v="0"/>
    <n v="0"/>
    <n v="5996"/>
    <n v="1676"/>
    <x v="0"/>
  </r>
  <r>
    <s v="Lavanya"/>
    <x v="0"/>
    <x v="27"/>
    <x v="1"/>
    <x v="7"/>
    <x v="2"/>
    <x v="0"/>
    <x v="1"/>
    <n v="3048"/>
    <n v="4299"/>
    <x v="3"/>
    <n v="214"/>
    <n v="4085"/>
    <n v="1037"/>
    <x v="0"/>
  </r>
  <r>
    <s v="Aadhya"/>
    <x v="0"/>
    <x v="170"/>
    <x v="0"/>
    <x v="11"/>
    <x v="1"/>
    <x v="0"/>
    <x v="0"/>
    <n v="334"/>
    <n v="499"/>
    <x v="0"/>
    <n v="0"/>
    <n v="998"/>
    <n v="330"/>
    <x v="0"/>
  </r>
  <r>
    <s v="Pravalika"/>
    <x v="0"/>
    <x v="7"/>
    <x v="3"/>
    <x v="14"/>
    <x v="1"/>
    <x v="1"/>
    <x v="1"/>
    <n v="661"/>
    <n v="999"/>
    <x v="0"/>
    <n v="0"/>
    <n v="999"/>
    <n v="338"/>
    <x v="0"/>
  </r>
  <r>
    <s v="Vivaan"/>
    <x v="1"/>
    <x v="9"/>
    <x v="4"/>
    <x v="10"/>
    <x v="1"/>
    <x v="1"/>
    <x v="1"/>
    <n v="608"/>
    <n v="999"/>
    <x v="2"/>
    <n v="149"/>
    <n v="850"/>
    <n v="242"/>
    <x v="1"/>
  </r>
  <r>
    <s v="Koushika"/>
    <x v="0"/>
    <x v="211"/>
    <x v="0"/>
    <x v="9"/>
    <x v="0"/>
    <x v="0"/>
    <x v="1"/>
    <n v="314"/>
    <n v="499"/>
    <x v="0"/>
    <n v="0"/>
    <n v="499"/>
    <n v="185"/>
    <x v="0"/>
  </r>
  <r>
    <s v="Gayatri"/>
    <x v="0"/>
    <x v="85"/>
    <x v="3"/>
    <x v="14"/>
    <x v="0"/>
    <x v="0"/>
    <x v="1"/>
    <n v="838"/>
    <n v="1199"/>
    <x v="0"/>
    <n v="0"/>
    <n v="1199"/>
    <n v="361"/>
    <x v="0"/>
  </r>
  <r>
    <s v="Thanuja"/>
    <x v="0"/>
    <x v="48"/>
    <x v="0"/>
    <x v="9"/>
    <x v="1"/>
    <x v="1"/>
    <x v="1"/>
    <n v="319"/>
    <n v="499"/>
    <x v="0"/>
    <n v="0"/>
    <n v="499"/>
    <n v="180"/>
    <x v="0"/>
  </r>
  <r>
    <s v="Swapna"/>
    <x v="0"/>
    <x v="11"/>
    <x v="1"/>
    <x v="1"/>
    <x v="2"/>
    <x v="0"/>
    <x v="1"/>
    <n v="1667"/>
    <n v="2499"/>
    <x v="1"/>
    <n v="499"/>
    <n v="2000"/>
    <n v="333"/>
    <x v="0"/>
  </r>
  <r>
    <s v="Koushika"/>
    <x v="0"/>
    <x v="135"/>
    <x v="3"/>
    <x v="3"/>
    <x v="0"/>
    <x v="0"/>
    <x v="3"/>
    <n v="521"/>
    <n v="999"/>
    <x v="0"/>
    <n v="0"/>
    <n v="3996"/>
    <n v="1912"/>
    <x v="0"/>
  </r>
  <r>
    <s v=" Praveen"/>
    <x v="1"/>
    <x v="206"/>
    <x v="4"/>
    <x v="6"/>
    <x v="2"/>
    <x v="0"/>
    <x v="1"/>
    <n v="565"/>
    <n v="999"/>
    <x v="2"/>
    <n v="149"/>
    <n v="850"/>
    <n v="285"/>
    <x v="0"/>
  </r>
  <r>
    <s v="Lassya"/>
    <x v="0"/>
    <x v="207"/>
    <x v="3"/>
    <x v="3"/>
    <x v="1"/>
    <x v="0"/>
    <x v="1"/>
    <n v="506"/>
    <n v="899"/>
    <x v="0"/>
    <n v="0"/>
    <n v="899"/>
    <n v="393"/>
    <x v="0"/>
  </r>
  <r>
    <s v="Venu"/>
    <x v="1"/>
    <x v="209"/>
    <x v="0"/>
    <x v="13"/>
    <x v="1"/>
    <x v="1"/>
    <x v="1"/>
    <n v="204"/>
    <n v="399"/>
    <x v="0"/>
    <n v="0"/>
    <n v="399"/>
    <n v="195"/>
    <x v="1"/>
  </r>
  <r>
    <s v=" Praveen"/>
    <x v="1"/>
    <x v="134"/>
    <x v="2"/>
    <x v="8"/>
    <x v="1"/>
    <x v="1"/>
    <x v="0"/>
    <n v="1180"/>
    <n v="1699"/>
    <x v="4"/>
    <n v="169"/>
    <n v="3060"/>
    <n v="700"/>
    <x v="0"/>
  </r>
  <r>
    <s v="Aditya"/>
    <x v="1"/>
    <x v="98"/>
    <x v="2"/>
    <x v="2"/>
    <x v="1"/>
    <x v="1"/>
    <x v="1"/>
    <n v="396"/>
    <n v="599"/>
    <x v="3"/>
    <n v="29"/>
    <n v="570"/>
    <n v="174"/>
    <x v="1"/>
  </r>
  <r>
    <s v="Arjun"/>
    <x v="1"/>
    <x v="82"/>
    <x v="4"/>
    <x v="10"/>
    <x v="0"/>
    <x v="0"/>
    <x v="0"/>
    <n v="899"/>
    <n v="1599"/>
    <x v="3"/>
    <n v="79"/>
    <n v="3040"/>
    <n v="1242"/>
    <x v="0"/>
  </r>
  <r>
    <s v="Surya"/>
    <x v="1"/>
    <x v="39"/>
    <x v="1"/>
    <x v="7"/>
    <x v="2"/>
    <x v="0"/>
    <x v="0"/>
    <n v="2760"/>
    <n v="3899"/>
    <x v="4"/>
    <n v="389"/>
    <n v="7020"/>
    <n v="1500"/>
    <x v="0"/>
  </r>
  <r>
    <s v="Saanvi"/>
    <x v="0"/>
    <x v="155"/>
    <x v="3"/>
    <x v="3"/>
    <x v="1"/>
    <x v="0"/>
    <x v="1"/>
    <n v="687"/>
    <n v="999"/>
    <x v="0"/>
    <n v="0"/>
    <n v="999"/>
    <n v="312"/>
    <x v="0"/>
  </r>
  <r>
    <s v="Pranay"/>
    <x v="1"/>
    <x v="106"/>
    <x v="0"/>
    <x v="13"/>
    <x v="2"/>
    <x v="0"/>
    <x v="2"/>
    <n v="234"/>
    <n v="399"/>
    <x v="0"/>
    <n v="0"/>
    <n v="1197"/>
    <n v="495"/>
    <x v="0"/>
  </r>
  <r>
    <s v="Vivaan"/>
    <x v="1"/>
    <x v="59"/>
    <x v="1"/>
    <x v="7"/>
    <x v="0"/>
    <x v="1"/>
    <x v="1"/>
    <n v="1100"/>
    <n v="2199"/>
    <x v="3"/>
    <n v="109"/>
    <n v="2090"/>
    <n v="990"/>
    <x v="0"/>
  </r>
  <r>
    <s v="Yeshwanth"/>
    <x v="1"/>
    <x v="60"/>
    <x v="0"/>
    <x v="13"/>
    <x v="2"/>
    <x v="0"/>
    <x v="2"/>
    <n v="338"/>
    <n v="499"/>
    <x v="0"/>
    <n v="0"/>
    <n v="1497"/>
    <n v="483"/>
    <x v="1"/>
  </r>
  <r>
    <s v="Shiva"/>
    <x v="1"/>
    <x v="164"/>
    <x v="2"/>
    <x v="2"/>
    <x v="0"/>
    <x v="1"/>
    <x v="3"/>
    <n v="357"/>
    <n v="599"/>
    <x v="1"/>
    <n v="119"/>
    <n v="1920"/>
    <n v="492"/>
    <x v="1"/>
  </r>
  <r>
    <s v="Vasanth"/>
    <x v="1"/>
    <x v="87"/>
    <x v="4"/>
    <x v="10"/>
    <x v="1"/>
    <x v="0"/>
    <x v="1"/>
    <n v="613"/>
    <n v="1199"/>
    <x v="2"/>
    <n v="179"/>
    <n v="1020"/>
    <n v="407"/>
    <x v="0"/>
  </r>
  <r>
    <s v="Krishna"/>
    <x v="1"/>
    <x v="186"/>
    <x v="2"/>
    <x v="8"/>
    <x v="2"/>
    <x v="1"/>
    <x v="1"/>
    <n v="1356"/>
    <n v="1899"/>
    <x v="1"/>
    <n v="379"/>
    <n v="1520"/>
    <n v="164"/>
    <x v="1"/>
  </r>
  <r>
    <s v="Vasanth"/>
    <x v="1"/>
    <x v="74"/>
    <x v="1"/>
    <x v="7"/>
    <x v="2"/>
    <x v="1"/>
    <x v="2"/>
    <n v="3744"/>
    <n v="4999"/>
    <x v="1"/>
    <n v="999"/>
    <n v="12000"/>
    <n v="768"/>
    <x v="0"/>
  </r>
  <r>
    <s v="Anudeep"/>
    <x v="1"/>
    <x v="13"/>
    <x v="2"/>
    <x v="2"/>
    <x v="0"/>
    <x v="0"/>
    <x v="1"/>
    <n v="313"/>
    <n v="599"/>
    <x v="2"/>
    <n v="89"/>
    <n v="510"/>
    <n v="197"/>
    <x v="1"/>
  </r>
  <r>
    <s v="Manoj"/>
    <x v="1"/>
    <x v="26"/>
    <x v="1"/>
    <x v="1"/>
    <x v="0"/>
    <x v="0"/>
    <x v="0"/>
    <n v="816"/>
    <n v="1099"/>
    <x v="3"/>
    <n v="54"/>
    <n v="2090"/>
    <n v="458"/>
    <x v="0"/>
  </r>
  <r>
    <s v="Sneha"/>
    <x v="0"/>
    <x v="85"/>
    <x v="0"/>
    <x v="9"/>
    <x v="0"/>
    <x v="0"/>
    <x v="1"/>
    <n v="347"/>
    <n v="599"/>
    <x v="0"/>
    <n v="0"/>
    <n v="599"/>
    <n v="252"/>
    <x v="0"/>
  </r>
  <r>
    <s v="Kavya"/>
    <x v="0"/>
    <x v="75"/>
    <x v="3"/>
    <x v="14"/>
    <x v="2"/>
    <x v="1"/>
    <x v="1"/>
    <n v="521"/>
    <n v="799"/>
    <x v="0"/>
    <n v="0"/>
    <n v="799"/>
    <n v="278"/>
    <x v="0"/>
  </r>
  <r>
    <s v="Deepak"/>
    <x v="1"/>
    <x v="101"/>
    <x v="1"/>
    <x v="7"/>
    <x v="0"/>
    <x v="1"/>
    <x v="1"/>
    <n v="1997"/>
    <n v="2699"/>
    <x v="3"/>
    <n v="134"/>
    <n v="2565"/>
    <n v="568"/>
    <x v="0"/>
  </r>
  <r>
    <s v="Rohan"/>
    <x v="1"/>
    <x v="113"/>
    <x v="4"/>
    <x v="5"/>
    <x v="2"/>
    <x v="1"/>
    <x v="4"/>
    <n v="819"/>
    <n v="1099"/>
    <x v="3"/>
    <n v="54"/>
    <n v="5225"/>
    <n v="1130"/>
    <x v="0"/>
  </r>
  <r>
    <s v="Swathi"/>
    <x v="0"/>
    <x v="209"/>
    <x v="1"/>
    <x v="7"/>
    <x v="2"/>
    <x v="0"/>
    <x v="1"/>
    <n v="1323"/>
    <n v="2499"/>
    <x v="1"/>
    <n v="499"/>
    <n v="2000"/>
    <n v="677"/>
    <x v="0"/>
  </r>
  <r>
    <s v="Rohan"/>
    <x v="1"/>
    <x v="143"/>
    <x v="2"/>
    <x v="8"/>
    <x v="0"/>
    <x v="0"/>
    <x v="3"/>
    <n v="732"/>
    <n v="999"/>
    <x v="2"/>
    <n v="149"/>
    <n v="3400"/>
    <n v="472"/>
    <x v="0"/>
  </r>
  <r>
    <s v="Devi"/>
    <x v="0"/>
    <x v="15"/>
    <x v="4"/>
    <x v="16"/>
    <x v="1"/>
    <x v="0"/>
    <x v="1"/>
    <n v="1324"/>
    <n v="2299"/>
    <x v="4"/>
    <n v="229"/>
    <n v="2070"/>
    <n v="746"/>
    <x v="0"/>
  </r>
  <r>
    <s v="Surya"/>
    <x v="1"/>
    <x v="2"/>
    <x v="3"/>
    <x v="14"/>
    <x v="2"/>
    <x v="1"/>
    <x v="1"/>
    <n v="651"/>
    <n v="1199"/>
    <x v="0"/>
    <n v="0"/>
    <n v="1199"/>
    <n v="548"/>
    <x v="0"/>
  </r>
  <r>
    <s v="Swapna"/>
    <x v="0"/>
    <x v="43"/>
    <x v="3"/>
    <x v="14"/>
    <x v="0"/>
    <x v="0"/>
    <x v="0"/>
    <n v="524"/>
    <n v="699"/>
    <x v="0"/>
    <n v="0"/>
    <n v="1398"/>
    <n v="350"/>
    <x v="0"/>
  </r>
  <r>
    <s v="Tejas"/>
    <x v="1"/>
    <x v="24"/>
    <x v="3"/>
    <x v="3"/>
    <x v="1"/>
    <x v="0"/>
    <x v="2"/>
    <n v="638"/>
    <n v="899"/>
    <x v="0"/>
    <n v="0"/>
    <n v="2697"/>
    <n v="783"/>
    <x v="1"/>
  </r>
  <r>
    <s v="Chandrika"/>
    <x v="0"/>
    <x v="150"/>
    <x v="1"/>
    <x v="1"/>
    <x v="1"/>
    <x v="0"/>
    <x v="1"/>
    <n v="1621"/>
    <n v="2199"/>
    <x v="3"/>
    <n v="109"/>
    <n v="2090"/>
    <n v="469"/>
    <x v="0"/>
  </r>
  <r>
    <s v="Arun"/>
    <x v="1"/>
    <x v="213"/>
    <x v="2"/>
    <x v="8"/>
    <x v="1"/>
    <x v="1"/>
    <x v="4"/>
    <n v="817"/>
    <n v="1499"/>
    <x v="2"/>
    <n v="224"/>
    <n v="6375"/>
    <n v="2290"/>
    <x v="1"/>
  </r>
  <r>
    <s v="Anvesh"/>
    <x v="1"/>
    <x v="203"/>
    <x v="1"/>
    <x v="1"/>
    <x v="1"/>
    <x v="1"/>
    <x v="0"/>
    <n v="675"/>
    <n v="1099"/>
    <x v="3"/>
    <n v="54"/>
    <n v="2090"/>
    <n v="740"/>
    <x v="0"/>
  </r>
  <r>
    <s v="Aditya"/>
    <x v="1"/>
    <x v="193"/>
    <x v="2"/>
    <x v="2"/>
    <x v="1"/>
    <x v="0"/>
    <x v="0"/>
    <n v="310"/>
    <n v="599"/>
    <x v="2"/>
    <n v="89"/>
    <n v="1020"/>
    <n v="400"/>
    <x v="1"/>
  </r>
  <r>
    <s v="Lassya"/>
    <x v="0"/>
    <x v="163"/>
    <x v="3"/>
    <x v="14"/>
    <x v="0"/>
    <x v="0"/>
    <x v="1"/>
    <n v="514"/>
    <n v="799"/>
    <x v="0"/>
    <n v="0"/>
    <n v="799"/>
    <n v="285"/>
    <x v="0"/>
  </r>
  <r>
    <s v="Kavya"/>
    <x v="0"/>
    <x v="51"/>
    <x v="0"/>
    <x v="9"/>
    <x v="1"/>
    <x v="0"/>
    <x v="0"/>
    <n v="283"/>
    <n v="399"/>
    <x v="0"/>
    <n v="0"/>
    <n v="798"/>
    <n v="232"/>
    <x v="1"/>
  </r>
  <r>
    <s v="Laxmi"/>
    <x v="0"/>
    <x v="122"/>
    <x v="3"/>
    <x v="14"/>
    <x v="2"/>
    <x v="1"/>
    <x v="0"/>
    <n v="724"/>
    <n v="1199"/>
    <x v="0"/>
    <n v="0"/>
    <n v="2398"/>
    <n v="950"/>
    <x v="0"/>
  </r>
  <r>
    <s v="Anudeep"/>
    <x v="1"/>
    <x v="2"/>
    <x v="1"/>
    <x v="7"/>
    <x v="1"/>
    <x v="0"/>
    <x v="1"/>
    <n v="1504"/>
    <n v="2399"/>
    <x v="3"/>
    <n v="119"/>
    <n v="2280"/>
    <n v="776"/>
    <x v="0"/>
  </r>
  <r>
    <s v="Harsha"/>
    <x v="1"/>
    <x v="58"/>
    <x v="2"/>
    <x v="8"/>
    <x v="2"/>
    <x v="0"/>
    <x v="1"/>
    <n v="1002"/>
    <n v="1499"/>
    <x v="1"/>
    <n v="299"/>
    <n v="1200"/>
    <n v="198"/>
    <x v="0"/>
  </r>
  <r>
    <s v="Neha"/>
    <x v="0"/>
    <x v="174"/>
    <x v="1"/>
    <x v="7"/>
    <x v="2"/>
    <x v="1"/>
    <x v="0"/>
    <n v="1411"/>
    <n v="2399"/>
    <x v="3"/>
    <n v="119"/>
    <n v="4560"/>
    <n v="1738"/>
    <x v="0"/>
  </r>
  <r>
    <s v="Pranay"/>
    <x v="1"/>
    <x v="209"/>
    <x v="1"/>
    <x v="7"/>
    <x v="1"/>
    <x v="1"/>
    <x v="1"/>
    <n v="2622"/>
    <n v="4399"/>
    <x v="1"/>
    <n v="879"/>
    <n v="3520"/>
    <n v="898"/>
    <x v="1"/>
  </r>
  <r>
    <s v="Shivani"/>
    <x v="0"/>
    <x v="183"/>
    <x v="3"/>
    <x v="14"/>
    <x v="2"/>
    <x v="0"/>
    <x v="3"/>
    <n v="388"/>
    <n v="699"/>
    <x v="0"/>
    <n v="0"/>
    <n v="2796"/>
    <n v="1244"/>
    <x v="1"/>
  </r>
  <r>
    <s v="Krishna"/>
    <x v="1"/>
    <x v="120"/>
    <x v="2"/>
    <x v="2"/>
    <x v="1"/>
    <x v="1"/>
    <x v="1"/>
    <n v="299"/>
    <n v="499"/>
    <x v="1"/>
    <n v="99"/>
    <n v="400"/>
    <n v="101"/>
    <x v="1"/>
  </r>
  <r>
    <s v="Sneha"/>
    <x v="0"/>
    <x v="63"/>
    <x v="4"/>
    <x v="5"/>
    <x v="2"/>
    <x v="1"/>
    <x v="0"/>
    <n v="897"/>
    <n v="1499"/>
    <x v="4"/>
    <n v="149"/>
    <n v="2700"/>
    <n v="906"/>
    <x v="1"/>
  </r>
  <r>
    <s v="Bharath"/>
    <x v="1"/>
    <x v="186"/>
    <x v="3"/>
    <x v="14"/>
    <x v="1"/>
    <x v="1"/>
    <x v="3"/>
    <n v="816"/>
    <n v="1199"/>
    <x v="0"/>
    <n v="0"/>
    <n v="4796"/>
    <n v="1532"/>
    <x v="0"/>
  </r>
  <r>
    <s v="Isha"/>
    <x v="0"/>
    <x v="207"/>
    <x v="3"/>
    <x v="14"/>
    <x v="1"/>
    <x v="0"/>
    <x v="0"/>
    <n v="950"/>
    <n v="1499"/>
    <x v="0"/>
    <n v="0"/>
    <n v="2998"/>
    <n v="1098"/>
    <x v="0"/>
  </r>
  <r>
    <s v="Srujan"/>
    <x v="1"/>
    <x v="197"/>
    <x v="0"/>
    <x v="13"/>
    <x v="1"/>
    <x v="1"/>
    <x v="1"/>
    <n v="273"/>
    <n v="399"/>
    <x v="0"/>
    <n v="0"/>
    <n v="399"/>
    <n v="126"/>
    <x v="0"/>
  </r>
  <r>
    <s v="Shivani"/>
    <x v="0"/>
    <x v="141"/>
    <x v="4"/>
    <x v="15"/>
    <x v="1"/>
    <x v="1"/>
    <x v="1"/>
    <n v="1431"/>
    <n v="2299"/>
    <x v="4"/>
    <n v="229"/>
    <n v="2070"/>
    <n v="639"/>
    <x v="0"/>
  </r>
  <r>
    <s v="Vasanth"/>
    <x v="1"/>
    <x v="54"/>
    <x v="3"/>
    <x v="3"/>
    <x v="1"/>
    <x v="1"/>
    <x v="3"/>
    <n v="512"/>
    <n v="899"/>
    <x v="0"/>
    <n v="0"/>
    <n v="3596"/>
    <n v="1548"/>
    <x v="1"/>
  </r>
  <r>
    <s v="Rakesh"/>
    <x v="1"/>
    <x v="168"/>
    <x v="2"/>
    <x v="8"/>
    <x v="0"/>
    <x v="0"/>
    <x v="0"/>
    <n v="561"/>
    <n v="799"/>
    <x v="2"/>
    <n v="119"/>
    <n v="1360"/>
    <n v="238"/>
    <x v="0"/>
  </r>
  <r>
    <s v=" Praveen"/>
    <x v="1"/>
    <x v="148"/>
    <x v="0"/>
    <x v="11"/>
    <x v="0"/>
    <x v="1"/>
    <x v="2"/>
    <n v="431"/>
    <n v="599"/>
    <x v="0"/>
    <n v="0"/>
    <n v="1797"/>
    <n v="504"/>
    <x v="0"/>
  </r>
  <r>
    <s v="Saanvi"/>
    <x v="0"/>
    <x v="199"/>
    <x v="3"/>
    <x v="3"/>
    <x v="2"/>
    <x v="1"/>
    <x v="1"/>
    <n v="943"/>
    <n v="1499"/>
    <x v="0"/>
    <n v="0"/>
    <n v="1499"/>
    <n v="556"/>
    <x v="0"/>
  </r>
  <r>
    <s v="Deepak"/>
    <x v="1"/>
    <x v="123"/>
    <x v="1"/>
    <x v="1"/>
    <x v="0"/>
    <x v="0"/>
    <x v="3"/>
    <n v="863"/>
    <n v="1699"/>
    <x v="4"/>
    <n v="169"/>
    <n v="6120"/>
    <n v="2668"/>
    <x v="0"/>
  </r>
  <r>
    <s v="Swapna"/>
    <x v="0"/>
    <x v="99"/>
    <x v="3"/>
    <x v="14"/>
    <x v="2"/>
    <x v="1"/>
    <x v="4"/>
    <n v="889"/>
    <n v="1199"/>
    <x v="0"/>
    <n v="0"/>
    <n v="5995"/>
    <n v="1550"/>
    <x v="0"/>
  </r>
  <r>
    <s v="Yeshwanth"/>
    <x v="1"/>
    <x v="88"/>
    <x v="1"/>
    <x v="7"/>
    <x v="2"/>
    <x v="1"/>
    <x v="1"/>
    <n v="1702"/>
    <n v="2399"/>
    <x v="1"/>
    <n v="479"/>
    <n v="1920"/>
    <n v="218"/>
    <x v="1"/>
  </r>
  <r>
    <s v="Pooja"/>
    <x v="0"/>
    <x v="111"/>
    <x v="3"/>
    <x v="3"/>
    <x v="1"/>
    <x v="1"/>
    <x v="1"/>
    <n v="624"/>
    <n v="999"/>
    <x v="0"/>
    <n v="0"/>
    <n v="999"/>
    <n v="375"/>
    <x v="0"/>
  </r>
  <r>
    <s v="Isha"/>
    <x v="0"/>
    <x v="13"/>
    <x v="0"/>
    <x v="13"/>
    <x v="0"/>
    <x v="1"/>
    <x v="1"/>
    <n v="216"/>
    <n v="399"/>
    <x v="0"/>
    <n v="0"/>
    <n v="399"/>
    <n v="183"/>
    <x v="1"/>
  </r>
  <r>
    <s v="Vasanth"/>
    <x v="1"/>
    <x v="33"/>
    <x v="3"/>
    <x v="3"/>
    <x v="1"/>
    <x v="0"/>
    <x v="3"/>
    <n v="636"/>
    <n v="1199"/>
    <x v="0"/>
    <n v="0"/>
    <n v="4796"/>
    <n v="2252"/>
    <x v="0"/>
  </r>
  <r>
    <s v="Rakesh"/>
    <x v="1"/>
    <x v="206"/>
    <x v="3"/>
    <x v="14"/>
    <x v="1"/>
    <x v="1"/>
    <x v="1"/>
    <n v="488"/>
    <n v="699"/>
    <x v="0"/>
    <n v="0"/>
    <n v="699"/>
    <n v="211"/>
    <x v="0"/>
  </r>
  <r>
    <s v="Surya"/>
    <x v="1"/>
    <x v="193"/>
    <x v="2"/>
    <x v="8"/>
    <x v="2"/>
    <x v="0"/>
    <x v="1"/>
    <n v="1274"/>
    <n v="2299"/>
    <x v="1"/>
    <n v="459"/>
    <n v="1840"/>
    <n v="566"/>
    <x v="0"/>
  </r>
  <r>
    <s v="Thanuja"/>
    <x v="0"/>
    <x v="208"/>
    <x v="3"/>
    <x v="14"/>
    <x v="2"/>
    <x v="0"/>
    <x v="1"/>
    <n v="397"/>
    <n v="699"/>
    <x v="0"/>
    <n v="0"/>
    <n v="699"/>
    <n v="302"/>
    <x v="0"/>
  </r>
  <r>
    <s v="Srawani"/>
    <x v="0"/>
    <x v="11"/>
    <x v="4"/>
    <x v="12"/>
    <x v="1"/>
    <x v="0"/>
    <x v="1"/>
    <n v="695"/>
    <n v="1199"/>
    <x v="2"/>
    <n v="179"/>
    <n v="1020"/>
    <n v="325"/>
    <x v="0"/>
  </r>
  <r>
    <s v="Nandhini"/>
    <x v="0"/>
    <x v="91"/>
    <x v="0"/>
    <x v="13"/>
    <x v="2"/>
    <x v="0"/>
    <x v="2"/>
    <n v="288"/>
    <n v="399"/>
    <x v="0"/>
    <n v="0"/>
    <n v="1197"/>
    <n v="333"/>
    <x v="0"/>
  </r>
  <r>
    <s v="Isha"/>
    <x v="0"/>
    <x v="44"/>
    <x v="0"/>
    <x v="9"/>
    <x v="0"/>
    <x v="0"/>
    <x v="4"/>
    <n v="224"/>
    <n v="299"/>
    <x v="0"/>
    <n v="0"/>
    <n v="1495"/>
    <n v="375"/>
    <x v="0"/>
  </r>
  <r>
    <s v="Anvesh"/>
    <x v="1"/>
    <x v="9"/>
    <x v="4"/>
    <x v="10"/>
    <x v="2"/>
    <x v="0"/>
    <x v="0"/>
    <n v="1133"/>
    <n v="1599"/>
    <x v="3"/>
    <n v="79"/>
    <n v="3040"/>
    <n v="774"/>
    <x v="0"/>
  </r>
  <r>
    <s v="Saanvi"/>
    <x v="0"/>
    <x v="196"/>
    <x v="3"/>
    <x v="3"/>
    <x v="2"/>
    <x v="0"/>
    <x v="1"/>
    <n v="967"/>
    <n v="1499"/>
    <x v="0"/>
    <n v="0"/>
    <n v="1499"/>
    <n v="532"/>
    <x v="1"/>
  </r>
  <r>
    <s v="Lassya"/>
    <x v="0"/>
    <x v="121"/>
    <x v="3"/>
    <x v="14"/>
    <x v="1"/>
    <x v="0"/>
    <x v="1"/>
    <n v="593"/>
    <n v="799"/>
    <x v="0"/>
    <n v="0"/>
    <n v="799"/>
    <n v="206"/>
    <x v="0"/>
  </r>
  <r>
    <s v="Aditya"/>
    <x v="1"/>
    <x v="135"/>
    <x v="2"/>
    <x v="2"/>
    <x v="0"/>
    <x v="0"/>
    <x v="1"/>
    <n v="345"/>
    <n v="499"/>
    <x v="1"/>
    <n v="99"/>
    <n v="400"/>
    <n v="55"/>
    <x v="0"/>
  </r>
  <r>
    <s v="Bharath"/>
    <x v="1"/>
    <x v="57"/>
    <x v="0"/>
    <x v="11"/>
    <x v="1"/>
    <x v="0"/>
    <x v="3"/>
    <n v="255"/>
    <n v="499"/>
    <x v="0"/>
    <n v="0"/>
    <n v="1996"/>
    <n v="976"/>
    <x v="1"/>
  </r>
  <r>
    <s v="Lavanya"/>
    <x v="0"/>
    <x v="122"/>
    <x v="0"/>
    <x v="9"/>
    <x v="2"/>
    <x v="1"/>
    <x v="1"/>
    <n v="270"/>
    <n v="399"/>
    <x v="0"/>
    <n v="0"/>
    <n v="399"/>
    <n v="129"/>
    <x v="0"/>
  </r>
  <r>
    <s v="Koushika"/>
    <x v="0"/>
    <x v="50"/>
    <x v="2"/>
    <x v="2"/>
    <x v="1"/>
    <x v="0"/>
    <x v="0"/>
    <n v="435"/>
    <n v="599"/>
    <x v="2"/>
    <n v="89"/>
    <n v="1020"/>
    <n v="150"/>
    <x v="0"/>
  </r>
  <r>
    <s v="Aarav"/>
    <x v="1"/>
    <x v="64"/>
    <x v="3"/>
    <x v="3"/>
    <x v="2"/>
    <x v="0"/>
    <x v="1"/>
    <n v="577"/>
    <n v="999"/>
    <x v="0"/>
    <n v="0"/>
    <n v="999"/>
    <n v="422"/>
    <x v="1"/>
  </r>
  <r>
    <s v="Sai"/>
    <x v="1"/>
    <x v="91"/>
    <x v="1"/>
    <x v="1"/>
    <x v="2"/>
    <x v="0"/>
    <x v="2"/>
    <n v="1249"/>
    <n v="2199"/>
    <x v="3"/>
    <n v="109"/>
    <n v="6270"/>
    <n v="2523"/>
    <x v="0"/>
  </r>
  <r>
    <s v="Devi"/>
    <x v="0"/>
    <x v="192"/>
    <x v="0"/>
    <x v="13"/>
    <x v="2"/>
    <x v="1"/>
    <x v="1"/>
    <n v="304"/>
    <n v="499"/>
    <x v="0"/>
    <n v="0"/>
    <n v="499"/>
    <n v="195"/>
    <x v="0"/>
  </r>
  <r>
    <s v="Devi"/>
    <x v="0"/>
    <x v="44"/>
    <x v="2"/>
    <x v="8"/>
    <x v="2"/>
    <x v="1"/>
    <x v="0"/>
    <n v="800"/>
    <n v="1099"/>
    <x v="3"/>
    <n v="54"/>
    <n v="2090"/>
    <n v="490"/>
    <x v="0"/>
  </r>
  <r>
    <s v="Rakesh"/>
    <x v="1"/>
    <x v="39"/>
    <x v="3"/>
    <x v="14"/>
    <x v="1"/>
    <x v="1"/>
    <x v="3"/>
    <n v="873"/>
    <n v="1499"/>
    <x v="0"/>
    <n v="0"/>
    <n v="5996"/>
    <n v="2504"/>
    <x v="1"/>
  </r>
  <r>
    <s v="Pranay"/>
    <x v="1"/>
    <x v="48"/>
    <x v="4"/>
    <x v="12"/>
    <x v="0"/>
    <x v="1"/>
    <x v="1"/>
    <n v="817"/>
    <n v="1099"/>
    <x v="3"/>
    <n v="54"/>
    <n v="1045"/>
    <n v="228"/>
    <x v="0"/>
  </r>
  <r>
    <s v="Swathi"/>
    <x v="0"/>
    <x v="47"/>
    <x v="2"/>
    <x v="2"/>
    <x v="1"/>
    <x v="1"/>
    <x v="1"/>
    <n v="301"/>
    <n v="599"/>
    <x v="3"/>
    <n v="29"/>
    <n v="570"/>
    <n v="269"/>
    <x v="0"/>
  </r>
  <r>
    <s v="Surya"/>
    <x v="1"/>
    <x v="20"/>
    <x v="2"/>
    <x v="8"/>
    <x v="0"/>
    <x v="1"/>
    <x v="1"/>
    <n v="961"/>
    <n v="1299"/>
    <x v="1"/>
    <n v="259"/>
    <n v="1040"/>
    <n v="79"/>
    <x v="0"/>
  </r>
  <r>
    <s v="Pravalika"/>
    <x v="0"/>
    <x v="160"/>
    <x v="3"/>
    <x v="3"/>
    <x v="1"/>
    <x v="0"/>
    <x v="3"/>
    <n v="770"/>
    <n v="1399"/>
    <x v="0"/>
    <n v="0"/>
    <n v="5596"/>
    <n v="2516"/>
    <x v="1"/>
  </r>
  <r>
    <s v="Neha"/>
    <x v="0"/>
    <x v="135"/>
    <x v="3"/>
    <x v="14"/>
    <x v="2"/>
    <x v="0"/>
    <x v="1"/>
    <n v="1086"/>
    <n v="1499"/>
    <x v="0"/>
    <n v="0"/>
    <n v="1499"/>
    <n v="413"/>
    <x v="0"/>
  </r>
  <r>
    <s v="Chandrika"/>
    <x v="0"/>
    <x v="23"/>
    <x v="0"/>
    <x v="13"/>
    <x v="0"/>
    <x v="1"/>
    <x v="2"/>
    <n v="255"/>
    <n v="399"/>
    <x v="0"/>
    <n v="0"/>
    <n v="1197"/>
    <n v="432"/>
    <x v="1"/>
  </r>
  <r>
    <s v="Deepak"/>
    <x v="1"/>
    <x v="163"/>
    <x v="1"/>
    <x v="7"/>
    <x v="0"/>
    <x v="1"/>
    <x v="0"/>
    <n v="1670"/>
    <n v="2399"/>
    <x v="2"/>
    <n v="359"/>
    <n v="4080"/>
    <n v="740"/>
    <x v="0"/>
  </r>
  <r>
    <s v="Shivani"/>
    <x v="0"/>
    <x v="186"/>
    <x v="4"/>
    <x v="16"/>
    <x v="0"/>
    <x v="1"/>
    <x v="0"/>
    <n v="1563"/>
    <n v="2199"/>
    <x v="3"/>
    <n v="109"/>
    <n v="4180"/>
    <n v="1054"/>
    <x v="0"/>
  </r>
  <r>
    <s v="Sanjeev"/>
    <x v="1"/>
    <x v="175"/>
    <x v="1"/>
    <x v="1"/>
    <x v="2"/>
    <x v="0"/>
    <x v="3"/>
    <n v="618"/>
    <n v="899"/>
    <x v="4"/>
    <n v="89"/>
    <n v="3240"/>
    <n v="768"/>
    <x v="1"/>
  </r>
  <r>
    <s v="Siri"/>
    <x v="0"/>
    <x v="49"/>
    <x v="3"/>
    <x v="14"/>
    <x v="2"/>
    <x v="1"/>
    <x v="0"/>
    <n v="730"/>
    <n v="999"/>
    <x v="0"/>
    <n v="0"/>
    <n v="1998"/>
    <n v="538"/>
    <x v="0"/>
  </r>
  <r>
    <s v="Venu"/>
    <x v="1"/>
    <x v="78"/>
    <x v="3"/>
    <x v="3"/>
    <x v="1"/>
    <x v="0"/>
    <x v="0"/>
    <n v="998"/>
    <n v="1499"/>
    <x v="0"/>
    <n v="0"/>
    <n v="2998"/>
    <n v="1002"/>
    <x v="0"/>
  </r>
  <r>
    <s v="Uday"/>
    <x v="1"/>
    <x v="154"/>
    <x v="3"/>
    <x v="14"/>
    <x v="2"/>
    <x v="0"/>
    <x v="1"/>
    <n v="387"/>
    <n v="699"/>
    <x v="0"/>
    <n v="0"/>
    <n v="699"/>
    <n v="312"/>
    <x v="0"/>
  </r>
  <r>
    <s v="Vikram"/>
    <x v="1"/>
    <x v="183"/>
    <x v="0"/>
    <x v="11"/>
    <x v="1"/>
    <x v="0"/>
    <x v="1"/>
    <n v="453"/>
    <n v="799"/>
    <x v="0"/>
    <n v="0"/>
    <n v="799"/>
    <n v="346"/>
    <x v="0"/>
  </r>
  <r>
    <s v="Vinay"/>
    <x v="1"/>
    <x v="27"/>
    <x v="0"/>
    <x v="9"/>
    <x v="2"/>
    <x v="1"/>
    <x v="2"/>
    <n v="222"/>
    <n v="299"/>
    <x v="0"/>
    <n v="0"/>
    <n v="897"/>
    <n v="231"/>
    <x v="0"/>
  </r>
  <r>
    <s v="Shiva"/>
    <x v="1"/>
    <x v="83"/>
    <x v="1"/>
    <x v="1"/>
    <x v="2"/>
    <x v="1"/>
    <x v="1"/>
    <n v="1248"/>
    <n v="1799"/>
    <x v="2"/>
    <n v="269"/>
    <n v="1530"/>
    <n v="282"/>
    <x v="0"/>
  </r>
  <r>
    <s v="Aarav"/>
    <x v="1"/>
    <x v="206"/>
    <x v="4"/>
    <x v="15"/>
    <x v="2"/>
    <x v="1"/>
    <x v="0"/>
    <n v="2205"/>
    <n v="3199"/>
    <x v="1"/>
    <n v="639"/>
    <n v="5120"/>
    <n v="710"/>
    <x v="0"/>
  </r>
  <r>
    <s v="Pravalika"/>
    <x v="0"/>
    <x v="133"/>
    <x v="0"/>
    <x v="13"/>
    <x v="0"/>
    <x v="1"/>
    <x v="4"/>
    <n v="343"/>
    <n v="499"/>
    <x v="0"/>
    <n v="0"/>
    <n v="2495"/>
    <n v="780"/>
    <x v="0"/>
  </r>
  <r>
    <s v="Anudeep"/>
    <x v="1"/>
    <x v="138"/>
    <x v="0"/>
    <x v="13"/>
    <x v="1"/>
    <x v="0"/>
    <x v="1"/>
    <n v="311"/>
    <n v="499"/>
    <x v="0"/>
    <n v="0"/>
    <n v="499"/>
    <n v="188"/>
    <x v="0"/>
  </r>
  <r>
    <s v="Nandhini"/>
    <x v="0"/>
    <x v="22"/>
    <x v="3"/>
    <x v="3"/>
    <x v="2"/>
    <x v="0"/>
    <x v="3"/>
    <n v="1040"/>
    <n v="1399"/>
    <x v="0"/>
    <n v="0"/>
    <n v="5596"/>
    <n v="1436"/>
    <x v="0"/>
  </r>
  <r>
    <s v="Karthik"/>
    <x v="1"/>
    <x v="9"/>
    <x v="0"/>
    <x v="13"/>
    <x v="2"/>
    <x v="0"/>
    <x v="1"/>
    <n v="265"/>
    <n v="499"/>
    <x v="0"/>
    <n v="0"/>
    <n v="499"/>
    <n v="234"/>
    <x v="0"/>
  </r>
  <r>
    <s v="Sai Deep"/>
    <x v="1"/>
    <x v="23"/>
    <x v="4"/>
    <x v="10"/>
    <x v="2"/>
    <x v="1"/>
    <x v="0"/>
    <n v="1064"/>
    <n v="1799"/>
    <x v="2"/>
    <n v="269"/>
    <n v="3060"/>
    <n v="932"/>
    <x v="0"/>
  </r>
  <r>
    <s v="Lavanya"/>
    <x v="0"/>
    <x v="46"/>
    <x v="3"/>
    <x v="3"/>
    <x v="2"/>
    <x v="0"/>
    <x v="3"/>
    <n v="820"/>
    <n v="1199"/>
    <x v="0"/>
    <n v="0"/>
    <n v="4796"/>
    <n v="1516"/>
    <x v="0"/>
  </r>
  <r>
    <s v="Srujan"/>
    <x v="1"/>
    <x v="143"/>
    <x v="0"/>
    <x v="0"/>
    <x v="0"/>
    <x v="0"/>
    <x v="3"/>
    <n v="242"/>
    <n v="399"/>
    <x v="0"/>
    <n v="0"/>
    <n v="1596"/>
    <n v="628"/>
    <x v="0"/>
  </r>
  <r>
    <s v="Vivaan"/>
    <x v="1"/>
    <x v="180"/>
    <x v="0"/>
    <x v="11"/>
    <x v="2"/>
    <x v="1"/>
    <x v="4"/>
    <n v="311"/>
    <n v="499"/>
    <x v="0"/>
    <n v="0"/>
    <n v="2495"/>
    <n v="940"/>
    <x v="1"/>
  </r>
  <r>
    <s v="Arun"/>
    <x v="1"/>
    <x v="80"/>
    <x v="2"/>
    <x v="8"/>
    <x v="2"/>
    <x v="0"/>
    <x v="1"/>
    <n v="1459"/>
    <n v="2299"/>
    <x v="1"/>
    <n v="459"/>
    <n v="1840"/>
    <n v="381"/>
    <x v="1"/>
  </r>
  <r>
    <s v="Harsha"/>
    <x v="1"/>
    <x v="13"/>
    <x v="4"/>
    <x v="15"/>
    <x v="1"/>
    <x v="0"/>
    <x v="1"/>
    <n v="1449"/>
    <n v="2299"/>
    <x v="4"/>
    <n v="229"/>
    <n v="2070"/>
    <n v="621"/>
    <x v="0"/>
  </r>
  <r>
    <s v="Swapna"/>
    <x v="0"/>
    <x v="95"/>
    <x v="1"/>
    <x v="1"/>
    <x v="2"/>
    <x v="0"/>
    <x v="2"/>
    <n v="1071"/>
    <n v="1699"/>
    <x v="4"/>
    <n v="169"/>
    <n v="4590"/>
    <n v="1377"/>
    <x v="0"/>
  </r>
  <r>
    <s v="Harsha"/>
    <x v="1"/>
    <x v="146"/>
    <x v="3"/>
    <x v="14"/>
    <x v="0"/>
    <x v="1"/>
    <x v="1"/>
    <n v="683"/>
    <n v="999"/>
    <x v="0"/>
    <n v="0"/>
    <n v="999"/>
    <n v="316"/>
    <x v="0"/>
  </r>
  <r>
    <s v="Uday"/>
    <x v="1"/>
    <x v="122"/>
    <x v="4"/>
    <x v="4"/>
    <x v="2"/>
    <x v="0"/>
    <x v="1"/>
    <n v="300"/>
    <n v="599"/>
    <x v="4"/>
    <n v="59"/>
    <n v="540"/>
    <n v="240"/>
    <x v="0"/>
  </r>
  <r>
    <s v="Laxmi"/>
    <x v="0"/>
    <x v="87"/>
    <x v="4"/>
    <x v="5"/>
    <x v="0"/>
    <x v="1"/>
    <x v="0"/>
    <n v="526"/>
    <n v="799"/>
    <x v="4"/>
    <n v="79"/>
    <n v="1440"/>
    <n v="388"/>
    <x v="0"/>
  </r>
  <r>
    <s v="Sai"/>
    <x v="1"/>
    <x v="2"/>
    <x v="1"/>
    <x v="7"/>
    <x v="2"/>
    <x v="1"/>
    <x v="1"/>
    <n v="2505"/>
    <n v="3799"/>
    <x v="1"/>
    <n v="759"/>
    <n v="3040"/>
    <n v="535"/>
    <x v="0"/>
  </r>
  <r>
    <s v="Viraj"/>
    <x v="1"/>
    <x v="108"/>
    <x v="4"/>
    <x v="6"/>
    <x v="1"/>
    <x v="0"/>
    <x v="0"/>
    <n v="495"/>
    <n v="699"/>
    <x v="1"/>
    <n v="139"/>
    <n v="1120"/>
    <n v="130"/>
    <x v="0"/>
  </r>
  <r>
    <s v="Aadhya"/>
    <x v="0"/>
    <x v="163"/>
    <x v="0"/>
    <x v="9"/>
    <x v="0"/>
    <x v="1"/>
    <x v="0"/>
    <n v="176"/>
    <n v="299"/>
    <x v="0"/>
    <n v="0"/>
    <n v="598"/>
    <n v="246"/>
    <x v="0"/>
  </r>
  <r>
    <s v="Siri"/>
    <x v="0"/>
    <x v="207"/>
    <x v="4"/>
    <x v="16"/>
    <x v="0"/>
    <x v="0"/>
    <x v="1"/>
    <n v="1024"/>
    <n v="1699"/>
    <x v="4"/>
    <n v="169"/>
    <n v="1530"/>
    <n v="506"/>
    <x v="0"/>
  </r>
  <r>
    <s v="Uday"/>
    <x v="1"/>
    <x v="74"/>
    <x v="4"/>
    <x v="6"/>
    <x v="0"/>
    <x v="1"/>
    <x v="4"/>
    <n v="461"/>
    <n v="899"/>
    <x v="4"/>
    <n v="89"/>
    <n v="4050"/>
    <n v="1745"/>
    <x v="0"/>
  </r>
  <r>
    <s v="Devi"/>
    <x v="0"/>
    <x v="140"/>
    <x v="0"/>
    <x v="9"/>
    <x v="1"/>
    <x v="0"/>
    <x v="1"/>
    <n v="416"/>
    <n v="599"/>
    <x v="0"/>
    <n v="0"/>
    <n v="599"/>
    <n v="183"/>
    <x v="0"/>
  </r>
  <r>
    <s v="Sai"/>
    <x v="1"/>
    <x v="110"/>
    <x v="4"/>
    <x v="5"/>
    <x v="2"/>
    <x v="1"/>
    <x v="1"/>
    <n v="1072"/>
    <n v="1599"/>
    <x v="2"/>
    <n v="239"/>
    <n v="1360"/>
    <n v="288"/>
    <x v="0"/>
  </r>
  <r>
    <s v="Devi Sree"/>
    <x v="0"/>
    <x v="12"/>
    <x v="0"/>
    <x v="13"/>
    <x v="1"/>
    <x v="0"/>
    <x v="3"/>
    <n v="222"/>
    <n v="399"/>
    <x v="0"/>
    <n v="0"/>
    <n v="1596"/>
    <n v="708"/>
    <x v="0"/>
  </r>
  <r>
    <s v="Vasanth"/>
    <x v="1"/>
    <x v="104"/>
    <x v="4"/>
    <x v="5"/>
    <x v="0"/>
    <x v="0"/>
    <x v="2"/>
    <n v="757"/>
    <n v="1099"/>
    <x v="3"/>
    <n v="54"/>
    <n v="3135"/>
    <n v="864"/>
    <x v="0"/>
  </r>
  <r>
    <s v="Rohan"/>
    <x v="1"/>
    <x v="164"/>
    <x v="0"/>
    <x v="0"/>
    <x v="2"/>
    <x v="1"/>
    <x v="1"/>
    <n v="182"/>
    <n v="299"/>
    <x v="0"/>
    <n v="0"/>
    <n v="299"/>
    <n v="117"/>
    <x v="0"/>
  </r>
  <r>
    <s v="Vasanth"/>
    <x v="1"/>
    <x v="41"/>
    <x v="4"/>
    <x v="4"/>
    <x v="1"/>
    <x v="0"/>
    <x v="0"/>
    <n v="294"/>
    <n v="399"/>
    <x v="3"/>
    <n v="19"/>
    <n v="760"/>
    <n v="172"/>
    <x v="0"/>
  </r>
  <r>
    <s v="Sneha"/>
    <x v="0"/>
    <x v="122"/>
    <x v="1"/>
    <x v="1"/>
    <x v="1"/>
    <x v="1"/>
    <x v="2"/>
    <n v="624"/>
    <n v="1099"/>
    <x v="3"/>
    <n v="54"/>
    <n v="3135"/>
    <n v="1263"/>
    <x v="1"/>
  </r>
  <r>
    <s v="Rohan"/>
    <x v="1"/>
    <x v="167"/>
    <x v="0"/>
    <x v="9"/>
    <x v="0"/>
    <x v="1"/>
    <x v="1"/>
    <n v="279"/>
    <n v="399"/>
    <x v="0"/>
    <n v="0"/>
    <n v="399"/>
    <n v="120"/>
    <x v="0"/>
  </r>
  <r>
    <s v="Manoj"/>
    <x v="1"/>
    <x v="69"/>
    <x v="2"/>
    <x v="2"/>
    <x v="0"/>
    <x v="1"/>
    <x v="1"/>
    <n v="331"/>
    <n v="499"/>
    <x v="4"/>
    <n v="49"/>
    <n v="450"/>
    <n v="119"/>
    <x v="1"/>
  </r>
  <r>
    <s v="Anvesh"/>
    <x v="1"/>
    <x v="3"/>
    <x v="4"/>
    <x v="12"/>
    <x v="0"/>
    <x v="1"/>
    <x v="0"/>
    <n v="707"/>
    <n v="1199"/>
    <x v="4"/>
    <n v="119"/>
    <n v="2160"/>
    <n v="746"/>
    <x v="0"/>
  </r>
  <r>
    <s v="Reavanth"/>
    <x v="1"/>
    <x v="58"/>
    <x v="2"/>
    <x v="2"/>
    <x v="0"/>
    <x v="0"/>
    <x v="0"/>
    <n v="334"/>
    <n v="499"/>
    <x v="2"/>
    <n v="74"/>
    <n v="850"/>
    <n v="182"/>
    <x v="0"/>
  </r>
  <r>
    <s v="Swathi"/>
    <x v="0"/>
    <x v="142"/>
    <x v="0"/>
    <x v="11"/>
    <x v="2"/>
    <x v="0"/>
    <x v="1"/>
    <n v="284"/>
    <n v="499"/>
    <x v="0"/>
    <n v="0"/>
    <n v="499"/>
    <n v="215"/>
    <x v="0"/>
  </r>
  <r>
    <s v="Sanjeev"/>
    <x v="1"/>
    <x v="116"/>
    <x v="0"/>
    <x v="11"/>
    <x v="0"/>
    <x v="1"/>
    <x v="0"/>
    <n v="204"/>
    <n v="399"/>
    <x v="0"/>
    <n v="0"/>
    <n v="798"/>
    <n v="390"/>
    <x v="0"/>
  </r>
  <r>
    <s v="Swathi"/>
    <x v="0"/>
    <x v="152"/>
    <x v="1"/>
    <x v="1"/>
    <x v="2"/>
    <x v="0"/>
    <x v="0"/>
    <n v="658"/>
    <n v="899"/>
    <x v="4"/>
    <n v="89"/>
    <n v="1620"/>
    <n v="304"/>
    <x v="0"/>
  </r>
  <r>
    <s v="Shivani"/>
    <x v="0"/>
    <x v="38"/>
    <x v="1"/>
    <x v="7"/>
    <x v="2"/>
    <x v="0"/>
    <x v="3"/>
    <n v="1806"/>
    <n v="2599"/>
    <x v="2"/>
    <n v="389"/>
    <n v="8840"/>
    <n v="1616"/>
    <x v="1"/>
  </r>
  <r>
    <s v="Chandrika"/>
    <x v="0"/>
    <x v="103"/>
    <x v="1"/>
    <x v="1"/>
    <x v="0"/>
    <x v="0"/>
    <x v="0"/>
    <n v="1172"/>
    <n v="1899"/>
    <x v="1"/>
    <n v="379"/>
    <n v="3040"/>
    <n v="696"/>
    <x v="0"/>
  </r>
  <r>
    <s v="Devi Sree"/>
    <x v="0"/>
    <x v="104"/>
    <x v="0"/>
    <x v="13"/>
    <x v="0"/>
    <x v="0"/>
    <x v="1"/>
    <n v="260"/>
    <n v="399"/>
    <x v="0"/>
    <n v="0"/>
    <n v="399"/>
    <n v="139"/>
    <x v="1"/>
  </r>
  <r>
    <s v="Reavanth"/>
    <x v="1"/>
    <x v="186"/>
    <x v="0"/>
    <x v="0"/>
    <x v="2"/>
    <x v="1"/>
    <x v="1"/>
    <n v="345"/>
    <n v="499"/>
    <x v="0"/>
    <n v="0"/>
    <n v="499"/>
    <n v="154"/>
    <x v="0"/>
  </r>
  <r>
    <s v="Venu"/>
    <x v="1"/>
    <x v="18"/>
    <x v="0"/>
    <x v="9"/>
    <x v="2"/>
    <x v="0"/>
    <x v="2"/>
    <n v="395"/>
    <n v="599"/>
    <x v="0"/>
    <n v="0"/>
    <n v="1797"/>
    <n v="612"/>
    <x v="0"/>
  </r>
  <r>
    <s v="Sai"/>
    <x v="1"/>
    <x v="45"/>
    <x v="3"/>
    <x v="3"/>
    <x v="1"/>
    <x v="0"/>
    <x v="1"/>
    <n v="855"/>
    <n v="1499"/>
    <x v="0"/>
    <n v="0"/>
    <n v="1499"/>
    <n v="644"/>
    <x v="0"/>
  </r>
  <r>
    <s v="Pranay"/>
    <x v="1"/>
    <x v="194"/>
    <x v="0"/>
    <x v="11"/>
    <x v="1"/>
    <x v="1"/>
    <x v="1"/>
    <n v="282"/>
    <n v="399"/>
    <x v="0"/>
    <n v="0"/>
    <n v="399"/>
    <n v="117"/>
    <x v="0"/>
  </r>
  <r>
    <s v="Deepak"/>
    <x v="1"/>
    <x v="110"/>
    <x v="2"/>
    <x v="8"/>
    <x v="1"/>
    <x v="0"/>
    <x v="0"/>
    <n v="579"/>
    <n v="1099"/>
    <x v="3"/>
    <n v="54"/>
    <n v="2090"/>
    <n v="932"/>
    <x v="0"/>
  </r>
  <r>
    <s v="Anvesh"/>
    <x v="1"/>
    <x v="155"/>
    <x v="1"/>
    <x v="1"/>
    <x v="1"/>
    <x v="0"/>
    <x v="1"/>
    <n v="1653"/>
    <n v="2299"/>
    <x v="4"/>
    <n v="229"/>
    <n v="2070"/>
    <n v="417"/>
    <x v="1"/>
  </r>
  <r>
    <s v="Ananya"/>
    <x v="0"/>
    <x v="11"/>
    <x v="2"/>
    <x v="8"/>
    <x v="2"/>
    <x v="0"/>
    <x v="1"/>
    <n v="1291"/>
    <n v="1799"/>
    <x v="2"/>
    <n v="269"/>
    <n v="1530"/>
    <n v="239"/>
    <x v="0"/>
  </r>
  <r>
    <s v="Srujan"/>
    <x v="1"/>
    <x v="21"/>
    <x v="2"/>
    <x v="2"/>
    <x v="2"/>
    <x v="1"/>
    <x v="1"/>
    <n v="581"/>
    <n v="799"/>
    <x v="1"/>
    <n v="159"/>
    <n v="640"/>
    <n v="59"/>
    <x v="0"/>
  </r>
  <r>
    <s v="Aarav"/>
    <x v="1"/>
    <x v="16"/>
    <x v="2"/>
    <x v="8"/>
    <x v="2"/>
    <x v="0"/>
    <x v="1"/>
    <n v="506"/>
    <n v="799"/>
    <x v="2"/>
    <n v="119"/>
    <n v="680"/>
    <n v="174"/>
    <x v="0"/>
  </r>
  <r>
    <s v="Aarav"/>
    <x v="1"/>
    <x v="32"/>
    <x v="3"/>
    <x v="14"/>
    <x v="1"/>
    <x v="0"/>
    <x v="0"/>
    <n v="510"/>
    <n v="999"/>
    <x v="0"/>
    <n v="0"/>
    <n v="1998"/>
    <n v="978"/>
    <x v="1"/>
  </r>
  <r>
    <s v="Shiva"/>
    <x v="1"/>
    <x v="61"/>
    <x v="3"/>
    <x v="3"/>
    <x v="2"/>
    <x v="1"/>
    <x v="4"/>
    <n v="886"/>
    <n v="1499"/>
    <x v="0"/>
    <n v="0"/>
    <n v="7495"/>
    <n v="3065"/>
    <x v="0"/>
  </r>
  <r>
    <s v="Rahul"/>
    <x v="1"/>
    <x v="61"/>
    <x v="2"/>
    <x v="2"/>
    <x v="1"/>
    <x v="1"/>
    <x v="1"/>
    <n v="345"/>
    <n v="499"/>
    <x v="1"/>
    <n v="99"/>
    <n v="400"/>
    <n v="55"/>
    <x v="0"/>
  </r>
  <r>
    <s v="Laxmi"/>
    <x v="0"/>
    <x v="21"/>
    <x v="2"/>
    <x v="2"/>
    <x v="1"/>
    <x v="0"/>
    <x v="2"/>
    <n v="365"/>
    <n v="499"/>
    <x v="2"/>
    <n v="74"/>
    <n v="1275"/>
    <n v="180"/>
    <x v="0"/>
  </r>
  <r>
    <s v="Pranay"/>
    <x v="1"/>
    <x v="173"/>
    <x v="1"/>
    <x v="1"/>
    <x v="2"/>
    <x v="1"/>
    <x v="1"/>
    <n v="788"/>
    <n v="1299"/>
    <x v="3"/>
    <n v="64"/>
    <n v="1235"/>
    <n v="447"/>
    <x v="0"/>
  </r>
  <r>
    <s v="Kavya"/>
    <x v="0"/>
    <x v="88"/>
    <x v="4"/>
    <x v="6"/>
    <x v="1"/>
    <x v="0"/>
    <x v="0"/>
    <n v="444"/>
    <n v="599"/>
    <x v="2"/>
    <n v="89"/>
    <n v="1020"/>
    <n v="132"/>
    <x v="0"/>
  </r>
  <r>
    <s v="Anjali"/>
    <x v="0"/>
    <x v="24"/>
    <x v="1"/>
    <x v="1"/>
    <x v="0"/>
    <x v="0"/>
    <x v="1"/>
    <n v="602"/>
    <n v="899"/>
    <x v="3"/>
    <n v="44"/>
    <n v="855"/>
    <n v="253"/>
    <x v="0"/>
  </r>
  <r>
    <s v="Vasanth"/>
    <x v="1"/>
    <x v="111"/>
    <x v="3"/>
    <x v="14"/>
    <x v="1"/>
    <x v="1"/>
    <x v="1"/>
    <n v="700"/>
    <n v="1199"/>
    <x v="0"/>
    <n v="0"/>
    <n v="1199"/>
    <n v="499"/>
    <x v="0"/>
  </r>
  <r>
    <s v="Devi Sree"/>
    <x v="0"/>
    <x v="15"/>
    <x v="3"/>
    <x v="14"/>
    <x v="0"/>
    <x v="0"/>
    <x v="4"/>
    <n v="435"/>
    <n v="699"/>
    <x v="0"/>
    <n v="0"/>
    <n v="3495"/>
    <n v="1320"/>
    <x v="0"/>
  </r>
  <r>
    <s v="Anjali"/>
    <x v="0"/>
    <x v="106"/>
    <x v="4"/>
    <x v="10"/>
    <x v="1"/>
    <x v="1"/>
    <x v="4"/>
    <n v="919"/>
    <n v="1799"/>
    <x v="2"/>
    <n v="269"/>
    <n v="7650"/>
    <n v="3055"/>
    <x v="0"/>
  </r>
  <r>
    <s v="Vijay"/>
    <x v="1"/>
    <x v="90"/>
    <x v="0"/>
    <x v="0"/>
    <x v="0"/>
    <x v="1"/>
    <x v="4"/>
    <n v="370"/>
    <n v="599"/>
    <x v="0"/>
    <n v="0"/>
    <n v="2995"/>
    <n v="1145"/>
    <x v="0"/>
  </r>
  <r>
    <s v="Sneha"/>
    <x v="0"/>
    <x v="173"/>
    <x v="3"/>
    <x v="14"/>
    <x v="0"/>
    <x v="1"/>
    <x v="1"/>
    <n v="1058"/>
    <n v="1499"/>
    <x v="0"/>
    <n v="0"/>
    <n v="1499"/>
    <n v="441"/>
    <x v="0"/>
  </r>
  <r>
    <s v="Arjun"/>
    <x v="1"/>
    <x v="202"/>
    <x v="0"/>
    <x v="13"/>
    <x v="2"/>
    <x v="1"/>
    <x v="0"/>
    <n v="268"/>
    <n v="499"/>
    <x v="0"/>
    <n v="0"/>
    <n v="998"/>
    <n v="462"/>
    <x v="0"/>
  </r>
  <r>
    <s v="Viraj"/>
    <x v="1"/>
    <x v="120"/>
    <x v="0"/>
    <x v="0"/>
    <x v="1"/>
    <x v="0"/>
    <x v="1"/>
    <n v="347"/>
    <n v="599"/>
    <x v="0"/>
    <n v="0"/>
    <n v="599"/>
    <n v="252"/>
    <x v="0"/>
  </r>
  <r>
    <s v="Reavanth"/>
    <x v="1"/>
    <x v="103"/>
    <x v="3"/>
    <x v="14"/>
    <x v="0"/>
    <x v="0"/>
    <x v="4"/>
    <n v="983"/>
    <n v="1499"/>
    <x v="0"/>
    <n v="0"/>
    <n v="7495"/>
    <n v="2580"/>
    <x v="0"/>
  </r>
  <r>
    <s v="Nandhini"/>
    <x v="0"/>
    <x v="32"/>
    <x v="1"/>
    <x v="1"/>
    <x v="1"/>
    <x v="0"/>
    <x v="0"/>
    <n v="1091"/>
    <n v="1499"/>
    <x v="2"/>
    <n v="224"/>
    <n v="2550"/>
    <n v="368"/>
    <x v="0"/>
  </r>
  <r>
    <s v="Sai"/>
    <x v="1"/>
    <x v="183"/>
    <x v="1"/>
    <x v="1"/>
    <x v="2"/>
    <x v="1"/>
    <x v="1"/>
    <n v="796"/>
    <n v="1499"/>
    <x v="1"/>
    <n v="299"/>
    <n v="1200"/>
    <n v="404"/>
    <x v="1"/>
  </r>
  <r>
    <s v="Siri"/>
    <x v="0"/>
    <x v="81"/>
    <x v="1"/>
    <x v="1"/>
    <x v="2"/>
    <x v="0"/>
    <x v="4"/>
    <n v="1067"/>
    <n v="1499"/>
    <x v="1"/>
    <n v="299"/>
    <n v="6000"/>
    <n v="665"/>
    <x v="0"/>
  </r>
  <r>
    <s v="Arjun"/>
    <x v="1"/>
    <x v="179"/>
    <x v="0"/>
    <x v="13"/>
    <x v="0"/>
    <x v="1"/>
    <x v="1"/>
    <n v="244"/>
    <n v="399"/>
    <x v="0"/>
    <n v="0"/>
    <n v="399"/>
    <n v="155"/>
    <x v="0"/>
  </r>
  <r>
    <s v="Tejas"/>
    <x v="1"/>
    <x v="11"/>
    <x v="1"/>
    <x v="1"/>
    <x v="2"/>
    <x v="1"/>
    <x v="1"/>
    <n v="960"/>
    <n v="1299"/>
    <x v="3"/>
    <n v="64"/>
    <n v="1235"/>
    <n v="275"/>
    <x v="0"/>
  </r>
  <r>
    <s v="Reavanth"/>
    <x v="1"/>
    <x v="173"/>
    <x v="4"/>
    <x v="5"/>
    <x v="1"/>
    <x v="1"/>
    <x v="3"/>
    <n v="901"/>
    <n v="1599"/>
    <x v="2"/>
    <n v="239"/>
    <n v="5440"/>
    <n v="1836"/>
    <x v="0"/>
  </r>
  <r>
    <s v="Srawani"/>
    <x v="0"/>
    <x v="184"/>
    <x v="1"/>
    <x v="1"/>
    <x v="2"/>
    <x v="0"/>
    <x v="1"/>
    <n v="1332"/>
    <n v="2499"/>
    <x v="1"/>
    <n v="499"/>
    <n v="2000"/>
    <n v="668"/>
    <x v="0"/>
  </r>
  <r>
    <s v="Pravalika"/>
    <x v="0"/>
    <x v="170"/>
    <x v="4"/>
    <x v="12"/>
    <x v="0"/>
    <x v="0"/>
    <x v="1"/>
    <n v="951"/>
    <n v="1699"/>
    <x v="4"/>
    <n v="169"/>
    <n v="1530"/>
    <n v="579"/>
    <x v="0"/>
  </r>
  <r>
    <s v="Sai"/>
    <x v="1"/>
    <x v="76"/>
    <x v="3"/>
    <x v="3"/>
    <x v="1"/>
    <x v="0"/>
    <x v="1"/>
    <n v="1018"/>
    <n v="1399"/>
    <x v="0"/>
    <n v="0"/>
    <n v="1399"/>
    <n v="381"/>
    <x v="0"/>
  </r>
  <r>
    <s v="Ananya"/>
    <x v="0"/>
    <x v="33"/>
    <x v="4"/>
    <x v="12"/>
    <x v="0"/>
    <x v="1"/>
    <x v="1"/>
    <n v="1473"/>
    <n v="2199"/>
    <x v="3"/>
    <n v="109"/>
    <n v="2090"/>
    <n v="617"/>
    <x v="0"/>
  </r>
  <r>
    <s v="Kalyan"/>
    <x v="1"/>
    <x v="140"/>
    <x v="1"/>
    <x v="7"/>
    <x v="2"/>
    <x v="0"/>
    <x v="0"/>
    <n v="1290"/>
    <n v="2199"/>
    <x v="4"/>
    <n v="219"/>
    <n v="3960"/>
    <n v="1380"/>
    <x v="0"/>
  </r>
  <r>
    <s v="Lavanya"/>
    <x v="0"/>
    <x v="144"/>
    <x v="3"/>
    <x v="14"/>
    <x v="0"/>
    <x v="1"/>
    <x v="1"/>
    <n v="402"/>
    <n v="699"/>
    <x v="0"/>
    <n v="0"/>
    <n v="699"/>
    <n v="297"/>
    <x v="1"/>
  </r>
  <r>
    <s v="Surya"/>
    <x v="1"/>
    <x v="76"/>
    <x v="1"/>
    <x v="7"/>
    <x v="2"/>
    <x v="1"/>
    <x v="3"/>
    <n v="1856"/>
    <n v="2599"/>
    <x v="2"/>
    <n v="389"/>
    <n v="8840"/>
    <n v="1416"/>
    <x v="0"/>
  </r>
  <r>
    <s v="Sai Deep"/>
    <x v="1"/>
    <x v="20"/>
    <x v="3"/>
    <x v="14"/>
    <x v="1"/>
    <x v="0"/>
    <x v="2"/>
    <n v="464"/>
    <n v="699"/>
    <x v="0"/>
    <n v="0"/>
    <n v="2097"/>
    <n v="705"/>
    <x v="0"/>
  </r>
  <r>
    <s v="Devi"/>
    <x v="0"/>
    <x v="148"/>
    <x v="2"/>
    <x v="8"/>
    <x v="1"/>
    <x v="0"/>
    <x v="2"/>
    <n v="1206"/>
    <n v="1899"/>
    <x v="1"/>
    <n v="379"/>
    <n v="4560"/>
    <n v="942"/>
    <x v="0"/>
  </r>
  <r>
    <s v="Rakesh"/>
    <x v="1"/>
    <x v="186"/>
    <x v="2"/>
    <x v="2"/>
    <x v="2"/>
    <x v="0"/>
    <x v="1"/>
    <n v="362"/>
    <n v="499"/>
    <x v="4"/>
    <n v="49"/>
    <n v="450"/>
    <n v="88"/>
    <x v="0"/>
  </r>
  <r>
    <s v=" Praveen"/>
    <x v="1"/>
    <x v="116"/>
    <x v="1"/>
    <x v="1"/>
    <x v="0"/>
    <x v="0"/>
    <x v="1"/>
    <n v="659"/>
    <n v="1199"/>
    <x v="2"/>
    <n v="179"/>
    <n v="1020"/>
    <n v="361"/>
    <x v="1"/>
  </r>
  <r>
    <s v="Srujan"/>
    <x v="1"/>
    <x v="138"/>
    <x v="4"/>
    <x v="6"/>
    <x v="1"/>
    <x v="1"/>
    <x v="1"/>
    <n v="426"/>
    <n v="599"/>
    <x v="3"/>
    <n v="29"/>
    <n v="570"/>
    <n v="144"/>
    <x v="0"/>
  </r>
  <r>
    <s v="Rohan"/>
    <x v="1"/>
    <x v="94"/>
    <x v="2"/>
    <x v="2"/>
    <x v="0"/>
    <x v="0"/>
    <x v="3"/>
    <n v="384"/>
    <n v="599"/>
    <x v="4"/>
    <n v="59"/>
    <n v="2160"/>
    <n v="624"/>
    <x v="0"/>
  </r>
  <r>
    <s v="Deepak"/>
    <x v="1"/>
    <x v="185"/>
    <x v="1"/>
    <x v="1"/>
    <x v="1"/>
    <x v="0"/>
    <x v="1"/>
    <n v="506"/>
    <n v="999"/>
    <x v="2"/>
    <n v="149"/>
    <n v="850"/>
    <n v="344"/>
    <x v="1"/>
  </r>
  <r>
    <s v="Thanuja"/>
    <x v="0"/>
    <x v="128"/>
    <x v="1"/>
    <x v="7"/>
    <x v="1"/>
    <x v="1"/>
    <x v="3"/>
    <n v="1864"/>
    <n v="2799"/>
    <x v="1"/>
    <n v="559"/>
    <n v="8960"/>
    <n v="1504"/>
    <x v="1"/>
  </r>
  <r>
    <s v="Lassya"/>
    <x v="0"/>
    <x v="53"/>
    <x v="3"/>
    <x v="3"/>
    <x v="1"/>
    <x v="0"/>
    <x v="4"/>
    <n v="1062"/>
    <n v="1499"/>
    <x v="0"/>
    <n v="0"/>
    <n v="7495"/>
    <n v="2185"/>
    <x v="0"/>
  </r>
  <r>
    <s v="Aarav"/>
    <x v="1"/>
    <x v="184"/>
    <x v="3"/>
    <x v="14"/>
    <x v="2"/>
    <x v="0"/>
    <x v="1"/>
    <n v="561"/>
    <n v="799"/>
    <x v="0"/>
    <n v="0"/>
    <n v="799"/>
    <n v="238"/>
    <x v="0"/>
  </r>
  <r>
    <s v="Koushika"/>
    <x v="0"/>
    <x v="158"/>
    <x v="2"/>
    <x v="8"/>
    <x v="1"/>
    <x v="0"/>
    <x v="0"/>
    <n v="1107"/>
    <n v="1499"/>
    <x v="1"/>
    <n v="299"/>
    <n v="2400"/>
    <n v="186"/>
    <x v="0"/>
  </r>
  <r>
    <s v="Bharath"/>
    <x v="1"/>
    <x v="93"/>
    <x v="4"/>
    <x v="6"/>
    <x v="2"/>
    <x v="1"/>
    <x v="4"/>
    <n v="437"/>
    <n v="699"/>
    <x v="1"/>
    <n v="139"/>
    <n v="2800"/>
    <n v="615"/>
    <x v="1"/>
  </r>
  <r>
    <s v="Sai"/>
    <x v="1"/>
    <x v="108"/>
    <x v="0"/>
    <x v="13"/>
    <x v="1"/>
    <x v="0"/>
    <x v="1"/>
    <n v="259"/>
    <n v="399"/>
    <x v="0"/>
    <n v="0"/>
    <n v="399"/>
    <n v="140"/>
    <x v="0"/>
  </r>
  <r>
    <s v="Lavanya"/>
    <x v="0"/>
    <x v="177"/>
    <x v="0"/>
    <x v="13"/>
    <x v="1"/>
    <x v="1"/>
    <x v="2"/>
    <n v="278"/>
    <n v="399"/>
    <x v="0"/>
    <n v="0"/>
    <n v="1197"/>
    <n v="363"/>
    <x v="0"/>
  </r>
  <r>
    <s v="Vinay"/>
    <x v="1"/>
    <x v="43"/>
    <x v="4"/>
    <x v="5"/>
    <x v="0"/>
    <x v="0"/>
    <x v="0"/>
    <n v="629"/>
    <n v="1099"/>
    <x v="3"/>
    <n v="54"/>
    <n v="2090"/>
    <n v="832"/>
    <x v="0"/>
  </r>
  <r>
    <s v="Vivaan"/>
    <x v="1"/>
    <x v="94"/>
    <x v="3"/>
    <x v="14"/>
    <x v="0"/>
    <x v="0"/>
    <x v="3"/>
    <n v="501"/>
    <n v="699"/>
    <x v="0"/>
    <n v="0"/>
    <n v="2796"/>
    <n v="792"/>
    <x v="0"/>
  </r>
  <r>
    <s v="Pravalika"/>
    <x v="0"/>
    <x v="126"/>
    <x v="1"/>
    <x v="7"/>
    <x v="1"/>
    <x v="0"/>
    <x v="0"/>
    <n v="1996"/>
    <n v="3199"/>
    <x v="3"/>
    <n v="159"/>
    <n v="6080"/>
    <n v="2088"/>
    <x v="1"/>
  </r>
  <r>
    <s v="Sai"/>
    <x v="1"/>
    <x v="98"/>
    <x v="2"/>
    <x v="2"/>
    <x v="1"/>
    <x v="1"/>
    <x v="1"/>
    <n v="543"/>
    <n v="799"/>
    <x v="2"/>
    <n v="119"/>
    <n v="680"/>
    <n v="137"/>
    <x v="0"/>
  </r>
  <r>
    <s v="Devi"/>
    <x v="0"/>
    <x v="103"/>
    <x v="3"/>
    <x v="14"/>
    <x v="1"/>
    <x v="0"/>
    <x v="2"/>
    <n v="516"/>
    <n v="699"/>
    <x v="0"/>
    <n v="0"/>
    <n v="2097"/>
    <n v="549"/>
    <x v="0"/>
  </r>
  <r>
    <s v="Devi"/>
    <x v="0"/>
    <x v="39"/>
    <x v="2"/>
    <x v="8"/>
    <x v="2"/>
    <x v="1"/>
    <x v="3"/>
    <n v="561"/>
    <n v="1099"/>
    <x v="3"/>
    <n v="54"/>
    <n v="4180"/>
    <n v="1936"/>
    <x v="0"/>
  </r>
  <r>
    <s v="Bharath"/>
    <x v="1"/>
    <x v="4"/>
    <x v="1"/>
    <x v="1"/>
    <x v="0"/>
    <x v="0"/>
    <x v="0"/>
    <n v="456"/>
    <n v="899"/>
    <x v="3"/>
    <n v="44"/>
    <n v="1710"/>
    <n v="798"/>
    <x v="0"/>
  </r>
  <r>
    <s v="Bharath"/>
    <x v="1"/>
    <x v="193"/>
    <x v="1"/>
    <x v="7"/>
    <x v="2"/>
    <x v="0"/>
    <x v="1"/>
    <n v="1973"/>
    <n v="2699"/>
    <x v="3"/>
    <n v="134"/>
    <n v="2565"/>
    <n v="592"/>
    <x v="0"/>
  </r>
  <r>
    <s v="Vikram"/>
    <x v="1"/>
    <x v="95"/>
    <x v="3"/>
    <x v="3"/>
    <x v="0"/>
    <x v="0"/>
    <x v="1"/>
    <n v="540"/>
    <n v="999"/>
    <x v="0"/>
    <n v="0"/>
    <n v="999"/>
    <n v="459"/>
    <x v="0"/>
  </r>
  <r>
    <s v="Sanjeev"/>
    <x v="1"/>
    <x v="194"/>
    <x v="3"/>
    <x v="3"/>
    <x v="1"/>
    <x v="1"/>
    <x v="0"/>
    <n v="774"/>
    <n v="1499"/>
    <x v="0"/>
    <n v="0"/>
    <n v="2998"/>
    <n v="1450"/>
    <x v="0"/>
  </r>
  <r>
    <s v="Vasanth"/>
    <x v="1"/>
    <x v="212"/>
    <x v="2"/>
    <x v="8"/>
    <x v="2"/>
    <x v="1"/>
    <x v="1"/>
    <n v="712"/>
    <n v="1099"/>
    <x v="3"/>
    <n v="54"/>
    <n v="1045"/>
    <n v="333"/>
    <x v="0"/>
  </r>
  <r>
    <s v="Venu"/>
    <x v="1"/>
    <x v="178"/>
    <x v="1"/>
    <x v="7"/>
    <x v="1"/>
    <x v="1"/>
    <x v="0"/>
    <n v="2203"/>
    <n v="3599"/>
    <x v="2"/>
    <n v="539"/>
    <n v="6120"/>
    <n v="1714"/>
    <x v="0"/>
  </r>
  <r>
    <s v="Neha"/>
    <x v="0"/>
    <x v="89"/>
    <x v="3"/>
    <x v="14"/>
    <x v="0"/>
    <x v="1"/>
    <x v="4"/>
    <n v="727"/>
    <n v="999"/>
    <x v="0"/>
    <n v="0"/>
    <n v="4995"/>
    <n v="1360"/>
    <x v="0"/>
  </r>
  <r>
    <s v=" Praveen"/>
    <x v="1"/>
    <x v="39"/>
    <x v="4"/>
    <x v="16"/>
    <x v="1"/>
    <x v="0"/>
    <x v="0"/>
    <n v="1322"/>
    <n v="2199"/>
    <x v="3"/>
    <n v="109"/>
    <n v="4180"/>
    <n v="1536"/>
    <x v="0"/>
  </r>
  <r>
    <s v="Aarav"/>
    <x v="1"/>
    <x v="191"/>
    <x v="3"/>
    <x v="14"/>
    <x v="2"/>
    <x v="1"/>
    <x v="1"/>
    <n v="872"/>
    <n v="1499"/>
    <x v="0"/>
    <n v="0"/>
    <n v="1499"/>
    <n v="627"/>
    <x v="0"/>
  </r>
  <r>
    <s v="Siri"/>
    <x v="0"/>
    <x v="203"/>
    <x v="3"/>
    <x v="3"/>
    <x v="2"/>
    <x v="1"/>
    <x v="3"/>
    <n v="605"/>
    <n v="1199"/>
    <x v="0"/>
    <n v="0"/>
    <n v="4796"/>
    <n v="2376"/>
    <x v="0"/>
  </r>
  <r>
    <s v="Swapna"/>
    <x v="0"/>
    <x v="39"/>
    <x v="0"/>
    <x v="9"/>
    <x v="2"/>
    <x v="1"/>
    <x v="1"/>
    <n v="209"/>
    <n v="299"/>
    <x v="0"/>
    <n v="0"/>
    <n v="299"/>
    <n v="90"/>
    <x v="1"/>
  </r>
  <r>
    <s v="Yeshwanth"/>
    <x v="1"/>
    <x v="32"/>
    <x v="4"/>
    <x v="6"/>
    <x v="0"/>
    <x v="1"/>
    <x v="1"/>
    <n v="606"/>
    <n v="999"/>
    <x v="1"/>
    <n v="199"/>
    <n v="800"/>
    <n v="194"/>
    <x v="1"/>
  </r>
  <r>
    <s v="Srinivas"/>
    <x v="1"/>
    <x v="200"/>
    <x v="1"/>
    <x v="1"/>
    <x v="0"/>
    <x v="0"/>
    <x v="2"/>
    <n v="1521"/>
    <n v="2299"/>
    <x v="4"/>
    <n v="229"/>
    <n v="6210"/>
    <n v="1647"/>
    <x v="1"/>
  </r>
  <r>
    <s v="Devi Sree"/>
    <x v="0"/>
    <x v="186"/>
    <x v="1"/>
    <x v="1"/>
    <x v="1"/>
    <x v="1"/>
    <x v="1"/>
    <n v="1230"/>
    <n v="1699"/>
    <x v="4"/>
    <n v="169"/>
    <n v="1530"/>
    <n v="300"/>
    <x v="1"/>
  </r>
  <r>
    <s v="Harsha"/>
    <x v="1"/>
    <x v="124"/>
    <x v="0"/>
    <x v="0"/>
    <x v="0"/>
    <x v="1"/>
    <x v="1"/>
    <n v="222"/>
    <n v="299"/>
    <x v="0"/>
    <n v="0"/>
    <n v="299"/>
    <n v="77"/>
    <x v="0"/>
  </r>
  <r>
    <s v="Vinay"/>
    <x v="1"/>
    <x v="164"/>
    <x v="4"/>
    <x v="16"/>
    <x v="1"/>
    <x v="1"/>
    <x v="3"/>
    <n v="904"/>
    <n v="1799"/>
    <x v="2"/>
    <n v="269"/>
    <n v="6120"/>
    <n v="2504"/>
    <x v="0"/>
  </r>
  <r>
    <s v="Anjali"/>
    <x v="0"/>
    <x v="129"/>
    <x v="1"/>
    <x v="1"/>
    <x v="0"/>
    <x v="1"/>
    <x v="1"/>
    <n v="810"/>
    <n v="1599"/>
    <x v="3"/>
    <n v="79"/>
    <n v="1520"/>
    <n v="710"/>
    <x v="0"/>
  </r>
  <r>
    <s v="Chandrika"/>
    <x v="0"/>
    <x v="75"/>
    <x v="4"/>
    <x v="16"/>
    <x v="0"/>
    <x v="1"/>
    <x v="1"/>
    <n v="1380"/>
    <n v="2299"/>
    <x v="4"/>
    <n v="229"/>
    <n v="2070"/>
    <n v="690"/>
    <x v="0"/>
  </r>
  <r>
    <s v="Arjun"/>
    <x v="1"/>
    <x v="56"/>
    <x v="0"/>
    <x v="13"/>
    <x v="2"/>
    <x v="1"/>
    <x v="4"/>
    <n v="245"/>
    <n v="399"/>
    <x v="0"/>
    <n v="0"/>
    <n v="1995"/>
    <n v="770"/>
    <x v="0"/>
  </r>
  <r>
    <s v="Anudeep"/>
    <x v="1"/>
    <x v="16"/>
    <x v="1"/>
    <x v="7"/>
    <x v="0"/>
    <x v="1"/>
    <x v="4"/>
    <n v="2666"/>
    <n v="3699"/>
    <x v="3"/>
    <n v="184"/>
    <n v="17575"/>
    <n v="4245"/>
    <x v="0"/>
  </r>
  <r>
    <s v="Srawani"/>
    <x v="0"/>
    <x v="103"/>
    <x v="1"/>
    <x v="7"/>
    <x v="1"/>
    <x v="0"/>
    <x v="1"/>
    <n v="1393"/>
    <n v="2599"/>
    <x v="2"/>
    <n v="389"/>
    <n v="2210"/>
    <n v="817"/>
    <x v="0"/>
  </r>
  <r>
    <s v="Kavya"/>
    <x v="0"/>
    <x v="198"/>
    <x v="4"/>
    <x v="5"/>
    <x v="1"/>
    <x v="1"/>
    <x v="2"/>
    <n v="589"/>
    <n v="799"/>
    <x v="3"/>
    <n v="39"/>
    <n v="2280"/>
    <n v="513"/>
    <x v="0"/>
  </r>
  <r>
    <s v="Siri"/>
    <x v="0"/>
    <x v="64"/>
    <x v="4"/>
    <x v="6"/>
    <x v="1"/>
    <x v="1"/>
    <x v="0"/>
    <n v="405"/>
    <n v="599"/>
    <x v="4"/>
    <n v="59"/>
    <n v="1080"/>
    <n v="270"/>
    <x v="0"/>
  </r>
  <r>
    <s v="Swetha"/>
    <x v="0"/>
    <x v="120"/>
    <x v="1"/>
    <x v="7"/>
    <x v="0"/>
    <x v="0"/>
    <x v="1"/>
    <n v="2696"/>
    <n v="3599"/>
    <x v="2"/>
    <n v="539"/>
    <n v="3060"/>
    <n v="364"/>
    <x v="0"/>
  </r>
  <r>
    <s v="Anvesh"/>
    <x v="1"/>
    <x v="147"/>
    <x v="1"/>
    <x v="7"/>
    <x v="0"/>
    <x v="1"/>
    <x v="1"/>
    <n v="1801"/>
    <n v="2699"/>
    <x v="3"/>
    <n v="134"/>
    <n v="2565"/>
    <n v="764"/>
    <x v="0"/>
  </r>
  <r>
    <s v="Harsha"/>
    <x v="1"/>
    <x v="48"/>
    <x v="0"/>
    <x v="11"/>
    <x v="1"/>
    <x v="0"/>
    <x v="2"/>
    <n v="204"/>
    <n v="399"/>
    <x v="0"/>
    <n v="0"/>
    <n v="1197"/>
    <n v="585"/>
    <x v="0"/>
  </r>
  <r>
    <s v="Devi"/>
    <x v="0"/>
    <x v="136"/>
    <x v="2"/>
    <x v="2"/>
    <x v="2"/>
    <x v="1"/>
    <x v="1"/>
    <n v="280"/>
    <n v="499"/>
    <x v="3"/>
    <n v="24"/>
    <n v="475"/>
    <n v="195"/>
    <x v="0"/>
  </r>
  <r>
    <s v="Pooja"/>
    <x v="0"/>
    <x v="93"/>
    <x v="1"/>
    <x v="1"/>
    <x v="2"/>
    <x v="0"/>
    <x v="1"/>
    <n v="590"/>
    <n v="999"/>
    <x v="2"/>
    <n v="149"/>
    <n v="850"/>
    <n v="260"/>
    <x v="1"/>
  </r>
  <r>
    <s v="Pooja"/>
    <x v="0"/>
    <x v="70"/>
    <x v="3"/>
    <x v="14"/>
    <x v="1"/>
    <x v="1"/>
    <x v="1"/>
    <n v="903"/>
    <n v="1499"/>
    <x v="0"/>
    <n v="0"/>
    <n v="1499"/>
    <n v="596"/>
    <x v="0"/>
  </r>
  <r>
    <s v="Vinay"/>
    <x v="1"/>
    <x v="71"/>
    <x v="1"/>
    <x v="1"/>
    <x v="2"/>
    <x v="1"/>
    <x v="3"/>
    <n v="1044"/>
    <n v="1499"/>
    <x v="1"/>
    <n v="299"/>
    <n v="4800"/>
    <n v="624"/>
    <x v="1"/>
  </r>
  <r>
    <s v="Neha"/>
    <x v="0"/>
    <x v="100"/>
    <x v="1"/>
    <x v="7"/>
    <x v="1"/>
    <x v="0"/>
    <x v="4"/>
    <n v="2829"/>
    <n v="4299"/>
    <x v="3"/>
    <n v="214"/>
    <n v="20425"/>
    <n v="6280"/>
    <x v="1"/>
  </r>
  <r>
    <s v="Anvesh"/>
    <x v="1"/>
    <x v="89"/>
    <x v="0"/>
    <x v="9"/>
    <x v="0"/>
    <x v="1"/>
    <x v="0"/>
    <n v="205"/>
    <n v="299"/>
    <x v="0"/>
    <n v="0"/>
    <n v="598"/>
    <n v="188"/>
    <x v="0"/>
  </r>
  <r>
    <s v="Pooja"/>
    <x v="0"/>
    <x v="41"/>
    <x v="2"/>
    <x v="8"/>
    <x v="2"/>
    <x v="1"/>
    <x v="1"/>
    <n v="1036"/>
    <n v="1499"/>
    <x v="1"/>
    <n v="299"/>
    <n v="1200"/>
    <n v="164"/>
    <x v="0"/>
  </r>
  <r>
    <s v="Leela"/>
    <x v="0"/>
    <x v="85"/>
    <x v="2"/>
    <x v="2"/>
    <x v="1"/>
    <x v="0"/>
    <x v="1"/>
    <n v="442"/>
    <n v="599"/>
    <x v="4"/>
    <n v="59"/>
    <n v="540"/>
    <n v="98"/>
    <x v="0"/>
  </r>
  <r>
    <s v="Venu"/>
    <x v="1"/>
    <x v="143"/>
    <x v="3"/>
    <x v="3"/>
    <x v="0"/>
    <x v="0"/>
    <x v="4"/>
    <n v="717"/>
    <n v="1199"/>
    <x v="0"/>
    <n v="0"/>
    <n v="5995"/>
    <n v="2410"/>
    <x v="1"/>
  </r>
  <r>
    <s v="Sanjeev"/>
    <x v="1"/>
    <x v="179"/>
    <x v="4"/>
    <x v="12"/>
    <x v="2"/>
    <x v="0"/>
    <x v="1"/>
    <n v="897"/>
    <n v="1599"/>
    <x v="3"/>
    <n v="79"/>
    <n v="1520"/>
    <n v="623"/>
    <x v="0"/>
  </r>
  <r>
    <s v="Bharath"/>
    <x v="1"/>
    <x v="124"/>
    <x v="0"/>
    <x v="13"/>
    <x v="1"/>
    <x v="0"/>
    <x v="3"/>
    <n v="279"/>
    <n v="399"/>
    <x v="0"/>
    <n v="0"/>
    <n v="1596"/>
    <n v="480"/>
    <x v="0"/>
  </r>
  <r>
    <s v="Yeshwanth"/>
    <x v="1"/>
    <x v="11"/>
    <x v="3"/>
    <x v="3"/>
    <x v="1"/>
    <x v="1"/>
    <x v="1"/>
    <n v="973"/>
    <n v="1399"/>
    <x v="0"/>
    <n v="0"/>
    <n v="1399"/>
    <n v="426"/>
    <x v="1"/>
  </r>
  <r>
    <s v="Bharath"/>
    <x v="1"/>
    <x v="105"/>
    <x v="0"/>
    <x v="13"/>
    <x v="1"/>
    <x v="1"/>
    <x v="4"/>
    <n v="271"/>
    <n v="399"/>
    <x v="0"/>
    <n v="0"/>
    <n v="1995"/>
    <n v="640"/>
    <x v="0"/>
  </r>
  <r>
    <s v="Anudeep"/>
    <x v="1"/>
    <x v="139"/>
    <x v="4"/>
    <x v="12"/>
    <x v="0"/>
    <x v="0"/>
    <x v="0"/>
    <n v="946"/>
    <n v="1699"/>
    <x v="4"/>
    <n v="169"/>
    <n v="3060"/>
    <n v="1168"/>
    <x v="0"/>
  </r>
  <r>
    <s v="Chandrika"/>
    <x v="0"/>
    <x v="200"/>
    <x v="1"/>
    <x v="7"/>
    <x v="2"/>
    <x v="1"/>
    <x v="3"/>
    <n v="2759"/>
    <n v="4299"/>
    <x v="3"/>
    <n v="214"/>
    <n v="16340"/>
    <n v="5304"/>
    <x v="0"/>
  </r>
  <r>
    <s v="Aadhya"/>
    <x v="0"/>
    <x v="147"/>
    <x v="0"/>
    <x v="9"/>
    <x v="0"/>
    <x v="0"/>
    <x v="0"/>
    <n v="314"/>
    <n v="499"/>
    <x v="0"/>
    <n v="0"/>
    <n v="998"/>
    <n v="370"/>
    <x v="0"/>
  </r>
  <r>
    <s v="Uday"/>
    <x v="1"/>
    <x v="150"/>
    <x v="0"/>
    <x v="0"/>
    <x v="1"/>
    <x v="0"/>
    <x v="1"/>
    <n v="322"/>
    <n v="499"/>
    <x v="0"/>
    <n v="0"/>
    <n v="499"/>
    <n v="177"/>
    <x v="0"/>
  </r>
  <r>
    <s v="Aarav"/>
    <x v="1"/>
    <x v="137"/>
    <x v="4"/>
    <x v="12"/>
    <x v="0"/>
    <x v="1"/>
    <x v="4"/>
    <n v="1124"/>
    <n v="1599"/>
    <x v="3"/>
    <n v="79"/>
    <n v="7600"/>
    <n v="1980"/>
    <x v="0"/>
  </r>
  <r>
    <s v="Vikram"/>
    <x v="1"/>
    <x v="27"/>
    <x v="4"/>
    <x v="6"/>
    <x v="0"/>
    <x v="1"/>
    <x v="1"/>
    <n v="505"/>
    <n v="899"/>
    <x v="4"/>
    <n v="89"/>
    <n v="810"/>
    <n v="305"/>
    <x v="1"/>
  </r>
  <r>
    <s v="Arun"/>
    <x v="1"/>
    <x v="79"/>
    <x v="3"/>
    <x v="3"/>
    <x v="2"/>
    <x v="1"/>
    <x v="1"/>
    <n v="830"/>
    <n v="1399"/>
    <x v="0"/>
    <n v="0"/>
    <n v="1399"/>
    <n v="569"/>
    <x v="0"/>
  </r>
  <r>
    <s v="Vijay"/>
    <x v="1"/>
    <x v="125"/>
    <x v="1"/>
    <x v="1"/>
    <x v="2"/>
    <x v="0"/>
    <x v="4"/>
    <n v="670"/>
    <n v="899"/>
    <x v="4"/>
    <n v="89"/>
    <n v="4050"/>
    <n v="700"/>
    <x v="1"/>
  </r>
  <r>
    <s v="Swetha"/>
    <x v="0"/>
    <x v="99"/>
    <x v="4"/>
    <x v="5"/>
    <x v="0"/>
    <x v="1"/>
    <x v="0"/>
    <n v="959"/>
    <n v="1299"/>
    <x v="1"/>
    <n v="259"/>
    <n v="2080"/>
    <n v="162"/>
    <x v="0"/>
  </r>
  <r>
    <s v="Mallesh"/>
    <x v="1"/>
    <x v="64"/>
    <x v="0"/>
    <x v="11"/>
    <x v="2"/>
    <x v="1"/>
    <x v="1"/>
    <n v="594"/>
    <n v="799"/>
    <x v="0"/>
    <n v="0"/>
    <n v="799"/>
    <n v="205"/>
    <x v="0"/>
  </r>
  <r>
    <s v="Sanjeev"/>
    <x v="1"/>
    <x v="125"/>
    <x v="0"/>
    <x v="11"/>
    <x v="0"/>
    <x v="1"/>
    <x v="1"/>
    <n v="341"/>
    <n v="499"/>
    <x v="0"/>
    <n v="0"/>
    <n v="499"/>
    <n v="158"/>
    <x v="0"/>
  </r>
  <r>
    <s v="Rakesh"/>
    <x v="1"/>
    <x v="151"/>
    <x v="1"/>
    <x v="7"/>
    <x v="0"/>
    <x v="1"/>
    <x v="2"/>
    <n v="2044"/>
    <n v="2799"/>
    <x v="4"/>
    <n v="279"/>
    <n v="7560"/>
    <n v="1428"/>
    <x v="0"/>
  </r>
  <r>
    <s v="Vinay"/>
    <x v="1"/>
    <x v="155"/>
    <x v="3"/>
    <x v="14"/>
    <x v="0"/>
    <x v="0"/>
    <x v="4"/>
    <n v="1049"/>
    <n v="1499"/>
    <x v="0"/>
    <n v="0"/>
    <n v="7495"/>
    <n v="2250"/>
    <x v="1"/>
  </r>
  <r>
    <s v="Ananya"/>
    <x v="0"/>
    <x v="112"/>
    <x v="2"/>
    <x v="8"/>
    <x v="2"/>
    <x v="1"/>
    <x v="0"/>
    <n v="550"/>
    <n v="899"/>
    <x v="4"/>
    <n v="89"/>
    <n v="1620"/>
    <n v="520"/>
    <x v="0"/>
  </r>
  <r>
    <s v="Hema"/>
    <x v="0"/>
    <x v="11"/>
    <x v="4"/>
    <x v="10"/>
    <x v="0"/>
    <x v="1"/>
    <x v="4"/>
    <n v="788"/>
    <n v="1099"/>
    <x v="3"/>
    <n v="54"/>
    <n v="5225"/>
    <n v="1285"/>
    <x v="0"/>
  </r>
  <r>
    <s v="Aadhya"/>
    <x v="0"/>
    <x v="51"/>
    <x v="3"/>
    <x v="3"/>
    <x v="0"/>
    <x v="0"/>
    <x v="0"/>
    <n v="584"/>
    <n v="899"/>
    <x v="0"/>
    <n v="0"/>
    <n v="1798"/>
    <n v="630"/>
    <x v="1"/>
  </r>
  <r>
    <s v="Pravalika"/>
    <x v="0"/>
    <x v="70"/>
    <x v="1"/>
    <x v="1"/>
    <x v="2"/>
    <x v="0"/>
    <x v="1"/>
    <n v="961"/>
    <n v="1399"/>
    <x v="4"/>
    <n v="139"/>
    <n v="1260"/>
    <n v="299"/>
    <x v="0"/>
  </r>
  <r>
    <s v="Surya"/>
    <x v="1"/>
    <x v="68"/>
    <x v="1"/>
    <x v="7"/>
    <x v="0"/>
    <x v="1"/>
    <x v="1"/>
    <n v="1316"/>
    <n v="2199"/>
    <x v="3"/>
    <n v="109"/>
    <n v="2090"/>
    <n v="774"/>
    <x v="1"/>
  </r>
  <r>
    <s v="Pravalika"/>
    <x v="0"/>
    <x v="91"/>
    <x v="0"/>
    <x v="13"/>
    <x v="1"/>
    <x v="1"/>
    <x v="4"/>
    <n v="313"/>
    <n v="499"/>
    <x v="0"/>
    <n v="0"/>
    <n v="2495"/>
    <n v="930"/>
    <x v="0"/>
  </r>
  <r>
    <s v="Sai"/>
    <x v="1"/>
    <x v="4"/>
    <x v="3"/>
    <x v="14"/>
    <x v="0"/>
    <x v="0"/>
    <x v="1"/>
    <n v="556"/>
    <n v="799"/>
    <x v="0"/>
    <n v="0"/>
    <n v="799"/>
    <n v="243"/>
    <x v="0"/>
  </r>
  <r>
    <s v="Pravalika"/>
    <x v="0"/>
    <x v="128"/>
    <x v="2"/>
    <x v="8"/>
    <x v="0"/>
    <x v="1"/>
    <x v="1"/>
    <n v="580"/>
    <n v="899"/>
    <x v="4"/>
    <n v="89"/>
    <n v="810"/>
    <n v="230"/>
    <x v="0"/>
  </r>
  <r>
    <s v="Pranay"/>
    <x v="1"/>
    <x v="204"/>
    <x v="3"/>
    <x v="3"/>
    <x v="0"/>
    <x v="0"/>
    <x v="1"/>
    <n v="764"/>
    <n v="1499"/>
    <x v="0"/>
    <n v="0"/>
    <n v="1499"/>
    <n v="735"/>
    <x v="1"/>
  </r>
  <r>
    <s v=" Praveen"/>
    <x v="1"/>
    <x v="49"/>
    <x v="3"/>
    <x v="14"/>
    <x v="0"/>
    <x v="0"/>
    <x v="2"/>
    <n v="958"/>
    <n v="1499"/>
    <x v="0"/>
    <n v="0"/>
    <n v="4497"/>
    <n v="1623"/>
    <x v="0"/>
  </r>
  <r>
    <s v="Pranay"/>
    <x v="1"/>
    <x v="33"/>
    <x v="4"/>
    <x v="15"/>
    <x v="2"/>
    <x v="0"/>
    <x v="1"/>
    <n v="2612"/>
    <n v="3799"/>
    <x v="1"/>
    <n v="759"/>
    <n v="3040"/>
    <n v="428"/>
    <x v="1"/>
  </r>
  <r>
    <s v="Bharath"/>
    <x v="1"/>
    <x v="134"/>
    <x v="2"/>
    <x v="2"/>
    <x v="0"/>
    <x v="0"/>
    <x v="0"/>
    <n v="286"/>
    <n v="499"/>
    <x v="2"/>
    <n v="74"/>
    <n v="850"/>
    <n v="278"/>
    <x v="0"/>
  </r>
  <r>
    <s v="Nandhini"/>
    <x v="0"/>
    <x v="72"/>
    <x v="0"/>
    <x v="0"/>
    <x v="1"/>
    <x v="1"/>
    <x v="1"/>
    <n v="298"/>
    <n v="499"/>
    <x v="0"/>
    <n v="0"/>
    <n v="499"/>
    <n v="201"/>
    <x v="0"/>
  </r>
  <r>
    <s v="Swapna"/>
    <x v="0"/>
    <x v="157"/>
    <x v="4"/>
    <x v="15"/>
    <x v="2"/>
    <x v="0"/>
    <x v="2"/>
    <n v="1781"/>
    <n v="2699"/>
    <x v="3"/>
    <n v="134"/>
    <n v="7695"/>
    <n v="2352"/>
    <x v="0"/>
  </r>
  <r>
    <s v="Lassya"/>
    <x v="0"/>
    <x v="49"/>
    <x v="3"/>
    <x v="14"/>
    <x v="0"/>
    <x v="1"/>
    <x v="1"/>
    <n v="562"/>
    <n v="799"/>
    <x v="0"/>
    <n v="0"/>
    <n v="799"/>
    <n v="237"/>
    <x v="0"/>
  </r>
  <r>
    <s v="Swapna"/>
    <x v="0"/>
    <x v="119"/>
    <x v="1"/>
    <x v="7"/>
    <x v="2"/>
    <x v="0"/>
    <x v="2"/>
    <n v="2483"/>
    <n v="4399"/>
    <x v="1"/>
    <n v="879"/>
    <n v="10560"/>
    <n v="3111"/>
    <x v="1"/>
  </r>
  <r>
    <s v="Koushika"/>
    <x v="0"/>
    <x v="195"/>
    <x v="1"/>
    <x v="1"/>
    <x v="2"/>
    <x v="0"/>
    <x v="1"/>
    <n v="1057"/>
    <n v="1599"/>
    <x v="3"/>
    <n v="79"/>
    <n v="1520"/>
    <n v="463"/>
    <x v="0"/>
  </r>
  <r>
    <s v="Gayatri"/>
    <x v="0"/>
    <x v="198"/>
    <x v="2"/>
    <x v="2"/>
    <x v="0"/>
    <x v="1"/>
    <x v="0"/>
    <n v="422"/>
    <n v="799"/>
    <x v="2"/>
    <n v="119"/>
    <n v="1360"/>
    <n v="516"/>
    <x v="0"/>
  </r>
  <r>
    <s v="Pranay"/>
    <x v="1"/>
    <x v="58"/>
    <x v="1"/>
    <x v="7"/>
    <x v="0"/>
    <x v="0"/>
    <x v="1"/>
    <n v="1898"/>
    <n v="3399"/>
    <x v="4"/>
    <n v="339"/>
    <n v="3060"/>
    <n v="1162"/>
    <x v="1"/>
  </r>
  <r>
    <s v="Hema"/>
    <x v="0"/>
    <x v="76"/>
    <x v="0"/>
    <x v="11"/>
    <x v="1"/>
    <x v="1"/>
    <x v="0"/>
    <n v="403"/>
    <n v="799"/>
    <x v="0"/>
    <n v="0"/>
    <n v="1598"/>
    <n v="792"/>
    <x v="0"/>
  </r>
  <r>
    <s v="Devi Sree"/>
    <x v="0"/>
    <x v="14"/>
    <x v="3"/>
    <x v="14"/>
    <x v="0"/>
    <x v="0"/>
    <x v="2"/>
    <n v="660"/>
    <n v="999"/>
    <x v="0"/>
    <n v="0"/>
    <n v="2997"/>
    <n v="1017"/>
    <x v="0"/>
  </r>
  <r>
    <s v="Vijay"/>
    <x v="1"/>
    <x v="52"/>
    <x v="1"/>
    <x v="1"/>
    <x v="2"/>
    <x v="1"/>
    <x v="0"/>
    <n v="911"/>
    <n v="1299"/>
    <x v="3"/>
    <n v="64"/>
    <n v="2470"/>
    <n v="648"/>
    <x v="0"/>
  </r>
  <r>
    <s v="Bharath"/>
    <x v="1"/>
    <x v="101"/>
    <x v="3"/>
    <x v="14"/>
    <x v="1"/>
    <x v="1"/>
    <x v="4"/>
    <n v="407"/>
    <n v="699"/>
    <x v="0"/>
    <n v="0"/>
    <n v="3495"/>
    <n v="1460"/>
    <x v="0"/>
  </r>
  <r>
    <s v="Sai Deep"/>
    <x v="1"/>
    <x v="10"/>
    <x v="2"/>
    <x v="8"/>
    <x v="1"/>
    <x v="1"/>
    <x v="1"/>
    <n v="408"/>
    <n v="699"/>
    <x v="4"/>
    <n v="69"/>
    <n v="630"/>
    <n v="222"/>
    <x v="0"/>
  </r>
  <r>
    <s v="Anudeep"/>
    <x v="1"/>
    <x v="135"/>
    <x v="2"/>
    <x v="2"/>
    <x v="2"/>
    <x v="1"/>
    <x v="1"/>
    <n v="458"/>
    <n v="699"/>
    <x v="3"/>
    <n v="34"/>
    <n v="665"/>
    <n v="207"/>
    <x v="0"/>
  </r>
  <r>
    <s v="Koushika"/>
    <x v="0"/>
    <x v="30"/>
    <x v="3"/>
    <x v="14"/>
    <x v="2"/>
    <x v="1"/>
    <x v="1"/>
    <n v="985"/>
    <n v="1499"/>
    <x v="0"/>
    <n v="0"/>
    <n v="1499"/>
    <n v="514"/>
    <x v="0"/>
  </r>
  <r>
    <s v="Aarav"/>
    <x v="1"/>
    <x v="99"/>
    <x v="0"/>
    <x v="9"/>
    <x v="2"/>
    <x v="0"/>
    <x v="1"/>
    <n v="175"/>
    <n v="299"/>
    <x v="0"/>
    <n v="0"/>
    <n v="299"/>
    <n v="124"/>
    <x v="0"/>
  </r>
  <r>
    <s v="Srujan"/>
    <x v="1"/>
    <x v="39"/>
    <x v="1"/>
    <x v="1"/>
    <x v="2"/>
    <x v="0"/>
    <x v="0"/>
    <n v="688"/>
    <n v="1299"/>
    <x v="3"/>
    <n v="64"/>
    <n v="2470"/>
    <n v="1094"/>
    <x v="0"/>
  </r>
  <r>
    <s v="Sneha"/>
    <x v="0"/>
    <x v="159"/>
    <x v="1"/>
    <x v="7"/>
    <x v="1"/>
    <x v="0"/>
    <x v="3"/>
    <n v="1403"/>
    <n v="2599"/>
    <x v="2"/>
    <n v="389"/>
    <n v="8840"/>
    <n v="3228"/>
    <x v="0"/>
  </r>
  <r>
    <s v="Pranay"/>
    <x v="1"/>
    <x v="207"/>
    <x v="0"/>
    <x v="0"/>
    <x v="2"/>
    <x v="1"/>
    <x v="0"/>
    <n v="334"/>
    <n v="599"/>
    <x v="0"/>
    <n v="0"/>
    <n v="1198"/>
    <n v="530"/>
    <x v="0"/>
  </r>
  <r>
    <s v="Uday"/>
    <x v="1"/>
    <x v="152"/>
    <x v="1"/>
    <x v="7"/>
    <x v="2"/>
    <x v="0"/>
    <x v="0"/>
    <n v="1372"/>
    <n v="2499"/>
    <x v="1"/>
    <n v="499"/>
    <n v="4000"/>
    <n v="1256"/>
    <x v="1"/>
  </r>
  <r>
    <s v="Manoj"/>
    <x v="1"/>
    <x v="74"/>
    <x v="1"/>
    <x v="7"/>
    <x v="1"/>
    <x v="0"/>
    <x v="1"/>
    <n v="2882"/>
    <n v="4799"/>
    <x v="2"/>
    <n v="719"/>
    <n v="4080"/>
    <n v="1198"/>
    <x v="0"/>
  </r>
  <r>
    <s v="Arjun"/>
    <x v="1"/>
    <x v="89"/>
    <x v="2"/>
    <x v="2"/>
    <x v="1"/>
    <x v="0"/>
    <x v="1"/>
    <n v="254"/>
    <n v="499"/>
    <x v="4"/>
    <n v="49"/>
    <n v="450"/>
    <n v="196"/>
    <x v="1"/>
  </r>
  <r>
    <s v="Neha"/>
    <x v="0"/>
    <x v="164"/>
    <x v="2"/>
    <x v="8"/>
    <x v="1"/>
    <x v="0"/>
    <x v="3"/>
    <n v="733"/>
    <n v="999"/>
    <x v="1"/>
    <n v="199"/>
    <n v="3200"/>
    <n v="268"/>
    <x v="0"/>
  </r>
  <r>
    <s v="Thanuja"/>
    <x v="0"/>
    <x v="55"/>
    <x v="2"/>
    <x v="8"/>
    <x v="2"/>
    <x v="1"/>
    <x v="2"/>
    <n v="659"/>
    <n v="999"/>
    <x v="1"/>
    <n v="199"/>
    <n v="2400"/>
    <n v="423"/>
    <x v="0"/>
  </r>
  <r>
    <s v="Swapna"/>
    <x v="0"/>
    <x v="155"/>
    <x v="3"/>
    <x v="3"/>
    <x v="0"/>
    <x v="1"/>
    <x v="0"/>
    <n v="996"/>
    <n v="1399"/>
    <x v="0"/>
    <n v="0"/>
    <n v="2798"/>
    <n v="806"/>
    <x v="0"/>
  </r>
  <r>
    <s v="Sanjeev"/>
    <x v="1"/>
    <x v="71"/>
    <x v="3"/>
    <x v="14"/>
    <x v="1"/>
    <x v="1"/>
    <x v="1"/>
    <n v="445"/>
    <n v="699"/>
    <x v="0"/>
    <n v="0"/>
    <n v="699"/>
    <n v="254"/>
    <x v="1"/>
  </r>
  <r>
    <s v="Pooja"/>
    <x v="0"/>
    <x v="209"/>
    <x v="1"/>
    <x v="1"/>
    <x v="1"/>
    <x v="0"/>
    <x v="1"/>
    <n v="513"/>
    <n v="999"/>
    <x v="1"/>
    <n v="199"/>
    <n v="800"/>
    <n v="287"/>
    <x v="1"/>
  </r>
  <r>
    <s v="Yeshwanth"/>
    <x v="1"/>
    <x v="196"/>
    <x v="4"/>
    <x v="10"/>
    <x v="2"/>
    <x v="1"/>
    <x v="0"/>
    <n v="738"/>
    <n v="999"/>
    <x v="2"/>
    <n v="149"/>
    <n v="1700"/>
    <n v="224"/>
    <x v="0"/>
  </r>
  <r>
    <s v="Mallesh"/>
    <x v="1"/>
    <x v="15"/>
    <x v="4"/>
    <x v="12"/>
    <x v="1"/>
    <x v="1"/>
    <x v="4"/>
    <n v="1353"/>
    <n v="2199"/>
    <x v="3"/>
    <n v="109"/>
    <n v="10450"/>
    <n v="3685"/>
    <x v="1"/>
  </r>
  <r>
    <s v="Swetha"/>
    <x v="0"/>
    <x v="71"/>
    <x v="0"/>
    <x v="0"/>
    <x v="2"/>
    <x v="1"/>
    <x v="0"/>
    <n v="272"/>
    <n v="399"/>
    <x v="0"/>
    <n v="0"/>
    <n v="798"/>
    <n v="254"/>
    <x v="0"/>
  </r>
  <r>
    <s v="Uday"/>
    <x v="1"/>
    <x v="36"/>
    <x v="4"/>
    <x v="12"/>
    <x v="2"/>
    <x v="0"/>
    <x v="0"/>
    <n v="1816"/>
    <n v="2499"/>
    <x v="1"/>
    <n v="499"/>
    <n v="4000"/>
    <n v="368"/>
    <x v="0"/>
  </r>
  <r>
    <s v="Kalyan"/>
    <x v="1"/>
    <x v="125"/>
    <x v="3"/>
    <x v="3"/>
    <x v="1"/>
    <x v="1"/>
    <x v="1"/>
    <n v="776"/>
    <n v="1199"/>
    <x v="0"/>
    <n v="0"/>
    <n v="1199"/>
    <n v="423"/>
    <x v="1"/>
  </r>
  <r>
    <s v="Devi"/>
    <x v="0"/>
    <x v="148"/>
    <x v="3"/>
    <x v="3"/>
    <x v="1"/>
    <x v="1"/>
    <x v="0"/>
    <n v="575"/>
    <n v="899"/>
    <x v="0"/>
    <n v="0"/>
    <n v="1798"/>
    <n v="648"/>
    <x v="0"/>
  </r>
  <r>
    <s v="Devi"/>
    <x v="0"/>
    <x v="104"/>
    <x v="4"/>
    <x v="5"/>
    <x v="0"/>
    <x v="0"/>
    <x v="1"/>
    <n v="714"/>
    <n v="1199"/>
    <x v="2"/>
    <n v="179"/>
    <n v="1020"/>
    <n v="306"/>
    <x v="0"/>
  </r>
  <r>
    <s v="Surya"/>
    <x v="1"/>
    <x v="196"/>
    <x v="1"/>
    <x v="1"/>
    <x v="1"/>
    <x v="1"/>
    <x v="1"/>
    <n v="870"/>
    <n v="1199"/>
    <x v="2"/>
    <n v="179"/>
    <n v="1020"/>
    <n v="150"/>
    <x v="0"/>
  </r>
  <r>
    <s v="Thanuja"/>
    <x v="0"/>
    <x v="76"/>
    <x v="2"/>
    <x v="2"/>
    <x v="0"/>
    <x v="1"/>
    <x v="1"/>
    <n v="507"/>
    <n v="699"/>
    <x v="1"/>
    <n v="139"/>
    <n v="560"/>
    <n v="53"/>
    <x v="1"/>
  </r>
  <r>
    <s v="Rohan"/>
    <x v="1"/>
    <x v="132"/>
    <x v="1"/>
    <x v="7"/>
    <x v="0"/>
    <x v="1"/>
    <x v="3"/>
    <n v="2097"/>
    <n v="3399"/>
    <x v="4"/>
    <n v="339"/>
    <n v="12240"/>
    <n v="3852"/>
    <x v="1"/>
  </r>
  <r>
    <s v="Manoj"/>
    <x v="1"/>
    <x v="173"/>
    <x v="1"/>
    <x v="7"/>
    <x v="0"/>
    <x v="1"/>
    <x v="4"/>
    <n v="1845"/>
    <n v="3199"/>
    <x v="1"/>
    <n v="639"/>
    <n v="12800"/>
    <n v="3575"/>
    <x v="0"/>
  </r>
  <r>
    <s v="Mallesh"/>
    <x v="1"/>
    <x v="110"/>
    <x v="4"/>
    <x v="4"/>
    <x v="0"/>
    <x v="1"/>
    <x v="0"/>
    <n v="251"/>
    <n v="399"/>
    <x v="2"/>
    <n v="59"/>
    <n v="680"/>
    <n v="178"/>
    <x v="0"/>
  </r>
  <r>
    <s v="Mallesh"/>
    <x v="1"/>
    <x v="154"/>
    <x v="2"/>
    <x v="8"/>
    <x v="1"/>
    <x v="0"/>
    <x v="0"/>
    <n v="1338"/>
    <n v="2199"/>
    <x v="2"/>
    <n v="329"/>
    <n v="3740"/>
    <n v="1064"/>
    <x v="0"/>
  </r>
  <r>
    <s v="Rahul"/>
    <x v="1"/>
    <x v="177"/>
    <x v="4"/>
    <x v="5"/>
    <x v="2"/>
    <x v="0"/>
    <x v="1"/>
    <n v="939"/>
    <n v="1299"/>
    <x v="1"/>
    <n v="259"/>
    <n v="1040"/>
    <n v="101"/>
    <x v="0"/>
  </r>
  <r>
    <s v="Vijay"/>
    <x v="1"/>
    <x v="93"/>
    <x v="3"/>
    <x v="3"/>
    <x v="1"/>
    <x v="1"/>
    <x v="1"/>
    <n v="508"/>
    <n v="899"/>
    <x v="0"/>
    <n v="0"/>
    <n v="899"/>
    <n v="391"/>
    <x v="0"/>
  </r>
  <r>
    <s v="Neha"/>
    <x v="0"/>
    <x v="89"/>
    <x v="4"/>
    <x v="4"/>
    <x v="0"/>
    <x v="1"/>
    <x v="4"/>
    <n v="351"/>
    <n v="499"/>
    <x v="2"/>
    <n v="74"/>
    <n v="2125"/>
    <n v="370"/>
    <x v="0"/>
  </r>
  <r>
    <s v="Sai"/>
    <x v="1"/>
    <x v="188"/>
    <x v="3"/>
    <x v="14"/>
    <x v="2"/>
    <x v="1"/>
    <x v="2"/>
    <n v="616"/>
    <n v="999"/>
    <x v="0"/>
    <n v="0"/>
    <n v="2997"/>
    <n v="1149"/>
    <x v="0"/>
  </r>
  <r>
    <s v="Pravalika"/>
    <x v="0"/>
    <x v="139"/>
    <x v="1"/>
    <x v="1"/>
    <x v="1"/>
    <x v="1"/>
    <x v="1"/>
    <n v="1085"/>
    <n v="1899"/>
    <x v="1"/>
    <n v="379"/>
    <n v="1520"/>
    <n v="435"/>
    <x v="1"/>
  </r>
  <r>
    <s v="Neha"/>
    <x v="0"/>
    <x v="137"/>
    <x v="4"/>
    <x v="10"/>
    <x v="1"/>
    <x v="0"/>
    <x v="0"/>
    <n v="567"/>
    <n v="899"/>
    <x v="4"/>
    <n v="89"/>
    <n v="1620"/>
    <n v="486"/>
    <x v="0"/>
  </r>
  <r>
    <s v="Srujan"/>
    <x v="1"/>
    <x v="67"/>
    <x v="3"/>
    <x v="14"/>
    <x v="0"/>
    <x v="1"/>
    <x v="1"/>
    <n v="1018"/>
    <n v="1499"/>
    <x v="0"/>
    <n v="0"/>
    <n v="1499"/>
    <n v="481"/>
    <x v="0"/>
  </r>
  <r>
    <s v="Saanvi"/>
    <x v="0"/>
    <x v="128"/>
    <x v="3"/>
    <x v="14"/>
    <x v="2"/>
    <x v="1"/>
    <x v="2"/>
    <n v="409"/>
    <n v="699"/>
    <x v="0"/>
    <n v="0"/>
    <n v="2097"/>
    <n v="870"/>
    <x v="0"/>
  </r>
  <r>
    <s v="Neha"/>
    <x v="0"/>
    <x v="177"/>
    <x v="1"/>
    <x v="7"/>
    <x v="1"/>
    <x v="0"/>
    <x v="3"/>
    <n v="3014"/>
    <n v="4799"/>
    <x v="2"/>
    <n v="719"/>
    <n v="16320"/>
    <n v="4264"/>
    <x v="0"/>
  </r>
  <r>
    <s v="Deepak"/>
    <x v="1"/>
    <x v="78"/>
    <x v="4"/>
    <x v="10"/>
    <x v="0"/>
    <x v="1"/>
    <x v="1"/>
    <n v="453"/>
    <n v="899"/>
    <x v="3"/>
    <n v="44"/>
    <n v="855"/>
    <n v="402"/>
    <x v="0"/>
  </r>
  <r>
    <s v="Rakesh"/>
    <x v="1"/>
    <x v="94"/>
    <x v="3"/>
    <x v="14"/>
    <x v="2"/>
    <x v="1"/>
    <x v="4"/>
    <n v="799"/>
    <n v="1199"/>
    <x v="0"/>
    <n v="0"/>
    <n v="5995"/>
    <n v="2000"/>
    <x v="0"/>
  </r>
  <r>
    <s v="Kavya"/>
    <x v="0"/>
    <x v="131"/>
    <x v="1"/>
    <x v="1"/>
    <x v="1"/>
    <x v="1"/>
    <x v="0"/>
    <n v="1029"/>
    <n v="1699"/>
    <x v="4"/>
    <n v="169"/>
    <n v="3060"/>
    <n v="1002"/>
    <x v="0"/>
  </r>
  <r>
    <s v="Vijay"/>
    <x v="1"/>
    <x v="27"/>
    <x v="0"/>
    <x v="9"/>
    <x v="1"/>
    <x v="1"/>
    <x v="1"/>
    <n v="195"/>
    <n v="299"/>
    <x v="0"/>
    <n v="0"/>
    <n v="299"/>
    <n v="104"/>
    <x v="1"/>
  </r>
  <r>
    <s v="Devi"/>
    <x v="0"/>
    <x v="50"/>
    <x v="2"/>
    <x v="8"/>
    <x v="2"/>
    <x v="0"/>
    <x v="2"/>
    <n v="461"/>
    <n v="699"/>
    <x v="3"/>
    <n v="34"/>
    <n v="1995"/>
    <n v="612"/>
    <x v="0"/>
  </r>
  <r>
    <s v="Sai Deep"/>
    <x v="1"/>
    <x v="5"/>
    <x v="4"/>
    <x v="4"/>
    <x v="0"/>
    <x v="0"/>
    <x v="1"/>
    <n v="303"/>
    <n v="599"/>
    <x v="3"/>
    <n v="29"/>
    <n v="570"/>
    <n v="267"/>
    <x v="0"/>
  </r>
  <r>
    <s v="Shivani"/>
    <x v="0"/>
    <x v="142"/>
    <x v="3"/>
    <x v="14"/>
    <x v="1"/>
    <x v="0"/>
    <x v="4"/>
    <n v="753"/>
    <n v="1199"/>
    <x v="0"/>
    <n v="0"/>
    <n v="5995"/>
    <n v="2230"/>
    <x v="0"/>
  </r>
  <r>
    <s v="Rakesh"/>
    <x v="1"/>
    <x v="85"/>
    <x v="1"/>
    <x v="7"/>
    <x v="0"/>
    <x v="0"/>
    <x v="3"/>
    <n v="1219"/>
    <n v="1999"/>
    <x v="3"/>
    <n v="99"/>
    <n v="7600"/>
    <n v="2724"/>
    <x v="0"/>
  </r>
  <r>
    <s v="Rakesh"/>
    <x v="1"/>
    <x v="99"/>
    <x v="0"/>
    <x v="9"/>
    <x v="2"/>
    <x v="0"/>
    <x v="1"/>
    <n v="306"/>
    <n v="599"/>
    <x v="0"/>
    <n v="0"/>
    <n v="599"/>
    <n v="293"/>
    <x v="0"/>
  </r>
  <r>
    <s v="Swapna"/>
    <x v="0"/>
    <x v="71"/>
    <x v="1"/>
    <x v="7"/>
    <x v="2"/>
    <x v="0"/>
    <x v="1"/>
    <n v="1668"/>
    <n v="2299"/>
    <x v="4"/>
    <n v="229"/>
    <n v="2070"/>
    <n v="402"/>
    <x v="0"/>
  </r>
  <r>
    <s v="Viraj"/>
    <x v="1"/>
    <x v="140"/>
    <x v="1"/>
    <x v="7"/>
    <x v="1"/>
    <x v="1"/>
    <x v="2"/>
    <n v="2109"/>
    <n v="3799"/>
    <x v="1"/>
    <n v="759"/>
    <n v="9120"/>
    <n v="2793"/>
    <x v="1"/>
  </r>
  <r>
    <s v="Harsha"/>
    <x v="1"/>
    <x v="101"/>
    <x v="2"/>
    <x v="8"/>
    <x v="1"/>
    <x v="1"/>
    <x v="1"/>
    <n v="1380"/>
    <n v="1899"/>
    <x v="3"/>
    <n v="94"/>
    <n v="1805"/>
    <n v="425"/>
    <x v="1"/>
  </r>
  <r>
    <s v="Srinivas"/>
    <x v="1"/>
    <x v="67"/>
    <x v="3"/>
    <x v="14"/>
    <x v="2"/>
    <x v="1"/>
    <x v="2"/>
    <n v="577"/>
    <n v="999"/>
    <x v="0"/>
    <n v="0"/>
    <n v="2997"/>
    <n v="1266"/>
    <x v="0"/>
  </r>
  <r>
    <s v="Karthik"/>
    <x v="1"/>
    <x v="16"/>
    <x v="2"/>
    <x v="2"/>
    <x v="2"/>
    <x v="0"/>
    <x v="0"/>
    <n v="590"/>
    <n v="799"/>
    <x v="1"/>
    <n v="159"/>
    <n v="1280"/>
    <n v="100"/>
    <x v="1"/>
  </r>
  <r>
    <s v="Arjun"/>
    <x v="1"/>
    <x v="182"/>
    <x v="1"/>
    <x v="1"/>
    <x v="2"/>
    <x v="0"/>
    <x v="0"/>
    <n v="1527"/>
    <n v="2199"/>
    <x v="3"/>
    <n v="109"/>
    <n v="4180"/>
    <n v="1126"/>
    <x v="0"/>
  </r>
  <r>
    <s v="Sanjeev"/>
    <x v="1"/>
    <x v="32"/>
    <x v="1"/>
    <x v="7"/>
    <x v="2"/>
    <x v="0"/>
    <x v="1"/>
    <n v="1344"/>
    <n v="2399"/>
    <x v="1"/>
    <n v="479"/>
    <n v="1920"/>
    <n v="576"/>
    <x v="0"/>
  </r>
  <r>
    <s v="Siri"/>
    <x v="0"/>
    <x v="206"/>
    <x v="2"/>
    <x v="2"/>
    <x v="2"/>
    <x v="0"/>
    <x v="0"/>
    <n v="328"/>
    <n v="599"/>
    <x v="3"/>
    <n v="29"/>
    <n v="1140"/>
    <n v="484"/>
    <x v="0"/>
  </r>
  <r>
    <s v="Thanuja"/>
    <x v="0"/>
    <x v="150"/>
    <x v="0"/>
    <x v="9"/>
    <x v="0"/>
    <x v="0"/>
    <x v="0"/>
    <n v="272"/>
    <n v="399"/>
    <x v="0"/>
    <n v="0"/>
    <n v="798"/>
    <n v="254"/>
    <x v="0"/>
  </r>
  <r>
    <s v="Sai"/>
    <x v="1"/>
    <x v="118"/>
    <x v="4"/>
    <x v="12"/>
    <x v="2"/>
    <x v="0"/>
    <x v="1"/>
    <n v="812"/>
    <n v="1199"/>
    <x v="2"/>
    <n v="179"/>
    <n v="1020"/>
    <n v="208"/>
    <x v="0"/>
  </r>
  <r>
    <s v="Vinay"/>
    <x v="1"/>
    <x v="86"/>
    <x v="2"/>
    <x v="2"/>
    <x v="1"/>
    <x v="0"/>
    <x v="1"/>
    <n v="445"/>
    <n v="599"/>
    <x v="4"/>
    <n v="59"/>
    <n v="540"/>
    <n v="95"/>
    <x v="0"/>
  </r>
  <r>
    <s v="Swapna"/>
    <x v="0"/>
    <x v="199"/>
    <x v="4"/>
    <x v="5"/>
    <x v="1"/>
    <x v="1"/>
    <x v="2"/>
    <n v="774"/>
    <n v="1199"/>
    <x v="2"/>
    <n v="179"/>
    <n v="3060"/>
    <n v="738"/>
    <x v="0"/>
  </r>
  <r>
    <s v="Swathi"/>
    <x v="0"/>
    <x v="88"/>
    <x v="2"/>
    <x v="2"/>
    <x v="2"/>
    <x v="0"/>
    <x v="0"/>
    <n v="327"/>
    <n v="599"/>
    <x v="4"/>
    <n v="59"/>
    <n v="1080"/>
    <n v="426"/>
    <x v="1"/>
  </r>
  <r>
    <s v="Vasanth"/>
    <x v="1"/>
    <x v="61"/>
    <x v="0"/>
    <x v="9"/>
    <x v="2"/>
    <x v="0"/>
    <x v="0"/>
    <n v="382"/>
    <n v="599"/>
    <x v="0"/>
    <n v="0"/>
    <n v="1198"/>
    <n v="434"/>
    <x v="1"/>
  </r>
  <r>
    <s v="Devi"/>
    <x v="0"/>
    <x v="210"/>
    <x v="3"/>
    <x v="14"/>
    <x v="1"/>
    <x v="1"/>
    <x v="1"/>
    <n v="354"/>
    <n v="699"/>
    <x v="0"/>
    <n v="0"/>
    <n v="699"/>
    <n v="345"/>
    <x v="1"/>
  </r>
  <r>
    <s v="Tejas"/>
    <x v="1"/>
    <x v="115"/>
    <x v="0"/>
    <x v="9"/>
    <x v="2"/>
    <x v="0"/>
    <x v="1"/>
    <n v="280"/>
    <n v="399"/>
    <x v="0"/>
    <n v="0"/>
    <n v="399"/>
    <n v="119"/>
    <x v="1"/>
  </r>
  <r>
    <s v="Manoj"/>
    <x v="1"/>
    <x v="178"/>
    <x v="2"/>
    <x v="8"/>
    <x v="0"/>
    <x v="1"/>
    <x v="2"/>
    <n v="1081"/>
    <n v="1899"/>
    <x v="3"/>
    <n v="94"/>
    <n v="5415"/>
    <n v="2172"/>
    <x v="0"/>
  </r>
  <r>
    <s v="Aarav"/>
    <x v="1"/>
    <x v="68"/>
    <x v="4"/>
    <x v="10"/>
    <x v="1"/>
    <x v="0"/>
    <x v="0"/>
    <n v="676"/>
    <n v="999"/>
    <x v="2"/>
    <n v="149"/>
    <n v="1700"/>
    <n v="348"/>
    <x v="1"/>
  </r>
  <r>
    <s v="Isha"/>
    <x v="0"/>
    <x v="195"/>
    <x v="1"/>
    <x v="1"/>
    <x v="0"/>
    <x v="0"/>
    <x v="4"/>
    <n v="1139"/>
    <n v="1799"/>
    <x v="2"/>
    <n v="269"/>
    <n v="7650"/>
    <n v="1955"/>
    <x v="1"/>
  </r>
  <r>
    <s v="Arjun"/>
    <x v="1"/>
    <x v="148"/>
    <x v="2"/>
    <x v="8"/>
    <x v="2"/>
    <x v="0"/>
    <x v="1"/>
    <n v="1201"/>
    <n v="1899"/>
    <x v="3"/>
    <n v="94"/>
    <n v="1805"/>
    <n v="604"/>
    <x v="0"/>
  </r>
  <r>
    <s v="Surya"/>
    <x v="1"/>
    <x v="5"/>
    <x v="3"/>
    <x v="14"/>
    <x v="2"/>
    <x v="0"/>
    <x v="1"/>
    <n v="1008"/>
    <n v="1499"/>
    <x v="0"/>
    <n v="0"/>
    <n v="1499"/>
    <n v="491"/>
    <x v="0"/>
  </r>
  <r>
    <s v="Gayatri"/>
    <x v="0"/>
    <x v="9"/>
    <x v="3"/>
    <x v="3"/>
    <x v="2"/>
    <x v="1"/>
    <x v="1"/>
    <n v="757"/>
    <n v="1499"/>
    <x v="0"/>
    <n v="0"/>
    <n v="1499"/>
    <n v="742"/>
    <x v="0"/>
  </r>
  <r>
    <s v="Vijay"/>
    <x v="1"/>
    <x v="132"/>
    <x v="1"/>
    <x v="7"/>
    <x v="0"/>
    <x v="1"/>
    <x v="1"/>
    <n v="1802"/>
    <n v="3199"/>
    <x v="3"/>
    <n v="159"/>
    <n v="3040"/>
    <n v="1238"/>
    <x v="1"/>
  </r>
  <r>
    <s v="Rohan"/>
    <x v="1"/>
    <x v="110"/>
    <x v="1"/>
    <x v="1"/>
    <x v="2"/>
    <x v="0"/>
    <x v="3"/>
    <n v="1466"/>
    <n v="2299"/>
    <x v="4"/>
    <n v="229"/>
    <n v="8280"/>
    <n v="2416"/>
    <x v="1"/>
  </r>
  <r>
    <s v="Rohan"/>
    <x v="1"/>
    <x v="82"/>
    <x v="2"/>
    <x v="8"/>
    <x v="1"/>
    <x v="1"/>
    <x v="4"/>
    <n v="1578"/>
    <n v="2299"/>
    <x v="1"/>
    <n v="459"/>
    <n v="9200"/>
    <n v="1310"/>
    <x v="0"/>
  </r>
  <r>
    <s v="Reavanth"/>
    <x v="1"/>
    <x v="85"/>
    <x v="0"/>
    <x v="13"/>
    <x v="0"/>
    <x v="1"/>
    <x v="1"/>
    <n v="201"/>
    <n v="399"/>
    <x v="0"/>
    <n v="0"/>
    <n v="399"/>
    <n v="198"/>
    <x v="0"/>
  </r>
  <r>
    <s v="Rohan"/>
    <x v="1"/>
    <x v="128"/>
    <x v="2"/>
    <x v="2"/>
    <x v="2"/>
    <x v="0"/>
    <x v="1"/>
    <n v="308"/>
    <n v="499"/>
    <x v="4"/>
    <n v="49"/>
    <n v="450"/>
    <n v="142"/>
    <x v="0"/>
  </r>
  <r>
    <s v="Rohan"/>
    <x v="1"/>
    <x v="152"/>
    <x v="4"/>
    <x v="10"/>
    <x v="1"/>
    <x v="1"/>
    <x v="0"/>
    <n v="566"/>
    <n v="999"/>
    <x v="1"/>
    <n v="199"/>
    <n v="1600"/>
    <n v="468"/>
    <x v="0"/>
  </r>
  <r>
    <s v="Nandhini"/>
    <x v="0"/>
    <x v="158"/>
    <x v="4"/>
    <x v="12"/>
    <x v="2"/>
    <x v="1"/>
    <x v="1"/>
    <n v="864"/>
    <n v="1599"/>
    <x v="3"/>
    <n v="79"/>
    <n v="1520"/>
    <n v="656"/>
    <x v="0"/>
  </r>
  <r>
    <s v="Mallesh"/>
    <x v="1"/>
    <x v="35"/>
    <x v="0"/>
    <x v="13"/>
    <x v="1"/>
    <x v="0"/>
    <x v="1"/>
    <n v="287"/>
    <n v="499"/>
    <x v="0"/>
    <n v="0"/>
    <n v="499"/>
    <n v="212"/>
    <x v="1"/>
  </r>
  <r>
    <s v="Laxmi"/>
    <x v="0"/>
    <x v="153"/>
    <x v="0"/>
    <x v="0"/>
    <x v="2"/>
    <x v="0"/>
    <x v="1"/>
    <n v="277"/>
    <n v="399"/>
    <x v="0"/>
    <n v="0"/>
    <n v="399"/>
    <n v="122"/>
    <x v="0"/>
  </r>
  <r>
    <s v="Nandhini"/>
    <x v="0"/>
    <x v="2"/>
    <x v="3"/>
    <x v="3"/>
    <x v="2"/>
    <x v="1"/>
    <x v="0"/>
    <n v="519"/>
    <n v="999"/>
    <x v="0"/>
    <n v="0"/>
    <n v="1998"/>
    <n v="960"/>
    <x v="0"/>
  </r>
  <r>
    <s v="Arjun"/>
    <x v="1"/>
    <x v="39"/>
    <x v="4"/>
    <x v="5"/>
    <x v="1"/>
    <x v="1"/>
    <x v="0"/>
    <n v="598"/>
    <n v="799"/>
    <x v="3"/>
    <n v="39"/>
    <n v="1520"/>
    <n v="324"/>
    <x v="0"/>
  </r>
  <r>
    <s v="Gayatri"/>
    <x v="0"/>
    <x v="58"/>
    <x v="1"/>
    <x v="1"/>
    <x v="2"/>
    <x v="1"/>
    <x v="2"/>
    <n v="795"/>
    <n v="1199"/>
    <x v="2"/>
    <n v="179"/>
    <n v="3060"/>
    <n v="675"/>
    <x v="0"/>
  </r>
  <r>
    <s v="Shivani"/>
    <x v="0"/>
    <x v="171"/>
    <x v="0"/>
    <x v="9"/>
    <x v="2"/>
    <x v="0"/>
    <x v="0"/>
    <n v="319"/>
    <n v="599"/>
    <x v="0"/>
    <n v="0"/>
    <n v="1198"/>
    <n v="560"/>
    <x v="0"/>
  </r>
  <r>
    <s v="Saanvi"/>
    <x v="0"/>
    <x v="207"/>
    <x v="4"/>
    <x v="12"/>
    <x v="2"/>
    <x v="0"/>
    <x v="1"/>
    <n v="1731"/>
    <n v="2499"/>
    <x v="1"/>
    <n v="499"/>
    <n v="2000"/>
    <n v="269"/>
    <x v="0"/>
  </r>
  <r>
    <s v=" Praveen"/>
    <x v="1"/>
    <x v="78"/>
    <x v="1"/>
    <x v="7"/>
    <x v="2"/>
    <x v="1"/>
    <x v="3"/>
    <n v="3149"/>
    <n v="4299"/>
    <x v="3"/>
    <n v="214"/>
    <n v="16340"/>
    <n v="3744"/>
    <x v="0"/>
  </r>
  <r>
    <s v="Sai"/>
    <x v="1"/>
    <x v="202"/>
    <x v="4"/>
    <x v="10"/>
    <x v="0"/>
    <x v="1"/>
    <x v="2"/>
    <n v="935"/>
    <n v="1799"/>
    <x v="2"/>
    <n v="269"/>
    <n v="4590"/>
    <n v="1785"/>
    <x v="0"/>
  </r>
  <r>
    <s v="Kalyan"/>
    <x v="1"/>
    <x v="6"/>
    <x v="2"/>
    <x v="8"/>
    <x v="1"/>
    <x v="0"/>
    <x v="1"/>
    <n v="871"/>
    <n v="1399"/>
    <x v="4"/>
    <n v="139"/>
    <n v="1260"/>
    <n v="389"/>
    <x v="0"/>
  </r>
  <r>
    <s v="Srujan"/>
    <x v="1"/>
    <x v="161"/>
    <x v="2"/>
    <x v="2"/>
    <x v="1"/>
    <x v="0"/>
    <x v="1"/>
    <n v="291"/>
    <n v="499"/>
    <x v="1"/>
    <n v="99"/>
    <n v="400"/>
    <n v="109"/>
    <x v="0"/>
  </r>
  <r>
    <s v="Mallesh"/>
    <x v="1"/>
    <x v="109"/>
    <x v="1"/>
    <x v="7"/>
    <x v="1"/>
    <x v="1"/>
    <x v="0"/>
    <n v="1125"/>
    <n v="2199"/>
    <x v="4"/>
    <n v="219"/>
    <n v="3960"/>
    <n v="1710"/>
    <x v="1"/>
  </r>
  <r>
    <s v="Karthik"/>
    <x v="1"/>
    <x v="34"/>
    <x v="3"/>
    <x v="14"/>
    <x v="1"/>
    <x v="1"/>
    <x v="2"/>
    <n v="398"/>
    <n v="699"/>
    <x v="0"/>
    <n v="0"/>
    <n v="2097"/>
    <n v="903"/>
    <x v="0"/>
  </r>
  <r>
    <s v="Saanvi"/>
    <x v="0"/>
    <x v="107"/>
    <x v="0"/>
    <x v="13"/>
    <x v="2"/>
    <x v="1"/>
    <x v="3"/>
    <n v="239"/>
    <n v="399"/>
    <x v="0"/>
    <n v="0"/>
    <n v="1596"/>
    <n v="640"/>
    <x v="0"/>
  </r>
  <r>
    <s v="Mallesh"/>
    <x v="1"/>
    <x v="85"/>
    <x v="0"/>
    <x v="13"/>
    <x v="1"/>
    <x v="0"/>
    <x v="0"/>
    <n v="347"/>
    <n v="499"/>
    <x v="0"/>
    <n v="0"/>
    <n v="998"/>
    <n v="304"/>
    <x v="0"/>
  </r>
  <r>
    <s v="Nandhini"/>
    <x v="0"/>
    <x v="175"/>
    <x v="2"/>
    <x v="8"/>
    <x v="0"/>
    <x v="1"/>
    <x v="0"/>
    <n v="1248"/>
    <n v="1999"/>
    <x v="4"/>
    <n v="199"/>
    <n v="3600"/>
    <n v="1104"/>
    <x v="0"/>
  </r>
  <r>
    <s v="Isha"/>
    <x v="0"/>
    <x v="149"/>
    <x v="3"/>
    <x v="3"/>
    <x v="1"/>
    <x v="0"/>
    <x v="0"/>
    <n v="854"/>
    <n v="1499"/>
    <x v="0"/>
    <n v="0"/>
    <n v="2998"/>
    <n v="1290"/>
    <x v="0"/>
  </r>
  <r>
    <s v="Hema"/>
    <x v="0"/>
    <x v="60"/>
    <x v="4"/>
    <x v="15"/>
    <x v="1"/>
    <x v="0"/>
    <x v="1"/>
    <n v="2124"/>
    <n v="3199"/>
    <x v="1"/>
    <n v="639"/>
    <n v="2560"/>
    <n v="436"/>
    <x v="1"/>
  </r>
  <r>
    <s v="Viraj"/>
    <x v="1"/>
    <x v="79"/>
    <x v="4"/>
    <x v="16"/>
    <x v="0"/>
    <x v="0"/>
    <x v="0"/>
    <n v="1249"/>
    <n v="2399"/>
    <x v="2"/>
    <n v="359"/>
    <n v="4080"/>
    <n v="1582"/>
    <x v="1"/>
  </r>
  <r>
    <s v="Surya"/>
    <x v="1"/>
    <x v="36"/>
    <x v="4"/>
    <x v="16"/>
    <x v="2"/>
    <x v="1"/>
    <x v="1"/>
    <n v="659"/>
    <n v="1199"/>
    <x v="2"/>
    <n v="179"/>
    <n v="1020"/>
    <n v="361"/>
    <x v="0"/>
  </r>
  <r>
    <s v="Swapna"/>
    <x v="0"/>
    <x v="55"/>
    <x v="0"/>
    <x v="9"/>
    <x v="0"/>
    <x v="1"/>
    <x v="1"/>
    <n v="389"/>
    <n v="599"/>
    <x v="0"/>
    <n v="0"/>
    <n v="599"/>
    <n v="210"/>
    <x v="1"/>
  </r>
  <r>
    <s v="Sai Deep"/>
    <x v="1"/>
    <x v="40"/>
    <x v="3"/>
    <x v="3"/>
    <x v="1"/>
    <x v="1"/>
    <x v="2"/>
    <n v="502"/>
    <n v="999"/>
    <x v="0"/>
    <n v="0"/>
    <n v="2997"/>
    <n v="1491"/>
    <x v="0"/>
  </r>
  <r>
    <s v="Leela"/>
    <x v="0"/>
    <x v="210"/>
    <x v="1"/>
    <x v="7"/>
    <x v="0"/>
    <x v="1"/>
    <x v="1"/>
    <n v="2355"/>
    <n v="4199"/>
    <x v="2"/>
    <n v="629"/>
    <n v="3570"/>
    <n v="1215"/>
    <x v="0"/>
  </r>
  <r>
    <s v="Sai Deep"/>
    <x v="1"/>
    <x v="87"/>
    <x v="3"/>
    <x v="3"/>
    <x v="0"/>
    <x v="0"/>
    <x v="1"/>
    <n v="502"/>
    <n v="899"/>
    <x v="0"/>
    <n v="0"/>
    <n v="899"/>
    <n v="397"/>
    <x v="0"/>
  </r>
  <r>
    <s v="Kalyan"/>
    <x v="1"/>
    <x v="39"/>
    <x v="3"/>
    <x v="3"/>
    <x v="0"/>
    <x v="1"/>
    <x v="0"/>
    <n v="1003"/>
    <n v="1399"/>
    <x v="0"/>
    <n v="0"/>
    <n v="2798"/>
    <n v="792"/>
    <x v="0"/>
  </r>
  <r>
    <s v="Bharath"/>
    <x v="1"/>
    <x v="98"/>
    <x v="2"/>
    <x v="2"/>
    <x v="1"/>
    <x v="1"/>
    <x v="1"/>
    <n v="499"/>
    <n v="699"/>
    <x v="4"/>
    <n v="69"/>
    <n v="630"/>
    <n v="131"/>
    <x v="0"/>
  </r>
  <r>
    <s v="Thanuja"/>
    <x v="0"/>
    <x v="103"/>
    <x v="4"/>
    <x v="6"/>
    <x v="2"/>
    <x v="1"/>
    <x v="1"/>
    <n v="303"/>
    <n v="599"/>
    <x v="4"/>
    <n v="59"/>
    <n v="540"/>
    <n v="237"/>
    <x v="0"/>
  </r>
  <r>
    <s v="Rahul"/>
    <x v="1"/>
    <x v="43"/>
    <x v="1"/>
    <x v="7"/>
    <x v="2"/>
    <x v="0"/>
    <x v="1"/>
    <n v="3610"/>
    <n v="4999"/>
    <x v="1"/>
    <n v="999"/>
    <n v="4000"/>
    <n v="390"/>
    <x v="0"/>
  </r>
  <r>
    <s v="Devi"/>
    <x v="0"/>
    <x v="159"/>
    <x v="4"/>
    <x v="16"/>
    <x v="2"/>
    <x v="1"/>
    <x v="4"/>
    <n v="1216"/>
    <n v="1699"/>
    <x v="4"/>
    <n v="169"/>
    <n v="7650"/>
    <n v="1570"/>
    <x v="0"/>
  </r>
  <r>
    <s v="Reavanth"/>
    <x v="1"/>
    <x v="191"/>
    <x v="2"/>
    <x v="8"/>
    <x v="2"/>
    <x v="1"/>
    <x v="1"/>
    <n v="882"/>
    <n v="1499"/>
    <x v="1"/>
    <n v="299"/>
    <n v="1200"/>
    <n v="318"/>
    <x v="1"/>
  </r>
  <r>
    <s v="Rakesh"/>
    <x v="1"/>
    <x v="46"/>
    <x v="0"/>
    <x v="9"/>
    <x v="0"/>
    <x v="0"/>
    <x v="1"/>
    <n v="251"/>
    <n v="499"/>
    <x v="0"/>
    <n v="0"/>
    <n v="499"/>
    <n v="248"/>
    <x v="0"/>
  </r>
  <r>
    <s v="Pravalika"/>
    <x v="0"/>
    <x v="105"/>
    <x v="0"/>
    <x v="13"/>
    <x v="0"/>
    <x v="0"/>
    <x v="1"/>
    <n v="311"/>
    <n v="499"/>
    <x v="0"/>
    <n v="0"/>
    <n v="499"/>
    <n v="188"/>
    <x v="1"/>
  </r>
  <r>
    <s v="Srinivas"/>
    <x v="1"/>
    <x v="139"/>
    <x v="0"/>
    <x v="11"/>
    <x v="0"/>
    <x v="1"/>
    <x v="1"/>
    <n v="187"/>
    <n v="299"/>
    <x v="0"/>
    <n v="0"/>
    <n v="299"/>
    <n v="112"/>
    <x v="0"/>
  </r>
  <r>
    <s v="Deepak"/>
    <x v="1"/>
    <x v="43"/>
    <x v="4"/>
    <x v="16"/>
    <x v="2"/>
    <x v="0"/>
    <x v="1"/>
    <n v="813"/>
    <n v="1199"/>
    <x v="4"/>
    <n v="119"/>
    <n v="1080"/>
    <n v="267"/>
    <x v="1"/>
  </r>
  <r>
    <s v="Chandrika"/>
    <x v="0"/>
    <x v="81"/>
    <x v="2"/>
    <x v="8"/>
    <x v="0"/>
    <x v="1"/>
    <x v="1"/>
    <n v="587"/>
    <n v="999"/>
    <x v="1"/>
    <n v="199"/>
    <n v="800"/>
    <n v="213"/>
    <x v="0"/>
  </r>
  <r>
    <s v="Aarav"/>
    <x v="1"/>
    <x v="135"/>
    <x v="2"/>
    <x v="8"/>
    <x v="2"/>
    <x v="1"/>
    <x v="1"/>
    <n v="1331"/>
    <n v="1899"/>
    <x v="3"/>
    <n v="94"/>
    <n v="1805"/>
    <n v="474"/>
    <x v="0"/>
  </r>
  <r>
    <s v="Chandrika"/>
    <x v="0"/>
    <x v="48"/>
    <x v="2"/>
    <x v="8"/>
    <x v="2"/>
    <x v="1"/>
    <x v="1"/>
    <n v="1403"/>
    <n v="1999"/>
    <x v="4"/>
    <n v="199"/>
    <n v="1800"/>
    <n v="397"/>
    <x v="0"/>
  </r>
  <r>
    <s v="Srinivas"/>
    <x v="1"/>
    <x v="132"/>
    <x v="4"/>
    <x v="15"/>
    <x v="0"/>
    <x v="1"/>
    <x v="1"/>
    <n v="1843"/>
    <n v="3199"/>
    <x v="1"/>
    <n v="639"/>
    <n v="2560"/>
    <n v="717"/>
    <x v="0"/>
  </r>
  <r>
    <s v="Vivaan"/>
    <x v="1"/>
    <x v="208"/>
    <x v="2"/>
    <x v="2"/>
    <x v="1"/>
    <x v="0"/>
    <x v="1"/>
    <n v="437"/>
    <n v="799"/>
    <x v="1"/>
    <n v="159"/>
    <n v="640"/>
    <n v="203"/>
    <x v="1"/>
  </r>
  <r>
    <s v="Laxmi"/>
    <x v="0"/>
    <x v="69"/>
    <x v="0"/>
    <x v="11"/>
    <x v="2"/>
    <x v="0"/>
    <x v="0"/>
    <n v="289"/>
    <n v="399"/>
    <x v="0"/>
    <n v="0"/>
    <n v="798"/>
    <n v="220"/>
    <x v="0"/>
  </r>
  <r>
    <s v="Saanvi"/>
    <x v="0"/>
    <x v="116"/>
    <x v="4"/>
    <x v="12"/>
    <x v="1"/>
    <x v="0"/>
    <x v="1"/>
    <n v="946"/>
    <n v="1599"/>
    <x v="3"/>
    <n v="79"/>
    <n v="1520"/>
    <n v="574"/>
    <x v="0"/>
  </r>
  <r>
    <s v="Krishna"/>
    <x v="1"/>
    <x v="121"/>
    <x v="1"/>
    <x v="7"/>
    <x v="0"/>
    <x v="0"/>
    <x v="0"/>
    <n v="1534"/>
    <n v="2199"/>
    <x v="4"/>
    <n v="219"/>
    <n v="3960"/>
    <n v="892"/>
    <x v="1"/>
  </r>
  <r>
    <s v="Pooja"/>
    <x v="0"/>
    <x v="39"/>
    <x v="1"/>
    <x v="7"/>
    <x v="1"/>
    <x v="0"/>
    <x v="0"/>
    <n v="1933"/>
    <n v="3599"/>
    <x v="2"/>
    <n v="539"/>
    <n v="6120"/>
    <n v="2254"/>
    <x v="1"/>
  </r>
  <r>
    <s v="Srinivas"/>
    <x v="1"/>
    <x v="115"/>
    <x v="0"/>
    <x v="13"/>
    <x v="2"/>
    <x v="1"/>
    <x v="0"/>
    <n v="235"/>
    <n v="399"/>
    <x v="0"/>
    <n v="0"/>
    <n v="798"/>
    <n v="328"/>
    <x v="0"/>
  </r>
  <r>
    <s v="Uday"/>
    <x v="1"/>
    <x v="190"/>
    <x v="4"/>
    <x v="5"/>
    <x v="0"/>
    <x v="1"/>
    <x v="1"/>
    <n v="801"/>
    <n v="1199"/>
    <x v="4"/>
    <n v="119"/>
    <n v="1080"/>
    <n v="279"/>
    <x v="0"/>
  </r>
  <r>
    <s v="Gayatri"/>
    <x v="0"/>
    <x v="20"/>
    <x v="2"/>
    <x v="2"/>
    <x v="2"/>
    <x v="0"/>
    <x v="2"/>
    <n v="410"/>
    <n v="799"/>
    <x v="1"/>
    <n v="159"/>
    <n v="1920"/>
    <n v="690"/>
    <x v="0"/>
  </r>
  <r>
    <s v="Uday"/>
    <x v="1"/>
    <x v="87"/>
    <x v="2"/>
    <x v="2"/>
    <x v="1"/>
    <x v="0"/>
    <x v="1"/>
    <n v="302"/>
    <n v="499"/>
    <x v="3"/>
    <n v="24"/>
    <n v="475"/>
    <n v="173"/>
    <x v="0"/>
  </r>
  <r>
    <s v="Rahul"/>
    <x v="1"/>
    <x v="71"/>
    <x v="4"/>
    <x v="6"/>
    <x v="2"/>
    <x v="1"/>
    <x v="4"/>
    <n v="596"/>
    <n v="899"/>
    <x v="4"/>
    <n v="89"/>
    <n v="4050"/>
    <n v="1070"/>
    <x v="0"/>
  </r>
  <r>
    <s v="Aditya"/>
    <x v="1"/>
    <x v="39"/>
    <x v="1"/>
    <x v="7"/>
    <x v="0"/>
    <x v="1"/>
    <x v="4"/>
    <n v="3077"/>
    <n v="4799"/>
    <x v="2"/>
    <n v="719"/>
    <n v="20400"/>
    <n v="5015"/>
    <x v="0"/>
  </r>
  <r>
    <s v="Aadhya"/>
    <x v="0"/>
    <x v="201"/>
    <x v="0"/>
    <x v="0"/>
    <x v="0"/>
    <x v="0"/>
    <x v="0"/>
    <n v="363"/>
    <n v="499"/>
    <x v="0"/>
    <n v="0"/>
    <n v="998"/>
    <n v="272"/>
    <x v="0"/>
  </r>
  <r>
    <s v="Sai"/>
    <x v="1"/>
    <x v="29"/>
    <x v="4"/>
    <x v="4"/>
    <x v="2"/>
    <x v="1"/>
    <x v="0"/>
    <n v="322"/>
    <n v="499"/>
    <x v="3"/>
    <n v="24"/>
    <n v="950"/>
    <n v="306"/>
    <x v="0"/>
  </r>
  <r>
    <s v="Venu"/>
    <x v="1"/>
    <x v="209"/>
    <x v="4"/>
    <x v="16"/>
    <x v="1"/>
    <x v="0"/>
    <x v="1"/>
    <n v="739"/>
    <n v="1199"/>
    <x v="4"/>
    <n v="119"/>
    <n v="1080"/>
    <n v="341"/>
    <x v="0"/>
  </r>
  <r>
    <s v="Arun"/>
    <x v="1"/>
    <x v="137"/>
    <x v="3"/>
    <x v="14"/>
    <x v="0"/>
    <x v="0"/>
    <x v="3"/>
    <n v="507"/>
    <n v="699"/>
    <x v="0"/>
    <n v="0"/>
    <n v="2796"/>
    <n v="768"/>
    <x v="0"/>
  </r>
  <r>
    <s v="Surya"/>
    <x v="1"/>
    <x v="86"/>
    <x v="2"/>
    <x v="2"/>
    <x v="1"/>
    <x v="1"/>
    <x v="1"/>
    <n v="387"/>
    <n v="599"/>
    <x v="3"/>
    <n v="29"/>
    <n v="570"/>
    <n v="183"/>
    <x v="1"/>
  </r>
  <r>
    <s v="Saanvi"/>
    <x v="0"/>
    <x v="75"/>
    <x v="4"/>
    <x v="16"/>
    <x v="1"/>
    <x v="1"/>
    <x v="2"/>
    <n v="1215"/>
    <n v="2299"/>
    <x v="4"/>
    <n v="229"/>
    <n v="6210"/>
    <n v="2565"/>
    <x v="0"/>
  </r>
  <r>
    <s v="Rohan"/>
    <x v="1"/>
    <x v="52"/>
    <x v="0"/>
    <x v="0"/>
    <x v="1"/>
    <x v="0"/>
    <x v="1"/>
    <n v="346"/>
    <n v="499"/>
    <x v="0"/>
    <n v="0"/>
    <n v="499"/>
    <n v="153"/>
    <x v="0"/>
  </r>
  <r>
    <s v="Kavya"/>
    <x v="0"/>
    <x v="60"/>
    <x v="1"/>
    <x v="7"/>
    <x v="0"/>
    <x v="1"/>
    <x v="1"/>
    <n v="3096"/>
    <n v="4799"/>
    <x v="2"/>
    <n v="719"/>
    <n v="4080"/>
    <n v="984"/>
    <x v="0"/>
  </r>
  <r>
    <s v="Lavanya"/>
    <x v="0"/>
    <x v="2"/>
    <x v="4"/>
    <x v="5"/>
    <x v="2"/>
    <x v="0"/>
    <x v="1"/>
    <n v="761"/>
    <n v="1299"/>
    <x v="1"/>
    <n v="259"/>
    <n v="1040"/>
    <n v="279"/>
    <x v="1"/>
  </r>
  <r>
    <s v="Aditya"/>
    <x v="1"/>
    <x v="76"/>
    <x v="0"/>
    <x v="0"/>
    <x v="2"/>
    <x v="1"/>
    <x v="1"/>
    <n v="234"/>
    <n v="399"/>
    <x v="0"/>
    <n v="0"/>
    <n v="399"/>
    <n v="165"/>
    <x v="0"/>
  </r>
  <r>
    <s v="Srawani"/>
    <x v="0"/>
    <x v="40"/>
    <x v="2"/>
    <x v="2"/>
    <x v="0"/>
    <x v="0"/>
    <x v="2"/>
    <n v="495"/>
    <n v="699"/>
    <x v="1"/>
    <n v="139"/>
    <n v="1680"/>
    <n v="195"/>
    <x v="1"/>
  </r>
  <r>
    <s v="Devi Sree"/>
    <x v="0"/>
    <x v="173"/>
    <x v="2"/>
    <x v="2"/>
    <x v="0"/>
    <x v="1"/>
    <x v="0"/>
    <n v="419"/>
    <n v="699"/>
    <x v="1"/>
    <n v="139"/>
    <n v="1120"/>
    <n v="282"/>
    <x v="0"/>
  </r>
  <r>
    <s v="Isha"/>
    <x v="0"/>
    <x v="90"/>
    <x v="2"/>
    <x v="8"/>
    <x v="2"/>
    <x v="0"/>
    <x v="1"/>
    <n v="589"/>
    <n v="1099"/>
    <x v="3"/>
    <n v="54"/>
    <n v="1045"/>
    <n v="456"/>
    <x v="1"/>
  </r>
  <r>
    <s v="Gayatri"/>
    <x v="0"/>
    <x v="55"/>
    <x v="2"/>
    <x v="8"/>
    <x v="1"/>
    <x v="0"/>
    <x v="3"/>
    <n v="1561"/>
    <n v="2299"/>
    <x v="1"/>
    <n v="459"/>
    <n v="7360"/>
    <n v="1116"/>
    <x v="0"/>
  </r>
  <r>
    <s v="Leela"/>
    <x v="0"/>
    <x v="29"/>
    <x v="4"/>
    <x v="4"/>
    <x v="2"/>
    <x v="1"/>
    <x v="2"/>
    <n v="367"/>
    <n v="499"/>
    <x v="4"/>
    <n v="49"/>
    <n v="1350"/>
    <n v="249"/>
    <x v="0"/>
  </r>
  <r>
    <s v="Krishna"/>
    <x v="1"/>
    <x v="170"/>
    <x v="2"/>
    <x v="8"/>
    <x v="1"/>
    <x v="0"/>
    <x v="1"/>
    <n v="1106"/>
    <n v="1899"/>
    <x v="3"/>
    <n v="94"/>
    <n v="1805"/>
    <n v="699"/>
    <x v="0"/>
  </r>
  <r>
    <s v="Kavya"/>
    <x v="0"/>
    <x v="31"/>
    <x v="1"/>
    <x v="7"/>
    <x v="1"/>
    <x v="1"/>
    <x v="1"/>
    <n v="1725"/>
    <n v="2499"/>
    <x v="4"/>
    <n v="249"/>
    <n v="2250"/>
    <n v="525"/>
    <x v="1"/>
  </r>
  <r>
    <s v="Shiva"/>
    <x v="1"/>
    <x v="162"/>
    <x v="4"/>
    <x v="12"/>
    <x v="2"/>
    <x v="1"/>
    <x v="4"/>
    <n v="1222"/>
    <n v="2199"/>
    <x v="3"/>
    <n v="109"/>
    <n v="10450"/>
    <n v="4340"/>
    <x v="1"/>
  </r>
  <r>
    <s v="Leela"/>
    <x v="0"/>
    <x v="143"/>
    <x v="2"/>
    <x v="8"/>
    <x v="0"/>
    <x v="1"/>
    <x v="1"/>
    <n v="572"/>
    <n v="999"/>
    <x v="2"/>
    <n v="149"/>
    <n v="850"/>
    <n v="278"/>
    <x v="0"/>
  </r>
  <r>
    <s v="Srawani"/>
    <x v="0"/>
    <x v="213"/>
    <x v="4"/>
    <x v="15"/>
    <x v="1"/>
    <x v="1"/>
    <x v="1"/>
    <n v="2125"/>
    <n v="2999"/>
    <x v="2"/>
    <n v="449"/>
    <n v="2550"/>
    <n v="425"/>
    <x v="0"/>
  </r>
  <r>
    <s v="Vikram"/>
    <x v="1"/>
    <x v="160"/>
    <x v="0"/>
    <x v="0"/>
    <x v="0"/>
    <x v="0"/>
    <x v="3"/>
    <n v="372"/>
    <n v="599"/>
    <x v="0"/>
    <n v="0"/>
    <n v="2396"/>
    <n v="908"/>
    <x v="0"/>
  </r>
  <r>
    <s v="Uday"/>
    <x v="1"/>
    <x v="96"/>
    <x v="1"/>
    <x v="7"/>
    <x v="2"/>
    <x v="0"/>
    <x v="1"/>
    <n v="1987"/>
    <n v="3199"/>
    <x v="3"/>
    <n v="159"/>
    <n v="3040"/>
    <n v="1053"/>
    <x v="0"/>
  </r>
  <r>
    <s v="Kavya"/>
    <x v="0"/>
    <x v="213"/>
    <x v="1"/>
    <x v="7"/>
    <x v="1"/>
    <x v="0"/>
    <x v="0"/>
    <n v="1882"/>
    <n v="2999"/>
    <x v="2"/>
    <n v="449"/>
    <n v="5100"/>
    <n v="1336"/>
    <x v="0"/>
  </r>
  <r>
    <s v="Swapna"/>
    <x v="0"/>
    <x v="168"/>
    <x v="0"/>
    <x v="11"/>
    <x v="2"/>
    <x v="1"/>
    <x v="1"/>
    <n v="244"/>
    <n v="399"/>
    <x v="0"/>
    <n v="0"/>
    <n v="399"/>
    <n v="155"/>
    <x v="0"/>
  </r>
  <r>
    <s v="Sanjeev"/>
    <x v="1"/>
    <x v="79"/>
    <x v="2"/>
    <x v="2"/>
    <x v="1"/>
    <x v="0"/>
    <x v="1"/>
    <n v="301"/>
    <n v="499"/>
    <x v="1"/>
    <n v="99"/>
    <n v="400"/>
    <n v="99"/>
    <x v="0"/>
  </r>
  <r>
    <s v="Chandrika"/>
    <x v="0"/>
    <x v="46"/>
    <x v="3"/>
    <x v="14"/>
    <x v="1"/>
    <x v="1"/>
    <x v="0"/>
    <n v="1005"/>
    <n v="1499"/>
    <x v="0"/>
    <n v="0"/>
    <n v="2998"/>
    <n v="988"/>
    <x v="0"/>
  </r>
  <r>
    <s v="Kalyan"/>
    <x v="1"/>
    <x v="64"/>
    <x v="3"/>
    <x v="3"/>
    <x v="0"/>
    <x v="0"/>
    <x v="2"/>
    <n v="643"/>
    <n v="1199"/>
    <x v="0"/>
    <n v="0"/>
    <n v="3597"/>
    <n v="1668"/>
    <x v="0"/>
  </r>
  <r>
    <s v="Arjun"/>
    <x v="1"/>
    <x v="73"/>
    <x v="3"/>
    <x v="3"/>
    <x v="2"/>
    <x v="1"/>
    <x v="1"/>
    <n v="650"/>
    <n v="899"/>
    <x v="0"/>
    <n v="0"/>
    <n v="899"/>
    <n v="249"/>
    <x v="0"/>
  </r>
  <r>
    <s v="Aarav"/>
    <x v="1"/>
    <x v="5"/>
    <x v="4"/>
    <x v="12"/>
    <x v="2"/>
    <x v="0"/>
    <x v="1"/>
    <n v="1028"/>
    <n v="1899"/>
    <x v="1"/>
    <n v="379"/>
    <n v="1520"/>
    <n v="492"/>
    <x v="0"/>
  </r>
  <r>
    <s v="Vikram"/>
    <x v="1"/>
    <x v="200"/>
    <x v="4"/>
    <x v="5"/>
    <x v="1"/>
    <x v="1"/>
    <x v="0"/>
    <n v="852"/>
    <n v="1199"/>
    <x v="2"/>
    <n v="179"/>
    <n v="2040"/>
    <n v="336"/>
    <x v="0"/>
  </r>
  <r>
    <s v="Srujan"/>
    <x v="1"/>
    <x v="129"/>
    <x v="1"/>
    <x v="1"/>
    <x v="2"/>
    <x v="1"/>
    <x v="1"/>
    <n v="917"/>
    <n v="1299"/>
    <x v="1"/>
    <n v="259"/>
    <n v="1040"/>
    <n v="123"/>
    <x v="0"/>
  </r>
  <r>
    <s v="Vinay"/>
    <x v="1"/>
    <x v="19"/>
    <x v="4"/>
    <x v="12"/>
    <x v="0"/>
    <x v="0"/>
    <x v="1"/>
    <n v="569"/>
    <n v="1099"/>
    <x v="3"/>
    <n v="54"/>
    <n v="1045"/>
    <n v="476"/>
    <x v="0"/>
  </r>
  <r>
    <s v="Vijay"/>
    <x v="1"/>
    <x v="35"/>
    <x v="2"/>
    <x v="8"/>
    <x v="1"/>
    <x v="1"/>
    <x v="0"/>
    <n v="1095"/>
    <n v="1499"/>
    <x v="2"/>
    <n v="224"/>
    <n v="2550"/>
    <n v="360"/>
    <x v="0"/>
  </r>
  <r>
    <s v="Deepak"/>
    <x v="1"/>
    <x v="72"/>
    <x v="2"/>
    <x v="2"/>
    <x v="0"/>
    <x v="1"/>
    <x v="0"/>
    <n v="401"/>
    <n v="599"/>
    <x v="3"/>
    <n v="29"/>
    <n v="1140"/>
    <n v="338"/>
    <x v="0"/>
  </r>
  <r>
    <s v="Siri"/>
    <x v="0"/>
    <x v="122"/>
    <x v="4"/>
    <x v="5"/>
    <x v="1"/>
    <x v="1"/>
    <x v="1"/>
    <n v="628"/>
    <n v="1199"/>
    <x v="2"/>
    <n v="179"/>
    <n v="1020"/>
    <n v="392"/>
    <x v="0"/>
  </r>
  <r>
    <s v="Venu"/>
    <x v="1"/>
    <x v="128"/>
    <x v="4"/>
    <x v="10"/>
    <x v="1"/>
    <x v="0"/>
    <x v="3"/>
    <n v="962"/>
    <n v="1299"/>
    <x v="1"/>
    <n v="259"/>
    <n v="4160"/>
    <n v="312"/>
    <x v="0"/>
  </r>
  <r>
    <s v="Devi Sree"/>
    <x v="0"/>
    <x v="60"/>
    <x v="2"/>
    <x v="2"/>
    <x v="0"/>
    <x v="1"/>
    <x v="3"/>
    <n v="443"/>
    <n v="599"/>
    <x v="4"/>
    <n v="59"/>
    <n v="2160"/>
    <n v="388"/>
    <x v="1"/>
  </r>
  <r>
    <s v="Vasanth"/>
    <x v="1"/>
    <x v="56"/>
    <x v="2"/>
    <x v="8"/>
    <x v="1"/>
    <x v="0"/>
    <x v="1"/>
    <n v="433"/>
    <n v="699"/>
    <x v="4"/>
    <n v="69"/>
    <n v="630"/>
    <n v="197"/>
    <x v="0"/>
  </r>
  <r>
    <s v="Vikram"/>
    <x v="1"/>
    <x v="18"/>
    <x v="4"/>
    <x v="6"/>
    <x v="2"/>
    <x v="1"/>
    <x v="1"/>
    <n v="698"/>
    <n v="1099"/>
    <x v="3"/>
    <n v="54"/>
    <n v="1045"/>
    <n v="347"/>
    <x v="0"/>
  </r>
  <r>
    <s v="Surya"/>
    <x v="1"/>
    <x v="123"/>
    <x v="4"/>
    <x v="12"/>
    <x v="1"/>
    <x v="1"/>
    <x v="0"/>
    <n v="1336"/>
    <n v="2399"/>
    <x v="2"/>
    <n v="359"/>
    <n v="4080"/>
    <n v="1408"/>
    <x v="0"/>
  </r>
  <r>
    <s v="Srinivas"/>
    <x v="1"/>
    <x v="162"/>
    <x v="1"/>
    <x v="7"/>
    <x v="2"/>
    <x v="1"/>
    <x v="1"/>
    <n v="2393"/>
    <n v="3199"/>
    <x v="3"/>
    <n v="159"/>
    <n v="3040"/>
    <n v="647"/>
    <x v="0"/>
  </r>
  <r>
    <s v="Lavanya"/>
    <x v="0"/>
    <x v="151"/>
    <x v="0"/>
    <x v="9"/>
    <x v="2"/>
    <x v="0"/>
    <x v="4"/>
    <n v="208"/>
    <n v="299"/>
    <x v="0"/>
    <n v="0"/>
    <n v="1495"/>
    <n v="455"/>
    <x v="1"/>
  </r>
  <r>
    <s v="Swathi"/>
    <x v="0"/>
    <x v="160"/>
    <x v="0"/>
    <x v="13"/>
    <x v="2"/>
    <x v="0"/>
    <x v="1"/>
    <n v="206"/>
    <n v="399"/>
    <x v="0"/>
    <n v="0"/>
    <n v="399"/>
    <n v="193"/>
    <x v="0"/>
  </r>
  <r>
    <s v="Krishna"/>
    <x v="1"/>
    <x v="144"/>
    <x v="0"/>
    <x v="0"/>
    <x v="2"/>
    <x v="0"/>
    <x v="4"/>
    <n v="196"/>
    <n v="299"/>
    <x v="0"/>
    <n v="0"/>
    <n v="1495"/>
    <n v="515"/>
    <x v="1"/>
  </r>
  <r>
    <s v="Surya"/>
    <x v="1"/>
    <x v="84"/>
    <x v="1"/>
    <x v="7"/>
    <x v="0"/>
    <x v="0"/>
    <x v="1"/>
    <n v="2787"/>
    <n v="4799"/>
    <x v="2"/>
    <n v="719"/>
    <n v="4080"/>
    <n v="1293"/>
    <x v="0"/>
  </r>
  <r>
    <s v="Bharath"/>
    <x v="1"/>
    <x v="61"/>
    <x v="3"/>
    <x v="3"/>
    <x v="1"/>
    <x v="1"/>
    <x v="3"/>
    <n v="722"/>
    <n v="999"/>
    <x v="0"/>
    <n v="0"/>
    <n v="3996"/>
    <n v="1108"/>
    <x v="0"/>
  </r>
  <r>
    <s v="Venu"/>
    <x v="1"/>
    <x v="61"/>
    <x v="3"/>
    <x v="3"/>
    <x v="2"/>
    <x v="0"/>
    <x v="2"/>
    <n v="603"/>
    <n v="899"/>
    <x v="0"/>
    <n v="0"/>
    <n v="2697"/>
    <n v="888"/>
    <x v="0"/>
  </r>
  <r>
    <s v="Anjali"/>
    <x v="0"/>
    <x v="142"/>
    <x v="2"/>
    <x v="2"/>
    <x v="1"/>
    <x v="0"/>
    <x v="1"/>
    <n v="337"/>
    <n v="499"/>
    <x v="4"/>
    <n v="49"/>
    <n v="450"/>
    <n v="113"/>
    <x v="0"/>
  </r>
  <r>
    <s v="Anjali"/>
    <x v="0"/>
    <x v="158"/>
    <x v="4"/>
    <x v="6"/>
    <x v="1"/>
    <x v="1"/>
    <x v="4"/>
    <n v="639"/>
    <n v="899"/>
    <x v="4"/>
    <n v="89"/>
    <n v="4050"/>
    <n v="855"/>
    <x v="0"/>
  </r>
  <r>
    <s v="Manoj"/>
    <x v="1"/>
    <x v="78"/>
    <x v="2"/>
    <x v="8"/>
    <x v="0"/>
    <x v="1"/>
    <x v="1"/>
    <n v="559"/>
    <n v="1099"/>
    <x v="3"/>
    <n v="54"/>
    <n v="1045"/>
    <n v="486"/>
    <x v="0"/>
  </r>
  <r>
    <s v="Vasanth"/>
    <x v="1"/>
    <x v="149"/>
    <x v="4"/>
    <x v="12"/>
    <x v="0"/>
    <x v="1"/>
    <x v="0"/>
    <n v="925"/>
    <n v="1299"/>
    <x v="1"/>
    <n v="259"/>
    <n v="2080"/>
    <n v="230"/>
    <x v="0"/>
  </r>
  <r>
    <s v="Deepak"/>
    <x v="1"/>
    <x v="207"/>
    <x v="0"/>
    <x v="11"/>
    <x v="2"/>
    <x v="1"/>
    <x v="1"/>
    <n v="233"/>
    <n v="399"/>
    <x v="0"/>
    <n v="0"/>
    <n v="399"/>
    <n v="166"/>
    <x v="1"/>
  </r>
  <r>
    <s v="Pranay"/>
    <x v="1"/>
    <x v="90"/>
    <x v="4"/>
    <x v="10"/>
    <x v="0"/>
    <x v="0"/>
    <x v="0"/>
    <n v="770"/>
    <n v="1199"/>
    <x v="4"/>
    <n v="119"/>
    <n v="2160"/>
    <n v="620"/>
    <x v="0"/>
  </r>
  <r>
    <s v="Arjun"/>
    <x v="1"/>
    <x v="96"/>
    <x v="2"/>
    <x v="8"/>
    <x v="0"/>
    <x v="0"/>
    <x v="4"/>
    <n v="915"/>
    <n v="1399"/>
    <x v="4"/>
    <n v="139"/>
    <n v="6300"/>
    <n v="1725"/>
    <x v="0"/>
  </r>
  <r>
    <s v="Neha"/>
    <x v="0"/>
    <x v="193"/>
    <x v="0"/>
    <x v="11"/>
    <x v="0"/>
    <x v="0"/>
    <x v="3"/>
    <n v="215"/>
    <n v="299"/>
    <x v="0"/>
    <n v="0"/>
    <n v="1196"/>
    <n v="336"/>
    <x v="1"/>
  </r>
  <r>
    <s v="Sai"/>
    <x v="1"/>
    <x v="113"/>
    <x v="0"/>
    <x v="0"/>
    <x v="0"/>
    <x v="0"/>
    <x v="3"/>
    <n v="219"/>
    <n v="399"/>
    <x v="0"/>
    <n v="0"/>
    <n v="1596"/>
    <n v="720"/>
    <x v="0"/>
  </r>
  <r>
    <s v="Arjun"/>
    <x v="1"/>
    <x v="126"/>
    <x v="0"/>
    <x v="11"/>
    <x v="2"/>
    <x v="1"/>
    <x v="1"/>
    <n v="552"/>
    <n v="799"/>
    <x v="0"/>
    <n v="0"/>
    <n v="799"/>
    <n v="247"/>
    <x v="1"/>
  </r>
  <r>
    <s v="Pranay"/>
    <x v="1"/>
    <x v="141"/>
    <x v="2"/>
    <x v="8"/>
    <x v="2"/>
    <x v="1"/>
    <x v="2"/>
    <n v="1347"/>
    <n v="2199"/>
    <x v="2"/>
    <n v="329"/>
    <n v="5610"/>
    <n v="1569"/>
    <x v="1"/>
  </r>
  <r>
    <s v="Saanvi"/>
    <x v="0"/>
    <x v="70"/>
    <x v="2"/>
    <x v="2"/>
    <x v="1"/>
    <x v="1"/>
    <x v="1"/>
    <n v="298"/>
    <n v="499"/>
    <x v="3"/>
    <n v="24"/>
    <n v="475"/>
    <n v="177"/>
    <x v="1"/>
  </r>
  <r>
    <s v="Kavya"/>
    <x v="0"/>
    <x v="18"/>
    <x v="0"/>
    <x v="13"/>
    <x v="1"/>
    <x v="0"/>
    <x v="1"/>
    <n v="273"/>
    <n v="499"/>
    <x v="0"/>
    <n v="0"/>
    <n v="499"/>
    <n v="226"/>
    <x v="0"/>
  </r>
  <r>
    <s v="Gayatri"/>
    <x v="0"/>
    <x v="30"/>
    <x v="3"/>
    <x v="3"/>
    <x v="2"/>
    <x v="1"/>
    <x v="0"/>
    <n v="582"/>
    <n v="899"/>
    <x v="0"/>
    <n v="0"/>
    <n v="1798"/>
    <n v="634"/>
    <x v="0"/>
  </r>
  <r>
    <s v="Sneha"/>
    <x v="0"/>
    <x v="136"/>
    <x v="4"/>
    <x v="12"/>
    <x v="2"/>
    <x v="0"/>
    <x v="1"/>
    <n v="1150"/>
    <n v="1899"/>
    <x v="1"/>
    <n v="379"/>
    <n v="1520"/>
    <n v="370"/>
    <x v="1"/>
  </r>
  <r>
    <s v="Vivaan"/>
    <x v="1"/>
    <x v="114"/>
    <x v="1"/>
    <x v="7"/>
    <x v="2"/>
    <x v="0"/>
    <x v="3"/>
    <n v="2637"/>
    <n v="3599"/>
    <x v="2"/>
    <n v="539"/>
    <n v="12240"/>
    <n v="1692"/>
    <x v="0"/>
  </r>
  <r>
    <s v="Srawani"/>
    <x v="0"/>
    <x v="123"/>
    <x v="0"/>
    <x v="13"/>
    <x v="0"/>
    <x v="1"/>
    <x v="0"/>
    <n v="260"/>
    <n v="399"/>
    <x v="0"/>
    <n v="0"/>
    <n v="798"/>
    <n v="278"/>
    <x v="0"/>
  </r>
  <r>
    <s v="Swetha"/>
    <x v="0"/>
    <x v="115"/>
    <x v="2"/>
    <x v="2"/>
    <x v="1"/>
    <x v="1"/>
    <x v="1"/>
    <n v="420"/>
    <n v="699"/>
    <x v="4"/>
    <n v="69"/>
    <n v="630"/>
    <n v="210"/>
    <x v="0"/>
  </r>
  <r>
    <s v="Koushika"/>
    <x v="0"/>
    <x v="65"/>
    <x v="4"/>
    <x v="12"/>
    <x v="2"/>
    <x v="1"/>
    <x v="1"/>
    <n v="900"/>
    <n v="1599"/>
    <x v="3"/>
    <n v="79"/>
    <n v="1520"/>
    <n v="620"/>
    <x v="0"/>
  </r>
  <r>
    <s v="Vijay"/>
    <x v="1"/>
    <x v="47"/>
    <x v="0"/>
    <x v="11"/>
    <x v="0"/>
    <x v="0"/>
    <x v="1"/>
    <n v="284"/>
    <n v="399"/>
    <x v="0"/>
    <n v="0"/>
    <n v="399"/>
    <n v="115"/>
    <x v="1"/>
  </r>
  <r>
    <s v="Vijay"/>
    <x v="1"/>
    <x v="193"/>
    <x v="0"/>
    <x v="0"/>
    <x v="1"/>
    <x v="0"/>
    <x v="3"/>
    <n v="222"/>
    <n v="299"/>
    <x v="0"/>
    <n v="0"/>
    <n v="1196"/>
    <n v="308"/>
    <x v="0"/>
  </r>
  <r>
    <s v="Harsha"/>
    <x v="1"/>
    <x v="199"/>
    <x v="4"/>
    <x v="10"/>
    <x v="0"/>
    <x v="1"/>
    <x v="1"/>
    <n v="1215"/>
    <n v="1899"/>
    <x v="1"/>
    <n v="379"/>
    <n v="1520"/>
    <n v="305"/>
    <x v="0"/>
  </r>
  <r>
    <s v="Saanvi"/>
    <x v="0"/>
    <x v="111"/>
    <x v="1"/>
    <x v="7"/>
    <x v="2"/>
    <x v="1"/>
    <x v="0"/>
    <n v="2291"/>
    <n v="4299"/>
    <x v="3"/>
    <n v="214"/>
    <n v="8170"/>
    <n v="3588"/>
    <x v="1"/>
  </r>
  <r>
    <s v="Arjun"/>
    <x v="1"/>
    <x v="50"/>
    <x v="0"/>
    <x v="9"/>
    <x v="0"/>
    <x v="0"/>
    <x v="1"/>
    <n v="160"/>
    <n v="299"/>
    <x v="0"/>
    <n v="0"/>
    <n v="299"/>
    <n v="139"/>
    <x v="0"/>
  </r>
  <r>
    <s v="Lassya"/>
    <x v="0"/>
    <x v="71"/>
    <x v="1"/>
    <x v="7"/>
    <x v="2"/>
    <x v="1"/>
    <x v="1"/>
    <n v="1336"/>
    <n v="2299"/>
    <x v="2"/>
    <n v="344"/>
    <n v="1955"/>
    <n v="619"/>
    <x v="1"/>
  </r>
  <r>
    <s v="Swathi"/>
    <x v="0"/>
    <x v="188"/>
    <x v="4"/>
    <x v="15"/>
    <x v="0"/>
    <x v="1"/>
    <x v="1"/>
    <n v="1925"/>
    <n v="3399"/>
    <x v="4"/>
    <n v="339"/>
    <n v="3060"/>
    <n v="1135"/>
    <x v="1"/>
  </r>
  <r>
    <s v="Ananya"/>
    <x v="0"/>
    <x v="25"/>
    <x v="2"/>
    <x v="2"/>
    <x v="2"/>
    <x v="1"/>
    <x v="1"/>
    <n v="254"/>
    <n v="499"/>
    <x v="2"/>
    <n v="74"/>
    <n v="425"/>
    <n v="171"/>
    <x v="0"/>
  </r>
  <r>
    <s v="Rahul"/>
    <x v="1"/>
    <x v="103"/>
    <x v="1"/>
    <x v="7"/>
    <x v="1"/>
    <x v="0"/>
    <x v="2"/>
    <n v="1474"/>
    <n v="2399"/>
    <x v="1"/>
    <n v="479"/>
    <n v="5760"/>
    <n v="1338"/>
    <x v="0"/>
  </r>
  <r>
    <s v="Sanjeev"/>
    <x v="1"/>
    <x v="109"/>
    <x v="2"/>
    <x v="2"/>
    <x v="0"/>
    <x v="1"/>
    <x v="1"/>
    <n v="348"/>
    <n v="499"/>
    <x v="4"/>
    <n v="49"/>
    <n v="450"/>
    <n v="102"/>
    <x v="0"/>
  </r>
  <r>
    <s v="Mallesh"/>
    <x v="1"/>
    <x v="167"/>
    <x v="4"/>
    <x v="6"/>
    <x v="2"/>
    <x v="0"/>
    <x v="0"/>
    <n v="374"/>
    <n v="699"/>
    <x v="1"/>
    <n v="139"/>
    <n v="1120"/>
    <n v="372"/>
    <x v="1"/>
  </r>
  <r>
    <s v="Pravalika"/>
    <x v="0"/>
    <x v="159"/>
    <x v="3"/>
    <x v="14"/>
    <x v="2"/>
    <x v="1"/>
    <x v="1"/>
    <n v="873"/>
    <n v="1499"/>
    <x v="0"/>
    <n v="0"/>
    <n v="1499"/>
    <n v="626"/>
    <x v="1"/>
  </r>
  <r>
    <s v="Saanvi"/>
    <x v="0"/>
    <x v="147"/>
    <x v="3"/>
    <x v="3"/>
    <x v="2"/>
    <x v="0"/>
    <x v="4"/>
    <n v="868"/>
    <n v="1399"/>
    <x v="0"/>
    <n v="0"/>
    <n v="6995"/>
    <n v="2655"/>
    <x v="0"/>
  </r>
  <r>
    <s v="Kavya"/>
    <x v="0"/>
    <x v="103"/>
    <x v="3"/>
    <x v="3"/>
    <x v="0"/>
    <x v="0"/>
    <x v="1"/>
    <n v="768"/>
    <n v="1499"/>
    <x v="0"/>
    <n v="0"/>
    <n v="1499"/>
    <n v="731"/>
    <x v="1"/>
  </r>
  <r>
    <s v="Lavanya"/>
    <x v="0"/>
    <x v="207"/>
    <x v="0"/>
    <x v="11"/>
    <x v="2"/>
    <x v="1"/>
    <x v="0"/>
    <n v="176"/>
    <n v="299"/>
    <x v="0"/>
    <n v="0"/>
    <n v="598"/>
    <n v="246"/>
    <x v="0"/>
  </r>
  <r>
    <s v="Manoj"/>
    <x v="1"/>
    <x v="68"/>
    <x v="1"/>
    <x v="7"/>
    <x v="0"/>
    <x v="0"/>
    <x v="0"/>
    <n v="2499"/>
    <n v="4799"/>
    <x v="2"/>
    <n v="719"/>
    <n v="8160"/>
    <n v="3162"/>
    <x v="0"/>
  </r>
  <r>
    <s v="Devi"/>
    <x v="0"/>
    <x v="0"/>
    <x v="1"/>
    <x v="7"/>
    <x v="2"/>
    <x v="1"/>
    <x v="1"/>
    <n v="3378"/>
    <n v="4799"/>
    <x v="2"/>
    <n v="719"/>
    <n v="4080"/>
    <n v="702"/>
    <x v="0"/>
  </r>
  <r>
    <s v="Vikram"/>
    <x v="1"/>
    <x v="49"/>
    <x v="1"/>
    <x v="1"/>
    <x v="0"/>
    <x v="1"/>
    <x v="0"/>
    <n v="798"/>
    <n v="1399"/>
    <x v="4"/>
    <n v="139"/>
    <n v="2520"/>
    <n v="924"/>
    <x v="0"/>
  </r>
  <r>
    <s v="Harsha"/>
    <x v="1"/>
    <x v="150"/>
    <x v="1"/>
    <x v="1"/>
    <x v="0"/>
    <x v="1"/>
    <x v="0"/>
    <n v="1653"/>
    <n v="2299"/>
    <x v="4"/>
    <n v="229"/>
    <n v="4140"/>
    <n v="834"/>
    <x v="0"/>
  </r>
  <r>
    <s v="Saanvi"/>
    <x v="0"/>
    <x v="202"/>
    <x v="4"/>
    <x v="16"/>
    <x v="0"/>
    <x v="0"/>
    <x v="1"/>
    <n v="1572"/>
    <n v="2199"/>
    <x v="3"/>
    <n v="109"/>
    <n v="2090"/>
    <n v="518"/>
    <x v="1"/>
  </r>
  <r>
    <s v="Rakesh"/>
    <x v="1"/>
    <x v="126"/>
    <x v="3"/>
    <x v="3"/>
    <x v="2"/>
    <x v="1"/>
    <x v="1"/>
    <n v="653"/>
    <n v="899"/>
    <x v="0"/>
    <n v="0"/>
    <n v="899"/>
    <n v="246"/>
    <x v="0"/>
  </r>
  <r>
    <s v="Pravalika"/>
    <x v="0"/>
    <x v="116"/>
    <x v="2"/>
    <x v="8"/>
    <x v="1"/>
    <x v="1"/>
    <x v="1"/>
    <n v="725"/>
    <n v="999"/>
    <x v="2"/>
    <n v="149"/>
    <n v="850"/>
    <n v="125"/>
    <x v="0"/>
  </r>
  <r>
    <s v="Aadhya"/>
    <x v="0"/>
    <x v="94"/>
    <x v="2"/>
    <x v="8"/>
    <x v="1"/>
    <x v="1"/>
    <x v="0"/>
    <n v="1228"/>
    <n v="1999"/>
    <x v="4"/>
    <n v="199"/>
    <n v="3600"/>
    <n v="1144"/>
    <x v="1"/>
  </r>
  <r>
    <s v="Lavanya"/>
    <x v="0"/>
    <x v="55"/>
    <x v="1"/>
    <x v="7"/>
    <x v="0"/>
    <x v="1"/>
    <x v="0"/>
    <n v="2512"/>
    <n v="3599"/>
    <x v="2"/>
    <n v="539"/>
    <n v="6120"/>
    <n v="1096"/>
    <x v="0"/>
  </r>
  <r>
    <s v="Aditya"/>
    <x v="1"/>
    <x v="176"/>
    <x v="3"/>
    <x v="14"/>
    <x v="1"/>
    <x v="1"/>
    <x v="0"/>
    <n v="905"/>
    <n v="1499"/>
    <x v="0"/>
    <n v="0"/>
    <n v="2998"/>
    <n v="1188"/>
    <x v="0"/>
  </r>
  <r>
    <s v="Chandrika"/>
    <x v="0"/>
    <x v="27"/>
    <x v="2"/>
    <x v="8"/>
    <x v="1"/>
    <x v="0"/>
    <x v="0"/>
    <n v="1305"/>
    <n v="1899"/>
    <x v="1"/>
    <n v="379"/>
    <n v="3040"/>
    <n v="430"/>
    <x v="0"/>
  </r>
  <r>
    <s v="Sanjeev"/>
    <x v="1"/>
    <x v="158"/>
    <x v="3"/>
    <x v="14"/>
    <x v="0"/>
    <x v="0"/>
    <x v="1"/>
    <n v="388"/>
    <n v="699"/>
    <x v="0"/>
    <n v="0"/>
    <n v="699"/>
    <n v="311"/>
    <x v="0"/>
  </r>
  <r>
    <s v="Karthik"/>
    <x v="1"/>
    <x v="156"/>
    <x v="3"/>
    <x v="14"/>
    <x v="1"/>
    <x v="1"/>
    <x v="1"/>
    <n v="503"/>
    <n v="799"/>
    <x v="0"/>
    <n v="0"/>
    <n v="799"/>
    <n v="29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0959B4-1953-428C-A3F0-A6D7568C19F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R1:AS19" firstHeaderRow="1" firstDataRow="1" firstDataCol="1"/>
  <pivotFields count="17">
    <pivotField showAll="0"/>
    <pivotField showAll="0">
      <items count="3">
        <item x="0"/>
        <item x="1"/>
        <item t="default"/>
      </items>
    </pivotField>
    <pivotField numFmtId="14" showAll="0">
      <items count="215">
        <item x="176"/>
        <item x="141"/>
        <item x="90"/>
        <item x="206"/>
        <item x="19"/>
        <item x="59"/>
        <item x="112"/>
        <item x="40"/>
        <item x="9"/>
        <item x="24"/>
        <item x="53"/>
        <item x="35"/>
        <item x="178"/>
        <item x="113"/>
        <item x="49"/>
        <item x="180"/>
        <item x="56"/>
        <item x="96"/>
        <item x="200"/>
        <item x="210"/>
        <item x="42"/>
        <item x="103"/>
        <item x="120"/>
        <item x="151"/>
        <item x="152"/>
        <item x="207"/>
        <item x="52"/>
        <item x="0"/>
        <item x="34"/>
        <item x="183"/>
        <item x="196"/>
        <item x="212"/>
        <item x="31"/>
        <item x="36"/>
        <item x="166"/>
        <item x="139"/>
        <item x="39"/>
        <item x="63"/>
        <item x="155"/>
        <item x="7"/>
        <item x="188"/>
        <item x="54"/>
        <item x="116"/>
        <item x="18"/>
        <item x="75"/>
        <item x="213"/>
        <item x="30"/>
        <item x="79"/>
        <item x="81"/>
        <item x="100"/>
        <item x="121"/>
        <item x="126"/>
        <item x="169"/>
        <item x="106"/>
        <item x="77"/>
        <item x="182"/>
        <item x="1"/>
        <item x="5"/>
        <item x="78"/>
        <item x="41"/>
        <item x="108"/>
        <item x="57"/>
        <item x="157"/>
        <item x="67"/>
        <item x="91"/>
        <item x="187"/>
        <item x="104"/>
        <item x="197"/>
        <item x="162"/>
        <item x="43"/>
        <item x="17"/>
        <item x="150"/>
        <item x="22"/>
        <item x="136"/>
        <item x="144"/>
        <item x="204"/>
        <item x="97"/>
        <item x="93"/>
        <item x="15"/>
        <item x="6"/>
        <item x="149"/>
        <item x="92"/>
        <item x="50"/>
        <item x="84"/>
        <item x="158"/>
        <item x="51"/>
        <item x="105"/>
        <item x="148"/>
        <item x="174"/>
        <item x="202"/>
        <item x="2"/>
        <item x="55"/>
        <item x="23"/>
        <item x="146"/>
        <item x="170"/>
        <item x="27"/>
        <item x="161"/>
        <item x="111"/>
        <item x="122"/>
        <item x="62"/>
        <item x="3"/>
        <item x="129"/>
        <item x="186"/>
        <item x="89"/>
        <item x="8"/>
        <item x="44"/>
        <item x="123"/>
        <item x="192"/>
        <item x="10"/>
        <item x="114"/>
        <item x="118"/>
        <item x="29"/>
        <item x="76"/>
        <item x="69"/>
        <item x="131"/>
        <item x="25"/>
        <item x="203"/>
        <item x="172"/>
        <item x="72"/>
        <item x="32"/>
        <item x="98"/>
        <item x="179"/>
        <item x="38"/>
        <item x="181"/>
        <item x="117"/>
        <item x="109"/>
        <item x="211"/>
        <item x="110"/>
        <item x="168"/>
        <item x="135"/>
        <item x="65"/>
        <item x="156"/>
        <item x="184"/>
        <item x="85"/>
        <item x="74"/>
        <item x="33"/>
        <item x="11"/>
        <item x="194"/>
        <item x="208"/>
        <item x="45"/>
        <item x="140"/>
        <item x="107"/>
        <item x="61"/>
        <item x="94"/>
        <item x="177"/>
        <item x="167"/>
        <item x="125"/>
        <item x="64"/>
        <item x="48"/>
        <item x="37"/>
        <item x="28"/>
        <item x="205"/>
        <item x="199"/>
        <item x="193"/>
        <item x="153"/>
        <item x="143"/>
        <item x="134"/>
        <item x="12"/>
        <item x="70"/>
        <item x="21"/>
        <item x="88"/>
        <item x="137"/>
        <item x="159"/>
        <item x="191"/>
        <item x="201"/>
        <item x="185"/>
        <item x="154"/>
        <item x="165"/>
        <item x="60"/>
        <item x="95"/>
        <item x="87"/>
        <item x="83"/>
        <item x="128"/>
        <item x="119"/>
        <item x="190"/>
        <item x="171"/>
        <item x="82"/>
        <item x="138"/>
        <item x="132"/>
        <item x="175"/>
        <item x="46"/>
        <item x="198"/>
        <item x="142"/>
        <item x="101"/>
        <item x="58"/>
        <item x="13"/>
        <item x="66"/>
        <item x="80"/>
        <item x="147"/>
        <item x="115"/>
        <item x="102"/>
        <item x="86"/>
        <item x="195"/>
        <item x="26"/>
        <item x="189"/>
        <item x="130"/>
        <item x="68"/>
        <item x="124"/>
        <item x="99"/>
        <item x="14"/>
        <item x="4"/>
        <item x="73"/>
        <item x="71"/>
        <item x="133"/>
        <item x="47"/>
        <item x="160"/>
        <item x="173"/>
        <item x="127"/>
        <item x="209"/>
        <item x="164"/>
        <item x="16"/>
        <item x="20"/>
        <item x="145"/>
        <item x="163"/>
        <item t="default"/>
      </items>
    </pivotField>
    <pivotField showAll="0">
      <items count="6">
        <item x="2"/>
        <item x="3"/>
        <item x="1"/>
        <item x="4"/>
        <item x="0"/>
        <item t="default"/>
      </items>
    </pivotField>
    <pivotField axis="axisRow" showAll="0" sortType="descending">
      <items count="18">
        <item x="1"/>
        <item x="5"/>
        <item x="16"/>
        <item x="4"/>
        <item x="14"/>
        <item x="10"/>
        <item x="15"/>
        <item x="8"/>
        <item x="6"/>
        <item x="13"/>
        <item x="3"/>
        <item x="9"/>
        <item x="12"/>
        <item x="7"/>
        <item x="11"/>
        <item x="0"/>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items count="3">
        <item x="0"/>
        <item x="1"/>
        <item t="default"/>
      </items>
    </pivotField>
    <pivotField showAll="0">
      <items count="6">
        <item x="1"/>
        <item x="0"/>
        <item x="2"/>
        <item x="3"/>
        <item x="4"/>
        <item t="default"/>
      </items>
    </pivotField>
    <pivotField showAll="0"/>
    <pivotField showAll="0"/>
    <pivotField showAll="0"/>
    <pivotField showAll="0"/>
    <pivotField showAll="0"/>
    <pivotField dataField="1"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8">
    <i>
      <x v="13"/>
    </i>
    <i>
      <x v="10"/>
    </i>
    <i>
      <x/>
    </i>
    <i>
      <x v="4"/>
    </i>
    <i>
      <x v="7"/>
    </i>
    <i>
      <x v="12"/>
    </i>
    <i>
      <x v="1"/>
    </i>
    <i>
      <x v="16"/>
    </i>
    <i>
      <x v="6"/>
    </i>
    <i>
      <x v="14"/>
    </i>
    <i>
      <x v="8"/>
    </i>
    <i>
      <x v="9"/>
    </i>
    <i>
      <x v="5"/>
    </i>
    <i>
      <x v="11"/>
    </i>
    <i>
      <x v="15"/>
    </i>
    <i>
      <x v="2"/>
    </i>
    <i>
      <x v="3"/>
    </i>
    <i t="grand">
      <x/>
    </i>
  </rowItems>
  <colItems count="1">
    <i/>
  </colItems>
  <dataFields count="1">
    <dataField name="Sum of Profit" fld="13"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8EDEDE-94C5-4DAC-A39D-9B1886245C92}" name="Product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X3:Y21" firstHeaderRow="1" firstDataRow="1" firstDataCol="1"/>
  <pivotFields count="17">
    <pivotField showAll="0"/>
    <pivotField showAll="0">
      <items count="3">
        <item x="0"/>
        <item x="1"/>
        <item t="default"/>
      </items>
    </pivotField>
    <pivotField numFmtId="14" showAll="0">
      <items count="215">
        <item x="176"/>
        <item x="141"/>
        <item x="90"/>
        <item x="206"/>
        <item x="19"/>
        <item x="59"/>
        <item x="112"/>
        <item x="40"/>
        <item x="9"/>
        <item x="24"/>
        <item x="53"/>
        <item x="35"/>
        <item x="178"/>
        <item x="113"/>
        <item x="49"/>
        <item x="180"/>
        <item x="56"/>
        <item x="96"/>
        <item x="200"/>
        <item x="210"/>
        <item x="42"/>
        <item x="103"/>
        <item x="120"/>
        <item x="151"/>
        <item x="152"/>
        <item x="207"/>
        <item x="52"/>
        <item x="0"/>
        <item x="34"/>
        <item x="183"/>
        <item x="196"/>
        <item x="212"/>
        <item x="31"/>
        <item x="36"/>
        <item x="166"/>
        <item x="139"/>
        <item x="39"/>
        <item x="63"/>
        <item x="155"/>
        <item x="7"/>
        <item x="188"/>
        <item x="54"/>
        <item x="116"/>
        <item x="18"/>
        <item x="75"/>
        <item x="213"/>
        <item x="30"/>
        <item x="79"/>
        <item x="81"/>
        <item x="100"/>
        <item x="121"/>
        <item x="126"/>
        <item x="169"/>
        <item x="106"/>
        <item x="77"/>
        <item x="182"/>
        <item x="1"/>
        <item x="5"/>
        <item x="78"/>
        <item x="41"/>
        <item x="108"/>
        <item x="57"/>
        <item x="157"/>
        <item x="67"/>
        <item x="91"/>
        <item x="187"/>
        <item x="104"/>
        <item x="197"/>
        <item x="162"/>
        <item x="43"/>
        <item x="17"/>
        <item x="150"/>
        <item x="22"/>
        <item x="136"/>
        <item x="144"/>
        <item x="204"/>
        <item x="97"/>
        <item x="93"/>
        <item x="15"/>
        <item x="6"/>
        <item x="149"/>
        <item x="92"/>
        <item x="50"/>
        <item x="84"/>
        <item x="158"/>
        <item x="51"/>
        <item x="105"/>
        <item x="148"/>
        <item x="174"/>
        <item x="202"/>
        <item x="2"/>
        <item x="55"/>
        <item x="23"/>
        <item x="146"/>
        <item x="170"/>
        <item x="27"/>
        <item x="161"/>
        <item x="111"/>
        <item x="122"/>
        <item x="62"/>
        <item x="3"/>
        <item x="129"/>
        <item x="186"/>
        <item x="89"/>
        <item x="8"/>
        <item x="44"/>
        <item x="123"/>
        <item x="192"/>
        <item x="10"/>
        <item x="114"/>
        <item x="118"/>
        <item x="29"/>
        <item x="76"/>
        <item x="69"/>
        <item x="131"/>
        <item x="25"/>
        <item x="203"/>
        <item x="172"/>
        <item x="72"/>
        <item x="32"/>
        <item x="98"/>
        <item x="179"/>
        <item x="38"/>
        <item x="181"/>
        <item x="117"/>
        <item x="109"/>
        <item x="211"/>
        <item x="110"/>
        <item x="168"/>
        <item x="135"/>
        <item x="65"/>
        <item x="156"/>
        <item x="184"/>
        <item x="85"/>
        <item x="74"/>
        <item x="33"/>
        <item x="11"/>
        <item x="194"/>
        <item x="208"/>
        <item x="45"/>
        <item x="140"/>
        <item x="107"/>
        <item x="61"/>
        <item x="94"/>
        <item x="177"/>
        <item x="167"/>
        <item x="125"/>
        <item x="64"/>
        <item x="48"/>
        <item x="37"/>
        <item x="28"/>
        <item x="205"/>
        <item x="199"/>
        <item x="193"/>
        <item x="153"/>
        <item x="143"/>
        <item x="134"/>
        <item x="12"/>
        <item x="70"/>
        <item x="21"/>
        <item x="88"/>
        <item x="137"/>
        <item x="159"/>
        <item x="191"/>
        <item x="201"/>
        <item x="185"/>
        <item x="154"/>
        <item x="165"/>
        <item x="60"/>
        <item x="95"/>
        <item x="87"/>
        <item x="83"/>
        <item x="128"/>
        <item x="119"/>
        <item x="190"/>
        <item x="171"/>
        <item x="82"/>
        <item x="138"/>
        <item x="132"/>
        <item x="175"/>
        <item x="46"/>
        <item x="198"/>
        <item x="142"/>
        <item x="101"/>
        <item x="58"/>
        <item x="13"/>
        <item x="66"/>
        <item x="80"/>
        <item x="147"/>
        <item x="115"/>
        <item x="102"/>
        <item x="86"/>
        <item x="195"/>
        <item x="26"/>
        <item x="189"/>
        <item x="130"/>
        <item x="68"/>
        <item x="124"/>
        <item x="99"/>
        <item x="14"/>
        <item x="4"/>
        <item x="73"/>
        <item x="71"/>
        <item x="133"/>
        <item x="47"/>
        <item x="160"/>
        <item x="173"/>
        <item x="127"/>
        <item x="209"/>
        <item x="164"/>
        <item x="16"/>
        <item x="20"/>
        <item x="145"/>
        <item x="163"/>
        <item t="default"/>
      </items>
    </pivotField>
    <pivotField showAll="0">
      <items count="6">
        <item x="2"/>
        <item x="3"/>
        <item x="1"/>
        <item x="4"/>
        <item x="0"/>
        <item t="default"/>
      </items>
    </pivotField>
    <pivotField axis="axisRow" showAll="0">
      <items count="18">
        <item x="1"/>
        <item x="5"/>
        <item x="16"/>
        <item x="4"/>
        <item x="14"/>
        <item x="10"/>
        <item x="15"/>
        <item x="8"/>
        <item x="6"/>
        <item x="13"/>
        <item x="3"/>
        <item x="9"/>
        <item x="12"/>
        <item x="7"/>
        <item x="11"/>
        <item x="0"/>
        <item x="2"/>
        <item t="default"/>
      </items>
    </pivotField>
    <pivotField showAll="0">
      <items count="4">
        <item x="1"/>
        <item x="2"/>
        <item x="0"/>
        <item t="default"/>
      </items>
    </pivotField>
    <pivotField showAll="0">
      <items count="3">
        <item x="0"/>
        <item x="1"/>
        <item t="default"/>
      </items>
    </pivotField>
    <pivotField showAll="0">
      <items count="6">
        <item x="1"/>
        <item x="0"/>
        <item x="2"/>
        <item x="3"/>
        <item x="4"/>
        <item t="default"/>
      </items>
    </pivotField>
    <pivotField showAll="0"/>
    <pivotField showAll="0"/>
    <pivotField showAll="0"/>
    <pivotField showAll="0"/>
    <pivotField showAll="0"/>
    <pivotField dataField="1"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70B008-41B3-48C4-BF5F-87E1317FB5ED}" name="Category_Retur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K3:AL9" firstHeaderRow="1" firstDataRow="1" firstDataCol="1" rowPageCount="1" colPageCount="1"/>
  <pivotFields count="17">
    <pivotField showAll="0"/>
    <pivotField showAll="0">
      <items count="3">
        <item x="0"/>
        <item x="1"/>
        <item t="default"/>
      </items>
    </pivotField>
    <pivotField numFmtId="14" showAll="0">
      <items count="215">
        <item x="176"/>
        <item x="141"/>
        <item x="90"/>
        <item x="206"/>
        <item x="19"/>
        <item x="59"/>
        <item x="112"/>
        <item x="40"/>
        <item x="9"/>
        <item x="24"/>
        <item x="53"/>
        <item x="35"/>
        <item x="178"/>
        <item x="113"/>
        <item x="49"/>
        <item x="180"/>
        <item x="56"/>
        <item x="96"/>
        <item x="200"/>
        <item x="210"/>
        <item x="42"/>
        <item x="103"/>
        <item x="120"/>
        <item x="151"/>
        <item x="152"/>
        <item x="207"/>
        <item x="52"/>
        <item x="0"/>
        <item x="34"/>
        <item x="183"/>
        <item x="196"/>
        <item x="212"/>
        <item x="31"/>
        <item x="36"/>
        <item x="166"/>
        <item x="139"/>
        <item x="39"/>
        <item x="63"/>
        <item x="155"/>
        <item x="7"/>
        <item x="188"/>
        <item x="54"/>
        <item x="116"/>
        <item x="18"/>
        <item x="75"/>
        <item x="213"/>
        <item x="30"/>
        <item x="79"/>
        <item x="81"/>
        <item x="100"/>
        <item x="121"/>
        <item x="126"/>
        <item x="169"/>
        <item x="106"/>
        <item x="77"/>
        <item x="182"/>
        <item x="1"/>
        <item x="5"/>
        <item x="78"/>
        <item x="41"/>
        <item x="108"/>
        <item x="57"/>
        <item x="157"/>
        <item x="67"/>
        <item x="91"/>
        <item x="187"/>
        <item x="104"/>
        <item x="197"/>
        <item x="162"/>
        <item x="43"/>
        <item x="17"/>
        <item x="150"/>
        <item x="22"/>
        <item x="136"/>
        <item x="144"/>
        <item x="204"/>
        <item x="97"/>
        <item x="93"/>
        <item x="15"/>
        <item x="6"/>
        <item x="149"/>
        <item x="92"/>
        <item x="50"/>
        <item x="84"/>
        <item x="158"/>
        <item x="51"/>
        <item x="105"/>
        <item x="148"/>
        <item x="174"/>
        <item x="202"/>
        <item x="2"/>
        <item x="55"/>
        <item x="23"/>
        <item x="146"/>
        <item x="170"/>
        <item x="27"/>
        <item x="161"/>
        <item x="111"/>
        <item x="122"/>
        <item x="62"/>
        <item x="3"/>
        <item x="129"/>
        <item x="186"/>
        <item x="89"/>
        <item x="8"/>
        <item x="44"/>
        <item x="123"/>
        <item x="192"/>
        <item x="10"/>
        <item x="114"/>
        <item x="118"/>
        <item x="29"/>
        <item x="76"/>
        <item x="69"/>
        <item x="131"/>
        <item x="25"/>
        <item x="203"/>
        <item x="172"/>
        <item x="72"/>
        <item x="32"/>
        <item x="98"/>
        <item x="179"/>
        <item x="38"/>
        <item x="181"/>
        <item x="117"/>
        <item x="109"/>
        <item x="211"/>
        <item x="110"/>
        <item x="168"/>
        <item x="135"/>
        <item x="65"/>
        <item x="156"/>
        <item x="184"/>
        <item x="85"/>
        <item x="74"/>
        <item x="33"/>
        <item x="11"/>
        <item x="194"/>
        <item x="208"/>
        <item x="45"/>
        <item x="140"/>
        <item x="107"/>
        <item x="61"/>
        <item x="94"/>
        <item x="177"/>
        <item x="167"/>
        <item x="125"/>
        <item x="64"/>
        <item x="48"/>
        <item x="37"/>
        <item x="28"/>
        <item x="205"/>
        <item x="199"/>
        <item x="193"/>
        <item x="153"/>
        <item x="143"/>
        <item x="134"/>
        <item x="12"/>
        <item x="70"/>
        <item x="21"/>
        <item x="88"/>
        <item x="137"/>
        <item x="159"/>
        <item x="191"/>
        <item x="201"/>
        <item x="185"/>
        <item x="154"/>
        <item x="165"/>
        <item x="60"/>
        <item x="95"/>
        <item x="87"/>
        <item x="83"/>
        <item x="128"/>
        <item x="119"/>
        <item x="190"/>
        <item x="171"/>
        <item x="82"/>
        <item x="138"/>
        <item x="132"/>
        <item x="175"/>
        <item x="46"/>
        <item x="198"/>
        <item x="142"/>
        <item x="101"/>
        <item x="58"/>
        <item x="13"/>
        <item x="66"/>
        <item x="80"/>
        <item x="147"/>
        <item x="115"/>
        <item x="102"/>
        <item x="86"/>
        <item x="195"/>
        <item x="26"/>
        <item x="189"/>
        <item x="130"/>
        <item x="68"/>
        <item x="124"/>
        <item x="99"/>
        <item x="14"/>
        <item x="4"/>
        <item x="73"/>
        <item x="71"/>
        <item x="133"/>
        <item x="47"/>
        <item x="160"/>
        <item x="173"/>
        <item x="127"/>
        <item x="209"/>
        <item x="164"/>
        <item x="16"/>
        <item x="20"/>
        <item x="145"/>
        <item x="163"/>
        <item t="default"/>
      </items>
    </pivotField>
    <pivotField axis="axisRow" showAll="0">
      <items count="6">
        <item x="2"/>
        <item x="3"/>
        <item x="1"/>
        <item x="4"/>
        <item x="0"/>
        <item t="default"/>
      </items>
    </pivotField>
    <pivotField showAll="0">
      <items count="18">
        <item x="1"/>
        <item x="5"/>
        <item x="16"/>
        <item x="4"/>
        <item x="14"/>
        <item x="10"/>
        <item x="15"/>
        <item x="8"/>
        <item x="6"/>
        <item x="13"/>
        <item x="3"/>
        <item x="9"/>
        <item x="12"/>
        <item x="7"/>
        <item x="11"/>
        <item x="0"/>
        <item x="2"/>
        <item t="default"/>
      </items>
    </pivotField>
    <pivotField showAll="0">
      <items count="4">
        <item x="1"/>
        <item x="2"/>
        <item x="0"/>
        <item t="default"/>
      </items>
    </pivotField>
    <pivotField showAll="0">
      <items count="3">
        <item x="0"/>
        <item x="1"/>
        <item t="default"/>
      </items>
    </pivotField>
    <pivotField showAll="0">
      <items count="6">
        <item x="1"/>
        <item x="0"/>
        <item x="2"/>
        <item x="3"/>
        <item x="4"/>
        <item t="default"/>
      </items>
    </pivotField>
    <pivotField showAll="0"/>
    <pivotField showAll="0"/>
    <pivotField showAll="0">
      <items count="6">
        <item x="0"/>
        <item x="3"/>
        <item x="4"/>
        <item x="2"/>
        <item x="1"/>
        <item t="default"/>
      </items>
    </pivotField>
    <pivotField showAll="0"/>
    <pivotField showAll="0"/>
    <pivotField showAll="0"/>
    <pivotField axis="axisPage" dataField="1"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i>
    <i>
      <x v="1"/>
    </i>
    <i>
      <x v="2"/>
    </i>
    <i>
      <x v="3"/>
    </i>
    <i>
      <x v="4"/>
    </i>
    <i t="grand">
      <x/>
    </i>
  </rowItems>
  <colItems count="1">
    <i/>
  </colItems>
  <pageFields count="1">
    <pageField fld="14" hier="-1"/>
  </pageFields>
  <dataFields count="1">
    <dataField name="Count of Return_Status" fld="14"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D8F5F7-9F21-43A2-B0CE-2E7830607E35}" name="Category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E3:AF9" firstHeaderRow="1" firstDataRow="1" firstDataCol="1"/>
  <pivotFields count="17">
    <pivotField showAll="0"/>
    <pivotField showAll="0">
      <items count="3">
        <item x="0"/>
        <item x="1"/>
        <item t="default"/>
      </items>
    </pivotField>
    <pivotField numFmtId="14" showAll="0">
      <items count="215">
        <item x="176"/>
        <item x="141"/>
        <item x="90"/>
        <item x="206"/>
        <item x="19"/>
        <item x="59"/>
        <item x="112"/>
        <item x="40"/>
        <item x="9"/>
        <item x="24"/>
        <item x="53"/>
        <item x="35"/>
        <item x="178"/>
        <item x="113"/>
        <item x="49"/>
        <item x="180"/>
        <item x="56"/>
        <item x="96"/>
        <item x="200"/>
        <item x="210"/>
        <item x="42"/>
        <item x="103"/>
        <item x="120"/>
        <item x="151"/>
        <item x="152"/>
        <item x="207"/>
        <item x="52"/>
        <item x="0"/>
        <item x="34"/>
        <item x="183"/>
        <item x="196"/>
        <item x="212"/>
        <item x="31"/>
        <item x="36"/>
        <item x="166"/>
        <item x="139"/>
        <item x="39"/>
        <item x="63"/>
        <item x="155"/>
        <item x="7"/>
        <item x="188"/>
        <item x="54"/>
        <item x="116"/>
        <item x="18"/>
        <item x="75"/>
        <item x="213"/>
        <item x="30"/>
        <item x="79"/>
        <item x="81"/>
        <item x="100"/>
        <item x="121"/>
        <item x="126"/>
        <item x="169"/>
        <item x="106"/>
        <item x="77"/>
        <item x="182"/>
        <item x="1"/>
        <item x="5"/>
        <item x="78"/>
        <item x="41"/>
        <item x="108"/>
        <item x="57"/>
        <item x="157"/>
        <item x="67"/>
        <item x="91"/>
        <item x="187"/>
        <item x="104"/>
        <item x="197"/>
        <item x="162"/>
        <item x="43"/>
        <item x="17"/>
        <item x="150"/>
        <item x="22"/>
        <item x="136"/>
        <item x="144"/>
        <item x="204"/>
        <item x="97"/>
        <item x="93"/>
        <item x="15"/>
        <item x="6"/>
        <item x="149"/>
        <item x="92"/>
        <item x="50"/>
        <item x="84"/>
        <item x="158"/>
        <item x="51"/>
        <item x="105"/>
        <item x="148"/>
        <item x="174"/>
        <item x="202"/>
        <item x="2"/>
        <item x="55"/>
        <item x="23"/>
        <item x="146"/>
        <item x="170"/>
        <item x="27"/>
        <item x="161"/>
        <item x="111"/>
        <item x="122"/>
        <item x="62"/>
        <item x="3"/>
        <item x="129"/>
        <item x="186"/>
        <item x="89"/>
        <item x="8"/>
        <item x="44"/>
        <item x="123"/>
        <item x="192"/>
        <item x="10"/>
        <item x="114"/>
        <item x="118"/>
        <item x="29"/>
        <item x="76"/>
        <item x="69"/>
        <item x="131"/>
        <item x="25"/>
        <item x="203"/>
        <item x="172"/>
        <item x="72"/>
        <item x="32"/>
        <item x="98"/>
        <item x="179"/>
        <item x="38"/>
        <item x="181"/>
        <item x="117"/>
        <item x="109"/>
        <item x="211"/>
        <item x="110"/>
        <item x="168"/>
        <item x="135"/>
        <item x="65"/>
        <item x="156"/>
        <item x="184"/>
        <item x="85"/>
        <item x="74"/>
        <item x="33"/>
        <item x="11"/>
        <item x="194"/>
        <item x="208"/>
        <item x="45"/>
        <item x="140"/>
        <item x="107"/>
        <item x="61"/>
        <item x="94"/>
        <item x="177"/>
        <item x="167"/>
        <item x="125"/>
        <item x="64"/>
        <item x="48"/>
        <item x="37"/>
        <item x="28"/>
        <item x="205"/>
        <item x="199"/>
        <item x="193"/>
        <item x="153"/>
        <item x="143"/>
        <item x="134"/>
        <item x="12"/>
        <item x="70"/>
        <item x="21"/>
        <item x="88"/>
        <item x="137"/>
        <item x="159"/>
        <item x="191"/>
        <item x="201"/>
        <item x="185"/>
        <item x="154"/>
        <item x="165"/>
        <item x="60"/>
        <item x="95"/>
        <item x="87"/>
        <item x="83"/>
        <item x="128"/>
        <item x="119"/>
        <item x="190"/>
        <item x="171"/>
        <item x="82"/>
        <item x="138"/>
        <item x="132"/>
        <item x="175"/>
        <item x="46"/>
        <item x="198"/>
        <item x="142"/>
        <item x="101"/>
        <item x="58"/>
        <item x="13"/>
        <item x="66"/>
        <item x="80"/>
        <item x="147"/>
        <item x="115"/>
        <item x="102"/>
        <item x="86"/>
        <item x="195"/>
        <item x="26"/>
        <item x="189"/>
        <item x="130"/>
        <item x="68"/>
        <item x="124"/>
        <item x="99"/>
        <item x="14"/>
        <item x="4"/>
        <item x="73"/>
        <item x="71"/>
        <item x="133"/>
        <item x="47"/>
        <item x="160"/>
        <item x="173"/>
        <item x="127"/>
        <item x="209"/>
        <item x="164"/>
        <item x="16"/>
        <item x="20"/>
        <item x="145"/>
        <item x="163"/>
        <item t="default"/>
      </items>
    </pivotField>
    <pivotField axis="axisRow" showAll="0">
      <items count="6">
        <item x="2"/>
        <item x="3"/>
        <item x="1"/>
        <item x="4"/>
        <item x="0"/>
        <item t="default"/>
      </items>
    </pivotField>
    <pivotField showAll="0">
      <items count="18">
        <item x="1"/>
        <item x="5"/>
        <item x="16"/>
        <item x="4"/>
        <item x="14"/>
        <item x="10"/>
        <item x="15"/>
        <item x="8"/>
        <item x="6"/>
        <item x="13"/>
        <item x="3"/>
        <item x="9"/>
        <item x="12"/>
        <item x="7"/>
        <item x="11"/>
        <item x="0"/>
        <item x="2"/>
        <item t="default"/>
      </items>
    </pivotField>
    <pivotField showAll="0">
      <items count="4">
        <item x="1"/>
        <item x="2"/>
        <item x="0"/>
        <item t="default"/>
      </items>
    </pivotField>
    <pivotField showAll="0">
      <items count="3">
        <item x="0"/>
        <item x="1"/>
        <item t="default"/>
      </items>
    </pivotField>
    <pivotField showAll="0">
      <items count="6">
        <item x="1"/>
        <item x="0"/>
        <item x="2"/>
        <item x="3"/>
        <item x="4"/>
        <item t="default"/>
      </items>
    </pivotField>
    <pivotField showAll="0"/>
    <pivotField showAll="0"/>
    <pivotField showAll="0"/>
    <pivotField showAll="0"/>
    <pivotField showAll="0"/>
    <pivotField dataField="1"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i>
    <i>
      <x v="1"/>
    </i>
    <i>
      <x v="2"/>
    </i>
    <i>
      <x v="3"/>
    </i>
    <i>
      <x v="4"/>
    </i>
    <i t="grand">
      <x/>
    </i>
  </rowItems>
  <colItems count="1">
    <i/>
  </colItems>
  <dataFields count="1">
    <dataField name="Sum of Profit" fld="1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40BAEC-C195-45EA-AB19-32528A0F4790}" name="Uni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U3:V9" firstHeaderRow="1" firstDataRow="1" firstDataCol="1"/>
  <pivotFields count="17">
    <pivotField dataField="1" showAll="0"/>
    <pivotField showAll="0">
      <items count="3">
        <item x="0"/>
        <item x="1"/>
        <item t="default"/>
      </items>
    </pivotField>
    <pivotField numFmtId="14" showAll="0">
      <items count="215">
        <item x="176"/>
        <item x="141"/>
        <item x="90"/>
        <item x="206"/>
        <item x="19"/>
        <item x="59"/>
        <item x="112"/>
        <item x="40"/>
        <item x="9"/>
        <item x="24"/>
        <item x="53"/>
        <item x="35"/>
        <item x="178"/>
        <item x="113"/>
        <item x="49"/>
        <item x="180"/>
        <item x="56"/>
        <item x="96"/>
        <item x="200"/>
        <item x="210"/>
        <item x="42"/>
        <item x="103"/>
        <item x="120"/>
        <item x="151"/>
        <item x="152"/>
        <item x="207"/>
        <item x="52"/>
        <item x="0"/>
        <item x="34"/>
        <item x="183"/>
        <item x="196"/>
        <item x="212"/>
        <item x="31"/>
        <item x="36"/>
        <item x="166"/>
        <item x="139"/>
        <item x="39"/>
        <item x="63"/>
        <item x="155"/>
        <item x="7"/>
        <item x="188"/>
        <item x="54"/>
        <item x="116"/>
        <item x="18"/>
        <item x="75"/>
        <item x="213"/>
        <item x="30"/>
        <item x="79"/>
        <item x="81"/>
        <item x="100"/>
        <item x="121"/>
        <item x="126"/>
        <item x="169"/>
        <item x="106"/>
        <item x="77"/>
        <item x="182"/>
        <item x="1"/>
        <item x="5"/>
        <item x="78"/>
        <item x="41"/>
        <item x="108"/>
        <item x="57"/>
        <item x="157"/>
        <item x="67"/>
        <item x="91"/>
        <item x="187"/>
        <item x="104"/>
        <item x="197"/>
        <item x="162"/>
        <item x="43"/>
        <item x="17"/>
        <item x="150"/>
        <item x="22"/>
        <item x="136"/>
        <item x="144"/>
        <item x="204"/>
        <item x="97"/>
        <item x="93"/>
        <item x="15"/>
        <item x="6"/>
        <item x="149"/>
        <item x="92"/>
        <item x="50"/>
        <item x="84"/>
        <item x="158"/>
        <item x="51"/>
        <item x="105"/>
        <item x="148"/>
        <item x="174"/>
        <item x="202"/>
        <item x="2"/>
        <item x="55"/>
        <item x="23"/>
        <item x="146"/>
        <item x="170"/>
        <item x="27"/>
        <item x="161"/>
        <item x="111"/>
        <item x="122"/>
        <item x="62"/>
        <item x="3"/>
        <item x="129"/>
        <item x="186"/>
        <item x="89"/>
        <item x="8"/>
        <item x="44"/>
        <item x="123"/>
        <item x="192"/>
        <item x="10"/>
        <item x="114"/>
        <item x="118"/>
        <item x="29"/>
        <item x="76"/>
        <item x="69"/>
        <item x="131"/>
        <item x="25"/>
        <item x="203"/>
        <item x="172"/>
        <item x="72"/>
        <item x="32"/>
        <item x="98"/>
        <item x="179"/>
        <item x="38"/>
        <item x="181"/>
        <item x="117"/>
        <item x="109"/>
        <item x="211"/>
        <item x="110"/>
        <item x="168"/>
        <item x="135"/>
        <item x="65"/>
        <item x="156"/>
        <item x="184"/>
        <item x="85"/>
        <item x="74"/>
        <item x="33"/>
        <item x="11"/>
        <item x="194"/>
        <item x="208"/>
        <item x="45"/>
        <item x="140"/>
        <item x="107"/>
        <item x="61"/>
        <item x="94"/>
        <item x="177"/>
        <item x="167"/>
        <item x="125"/>
        <item x="64"/>
        <item x="48"/>
        <item x="37"/>
        <item x="28"/>
        <item x="205"/>
        <item x="199"/>
        <item x="193"/>
        <item x="153"/>
        <item x="143"/>
        <item x="134"/>
        <item x="12"/>
        <item x="70"/>
        <item x="21"/>
        <item x="88"/>
        <item x="137"/>
        <item x="159"/>
        <item x="191"/>
        <item x="201"/>
        <item x="185"/>
        <item x="154"/>
        <item x="165"/>
        <item x="60"/>
        <item x="95"/>
        <item x="87"/>
        <item x="83"/>
        <item x="128"/>
        <item x="119"/>
        <item x="190"/>
        <item x="171"/>
        <item x="82"/>
        <item x="138"/>
        <item x="132"/>
        <item x="175"/>
        <item x="46"/>
        <item x="198"/>
        <item x="142"/>
        <item x="101"/>
        <item x="58"/>
        <item x="13"/>
        <item x="66"/>
        <item x="80"/>
        <item x="147"/>
        <item x="115"/>
        <item x="102"/>
        <item x="86"/>
        <item x="195"/>
        <item x="26"/>
        <item x="189"/>
        <item x="130"/>
        <item x="68"/>
        <item x="124"/>
        <item x="99"/>
        <item x="14"/>
        <item x="4"/>
        <item x="73"/>
        <item x="71"/>
        <item x="133"/>
        <item x="47"/>
        <item x="160"/>
        <item x="173"/>
        <item x="127"/>
        <item x="209"/>
        <item x="164"/>
        <item x="16"/>
        <item x="20"/>
        <item x="145"/>
        <item x="163"/>
        <item t="default"/>
      </items>
    </pivotField>
    <pivotField showAll="0">
      <items count="6">
        <item x="2"/>
        <item x="3"/>
        <item x="1"/>
        <item x="4"/>
        <item x="0"/>
        <item t="default"/>
      </items>
    </pivotField>
    <pivotField showAll="0">
      <items count="18">
        <item x="1"/>
        <item x="5"/>
        <item x="16"/>
        <item x="4"/>
        <item x="14"/>
        <item x="10"/>
        <item x="15"/>
        <item x="8"/>
        <item x="6"/>
        <item x="13"/>
        <item x="3"/>
        <item x="9"/>
        <item x="12"/>
        <item x="7"/>
        <item x="11"/>
        <item x="0"/>
        <item x="2"/>
        <item t="default"/>
      </items>
    </pivotField>
    <pivotField showAll="0">
      <items count="4">
        <item x="1"/>
        <item x="2"/>
        <item x="0"/>
        <item t="default"/>
      </items>
    </pivotField>
    <pivotField showAll="0">
      <items count="3">
        <item x="0"/>
        <item x="1"/>
        <item t="default"/>
      </items>
    </pivotField>
    <pivotField axis="axisRow" showAll="0">
      <items count="6">
        <item x="1"/>
        <item x="0"/>
        <item x="2"/>
        <item x="3"/>
        <item x="4"/>
        <item t="default"/>
      </items>
    </pivotField>
    <pivotField showAll="0"/>
    <pivotField showAll="0"/>
    <pivotField showAll="0"/>
    <pivotField showAll="0"/>
    <pivotField showAll="0"/>
    <pivotField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6">
    <i>
      <x/>
    </i>
    <i>
      <x v="1"/>
    </i>
    <i>
      <x v="2"/>
    </i>
    <i>
      <x v="3"/>
    </i>
    <i>
      <x v="4"/>
    </i>
    <i t="grand">
      <x/>
    </i>
  </rowItems>
  <colItems count="1">
    <i/>
  </colItems>
  <dataFields count="1">
    <dataField name="Count of Customer_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414A2A-9D1E-41AE-9B27-001313E862A1}" name="Units_profit"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B3:AC9" firstHeaderRow="1" firstDataRow="1" firstDataCol="1"/>
  <pivotFields count="17">
    <pivotField showAll="0"/>
    <pivotField showAll="0">
      <items count="3">
        <item x="0"/>
        <item x="1"/>
        <item t="default"/>
      </items>
    </pivotField>
    <pivotField numFmtId="14" showAll="0">
      <items count="215">
        <item x="176"/>
        <item x="141"/>
        <item x="90"/>
        <item x="206"/>
        <item x="19"/>
        <item x="59"/>
        <item x="112"/>
        <item x="40"/>
        <item x="9"/>
        <item x="24"/>
        <item x="53"/>
        <item x="35"/>
        <item x="178"/>
        <item x="113"/>
        <item x="49"/>
        <item x="180"/>
        <item x="56"/>
        <item x="96"/>
        <item x="200"/>
        <item x="210"/>
        <item x="42"/>
        <item x="103"/>
        <item x="120"/>
        <item x="151"/>
        <item x="152"/>
        <item x="207"/>
        <item x="52"/>
        <item x="0"/>
        <item x="34"/>
        <item x="183"/>
        <item x="196"/>
        <item x="212"/>
        <item x="31"/>
        <item x="36"/>
        <item x="166"/>
        <item x="139"/>
        <item x="39"/>
        <item x="63"/>
        <item x="155"/>
        <item x="7"/>
        <item x="188"/>
        <item x="54"/>
        <item x="116"/>
        <item x="18"/>
        <item x="75"/>
        <item x="213"/>
        <item x="30"/>
        <item x="79"/>
        <item x="81"/>
        <item x="100"/>
        <item x="121"/>
        <item x="126"/>
        <item x="169"/>
        <item x="106"/>
        <item x="77"/>
        <item x="182"/>
        <item x="1"/>
        <item x="5"/>
        <item x="78"/>
        <item x="41"/>
        <item x="108"/>
        <item x="57"/>
        <item x="157"/>
        <item x="67"/>
        <item x="91"/>
        <item x="187"/>
        <item x="104"/>
        <item x="197"/>
        <item x="162"/>
        <item x="43"/>
        <item x="17"/>
        <item x="150"/>
        <item x="22"/>
        <item x="136"/>
        <item x="144"/>
        <item x="204"/>
        <item x="97"/>
        <item x="93"/>
        <item x="15"/>
        <item x="6"/>
        <item x="149"/>
        <item x="92"/>
        <item x="50"/>
        <item x="84"/>
        <item x="158"/>
        <item x="51"/>
        <item x="105"/>
        <item x="148"/>
        <item x="174"/>
        <item x="202"/>
        <item x="2"/>
        <item x="55"/>
        <item x="23"/>
        <item x="146"/>
        <item x="170"/>
        <item x="27"/>
        <item x="161"/>
        <item x="111"/>
        <item x="122"/>
        <item x="62"/>
        <item x="3"/>
        <item x="129"/>
        <item x="186"/>
        <item x="89"/>
        <item x="8"/>
        <item x="44"/>
        <item x="123"/>
        <item x="192"/>
        <item x="10"/>
        <item x="114"/>
        <item x="118"/>
        <item x="29"/>
        <item x="76"/>
        <item x="69"/>
        <item x="131"/>
        <item x="25"/>
        <item x="203"/>
        <item x="172"/>
        <item x="72"/>
        <item x="32"/>
        <item x="98"/>
        <item x="179"/>
        <item x="38"/>
        <item x="181"/>
        <item x="117"/>
        <item x="109"/>
        <item x="211"/>
        <item x="110"/>
        <item x="168"/>
        <item x="135"/>
        <item x="65"/>
        <item x="156"/>
        <item x="184"/>
        <item x="85"/>
        <item x="74"/>
        <item x="33"/>
        <item x="11"/>
        <item x="194"/>
        <item x="208"/>
        <item x="45"/>
        <item x="140"/>
        <item x="107"/>
        <item x="61"/>
        <item x="94"/>
        <item x="177"/>
        <item x="167"/>
        <item x="125"/>
        <item x="64"/>
        <item x="48"/>
        <item x="37"/>
        <item x="28"/>
        <item x="205"/>
        <item x="199"/>
        <item x="193"/>
        <item x="153"/>
        <item x="143"/>
        <item x="134"/>
        <item x="12"/>
        <item x="70"/>
        <item x="21"/>
        <item x="88"/>
        <item x="137"/>
        <item x="159"/>
        <item x="191"/>
        <item x="201"/>
        <item x="185"/>
        <item x="154"/>
        <item x="165"/>
        <item x="60"/>
        <item x="95"/>
        <item x="87"/>
        <item x="83"/>
        <item x="128"/>
        <item x="119"/>
        <item x="190"/>
        <item x="171"/>
        <item x="82"/>
        <item x="138"/>
        <item x="132"/>
        <item x="175"/>
        <item x="46"/>
        <item x="198"/>
        <item x="142"/>
        <item x="101"/>
        <item x="58"/>
        <item x="13"/>
        <item x="66"/>
        <item x="80"/>
        <item x="147"/>
        <item x="115"/>
        <item x="102"/>
        <item x="86"/>
        <item x="195"/>
        <item x="26"/>
        <item x="189"/>
        <item x="130"/>
        <item x="68"/>
        <item x="124"/>
        <item x="99"/>
        <item x="14"/>
        <item x="4"/>
        <item x="73"/>
        <item x="71"/>
        <item x="133"/>
        <item x="47"/>
        <item x="160"/>
        <item x="173"/>
        <item x="127"/>
        <item x="209"/>
        <item x="164"/>
        <item x="16"/>
        <item x="20"/>
        <item x="145"/>
        <item x="163"/>
        <item t="default"/>
      </items>
    </pivotField>
    <pivotField showAll="0">
      <items count="6">
        <item x="2"/>
        <item x="3"/>
        <item x="1"/>
        <item x="4"/>
        <item x="0"/>
        <item t="default"/>
      </items>
    </pivotField>
    <pivotField showAll="0">
      <items count="18">
        <item x="1"/>
        <item x="5"/>
        <item x="16"/>
        <item x="4"/>
        <item x="14"/>
        <item x="10"/>
        <item x="15"/>
        <item x="8"/>
        <item x="6"/>
        <item x="13"/>
        <item x="3"/>
        <item x="9"/>
        <item x="12"/>
        <item x="7"/>
        <item x="11"/>
        <item x="0"/>
        <item x="2"/>
        <item t="default"/>
      </items>
    </pivotField>
    <pivotField showAll="0">
      <items count="4">
        <item x="1"/>
        <item x="2"/>
        <item x="0"/>
        <item t="default"/>
      </items>
    </pivotField>
    <pivotField showAll="0">
      <items count="3">
        <item x="0"/>
        <item x="1"/>
        <item t="default"/>
      </items>
    </pivotField>
    <pivotField axis="axisRow" showAll="0">
      <items count="6">
        <item x="1"/>
        <item x="0"/>
        <item x="2"/>
        <item x="3"/>
        <item x="4"/>
        <item t="default"/>
      </items>
    </pivotField>
    <pivotField showAll="0"/>
    <pivotField showAll="0"/>
    <pivotField showAll="0"/>
    <pivotField showAll="0"/>
    <pivotField showAll="0"/>
    <pivotField dataField="1"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6">
    <i>
      <x/>
    </i>
    <i>
      <x v="1"/>
    </i>
    <i>
      <x v="2"/>
    </i>
    <i>
      <x v="3"/>
    </i>
    <i>
      <x v="4"/>
    </i>
    <i t="grand">
      <x/>
    </i>
  </rowItems>
  <colItems count="1">
    <i/>
  </colItems>
  <dataFields count="1">
    <dataField name="Sum of Profit" fld="13" baseField="0" baseItem="0"/>
  </dataFields>
  <chartFormats count="12">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7" count="1" selected="0">
            <x v="0"/>
          </reference>
        </references>
      </pivotArea>
    </chartFormat>
    <chartFormat chart="5" format="9">
      <pivotArea type="data" outline="0" fieldPosition="0">
        <references count="2">
          <reference field="4294967294" count="1" selected="0">
            <x v="0"/>
          </reference>
          <reference field="7" count="1" selected="0">
            <x v="1"/>
          </reference>
        </references>
      </pivotArea>
    </chartFormat>
    <chartFormat chart="5" format="10">
      <pivotArea type="data" outline="0" fieldPosition="0">
        <references count="2">
          <reference field="4294967294" count="1" selected="0">
            <x v="0"/>
          </reference>
          <reference field="7" count="1" selected="0">
            <x v="2"/>
          </reference>
        </references>
      </pivotArea>
    </chartFormat>
    <chartFormat chart="5" format="11">
      <pivotArea type="data" outline="0" fieldPosition="0">
        <references count="2">
          <reference field="4294967294" count="1" selected="0">
            <x v="0"/>
          </reference>
          <reference field="7" count="1" selected="0">
            <x v="3"/>
          </reference>
        </references>
      </pivotArea>
    </chartFormat>
    <chartFormat chart="5" format="12">
      <pivotArea type="data" outline="0" fieldPosition="0">
        <references count="2">
          <reference field="4294967294" count="1" selected="0">
            <x v="0"/>
          </reference>
          <reference field="7" count="1" selected="0">
            <x v="4"/>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2C260F-E8E8-486F-A4C1-BBEC2267A087}" name="Month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F11" firstHeaderRow="1" firstDataRow="1" firstDataCol="1"/>
  <pivotFields count="17">
    <pivotField dataField="1" showAll="0"/>
    <pivotField showAll="0">
      <items count="3">
        <item x="0"/>
        <item x="1"/>
        <item t="default"/>
      </items>
    </pivotField>
    <pivotField axis="axisRow" numFmtId="14" showAll="0">
      <items count="215">
        <item x="176"/>
        <item x="141"/>
        <item x="90"/>
        <item x="206"/>
        <item x="19"/>
        <item x="59"/>
        <item x="112"/>
        <item x="40"/>
        <item x="9"/>
        <item x="24"/>
        <item x="53"/>
        <item x="35"/>
        <item x="178"/>
        <item x="113"/>
        <item x="49"/>
        <item x="180"/>
        <item x="56"/>
        <item x="96"/>
        <item x="200"/>
        <item x="210"/>
        <item x="42"/>
        <item x="103"/>
        <item x="120"/>
        <item x="151"/>
        <item x="152"/>
        <item x="207"/>
        <item x="52"/>
        <item x="0"/>
        <item x="34"/>
        <item x="183"/>
        <item x="196"/>
        <item x="212"/>
        <item x="31"/>
        <item x="36"/>
        <item x="166"/>
        <item x="139"/>
        <item x="39"/>
        <item x="63"/>
        <item x="155"/>
        <item x="7"/>
        <item x="188"/>
        <item x="54"/>
        <item x="116"/>
        <item x="18"/>
        <item x="75"/>
        <item x="213"/>
        <item x="30"/>
        <item x="79"/>
        <item x="81"/>
        <item x="100"/>
        <item x="121"/>
        <item x="126"/>
        <item x="169"/>
        <item x="106"/>
        <item x="77"/>
        <item x="182"/>
        <item x="1"/>
        <item x="5"/>
        <item x="78"/>
        <item x="41"/>
        <item x="108"/>
        <item x="57"/>
        <item x="157"/>
        <item x="67"/>
        <item x="91"/>
        <item x="187"/>
        <item x="104"/>
        <item x="197"/>
        <item x="162"/>
        <item x="43"/>
        <item x="17"/>
        <item x="150"/>
        <item x="22"/>
        <item x="136"/>
        <item x="144"/>
        <item x="204"/>
        <item x="97"/>
        <item x="93"/>
        <item x="15"/>
        <item x="6"/>
        <item x="149"/>
        <item x="92"/>
        <item x="50"/>
        <item x="84"/>
        <item x="158"/>
        <item x="51"/>
        <item x="105"/>
        <item x="148"/>
        <item x="174"/>
        <item x="202"/>
        <item x="2"/>
        <item x="55"/>
        <item x="23"/>
        <item x="146"/>
        <item x="170"/>
        <item x="27"/>
        <item x="161"/>
        <item x="111"/>
        <item x="122"/>
        <item x="62"/>
        <item x="3"/>
        <item x="129"/>
        <item x="186"/>
        <item x="89"/>
        <item x="8"/>
        <item x="44"/>
        <item x="123"/>
        <item x="192"/>
        <item x="10"/>
        <item x="114"/>
        <item x="118"/>
        <item x="29"/>
        <item x="76"/>
        <item x="69"/>
        <item x="131"/>
        <item x="25"/>
        <item x="203"/>
        <item x="172"/>
        <item x="72"/>
        <item x="32"/>
        <item x="98"/>
        <item x="179"/>
        <item x="38"/>
        <item x="181"/>
        <item x="117"/>
        <item x="109"/>
        <item x="211"/>
        <item x="110"/>
        <item x="168"/>
        <item x="135"/>
        <item x="65"/>
        <item x="156"/>
        <item x="184"/>
        <item x="85"/>
        <item x="74"/>
        <item x="33"/>
        <item x="11"/>
        <item x="194"/>
        <item x="208"/>
        <item x="45"/>
        <item x="140"/>
        <item x="107"/>
        <item x="61"/>
        <item x="94"/>
        <item x="177"/>
        <item x="167"/>
        <item x="125"/>
        <item x="64"/>
        <item x="48"/>
        <item x="37"/>
        <item x="28"/>
        <item x="205"/>
        <item x="199"/>
        <item x="193"/>
        <item x="153"/>
        <item x="143"/>
        <item x="134"/>
        <item x="12"/>
        <item x="70"/>
        <item x="21"/>
        <item x="88"/>
        <item x="137"/>
        <item x="159"/>
        <item x="191"/>
        <item x="201"/>
        <item x="185"/>
        <item x="154"/>
        <item x="165"/>
        <item x="60"/>
        <item x="95"/>
        <item x="87"/>
        <item x="83"/>
        <item x="128"/>
        <item x="119"/>
        <item x="190"/>
        <item x="171"/>
        <item x="82"/>
        <item x="138"/>
        <item x="132"/>
        <item x="175"/>
        <item x="46"/>
        <item x="198"/>
        <item x="142"/>
        <item x="101"/>
        <item x="58"/>
        <item x="13"/>
        <item x="66"/>
        <item x="80"/>
        <item x="147"/>
        <item x="115"/>
        <item x="102"/>
        <item x="86"/>
        <item x="195"/>
        <item x="26"/>
        <item x="189"/>
        <item x="130"/>
        <item x="68"/>
        <item x="124"/>
        <item x="99"/>
        <item x="14"/>
        <item x="4"/>
        <item x="73"/>
        <item x="71"/>
        <item x="133"/>
        <item x="47"/>
        <item x="160"/>
        <item x="173"/>
        <item x="127"/>
        <item x="209"/>
        <item x="164"/>
        <item x="16"/>
        <item x="20"/>
        <item x="145"/>
        <item x="163"/>
        <item t="default"/>
      </items>
    </pivotField>
    <pivotField showAll="0">
      <items count="6">
        <item x="2"/>
        <item x="3"/>
        <item x="1"/>
        <item x="4"/>
        <item x="0"/>
        <item t="default"/>
      </items>
    </pivotField>
    <pivotField showAll="0">
      <items count="18">
        <item x="1"/>
        <item x="5"/>
        <item x="16"/>
        <item x="4"/>
        <item x="14"/>
        <item x="10"/>
        <item x="15"/>
        <item x="8"/>
        <item x="6"/>
        <item x="13"/>
        <item x="3"/>
        <item x="9"/>
        <item x="12"/>
        <item x="7"/>
        <item x="11"/>
        <item x="0"/>
        <item x="2"/>
        <item t="default"/>
      </items>
    </pivotField>
    <pivotField showAll="0"/>
    <pivotField showAll="0">
      <items count="3">
        <item x="0"/>
        <item x="1"/>
        <item t="default"/>
      </items>
    </pivotField>
    <pivotField showAll="0">
      <items count="6">
        <item x="1"/>
        <item x="0"/>
        <item x="2"/>
        <item x="3"/>
        <item x="4"/>
        <item t="default"/>
      </items>
    </pivotField>
    <pivotField showAll="0"/>
    <pivotField showAll="0"/>
    <pivotField showAll="0"/>
    <pivotField showAll="0"/>
    <pivotField showAll="0"/>
    <pivotField showAll="0"/>
    <pivotField showAll="0">
      <items count="3">
        <item x="0"/>
        <item x="1"/>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6"/>
    <field x="15"/>
    <field x="2"/>
  </rowFields>
  <rowItems count="8">
    <i>
      <x v="6"/>
    </i>
    <i>
      <x v="7"/>
    </i>
    <i>
      <x v="8"/>
    </i>
    <i>
      <x v="9"/>
    </i>
    <i>
      <x v="10"/>
    </i>
    <i>
      <x v="11"/>
    </i>
    <i>
      <x v="12"/>
    </i>
    <i t="grand">
      <x/>
    </i>
  </rowItems>
  <colItems count="1">
    <i/>
  </colItems>
  <dataFields count="1">
    <dataField name="Month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6D141B-1D61-41A7-BEB9-44BDFC35EA33}" name="Product_na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3:O21" firstHeaderRow="1" firstDataRow="1" firstDataCol="1"/>
  <pivotFields count="17">
    <pivotField dataField="1" showAll="0"/>
    <pivotField showAll="0">
      <items count="3">
        <item x="0"/>
        <item x="1"/>
        <item t="default"/>
      </items>
    </pivotField>
    <pivotField numFmtId="14" showAll="0">
      <items count="215">
        <item x="176"/>
        <item x="141"/>
        <item x="90"/>
        <item x="206"/>
        <item x="19"/>
        <item x="59"/>
        <item x="112"/>
        <item x="40"/>
        <item x="9"/>
        <item x="24"/>
        <item x="53"/>
        <item x="35"/>
        <item x="178"/>
        <item x="113"/>
        <item x="49"/>
        <item x="180"/>
        <item x="56"/>
        <item x="96"/>
        <item x="200"/>
        <item x="210"/>
        <item x="42"/>
        <item x="103"/>
        <item x="120"/>
        <item x="151"/>
        <item x="152"/>
        <item x="207"/>
        <item x="52"/>
        <item x="0"/>
        <item x="34"/>
        <item x="183"/>
        <item x="196"/>
        <item x="212"/>
        <item x="31"/>
        <item x="36"/>
        <item x="166"/>
        <item x="139"/>
        <item x="39"/>
        <item x="63"/>
        <item x="155"/>
        <item x="7"/>
        <item x="188"/>
        <item x="54"/>
        <item x="116"/>
        <item x="18"/>
        <item x="75"/>
        <item x="213"/>
        <item x="30"/>
        <item x="79"/>
        <item x="81"/>
        <item x="100"/>
        <item x="121"/>
        <item x="126"/>
        <item x="169"/>
        <item x="106"/>
        <item x="77"/>
        <item x="182"/>
        <item x="1"/>
        <item x="5"/>
        <item x="78"/>
        <item x="41"/>
        <item x="108"/>
        <item x="57"/>
        <item x="157"/>
        <item x="67"/>
        <item x="91"/>
        <item x="187"/>
        <item x="104"/>
        <item x="197"/>
        <item x="162"/>
        <item x="43"/>
        <item x="17"/>
        <item x="150"/>
        <item x="22"/>
        <item x="136"/>
        <item x="144"/>
        <item x="204"/>
        <item x="97"/>
        <item x="93"/>
        <item x="15"/>
        <item x="6"/>
        <item x="149"/>
        <item x="92"/>
        <item x="50"/>
        <item x="84"/>
        <item x="158"/>
        <item x="51"/>
        <item x="105"/>
        <item x="148"/>
        <item x="174"/>
        <item x="202"/>
        <item x="2"/>
        <item x="55"/>
        <item x="23"/>
        <item x="146"/>
        <item x="170"/>
        <item x="27"/>
        <item x="161"/>
        <item x="111"/>
        <item x="122"/>
        <item x="62"/>
        <item x="3"/>
        <item x="129"/>
        <item x="186"/>
        <item x="89"/>
        <item x="8"/>
        <item x="44"/>
        <item x="123"/>
        <item x="192"/>
        <item x="10"/>
        <item x="114"/>
        <item x="118"/>
        <item x="29"/>
        <item x="76"/>
        <item x="69"/>
        <item x="131"/>
        <item x="25"/>
        <item x="203"/>
        <item x="172"/>
        <item x="72"/>
        <item x="32"/>
        <item x="98"/>
        <item x="179"/>
        <item x="38"/>
        <item x="181"/>
        <item x="117"/>
        <item x="109"/>
        <item x="211"/>
        <item x="110"/>
        <item x="168"/>
        <item x="135"/>
        <item x="65"/>
        <item x="156"/>
        <item x="184"/>
        <item x="85"/>
        <item x="74"/>
        <item x="33"/>
        <item x="11"/>
        <item x="194"/>
        <item x="208"/>
        <item x="45"/>
        <item x="140"/>
        <item x="107"/>
        <item x="61"/>
        <item x="94"/>
        <item x="177"/>
        <item x="167"/>
        <item x="125"/>
        <item x="64"/>
        <item x="48"/>
        <item x="37"/>
        <item x="28"/>
        <item x="205"/>
        <item x="199"/>
        <item x="193"/>
        <item x="153"/>
        <item x="143"/>
        <item x="134"/>
        <item x="12"/>
        <item x="70"/>
        <item x="21"/>
        <item x="88"/>
        <item x="137"/>
        <item x="159"/>
        <item x="191"/>
        <item x="201"/>
        <item x="185"/>
        <item x="154"/>
        <item x="165"/>
        <item x="60"/>
        <item x="95"/>
        <item x="87"/>
        <item x="83"/>
        <item x="128"/>
        <item x="119"/>
        <item x="190"/>
        <item x="171"/>
        <item x="82"/>
        <item x="138"/>
        <item x="132"/>
        <item x="175"/>
        <item x="46"/>
        <item x="198"/>
        <item x="142"/>
        <item x="101"/>
        <item x="58"/>
        <item x="13"/>
        <item x="66"/>
        <item x="80"/>
        <item x="147"/>
        <item x="115"/>
        <item x="102"/>
        <item x="86"/>
        <item x="195"/>
        <item x="26"/>
        <item x="189"/>
        <item x="130"/>
        <item x="68"/>
        <item x="124"/>
        <item x="99"/>
        <item x="14"/>
        <item x="4"/>
        <item x="73"/>
        <item x="71"/>
        <item x="133"/>
        <item x="47"/>
        <item x="160"/>
        <item x="173"/>
        <item x="127"/>
        <item x="209"/>
        <item x="164"/>
        <item x="16"/>
        <item x="20"/>
        <item x="145"/>
        <item x="163"/>
        <item t="default"/>
      </items>
    </pivotField>
    <pivotField showAll="0">
      <items count="6">
        <item x="2"/>
        <item x="3"/>
        <item x="1"/>
        <item x="4"/>
        <item x="0"/>
        <item t="default"/>
      </items>
    </pivotField>
    <pivotField axis="axisRow" showAll="0">
      <items count="18">
        <item x="1"/>
        <item x="5"/>
        <item x="16"/>
        <item x="4"/>
        <item x="14"/>
        <item x="10"/>
        <item x="15"/>
        <item x="8"/>
        <item x="6"/>
        <item x="13"/>
        <item x="3"/>
        <item x="9"/>
        <item x="12"/>
        <item x="7"/>
        <item x="11"/>
        <item x="0"/>
        <item x="2"/>
        <item t="default"/>
      </items>
    </pivotField>
    <pivotField showAll="0"/>
    <pivotField showAll="0">
      <items count="3">
        <item x="0"/>
        <item x="1"/>
        <item t="default"/>
      </items>
    </pivotField>
    <pivotField showAll="0">
      <items count="6">
        <item x="1"/>
        <item x="0"/>
        <item x="2"/>
        <item x="3"/>
        <item x="4"/>
        <item t="default"/>
      </items>
    </pivotField>
    <pivotField showAll="0"/>
    <pivotField showAll="0"/>
    <pivotField showAll="0"/>
    <pivotField showAll="0"/>
    <pivotField showAll="0"/>
    <pivotField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Count of Customer_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15E76D-B852-4B4C-9457-CAEDEB7259B2}" name="Sales_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R11:S14" firstHeaderRow="1" firstDataRow="1" firstDataCol="1"/>
  <pivotFields count="17">
    <pivotField dataField="1" showAll="0"/>
    <pivotField showAll="0">
      <items count="3">
        <item x="0"/>
        <item x="1"/>
        <item t="default"/>
      </items>
    </pivotField>
    <pivotField numFmtId="14" showAll="0">
      <items count="215">
        <item x="176"/>
        <item x="141"/>
        <item x="90"/>
        <item x="206"/>
        <item x="19"/>
        <item x="59"/>
        <item x="112"/>
        <item x="40"/>
        <item x="9"/>
        <item x="24"/>
        <item x="53"/>
        <item x="35"/>
        <item x="178"/>
        <item x="113"/>
        <item x="49"/>
        <item x="180"/>
        <item x="56"/>
        <item x="96"/>
        <item x="200"/>
        <item x="210"/>
        <item x="42"/>
        <item x="103"/>
        <item x="120"/>
        <item x="151"/>
        <item x="152"/>
        <item x="207"/>
        <item x="52"/>
        <item x="0"/>
        <item x="34"/>
        <item x="183"/>
        <item x="196"/>
        <item x="212"/>
        <item x="31"/>
        <item x="36"/>
        <item x="166"/>
        <item x="139"/>
        <item x="39"/>
        <item x="63"/>
        <item x="155"/>
        <item x="7"/>
        <item x="188"/>
        <item x="54"/>
        <item x="116"/>
        <item x="18"/>
        <item x="75"/>
        <item x="213"/>
        <item x="30"/>
        <item x="79"/>
        <item x="81"/>
        <item x="100"/>
        <item x="121"/>
        <item x="126"/>
        <item x="169"/>
        <item x="106"/>
        <item x="77"/>
        <item x="182"/>
        <item x="1"/>
        <item x="5"/>
        <item x="78"/>
        <item x="41"/>
        <item x="108"/>
        <item x="57"/>
        <item x="157"/>
        <item x="67"/>
        <item x="91"/>
        <item x="187"/>
        <item x="104"/>
        <item x="197"/>
        <item x="162"/>
        <item x="43"/>
        <item x="17"/>
        <item x="150"/>
        <item x="22"/>
        <item x="136"/>
        <item x="144"/>
        <item x="204"/>
        <item x="97"/>
        <item x="93"/>
        <item x="15"/>
        <item x="6"/>
        <item x="149"/>
        <item x="92"/>
        <item x="50"/>
        <item x="84"/>
        <item x="158"/>
        <item x="51"/>
        <item x="105"/>
        <item x="148"/>
        <item x="174"/>
        <item x="202"/>
        <item x="2"/>
        <item x="55"/>
        <item x="23"/>
        <item x="146"/>
        <item x="170"/>
        <item x="27"/>
        <item x="161"/>
        <item x="111"/>
        <item x="122"/>
        <item x="62"/>
        <item x="3"/>
        <item x="129"/>
        <item x="186"/>
        <item x="89"/>
        <item x="8"/>
        <item x="44"/>
        <item x="123"/>
        <item x="192"/>
        <item x="10"/>
        <item x="114"/>
        <item x="118"/>
        <item x="29"/>
        <item x="76"/>
        <item x="69"/>
        <item x="131"/>
        <item x="25"/>
        <item x="203"/>
        <item x="172"/>
        <item x="72"/>
        <item x="32"/>
        <item x="98"/>
        <item x="179"/>
        <item x="38"/>
        <item x="181"/>
        <item x="117"/>
        <item x="109"/>
        <item x="211"/>
        <item x="110"/>
        <item x="168"/>
        <item x="135"/>
        <item x="65"/>
        <item x="156"/>
        <item x="184"/>
        <item x="85"/>
        <item x="74"/>
        <item x="33"/>
        <item x="11"/>
        <item x="194"/>
        <item x="208"/>
        <item x="45"/>
        <item x="140"/>
        <item x="107"/>
        <item x="61"/>
        <item x="94"/>
        <item x="177"/>
        <item x="167"/>
        <item x="125"/>
        <item x="64"/>
        <item x="48"/>
        <item x="37"/>
        <item x="28"/>
        <item x="205"/>
        <item x="199"/>
        <item x="193"/>
        <item x="153"/>
        <item x="143"/>
        <item x="134"/>
        <item x="12"/>
        <item x="70"/>
        <item x="21"/>
        <item x="88"/>
        <item x="137"/>
        <item x="159"/>
        <item x="191"/>
        <item x="201"/>
        <item x="185"/>
        <item x="154"/>
        <item x="165"/>
        <item x="60"/>
        <item x="95"/>
        <item x="87"/>
        <item x="83"/>
        <item x="128"/>
        <item x="119"/>
        <item x="190"/>
        <item x="171"/>
        <item x="82"/>
        <item x="138"/>
        <item x="132"/>
        <item x="175"/>
        <item x="46"/>
        <item x="198"/>
        <item x="142"/>
        <item x="101"/>
        <item x="58"/>
        <item x="13"/>
        <item x="66"/>
        <item x="80"/>
        <item x="147"/>
        <item x="115"/>
        <item x="102"/>
        <item x="86"/>
        <item x="195"/>
        <item x="26"/>
        <item x="189"/>
        <item x="130"/>
        <item x="68"/>
        <item x="124"/>
        <item x="99"/>
        <item x="14"/>
        <item x="4"/>
        <item x="73"/>
        <item x="71"/>
        <item x="133"/>
        <item x="47"/>
        <item x="160"/>
        <item x="173"/>
        <item x="127"/>
        <item x="209"/>
        <item x="164"/>
        <item x="16"/>
        <item x="20"/>
        <item x="145"/>
        <item x="163"/>
        <item t="default"/>
      </items>
    </pivotField>
    <pivotField showAll="0">
      <items count="6">
        <item x="2"/>
        <item x="3"/>
        <item x="1"/>
        <item x="4"/>
        <item x="0"/>
        <item t="default"/>
      </items>
    </pivotField>
    <pivotField showAll="0">
      <items count="18">
        <item x="1"/>
        <item x="5"/>
        <item x="16"/>
        <item x="4"/>
        <item x="14"/>
        <item x="10"/>
        <item x="15"/>
        <item x="8"/>
        <item x="6"/>
        <item x="13"/>
        <item x="3"/>
        <item x="9"/>
        <item x="12"/>
        <item x="7"/>
        <item x="11"/>
        <item x="0"/>
        <item x="2"/>
        <item t="default"/>
      </items>
    </pivotField>
    <pivotField showAll="0">
      <items count="4">
        <item x="1"/>
        <item x="2"/>
        <item x="0"/>
        <item t="default"/>
      </items>
    </pivotField>
    <pivotField axis="axisRow" showAll="0">
      <items count="3">
        <item x="0"/>
        <item x="1"/>
        <item t="default"/>
      </items>
    </pivotField>
    <pivotField showAll="0">
      <items count="6">
        <item x="1"/>
        <item x="0"/>
        <item x="2"/>
        <item x="3"/>
        <item x="4"/>
        <item t="default"/>
      </items>
    </pivotField>
    <pivotField showAll="0"/>
    <pivotField showAll="0"/>
    <pivotField showAll="0"/>
    <pivotField showAll="0"/>
    <pivotField showAll="0"/>
    <pivotField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3">
    <i>
      <x/>
    </i>
    <i>
      <x v="1"/>
    </i>
    <i t="grand">
      <x/>
    </i>
  </rowItems>
  <colItems count="1">
    <i/>
  </colItems>
  <dataFields count="1">
    <dataField name="Count of Customer_Name" fld="0" subtotal="count" baseField="0" baseItem="0"/>
  </dataFields>
  <chartFormats count="3">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C44AA1-4F8E-47C9-A05E-5091422938FD}"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6" firstHeaderRow="1" firstDataRow="1" firstDataCol="1"/>
  <pivotFields count="17">
    <pivotField dataField="1" showAll="0"/>
    <pivotField axis="axisRow" showAll="0">
      <items count="3">
        <item x="0"/>
        <item x="1"/>
        <item t="default"/>
      </items>
    </pivotField>
    <pivotField numFmtId="14" showAll="0">
      <items count="215">
        <item x="176"/>
        <item x="141"/>
        <item x="90"/>
        <item x="206"/>
        <item x="19"/>
        <item x="59"/>
        <item x="112"/>
        <item x="40"/>
        <item x="9"/>
        <item x="24"/>
        <item x="53"/>
        <item x="35"/>
        <item x="178"/>
        <item x="113"/>
        <item x="49"/>
        <item x="180"/>
        <item x="56"/>
        <item x="96"/>
        <item x="200"/>
        <item x="210"/>
        <item x="42"/>
        <item x="103"/>
        <item x="120"/>
        <item x="151"/>
        <item x="152"/>
        <item x="207"/>
        <item x="52"/>
        <item x="0"/>
        <item x="34"/>
        <item x="183"/>
        <item x="196"/>
        <item x="212"/>
        <item x="31"/>
        <item x="36"/>
        <item x="166"/>
        <item x="139"/>
        <item x="39"/>
        <item x="63"/>
        <item x="155"/>
        <item x="7"/>
        <item x="188"/>
        <item x="54"/>
        <item x="116"/>
        <item x="18"/>
        <item x="75"/>
        <item x="213"/>
        <item x="30"/>
        <item x="79"/>
        <item x="81"/>
        <item x="100"/>
        <item x="121"/>
        <item x="126"/>
        <item x="169"/>
        <item x="106"/>
        <item x="77"/>
        <item x="182"/>
        <item x="1"/>
        <item x="5"/>
        <item x="78"/>
        <item x="41"/>
        <item x="108"/>
        <item x="57"/>
        <item x="157"/>
        <item x="67"/>
        <item x="91"/>
        <item x="187"/>
        <item x="104"/>
        <item x="197"/>
        <item x="162"/>
        <item x="43"/>
        <item x="17"/>
        <item x="150"/>
        <item x="22"/>
        <item x="136"/>
        <item x="144"/>
        <item x="204"/>
        <item x="97"/>
        <item x="93"/>
        <item x="15"/>
        <item x="6"/>
        <item x="149"/>
        <item x="92"/>
        <item x="50"/>
        <item x="84"/>
        <item x="158"/>
        <item x="51"/>
        <item x="105"/>
        <item x="148"/>
        <item x="174"/>
        <item x="202"/>
        <item x="2"/>
        <item x="55"/>
        <item x="23"/>
        <item x="146"/>
        <item x="170"/>
        <item x="27"/>
        <item x="161"/>
        <item x="111"/>
        <item x="122"/>
        <item x="62"/>
        <item x="3"/>
        <item x="129"/>
        <item x="186"/>
        <item x="89"/>
        <item x="8"/>
        <item x="44"/>
        <item x="123"/>
        <item x="192"/>
        <item x="10"/>
        <item x="114"/>
        <item x="118"/>
        <item x="29"/>
        <item x="76"/>
        <item x="69"/>
        <item x="131"/>
        <item x="25"/>
        <item x="203"/>
        <item x="172"/>
        <item x="72"/>
        <item x="32"/>
        <item x="98"/>
        <item x="179"/>
        <item x="38"/>
        <item x="181"/>
        <item x="117"/>
        <item x="109"/>
        <item x="211"/>
        <item x="110"/>
        <item x="168"/>
        <item x="135"/>
        <item x="65"/>
        <item x="156"/>
        <item x="184"/>
        <item x="85"/>
        <item x="74"/>
        <item x="33"/>
        <item x="11"/>
        <item x="194"/>
        <item x="208"/>
        <item x="45"/>
        <item x="140"/>
        <item x="107"/>
        <item x="61"/>
        <item x="94"/>
        <item x="177"/>
        <item x="167"/>
        <item x="125"/>
        <item x="64"/>
        <item x="48"/>
        <item x="37"/>
        <item x="28"/>
        <item x="205"/>
        <item x="199"/>
        <item x="193"/>
        <item x="153"/>
        <item x="143"/>
        <item x="134"/>
        <item x="12"/>
        <item x="70"/>
        <item x="21"/>
        <item x="88"/>
        <item x="137"/>
        <item x="159"/>
        <item x="191"/>
        <item x="201"/>
        <item x="185"/>
        <item x="154"/>
        <item x="165"/>
        <item x="60"/>
        <item x="95"/>
        <item x="87"/>
        <item x="83"/>
        <item x="128"/>
        <item x="119"/>
        <item x="190"/>
        <item x="171"/>
        <item x="82"/>
        <item x="138"/>
        <item x="132"/>
        <item x="175"/>
        <item x="46"/>
        <item x="198"/>
        <item x="142"/>
        <item x="101"/>
        <item x="58"/>
        <item x="13"/>
        <item x="66"/>
        <item x="80"/>
        <item x="147"/>
        <item x="115"/>
        <item x="102"/>
        <item x="86"/>
        <item x="195"/>
        <item x="26"/>
        <item x="189"/>
        <item x="130"/>
        <item x="68"/>
        <item x="124"/>
        <item x="99"/>
        <item x="14"/>
        <item x="4"/>
        <item x="73"/>
        <item x="71"/>
        <item x="133"/>
        <item x="47"/>
        <item x="160"/>
        <item x="173"/>
        <item x="127"/>
        <item x="209"/>
        <item x="164"/>
        <item x="16"/>
        <item x="20"/>
        <item x="145"/>
        <item x="163"/>
        <item t="default"/>
      </items>
    </pivotField>
    <pivotField showAll="0">
      <items count="6">
        <item x="2"/>
        <item x="3"/>
        <item x="1"/>
        <item x="4"/>
        <item x="0"/>
        <item t="default"/>
      </items>
    </pivotField>
    <pivotField showAll="0">
      <items count="18">
        <item x="1"/>
        <item x="5"/>
        <item x="16"/>
        <item x="4"/>
        <item x="14"/>
        <item x="10"/>
        <item x="15"/>
        <item x="8"/>
        <item x="6"/>
        <item x="13"/>
        <item x="3"/>
        <item x="9"/>
        <item x="12"/>
        <item x="7"/>
        <item x="11"/>
        <item x="0"/>
        <item x="2"/>
        <item t="default"/>
      </items>
    </pivotField>
    <pivotField showAll="0"/>
    <pivotField showAll="0">
      <items count="3">
        <item x="0"/>
        <item x="1"/>
        <item t="default"/>
      </items>
    </pivotField>
    <pivotField showAll="0">
      <items count="6">
        <item x="1"/>
        <item x="0"/>
        <item x="2"/>
        <item x="3"/>
        <item x="4"/>
        <item t="default"/>
      </items>
    </pivotField>
    <pivotField showAll="0"/>
    <pivotField showAll="0"/>
    <pivotField showAll="0"/>
    <pivotField showAll="0"/>
    <pivotField showAll="0"/>
    <pivotField showAll="0"/>
    <pivotField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3">
    <i>
      <x/>
    </i>
    <i>
      <x v="1"/>
    </i>
    <i t="grand">
      <x/>
    </i>
  </rowItems>
  <colItems count="1">
    <i/>
  </colItems>
  <dataFields count="1">
    <dataField name="Count of Customer_Name" fld="0" subtotal="count" baseField="0" baseItem="0"/>
  </dataFields>
  <chartFormats count="6">
    <chartFormat chart="1"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9F0F04E-1C61-4D90-A0B4-9395A033DBD7}" name="Discount_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H3:AI9" firstHeaderRow="1" firstDataRow="1" firstDataCol="1"/>
  <pivotFields count="17">
    <pivotField dataField="1" showAll="0"/>
    <pivotField showAll="0">
      <items count="3">
        <item x="0"/>
        <item x="1"/>
        <item t="default"/>
      </items>
    </pivotField>
    <pivotField numFmtId="14" showAll="0">
      <items count="215">
        <item x="176"/>
        <item x="141"/>
        <item x="90"/>
        <item x="206"/>
        <item x="19"/>
        <item x="59"/>
        <item x="112"/>
        <item x="40"/>
        <item x="9"/>
        <item x="24"/>
        <item x="53"/>
        <item x="35"/>
        <item x="178"/>
        <item x="113"/>
        <item x="49"/>
        <item x="180"/>
        <item x="56"/>
        <item x="96"/>
        <item x="200"/>
        <item x="210"/>
        <item x="42"/>
        <item x="103"/>
        <item x="120"/>
        <item x="151"/>
        <item x="152"/>
        <item x="207"/>
        <item x="52"/>
        <item x="0"/>
        <item x="34"/>
        <item x="183"/>
        <item x="196"/>
        <item x="212"/>
        <item x="31"/>
        <item x="36"/>
        <item x="166"/>
        <item x="139"/>
        <item x="39"/>
        <item x="63"/>
        <item x="155"/>
        <item x="7"/>
        <item x="188"/>
        <item x="54"/>
        <item x="116"/>
        <item x="18"/>
        <item x="75"/>
        <item x="213"/>
        <item x="30"/>
        <item x="79"/>
        <item x="81"/>
        <item x="100"/>
        <item x="121"/>
        <item x="126"/>
        <item x="169"/>
        <item x="106"/>
        <item x="77"/>
        <item x="182"/>
        <item x="1"/>
        <item x="5"/>
        <item x="78"/>
        <item x="41"/>
        <item x="108"/>
        <item x="57"/>
        <item x="157"/>
        <item x="67"/>
        <item x="91"/>
        <item x="187"/>
        <item x="104"/>
        <item x="197"/>
        <item x="162"/>
        <item x="43"/>
        <item x="17"/>
        <item x="150"/>
        <item x="22"/>
        <item x="136"/>
        <item x="144"/>
        <item x="204"/>
        <item x="97"/>
        <item x="93"/>
        <item x="15"/>
        <item x="6"/>
        <item x="149"/>
        <item x="92"/>
        <item x="50"/>
        <item x="84"/>
        <item x="158"/>
        <item x="51"/>
        <item x="105"/>
        <item x="148"/>
        <item x="174"/>
        <item x="202"/>
        <item x="2"/>
        <item x="55"/>
        <item x="23"/>
        <item x="146"/>
        <item x="170"/>
        <item x="27"/>
        <item x="161"/>
        <item x="111"/>
        <item x="122"/>
        <item x="62"/>
        <item x="3"/>
        <item x="129"/>
        <item x="186"/>
        <item x="89"/>
        <item x="8"/>
        <item x="44"/>
        <item x="123"/>
        <item x="192"/>
        <item x="10"/>
        <item x="114"/>
        <item x="118"/>
        <item x="29"/>
        <item x="76"/>
        <item x="69"/>
        <item x="131"/>
        <item x="25"/>
        <item x="203"/>
        <item x="172"/>
        <item x="72"/>
        <item x="32"/>
        <item x="98"/>
        <item x="179"/>
        <item x="38"/>
        <item x="181"/>
        <item x="117"/>
        <item x="109"/>
        <item x="211"/>
        <item x="110"/>
        <item x="168"/>
        <item x="135"/>
        <item x="65"/>
        <item x="156"/>
        <item x="184"/>
        <item x="85"/>
        <item x="74"/>
        <item x="33"/>
        <item x="11"/>
        <item x="194"/>
        <item x="208"/>
        <item x="45"/>
        <item x="140"/>
        <item x="107"/>
        <item x="61"/>
        <item x="94"/>
        <item x="177"/>
        <item x="167"/>
        <item x="125"/>
        <item x="64"/>
        <item x="48"/>
        <item x="37"/>
        <item x="28"/>
        <item x="205"/>
        <item x="199"/>
        <item x="193"/>
        <item x="153"/>
        <item x="143"/>
        <item x="134"/>
        <item x="12"/>
        <item x="70"/>
        <item x="21"/>
        <item x="88"/>
        <item x="137"/>
        <item x="159"/>
        <item x="191"/>
        <item x="201"/>
        <item x="185"/>
        <item x="154"/>
        <item x="165"/>
        <item x="60"/>
        <item x="95"/>
        <item x="87"/>
        <item x="83"/>
        <item x="128"/>
        <item x="119"/>
        <item x="190"/>
        <item x="171"/>
        <item x="82"/>
        <item x="138"/>
        <item x="132"/>
        <item x="175"/>
        <item x="46"/>
        <item x="198"/>
        <item x="142"/>
        <item x="101"/>
        <item x="58"/>
        <item x="13"/>
        <item x="66"/>
        <item x="80"/>
        <item x="147"/>
        <item x="115"/>
        <item x="102"/>
        <item x="86"/>
        <item x="195"/>
        <item x="26"/>
        <item x="189"/>
        <item x="130"/>
        <item x="68"/>
        <item x="124"/>
        <item x="99"/>
        <item x="14"/>
        <item x="4"/>
        <item x="73"/>
        <item x="71"/>
        <item x="133"/>
        <item x="47"/>
        <item x="160"/>
        <item x="173"/>
        <item x="127"/>
        <item x="209"/>
        <item x="164"/>
        <item x="16"/>
        <item x="20"/>
        <item x="145"/>
        <item x="163"/>
        <item t="default"/>
      </items>
    </pivotField>
    <pivotField showAll="0">
      <items count="6">
        <item x="2"/>
        <item x="3"/>
        <item x="1"/>
        <item x="4"/>
        <item x="0"/>
        <item t="default"/>
      </items>
    </pivotField>
    <pivotField showAll="0">
      <items count="18">
        <item x="1"/>
        <item x="5"/>
        <item x="16"/>
        <item x="4"/>
        <item x="14"/>
        <item x="10"/>
        <item x="15"/>
        <item x="8"/>
        <item x="6"/>
        <item x="13"/>
        <item x="3"/>
        <item x="9"/>
        <item x="12"/>
        <item x="7"/>
        <item x="11"/>
        <item x="0"/>
        <item x="2"/>
        <item t="default"/>
      </items>
    </pivotField>
    <pivotField showAll="0">
      <items count="4">
        <item x="1"/>
        <item x="2"/>
        <item x="0"/>
        <item t="default"/>
      </items>
    </pivotField>
    <pivotField showAll="0">
      <items count="3">
        <item x="0"/>
        <item x="1"/>
        <item t="default"/>
      </items>
    </pivotField>
    <pivotField showAll="0">
      <items count="6">
        <item x="1"/>
        <item x="0"/>
        <item x="2"/>
        <item x="3"/>
        <item x="4"/>
        <item t="default"/>
      </items>
    </pivotField>
    <pivotField showAll="0"/>
    <pivotField showAll="0"/>
    <pivotField axis="axisRow" showAll="0">
      <items count="6">
        <item x="0"/>
        <item x="3"/>
        <item x="4"/>
        <item x="2"/>
        <item x="1"/>
        <item t="default"/>
      </items>
    </pivotField>
    <pivotField showAll="0"/>
    <pivotField showAll="0"/>
    <pivotField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6">
    <i>
      <x/>
    </i>
    <i>
      <x v="1"/>
    </i>
    <i>
      <x v="2"/>
    </i>
    <i>
      <x v="3"/>
    </i>
    <i>
      <x v="4"/>
    </i>
    <i t="grand">
      <x/>
    </i>
  </rowItems>
  <colItems count="1">
    <i/>
  </colItems>
  <dataFields count="1">
    <dataField name="Count of Customer_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E533E86-FE62-4885-9308-206D8E042C8C}" name="Category_by_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3:L10" firstHeaderRow="1" firstDataRow="2" firstDataCol="1"/>
  <pivotFields count="17">
    <pivotField dataField="1" showAll="0"/>
    <pivotField axis="axisCol" showAll="0">
      <items count="3">
        <item x="0"/>
        <item x="1"/>
        <item t="default"/>
      </items>
    </pivotField>
    <pivotField numFmtId="14" showAll="0">
      <items count="215">
        <item x="176"/>
        <item x="141"/>
        <item x="90"/>
        <item x="206"/>
        <item x="19"/>
        <item x="59"/>
        <item x="112"/>
        <item x="40"/>
        <item x="9"/>
        <item x="24"/>
        <item x="53"/>
        <item x="35"/>
        <item x="178"/>
        <item x="113"/>
        <item x="49"/>
        <item x="180"/>
        <item x="56"/>
        <item x="96"/>
        <item x="200"/>
        <item x="210"/>
        <item x="42"/>
        <item x="103"/>
        <item x="120"/>
        <item x="151"/>
        <item x="152"/>
        <item x="207"/>
        <item x="52"/>
        <item x="0"/>
        <item x="34"/>
        <item x="183"/>
        <item x="196"/>
        <item x="212"/>
        <item x="31"/>
        <item x="36"/>
        <item x="166"/>
        <item x="139"/>
        <item x="39"/>
        <item x="63"/>
        <item x="155"/>
        <item x="7"/>
        <item x="188"/>
        <item x="54"/>
        <item x="116"/>
        <item x="18"/>
        <item x="75"/>
        <item x="213"/>
        <item x="30"/>
        <item x="79"/>
        <item x="81"/>
        <item x="100"/>
        <item x="121"/>
        <item x="126"/>
        <item x="169"/>
        <item x="106"/>
        <item x="77"/>
        <item x="182"/>
        <item x="1"/>
        <item x="5"/>
        <item x="78"/>
        <item x="41"/>
        <item x="108"/>
        <item x="57"/>
        <item x="157"/>
        <item x="67"/>
        <item x="91"/>
        <item x="187"/>
        <item x="104"/>
        <item x="197"/>
        <item x="162"/>
        <item x="43"/>
        <item x="17"/>
        <item x="150"/>
        <item x="22"/>
        <item x="136"/>
        <item x="144"/>
        <item x="204"/>
        <item x="97"/>
        <item x="93"/>
        <item x="15"/>
        <item x="6"/>
        <item x="149"/>
        <item x="92"/>
        <item x="50"/>
        <item x="84"/>
        <item x="158"/>
        <item x="51"/>
        <item x="105"/>
        <item x="148"/>
        <item x="174"/>
        <item x="202"/>
        <item x="2"/>
        <item x="55"/>
        <item x="23"/>
        <item x="146"/>
        <item x="170"/>
        <item x="27"/>
        <item x="161"/>
        <item x="111"/>
        <item x="122"/>
        <item x="62"/>
        <item x="3"/>
        <item x="129"/>
        <item x="186"/>
        <item x="89"/>
        <item x="8"/>
        <item x="44"/>
        <item x="123"/>
        <item x="192"/>
        <item x="10"/>
        <item x="114"/>
        <item x="118"/>
        <item x="29"/>
        <item x="76"/>
        <item x="69"/>
        <item x="131"/>
        <item x="25"/>
        <item x="203"/>
        <item x="172"/>
        <item x="72"/>
        <item x="32"/>
        <item x="98"/>
        <item x="179"/>
        <item x="38"/>
        <item x="181"/>
        <item x="117"/>
        <item x="109"/>
        <item x="211"/>
        <item x="110"/>
        <item x="168"/>
        <item x="135"/>
        <item x="65"/>
        <item x="156"/>
        <item x="184"/>
        <item x="85"/>
        <item x="74"/>
        <item x="33"/>
        <item x="11"/>
        <item x="194"/>
        <item x="208"/>
        <item x="45"/>
        <item x="140"/>
        <item x="107"/>
        <item x="61"/>
        <item x="94"/>
        <item x="177"/>
        <item x="167"/>
        <item x="125"/>
        <item x="64"/>
        <item x="48"/>
        <item x="37"/>
        <item x="28"/>
        <item x="205"/>
        <item x="199"/>
        <item x="193"/>
        <item x="153"/>
        <item x="143"/>
        <item x="134"/>
        <item x="12"/>
        <item x="70"/>
        <item x="21"/>
        <item x="88"/>
        <item x="137"/>
        <item x="159"/>
        <item x="191"/>
        <item x="201"/>
        <item x="185"/>
        <item x="154"/>
        <item x="165"/>
        <item x="60"/>
        <item x="95"/>
        <item x="87"/>
        <item x="83"/>
        <item x="128"/>
        <item x="119"/>
        <item x="190"/>
        <item x="171"/>
        <item x="82"/>
        <item x="138"/>
        <item x="132"/>
        <item x="175"/>
        <item x="46"/>
        <item x="198"/>
        <item x="142"/>
        <item x="101"/>
        <item x="58"/>
        <item x="13"/>
        <item x="66"/>
        <item x="80"/>
        <item x="147"/>
        <item x="115"/>
        <item x="102"/>
        <item x="86"/>
        <item x="195"/>
        <item x="26"/>
        <item x="189"/>
        <item x="130"/>
        <item x="68"/>
        <item x="124"/>
        <item x="99"/>
        <item x="14"/>
        <item x="4"/>
        <item x="73"/>
        <item x="71"/>
        <item x="133"/>
        <item x="47"/>
        <item x="160"/>
        <item x="173"/>
        <item x="127"/>
        <item x="209"/>
        <item x="164"/>
        <item x="16"/>
        <item x="20"/>
        <item x="145"/>
        <item x="163"/>
        <item t="default"/>
      </items>
    </pivotField>
    <pivotField name="Category_by_gender" axis="axisRow" showAll="0">
      <items count="6">
        <item x="2"/>
        <item x="3"/>
        <item x="1"/>
        <item x="4"/>
        <item x="0"/>
        <item t="default"/>
      </items>
    </pivotField>
    <pivotField showAll="0">
      <items count="18">
        <item x="1"/>
        <item x="5"/>
        <item x="16"/>
        <item x="4"/>
        <item x="14"/>
        <item x="10"/>
        <item x="15"/>
        <item x="8"/>
        <item x="6"/>
        <item x="13"/>
        <item x="3"/>
        <item x="9"/>
        <item x="12"/>
        <item x="7"/>
        <item x="11"/>
        <item x="0"/>
        <item x="2"/>
        <item t="default"/>
      </items>
    </pivotField>
    <pivotField showAll="0"/>
    <pivotField showAll="0">
      <items count="3">
        <item x="0"/>
        <item x="1"/>
        <item t="default"/>
      </items>
    </pivotField>
    <pivotField showAll="0">
      <items count="6">
        <item x="1"/>
        <item x="0"/>
        <item x="2"/>
        <item x="3"/>
        <item x="4"/>
        <item t="default"/>
      </items>
    </pivotField>
    <pivotField showAll="0"/>
    <pivotField showAll="0"/>
    <pivotField showAll="0"/>
    <pivotField showAll="0"/>
    <pivotField showAll="0"/>
    <pivotField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i>
    <i>
      <x v="1"/>
    </i>
    <i>
      <x v="2"/>
    </i>
    <i>
      <x v="3"/>
    </i>
    <i>
      <x v="4"/>
    </i>
    <i t="grand">
      <x/>
    </i>
  </rowItems>
  <colFields count="1">
    <field x="1"/>
  </colFields>
  <colItems count="3">
    <i>
      <x/>
    </i>
    <i>
      <x v="1"/>
    </i>
    <i t="grand">
      <x/>
    </i>
  </colItems>
  <dataFields count="1">
    <dataField name="Count of Customer_Name" fld="0"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52B4AA3-8440-4CB6-AEC6-3060FC631BA9}" name="Payment_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R3:S7" firstHeaderRow="1" firstDataRow="1" firstDataCol="1"/>
  <pivotFields count="17">
    <pivotField dataField="1" showAll="0"/>
    <pivotField showAll="0">
      <items count="3">
        <item x="0"/>
        <item x="1"/>
        <item t="default"/>
      </items>
    </pivotField>
    <pivotField numFmtId="14" showAll="0">
      <items count="215">
        <item x="176"/>
        <item x="141"/>
        <item x="90"/>
        <item x="206"/>
        <item x="19"/>
        <item x="59"/>
        <item x="112"/>
        <item x="40"/>
        <item x="9"/>
        <item x="24"/>
        <item x="53"/>
        <item x="35"/>
        <item x="178"/>
        <item x="113"/>
        <item x="49"/>
        <item x="180"/>
        <item x="56"/>
        <item x="96"/>
        <item x="200"/>
        <item x="210"/>
        <item x="42"/>
        <item x="103"/>
        <item x="120"/>
        <item x="151"/>
        <item x="152"/>
        <item x="207"/>
        <item x="52"/>
        <item x="0"/>
        <item x="34"/>
        <item x="183"/>
        <item x="196"/>
        <item x="212"/>
        <item x="31"/>
        <item x="36"/>
        <item x="166"/>
        <item x="139"/>
        <item x="39"/>
        <item x="63"/>
        <item x="155"/>
        <item x="7"/>
        <item x="188"/>
        <item x="54"/>
        <item x="116"/>
        <item x="18"/>
        <item x="75"/>
        <item x="213"/>
        <item x="30"/>
        <item x="79"/>
        <item x="81"/>
        <item x="100"/>
        <item x="121"/>
        <item x="126"/>
        <item x="169"/>
        <item x="106"/>
        <item x="77"/>
        <item x="182"/>
        <item x="1"/>
        <item x="5"/>
        <item x="78"/>
        <item x="41"/>
        <item x="108"/>
        <item x="57"/>
        <item x="157"/>
        <item x="67"/>
        <item x="91"/>
        <item x="187"/>
        <item x="104"/>
        <item x="197"/>
        <item x="162"/>
        <item x="43"/>
        <item x="17"/>
        <item x="150"/>
        <item x="22"/>
        <item x="136"/>
        <item x="144"/>
        <item x="204"/>
        <item x="97"/>
        <item x="93"/>
        <item x="15"/>
        <item x="6"/>
        <item x="149"/>
        <item x="92"/>
        <item x="50"/>
        <item x="84"/>
        <item x="158"/>
        <item x="51"/>
        <item x="105"/>
        <item x="148"/>
        <item x="174"/>
        <item x="202"/>
        <item x="2"/>
        <item x="55"/>
        <item x="23"/>
        <item x="146"/>
        <item x="170"/>
        <item x="27"/>
        <item x="161"/>
        <item x="111"/>
        <item x="122"/>
        <item x="62"/>
        <item x="3"/>
        <item x="129"/>
        <item x="186"/>
        <item x="89"/>
        <item x="8"/>
        <item x="44"/>
        <item x="123"/>
        <item x="192"/>
        <item x="10"/>
        <item x="114"/>
        <item x="118"/>
        <item x="29"/>
        <item x="76"/>
        <item x="69"/>
        <item x="131"/>
        <item x="25"/>
        <item x="203"/>
        <item x="172"/>
        <item x="72"/>
        <item x="32"/>
        <item x="98"/>
        <item x="179"/>
        <item x="38"/>
        <item x="181"/>
        <item x="117"/>
        <item x="109"/>
        <item x="211"/>
        <item x="110"/>
        <item x="168"/>
        <item x="135"/>
        <item x="65"/>
        <item x="156"/>
        <item x="184"/>
        <item x="85"/>
        <item x="74"/>
        <item x="33"/>
        <item x="11"/>
        <item x="194"/>
        <item x="208"/>
        <item x="45"/>
        <item x="140"/>
        <item x="107"/>
        <item x="61"/>
        <item x="94"/>
        <item x="177"/>
        <item x="167"/>
        <item x="125"/>
        <item x="64"/>
        <item x="48"/>
        <item x="37"/>
        <item x="28"/>
        <item x="205"/>
        <item x="199"/>
        <item x="193"/>
        <item x="153"/>
        <item x="143"/>
        <item x="134"/>
        <item x="12"/>
        <item x="70"/>
        <item x="21"/>
        <item x="88"/>
        <item x="137"/>
        <item x="159"/>
        <item x="191"/>
        <item x="201"/>
        <item x="185"/>
        <item x="154"/>
        <item x="165"/>
        <item x="60"/>
        <item x="95"/>
        <item x="87"/>
        <item x="83"/>
        <item x="128"/>
        <item x="119"/>
        <item x="190"/>
        <item x="171"/>
        <item x="82"/>
        <item x="138"/>
        <item x="132"/>
        <item x="175"/>
        <item x="46"/>
        <item x="198"/>
        <item x="142"/>
        <item x="101"/>
        <item x="58"/>
        <item x="13"/>
        <item x="66"/>
        <item x="80"/>
        <item x="147"/>
        <item x="115"/>
        <item x="102"/>
        <item x="86"/>
        <item x="195"/>
        <item x="26"/>
        <item x="189"/>
        <item x="130"/>
        <item x="68"/>
        <item x="124"/>
        <item x="99"/>
        <item x="14"/>
        <item x="4"/>
        <item x="73"/>
        <item x="71"/>
        <item x="133"/>
        <item x="47"/>
        <item x="160"/>
        <item x="173"/>
        <item x="127"/>
        <item x="209"/>
        <item x="164"/>
        <item x="16"/>
        <item x="20"/>
        <item x="145"/>
        <item x="163"/>
        <item t="default"/>
      </items>
    </pivotField>
    <pivotField showAll="0">
      <items count="6">
        <item x="2"/>
        <item x="3"/>
        <item x="1"/>
        <item x="4"/>
        <item x="0"/>
        <item t="default"/>
      </items>
    </pivotField>
    <pivotField showAll="0">
      <items count="18">
        <item x="1"/>
        <item x="5"/>
        <item x="16"/>
        <item x="4"/>
        <item x="14"/>
        <item x="10"/>
        <item x="15"/>
        <item x="8"/>
        <item x="6"/>
        <item x="13"/>
        <item x="3"/>
        <item x="9"/>
        <item x="12"/>
        <item x="7"/>
        <item x="11"/>
        <item x="0"/>
        <item x="2"/>
        <item t="default"/>
      </items>
    </pivotField>
    <pivotField axis="axisRow" showAll="0">
      <items count="4">
        <item x="1"/>
        <item x="2"/>
        <item x="0"/>
        <item t="default"/>
      </items>
    </pivotField>
    <pivotField showAll="0">
      <items count="3">
        <item x="0"/>
        <item x="1"/>
        <item t="default"/>
      </items>
    </pivotField>
    <pivotField showAll="0">
      <items count="6">
        <item x="1"/>
        <item x="0"/>
        <item x="2"/>
        <item x="3"/>
        <item x="4"/>
        <item t="default"/>
      </items>
    </pivotField>
    <pivotField showAll="0"/>
    <pivotField showAll="0"/>
    <pivotField showAll="0"/>
    <pivotField showAll="0"/>
    <pivotField showAll="0"/>
    <pivotField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4">
    <i>
      <x/>
    </i>
    <i>
      <x v="1"/>
    </i>
    <i>
      <x v="2"/>
    </i>
    <i t="grand">
      <x/>
    </i>
  </rowItems>
  <colItems count="1">
    <i/>
  </colItems>
  <dataFields count="1">
    <dataField name="Count of Customer_Name" fld="0" subtotal="count" baseField="0" baseItem="0"/>
  </dataFields>
  <chartFormats count="8">
    <chartFormat chart="0"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5" count="1" selected="0">
            <x v="0"/>
          </reference>
        </references>
      </pivotArea>
    </chartFormat>
    <chartFormat chart="12" format="7">
      <pivotArea type="data" outline="0" fieldPosition="0">
        <references count="2">
          <reference field="4294967294" count="1" selected="0">
            <x v="0"/>
          </reference>
          <reference field="5" count="1" selected="0">
            <x v="1"/>
          </reference>
        </references>
      </pivotArea>
    </chartFormat>
    <chartFormat chart="12" format="8">
      <pivotArea type="data" outline="0" fieldPosition="0">
        <references count="2">
          <reference field="4294967294" count="1" selected="0">
            <x v="0"/>
          </reference>
          <reference field="5" count="1" selected="0">
            <x v="2"/>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9C18F75-B561-425A-9D92-0476A2FDF086}" sourceName="Gender">
  <pivotTables>
    <pivotTable tabId="2" name="Gender"/>
    <pivotTable tabId="2" name="Category_by_gender"/>
    <pivotTable tabId="2" name="Category_profit"/>
    <pivotTable tabId="2" name="Category_Returns"/>
    <pivotTable tabId="2" name="Discount_count"/>
    <pivotTable tabId="2" name="Months"/>
    <pivotTable tabId="2" name="Payment_method"/>
    <pivotTable tabId="2" name="Product_name"/>
    <pivotTable tabId="2" name="Product_Profit"/>
    <pivotTable tabId="2" name="Sales_channel"/>
    <pivotTable tabId="2" name="Units"/>
    <pivotTable tabId="2" name="Units_profit"/>
    <pivotTable tabId="2" name="PivotTable1"/>
  </pivotTables>
  <data>
    <tabular pivotCacheId="126086967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ED02586-4D1E-4E1F-9957-C40A97A5B45F}" sourceName="Category">
  <pivotTables>
    <pivotTable tabId="2" name="Gender"/>
    <pivotTable tabId="2" name="Category_by_gender"/>
    <pivotTable tabId="2" name="Category_profit"/>
    <pivotTable tabId="2" name="Category_Returns"/>
    <pivotTable tabId="2" name="Discount_count"/>
    <pivotTable tabId="2" name="Months"/>
    <pivotTable tabId="2" name="Payment_method"/>
    <pivotTable tabId="2" name="Product_name"/>
    <pivotTable tabId="2" name="Product_Profit"/>
    <pivotTable tabId="2" name="Sales_channel"/>
    <pivotTable tabId="2" name="Units"/>
    <pivotTable tabId="2" name="Units_profit"/>
    <pivotTable tabId="2" name="PivotTable1"/>
  </pivotTables>
  <data>
    <tabular pivotCacheId="1260869679">
      <items count="5">
        <i x="2" s="1"/>
        <i x="3" s="1"/>
        <i x="1"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6B10F077-9BBA-44DB-A6ED-CC65155BA4C2}" sourceName="Product_Name">
  <pivotTables>
    <pivotTable tabId="2" name="Gender"/>
    <pivotTable tabId="2" name="Category_by_gender"/>
    <pivotTable tabId="2" name="Category_profit"/>
    <pivotTable tabId="2" name="Category_Returns"/>
    <pivotTable tabId="2" name="Discount_count"/>
    <pivotTable tabId="2" name="Months"/>
    <pivotTable tabId="2" name="Payment_method"/>
    <pivotTable tabId="2" name="Product_name"/>
    <pivotTable tabId="2" name="Product_Profit"/>
    <pivotTable tabId="2" name="Sales_channel"/>
    <pivotTable tabId="2" name="Units"/>
    <pivotTable tabId="2" name="Units_profit"/>
    <pivotTable tabId="2" name="PivotTable1"/>
  </pivotTables>
  <data>
    <tabular pivotCacheId="1260869679">
      <items count="17">
        <i x="1" s="1"/>
        <i x="5" s="1"/>
        <i x="16" s="1"/>
        <i x="4" s="1"/>
        <i x="14" s="1"/>
        <i x="10" s="1"/>
        <i x="15" s="1"/>
        <i x="8" s="1"/>
        <i x="6" s="1"/>
        <i x="13" s="1"/>
        <i x="3" s="1"/>
        <i x="9" s="1"/>
        <i x="12" s="1"/>
        <i x="7" s="1"/>
        <i x="1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DF585F8B-B88F-4FD3-ADED-8C7168450B49}" sourceName="Sales_Channel">
  <pivotTables>
    <pivotTable tabId="2" name="Gender"/>
    <pivotTable tabId="2" name="Category_by_gender"/>
    <pivotTable tabId="2" name="Category_profit"/>
    <pivotTable tabId="2" name="Category_Returns"/>
    <pivotTable tabId="2" name="Discount_count"/>
    <pivotTable tabId="2" name="Months"/>
    <pivotTable tabId="2" name="Payment_method"/>
    <pivotTable tabId="2" name="Product_name"/>
    <pivotTable tabId="2" name="Product_Profit"/>
    <pivotTable tabId="2" name="Sales_channel"/>
    <pivotTable tabId="2" name="Units"/>
    <pivotTable tabId="2" name="Units_profit"/>
    <pivotTable tabId="2" name="PivotTable1"/>
  </pivotTables>
  <data>
    <tabular pivotCacheId="1260869679">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s" xr10:uid="{894B5790-A960-40F1-B55A-272A9AACA191}" sourceName="Units">
  <pivotTables>
    <pivotTable tabId="2" name="Gender"/>
    <pivotTable tabId="2" name="Category_by_gender"/>
    <pivotTable tabId="2" name="Category_profit"/>
    <pivotTable tabId="2" name="Category_Returns"/>
    <pivotTable tabId="2" name="Discount_count"/>
    <pivotTable tabId="2" name="Months"/>
    <pivotTable tabId="2" name="Payment_method"/>
    <pivotTable tabId="2" name="Product_name"/>
    <pivotTable tabId="2" name="Product_Profit"/>
    <pivotTable tabId="2" name="Sales_channel"/>
    <pivotTable tabId="2" name="Units"/>
    <pivotTable tabId="2" name="Units_profit"/>
    <pivotTable tabId="2" name="PivotTable1"/>
  </pivotTables>
  <data>
    <tabular pivotCacheId="1260869679">
      <items count="5">
        <i x="1" s="1"/>
        <i x="0" s="1"/>
        <i x="2" s="1"/>
        <i x="3"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BF8C7886-1C9F-4113-8E3C-284050E67BEA}" sourceName="Return_Status">
  <pivotTables>
    <pivotTable tabId="2" name="Gender"/>
    <pivotTable tabId="2" name="Category_by_gender"/>
    <pivotTable tabId="2" name="Category_profit"/>
    <pivotTable tabId="2" name="Category_Returns"/>
    <pivotTable tabId="2" name="Discount_count"/>
    <pivotTable tabId="2" name="Months"/>
    <pivotTable tabId="2" name="Payment_method"/>
    <pivotTable tabId="2" name="Product_name"/>
    <pivotTable tabId="2" name="Product_Profit"/>
    <pivotTable tabId="2" name="Sales_channel"/>
    <pivotTable tabId="2" name="Units"/>
    <pivotTable tabId="2" name="Units_profit"/>
    <pivotTable tabId="2" name="PivotTable1"/>
  </pivotTables>
  <data>
    <tabular pivotCacheId="1260869679">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77F21117-CBC1-44D1-95F9-47979D239E81}" sourceName="Months (Date)">
  <pivotTables>
    <pivotTable tabId="2" name="Gender"/>
    <pivotTable tabId="2" name="Category_by_gender"/>
    <pivotTable tabId="2" name="Category_profit"/>
    <pivotTable tabId="2" name="Category_Returns"/>
    <pivotTable tabId="2" name="Discount_count"/>
    <pivotTable tabId="2" name="Months"/>
    <pivotTable tabId="2" name="Payment_method"/>
    <pivotTable tabId="2" name="Product_name"/>
    <pivotTable tabId="2" name="Product_Profit"/>
    <pivotTable tabId="2" name="Sales_channel"/>
    <pivotTable tabId="2" name="Units"/>
    <pivotTable tabId="2" name="Units_profit"/>
    <pivotTable tabId="2" name="PivotTable1"/>
  </pivotTables>
  <data>
    <tabular pivotCacheId="1260869679">
      <items count="14">
        <i x="6" s="1"/>
        <i x="7" s="1"/>
        <i x="8" s="1"/>
        <i x="9" s="1"/>
        <i x="10" s="1"/>
        <i x="11" s="1"/>
        <i x="12" s="1"/>
        <i x="1" s="1" nd="1"/>
        <i x="2" s="1" nd="1"/>
        <i x="3" s="1" nd="1"/>
        <i x="4" s="1" nd="1"/>
        <i x="5"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6C05683-F12E-438C-ADF9-293E05B7E1F1}" cache="Slicer_Gender" caption="Gender" style="SlicerStyleLight6" rowHeight="241300"/>
  <slicer name="Category 1" xr10:uid="{33E7DB8F-7B8B-4EA5-AF04-1E2A0674F84D}" cache="Slicer_Category" caption="Category" columnCount="3" style="SlicerStyleLight6" rowHeight="241300"/>
  <slicer name="Product_Name 1" xr10:uid="{93415DCD-A1E7-41DE-97D2-B0587302628C}" cache="Slicer_Product_Name" caption="Product_Name" columnCount="2" style="SlicerStyleLight6" rowHeight="241300"/>
  <slicer name="Sales_Channel 1" xr10:uid="{8109DDE3-726C-4AE7-A031-82637D1C9779}" cache="Slicer_Sales_Channel" caption="Sales_Channel" style="SlicerStyleLight6" rowHeight="241300"/>
  <slicer name="Units 1" xr10:uid="{37A764B5-00E2-4427-8863-3EDECB16389C}" cache="Slicer_Units" caption="Units" columnCount="2" style="SlicerStyleLight6" rowHeight="241300"/>
  <slicer name="Return_Status 1" xr10:uid="{4398CEFE-A0D5-4A26-B9BA-9456B416EE98}" cache="Slicer_Return_Status" caption="Return_Status" style="SlicerStyleLight6" rowHeight="241300"/>
  <slicer name="Months (Date) 1" xr10:uid="{52EC9EE5-E5FB-4BED-BE29-FFC05394C70E}" cache="Slicer_Months__Date" caption="Months (Date)" columnCount="2"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CD23EAC-1C9D-4270-82B9-966E29851F33}" cache="Slicer_Gender" caption="Gender" style="SlicerStyleLight6" rowHeight="241300"/>
  <slicer name="Category" xr10:uid="{113708D5-C8DD-4507-B084-3F54B35BA6D1}" cache="Slicer_Category" caption="Category" style="SlicerStyleLight6" rowHeight="241300"/>
  <slicer name="Product_Name" xr10:uid="{8A369532-F217-4E04-AEC1-93777A978ACD}" cache="Slicer_Product_Name" caption="Product_Name" style="SlicerStyleLight6" rowHeight="241300"/>
  <slicer name="Sales_Channel" xr10:uid="{A800F4C8-604C-43F6-B30C-2323681F34CA}" cache="Slicer_Sales_Channel" caption="Sales_Channel" style="SlicerStyleLight6" rowHeight="241300"/>
  <slicer name="Units" xr10:uid="{B2DA7C1D-EA67-479B-9221-48F304D70B6D}" cache="Slicer_Units" caption="Units" style="SlicerStyleLight6" rowHeight="241300"/>
  <slicer name="Return_Status" xr10:uid="{FBB8F2B0-BFC5-4061-B41B-6262DAB3A4C3}" cache="Slicer_Return_Status" caption="Return_Status" style="SlicerStyleLight6" rowHeight="241300"/>
  <slicer name="Months (Date)" xr10:uid="{8D3E7172-AF95-445E-A72F-BDDA1F1FF8A8}" cache="Slicer_Months__Date" caption="Months (Date)"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03FA53-376E-4A03-A369-1D772BB84547}" name="formatted_data" displayName="formatted_data" ref="A1:O1948" totalsRowShown="0" headerRowDxfId="16" dataDxfId="15">
  <autoFilter ref="A1:O1948" xr:uid="{1623F387-E31A-48F7-9103-D599EA10B01E}"/>
  <tableColumns count="15">
    <tableColumn id="2" xr3:uid="{9AAE2D55-A537-4425-A5E2-9ED046CA7E26}" name="Customer_Name" dataDxfId="14"/>
    <tableColumn id="3" xr3:uid="{BFA3BBA2-3DEA-4002-AD19-BC83AE25A865}" name="Gender" dataDxfId="13"/>
    <tableColumn id="6" xr3:uid="{08B89BAD-F110-4D94-9A24-77F7F6A0D6F1}" name="Date" dataDxfId="12"/>
    <tableColumn id="9" xr3:uid="{7E00EE7F-E73A-491B-B7E0-4BEA8E2746A6}" name="Category" dataDxfId="11"/>
    <tableColumn id="11" xr3:uid="{B1521D82-063A-4FD7-ACFC-98C1682C1164}" name="Product_Name" dataDxfId="10"/>
    <tableColumn id="12" xr3:uid="{0775B239-3BFC-4AA5-B9A1-A7B5893DAD7A}" name="Payment_Method" dataDxfId="9"/>
    <tableColumn id="13" xr3:uid="{B3052D80-593B-452B-B078-DE90D897E9B0}" name="Sales_Channel" dataDxfId="8"/>
    <tableColumn id="14" xr3:uid="{8BB65C0F-A044-4DE7-8AA5-DBBC562B9455}" name="Units" dataDxfId="7"/>
    <tableColumn id="15" xr3:uid="{7AB2DF68-F760-4A3E-A917-7C41B270CBCE}" name="Cost_Price" dataDxfId="6"/>
    <tableColumn id="16" xr3:uid="{523ACC0D-D4B8-4F45-A38D-E5FFB5807A30}" name="Selling_Price" dataDxfId="5"/>
    <tableColumn id="17" xr3:uid="{AD0C45A9-BC17-419A-8A9A-EEFEADD06816}" name="Discount_%" dataDxfId="4"/>
    <tableColumn id="18" xr3:uid="{8C4CE072-C452-44C7-AC81-FA5E8AC19EF2}" name="Discount_Amount" dataDxfId="3">
      <calculatedColumnFormula>ROUNDDOWN(formatted_data[[#This Row],[Selling_Price]]*formatted_data[[#This Row],[Discount_%]]/100,0)</calculatedColumnFormula>
    </tableColumn>
    <tableColumn id="19" xr3:uid="{5121D04B-1917-44F0-BE29-6E9DD177DBAA}" name="Total_Revenue" dataDxfId="2">
      <calculatedColumnFormula>(formatted_data[[#This Row],[Selling_Price]]-formatted_data[[#This Row],[Discount_Amount]])*formatted_data[[#This Row],[Units]]</calculatedColumnFormula>
    </tableColumn>
    <tableColumn id="20" xr3:uid="{F00F8C24-6EC9-4ED1-86A5-3769ACD5301E}" name="Profit" dataDxfId="1">
      <calculatedColumnFormula>formatted_data[[#This Row],[Total_Revenue]]-(formatted_data[[#This Row],[Cost_Price]]*formatted_data[[#This Row],[Units]])</calculatedColumnFormula>
    </tableColumn>
    <tableColumn id="22" xr3:uid="{16F20A78-0D52-4942-9F6A-DA5000B6780B}" name="Return_Status"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9A08F01-3850-4EBC-9D18-DB7C2E0283B5}" sourceName="Date">
  <pivotTables>
    <pivotTable tabId="2" name="Months"/>
  </pivotTables>
  <state minimalRefreshVersion="6" lastRefreshVersion="6" pivotCacheId="1260869679" filterType="dateBetween">
    <selection startDate="2024-04-01T00:00:00" endDate="2024-04-30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CB6ECEB-920E-463A-AB9D-E37B9814338F}" cache="NativeTimeline_Date" caption="Date" level="2" selectionLevel="2" scrollPosition="2024-03-16T00:00:00" style="TimeSlicerStyleDark6"/>
</timeline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1D394-E653-420B-8746-606C9CEFDEF1}">
  <dimension ref="A1"/>
  <sheetViews>
    <sheetView showGridLines="0" showRowColHeaders="0" tabSelected="1" zoomScaleNormal="100" workbookViewId="0">
      <selection activeCell="E32" sqref="E3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9A8CC-29D9-4192-9D67-4282FCA7D714}">
  <dimension ref="A1:AW21"/>
  <sheetViews>
    <sheetView topLeftCell="AC7" zoomScale="30" zoomScaleNormal="74" workbookViewId="0">
      <selection activeCell="AK65" sqref="AK65"/>
    </sheetView>
  </sheetViews>
  <sheetFormatPr defaultRowHeight="14.5" x14ac:dyDescent="0.35"/>
  <cols>
    <col min="1" max="1" width="13.36328125" bestFit="1" customWidth="1"/>
    <col min="2" max="2" width="23.7265625" bestFit="1" customWidth="1"/>
    <col min="5" max="5" width="13.36328125" bestFit="1" customWidth="1"/>
    <col min="6" max="6" width="7.7265625" bestFit="1" customWidth="1"/>
    <col min="9" max="9" width="23.7265625" bestFit="1" customWidth="1"/>
    <col min="10" max="10" width="16.453125" bestFit="1" customWidth="1"/>
    <col min="11" max="11" width="5.36328125" bestFit="1" customWidth="1"/>
    <col min="12" max="12" width="11" bestFit="1" customWidth="1"/>
    <col min="14" max="14" width="13.36328125" bestFit="1" customWidth="1"/>
    <col min="15" max="15" width="23.7265625" bestFit="1" customWidth="1"/>
    <col min="16" max="16" width="9.453125" bestFit="1" customWidth="1"/>
    <col min="17" max="17" width="6.36328125" bestFit="1" customWidth="1"/>
    <col min="18" max="18" width="13.36328125" bestFit="1" customWidth="1"/>
    <col min="19" max="19" width="23.7265625" bestFit="1" customWidth="1"/>
    <col min="20" max="20" width="9.7265625" bestFit="1" customWidth="1"/>
    <col min="21" max="21" width="13.36328125" bestFit="1" customWidth="1"/>
    <col min="22" max="22" width="23.7265625" bestFit="1" customWidth="1"/>
    <col min="23" max="23" width="13.08984375" bestFit="1" customWidth="1"/>
    <col min="24" max="24" width="13.36328125" bestFit="1" customWidth="1"/>
    <col min="25" max="25" width="12.36328125" bestFit="1" customWidth="1"/>
    <col min="26" max="26" width="5.453125" bestFit="1" customWidth="1"/>
    <col min="27" max="27" width="6.1796875" bestFit="1" customWidth="1"/>
    <col min="28" max="28" width="13.36328125" bestFit="1" customWidth="1"/>
    <col min="29" max="29" width="12.36328125" bestFit="1" customWidth="1"/>
    <col min="30" max="30" width="6.81640625" bestFit="1" customWidth="1"/>
    <col min="31" max="31" width="13.36328125" bestFit="1" customWidth="1"/>
    <col min="32" max="32" width="12.36328125" bestFit="1" customWidth="1"/>
    <col min="33" max="33" width="6.81640625" bestFit="1" customWidth="1"/>
    <col min="34" max="34" width="13.36328125" bestFit="1" customWidth="1"/>
    <col min="35" max="35" width="23.7265625" bestFit="1" customWidth="1"/>
    <col min="36" max="36" width="17.08984375" bestFit="1" customWidth="1"/>
    <col min="37" max="37" width="13.36328125" bestFit="1" customWidth="1"/>
    <col min="38" max="38" width="21.36328125" bestFit="1" customWidth="1"/>
    <col min="39" max="39" width="3.81640625" bestFit="1" customWidth="1"/>
    <col min="40" max="40" width="10.7265625" bestFit="1" customWidth="1"/>
    <col min="44" max="44" width="13.36328125" bestFit="1" customWidth="1"/>
    <col min="45" max="45" width="12.36328125" bestFit="1" customWidth="1"/>
  </cols>
  <sheetData>
    <row r="1" spans="1:49" x14ac:dyDescent="0.35">
      <c r="AK1" s="3" t="s">
        <v>14</v>
      </c>
      <c r="AL1" t="s">
        <v>117</v>
      </c>
      <c r="AR1" s="3" t="s">
        <v>110</v>
      </c>
      <c r="AS1" t="s">
        <v>115</v>
      </c>
      <c r="AV1" s="6" t="s">
        <v>6597</v>
      </c>
      <c r="AW1" s="6" t="s">
        <v>6598</v>
      </c>
    </row>
    <row r="2" spans="1:49" x14ac:dyDescent="0.35">
      <c r="AR2" s="4" t="s">
        <v>43</v>
      </c>
      <c r="AS2" s="7">
        <v>305657</v>
      </c>
      <c r="AV2" t="str">
        <f>AR2</f>
        <v>Tent</v>
      </c>
      <c r="AW2">
        <f>GETPIVOTDATA("Profit",$AR$1,"Product_Name",AR2)</f>
        <v>305657</v>
      </c>
    </row>
    <row r="3" spans="1:49" x14ac:dyDescent="0.35">
      <c r="A3" s="3" t="s">
        <v>110</v>
      </c>
      <c r="B3" t="s">
        <v>113</v>
      </c>
      <c r="E3" s="3" t="s">
        <v>110</v>
      </c>
      <c r="F3" t="s">
        <v>116</v>
      </c>
      <c r="I3" s="3" t="s">
        <v>113</v>
      </c>
      <c r="J3" s="3" t="s">
        <v>114</v>
      </c>
      <c r="N3" s="3" t="s">
        <v>110</v>
      </c>
      <c r="O3" t="s">
        <v>113</v>
      </c>
      <c r="R3" s="3" t="s">
        <v>110</v>
      </c>
      <c r="S3" t="s">
        <v>113</v>
      </c>
      <c r="U3" s="3" t="s">
        <v>110</v>
      </c>
      <c r="V3" t="s">
        <v>113</v>
      </c>
      <c r="X3" s="3" t="s">
        <v>110</v>
      </c>
      <c r="Y3" t="s">
        <v>115</v>
      </c>
      <c r="AB3" s="3" t="s">
        <v>110</v>
      </c>
      <c r="AC3" t="s">
        <v>115</v>
      </c>
      <c r="AE3" s="3" t="s">
        <v>110</v>
      </c>
      <c r="AF3" t="s">
        <v>115</v>
      </c>
      <c r="AH3" s="3" t="s">
        <v>110</v>
      </c>
      <c r="AI3" t="s">
        <v>113</v>
      </c>
      <c r="AK3" s="3" t="s">
        <v>110</v>
      </c>
      <c r="AL3" t="s">
        <v>112</v>
      </c>
      <c r="AR3" s="4" t="s">
        <v>32</v>
      </c>
      <c r="AS3" s="7">
        <v>194039</v>
      </c>
      <c r="AV3" t="str">
        <f t="shared" ref="AV3:AV6" si="0">AR3</f>
        <v>Running Shoes</v>
      </c>
      <c r="AW3">
        <f t="shared" ref="AW3:AW6" si="1">GETPIVOTDATA("Profit",$AR$1,"Product_Name",AR3)</f>
        <v>194039</v>
      </c>
    </row>
    <row r="4" spans="1:49" x14ac:dyDescent="0.35">
      <c r="A4" s="4" t="s">
        <v>16</v>
      </c>
      <c r="B4" s="7">
        <v>776</v>
      </c>
      <c r="E4" s="4" t="s">
        <v>118</v>
      </c>
      <c r="F4" s="7">
        <v>263</v>
      </c>
      <c r="I4" s="3" t="s">
        <v>110</v>
      </c>
      <c r="J4" t="s">
        <v>16</v>
      </c>
      <c r="K4" t="s">
        <v>27</v>
      </c>
      <c r="L4" t="s">
        <v>111</v>
      </c>
      <c r="N4" s="4" t="s">
        <v>24</v>
      </c>
      <c r="O4" s="7">
        <v>188</v>
      </c>
      <c r="R4" s="4" t="s">
        <v>25</v>
      </c>
      <c r="S4" s="7">
        <v>662</v>
      </c>
      <c r="U4" s="4">
        <v>1</v>
      </c>
      <c r="V4" s="7">
        <v>995</v>
      </c>
      <c r="X4" s="4" t="s">
        <v>24</v>
      </c>
      <c r="Y4" s="7">
        <v>151760</v>
      </c>
      <c r="AB4" s="4">
        <v>1</v>
      </c>
      <c r="AC4" s="7">
        <v>356022</v>
      </c>
      <c r="AE4" s="4" t="s">
        <v>28</v>
      </c>
      <c r="AF4" s="7">
        <v>186783</v>
      </c>
      <c r="AH4" s="4">
        <v>0</v>
      </c>
      <c r="AI4" s="7">
        <v>786</v>
      </c>
      <c r="AK4" s="4" t="s">
        <v>28</v>
      </c>
      <c r="AL4" s="7">
        <v>375</v>
      </c>
      <c r="AR4" s="4" t="s">
        <v>24</v>
      </c>
      <c r="AS4" s="7">
        <v>151760</v>
      </c>
      <c r="AV4" t="str">
        <f t="shared" si="0"/>
        <v>Backpack</v>
      </c>
      <c r="AW4">
        <f t="shared" si="1"/>
        <v>151760</v>
      </c>
    </row>
    <row r="5" spans="1:49" x14ac:dyDescent="0.35">
      <c r="A5" s="4" t="s">
        <v>27</v>
      </c>
      <c r="B5" s="7">
        <v>1171</v>
      </c>
      <c r="E5" s="4" t="s">
        <v>119</v>
      </c>
      <c r="F5" s="7">
        <v>274</v>
      </c>
      <c r="I5" s="4" t="s">
        <v>28</v>
      </c>
      <c r="J5" s="7">
        <v>146</v>
      </c>
      <c r="K5" s="7">
        <v>229</v>
      </c>
      <c r="L5" s="7">
        <v>375</v>
      </c>
      <c r="N5" s="4" t="s">
        <v>39</v>
      </c>
      <c r="O5" s="7">
        <v>80</v>
      </c>
      <c r="R5" s="4" t="s">
        <v>37</v>
      </c>
      <c r="S5" s="7">
        <v>666</v>
      </c>
      <c r="U5" s="4">
        <v>2</v>
      </c>
      <c r="V5" s="7">
        <v>384</v>
      </c>
      <c r="X5" s="4" t="s">
        <v>39</v>
      </c>
      <c r="Y5" s="7">
        <v>51297</v>
      </c>
      <c r="AB5" s="4">
        <v>2</v>
      </c>
      <c r="AC5" s="7">
        <v>273654</v>
      </c>
      <c r="AE5" s="4" t="s">
        <v>31</v>
      </c>
      <c r="AF5" s="7">
        <v>341296</v>
      </c>
      <c r="AH5" s="4">
        <v>5</v>
      </c>
      <c r="AI5" s="7">
        <v>274</v>
      </c>
      <c r="AK5" s="4" t="s">
        <v>31</v>
      </c>
      <c r="AL5" s="7">
        <v>393</v>
      </c>
      <c r="AR5" s="4" t="s">
        <v>76</v>
      </c>
      <c r="AS5" s="7">
        <v>147257</v>
      </c>
      <c r="AV5" t="str">
        <f t="shared" si="0"/>
        <v>Casual Shoes</v>
      </c>
      <c r="AW5">
        <f t="shared" si="1"/>
        <v>147257</v>
      </c>
    </row>
    <row r="6" spans="1:49" x14ac:dyDescent="0.35">
      <c r="A6" s="4" t="s">
        <v>111</v>
      </c>
      <c r="B6" s="7">
        <v>1947</v>
      </c>
      <c r="E6" s="4" t="s">
        <v>120</v>
      </c>
      <c r="F6" s="7">
        <v>291</v>
      </c>
      <c r="I6" s="4" t="s">
        <v>31</v>
      </c>
      <c r="J6" s="7">
        <v>165</v>
      </c>
      <c r="K6" s="7">
        <v>228</v>
      </c>
      <c r="L6" s="7">
        <v>393</v>
      </c>
      <c r="N6" s="4" t="s">
        <v>100</v>
      </c>
      <c r="O6" s="7">
        <v>31</v>
      </c>
      <c r="R6" s="4" t="s">
        <v>19</v>
      </c>
      <c r="S6" s="7">
        <v>619</v>
      </c>
      <c r="U6" s="4">
        <v>3</v>
      </c>
      <c r="V6" s="7">
        <v>182</v>
      </c>
      <c r="X6" s="4" t="s">
        <v>100</v>
      </c>
      <c r="Y6" s="7">
        <v>25028</v>
      </c>
      <c r="AB6" s="4">
        <v>3</v>
      </c>
      <c r="AC6" s="7">
        <v>191535</v>
      </c>
      <c r="AE6" s="4" t="s">
        <v>23</v>
      </c>
      <c r="AF6" s="7">
        <v>457417</v>
      </c>
      <c r="AH6" s="4">
        <v>10</v>
      </c>
      <c r="AI6" s="7">
        <v>305</v>
      </c>
      <c r="AK6" s="4" t="s">
        <v>23</v>
      </c>
      <c r="AL6" s="7">
        <v>379</v>
      </c>
      <c r="AR6" s="4" t="s">
        <v>45</v>
      </c>
      <c r="AS6" s="7">
        <v>138301</v>
      </c>
      <c r="AV6" t="str">
        <f t="shared" si="0"/>
        <v>Dumbbells</v>
      </c>
      <c r="AW6">
        <f t="shared" si="1"/>
        <v>138301</v>
      </c>
    </row>
    <row r="7" spans="1:49" x14ac:dyDescent="0.35">
      <c r="E7" s="4" t="s">
        <v>121</v>
      </c>
      <c r="F7" s="7">
        <v>294</v>
      </c>
      <c r="I7" s="4" t="s">
        <v>23</v>
      </c>
      <c r="J7" s="7">
        <v>160</v>
      </c>
      <c r="K7" s="7">
        <v>219</v>
      </c>
      <c r="L7" s="7">
        <v>379</v>
      </c>
      <c r="N7" s="4" t="s">
        <v>36</v>
      </c>
      <c r="O7" s="7">
        <v>42</v>
      </c>
      <c r="R7" s="4" t="s">
        <v>111</v>
      </c>
      <c r="S7" s="7">
        <v>1947</v>
      </c>
      <c r="U7" s="4">
        <v>4</v>
      </c>
      <c r="V7" s="7">
        <v>196</v>
      </c>
      <c r="X7" s="4" t="s">
        <v>36</v>
      </c>
      <c r="Y7" s="7">
        <v>10278</v>
      </c>
      <c r="AB7" s="4">
        <v>4</v>
      </c>
      <c r="AC7" s="7">
        <v>262984</v>
      </c>
      <c r="AE7" s="4" t="s">
        <v>35</v>
      </c>
      <c r="AF7" s="7">
        <v>289689</v>
      </c>
      <c r="AH7" s="4">
        <v>15</v>
      </c>
      <c r="AI7" s="7">
        <v>294</v>
      </c>
      <c r="AK7" s="4" t="s">
        <v>35</v>
      </c>
      <c r="AL7" s="7">
        <v>407</v>
      </c>
      <c r="AR7" s="4" t="s">
        <v>58</v>
      </c>
      <c r="AS7" s="7">
        <v>82774</v>
      </c>
    </row>
    <row r="8" spans="1:49" x14ac:dyDescent="0.35">
      <c r="E8" s="4" t="s">
        <v>122</v>
      </c>
      <c r="F8" s="7">
        <v>292</v>
      </c>
      <c r="I8" s="4" t="s">
        <v>35</v>
      </c>
      <c r="J8" s="7">
        <v>149</v>
      </c>
      <c r="K8" s="7">
        <v>258</v>
      </c>
      <c r="L8" s="7">
        <v>407</v>
      </c>
      <c r="N8" s="4" t="s">
        <v>76</v>
      </c>
      <c r="O8" s="7">
        <v>195</v>
      </c>
      <c r="U8" s="4">
        <v>5</v>
      </c>
      <c r="V8" s="7">
        <v>190</v>
      </c>
      <c r="X8" s="4" t="s">
        <v>76</v>
      </c>
      <c r="Y8" s="7">
        <v>147257</v>
      </c>
      <c r="AB8" s="4">
        <v>5</v>
      </c>
      <c r="AC8" s="7">
        <v>330605</v>
      </c>
      <c r="AE8" s="4" t="s">
        <v>17</v>
      </c>
      <c r="AF8" s="7">
        <v>139615</v>
      </c>
      <c r="AH8" s="4">
        <v>20</v>
      </c>
      <c r="AI8" s="7">
        <v>288</v>
      </c>
      <c r="AK8" s="4" t="s">
        <v>17</v>
      </c>
      <c r="AL8" s="7">
        <v>393</v>
      </c>
      <c r="AR8" s="4" t="s">
        <v>39</v>
      </c>
      <c r="AS8" s="7">
        <v>51297</v>
      </c>
    </row>
    <row r="9" spans="1:49" x14ac:dyDescent="0.35">
      <c r="E9" s="4" t="s">
        <v>123</v>
      </c>
      <c r="F9" s="7">
        <v>259</v>
      </c>
      <c r="I9" s="4" t="s">
        <v>17</v>
      </c>
      <c r="J9" s="7">
        <v>156</v>
      </c>
      <c r="K9" s="7">
        <v>237</v>
      </c>
      <c r="L9" s="7">
        <v>393</v>
      </c>
      <c r="N9" s="4" t="s">
        <v>50</v>
      </c>
      <c r="O9" s="7">
        <v>49</v>
      </c>
      <c r="U9" s="4" t="s">
        <v>111</v>
      </c>
      <c r="V9" s="7">
        <v>1947</v>
      </c>
      <c r="X9" s="4" t="s">
        <v>50</v>
      </c>
      <c r="Y9" s="7">
        <v>35173</v>
      </c>
      <c r="AB9" s="4" t="s">
        <v>111</v>
      </c>
      <c r="AC9" s="7">
        <v>1414800</v>
      </c>
      <c r="AE9" s="4" t="s">
        <v>111</v>
      </c>
      <c r="AF9" s="7">
        <v>1414800</v>
      </c>
      <c r="AH9" s="4" t="s">
        <v>111</v>
      </c>
      <c r="AI9" s="7">
        <v>1947</v>
      </c>
      <c r="AK9" s="4" t="s">
        <v>111</v>
      </c>
      <c r="AL9" s="7">
        <v>1947</v>
      </c>
      <c r="AR9" s="4" t="s">
        <v>29</v>
      </c>
      <c r="AS9" s="7">
        <v>48482</v>
      </c>
    </row>
    <row r="10" spans="1:49" x14ac:dyDescent="0.35">
      <c r="E10" s="4" t="s">
        <v>124</v>
      </c>
      <c r="F10" s="7">
        <v>274</v>
      </c>
      <c r="I10" s="4" t="s">
        <v>111</v>
      </c>
      <c r="J10" s="7">
        <v>776</v>
      </c>
      <c r="K10" s="7">
        <v>1171</v>
      </c>
      <c r="L10" s="7">
        <v>1947</v>
      </c>
      <c r="N10" s="4" t="s">
        <v>87</v>
      </c>
      <c r="O10" s="7">
        <v>37</v>
      </c>
      <c r="X10" s="4" t="s">
        <v>87</v>
      </c>
      <c r="Y10" s="7">
        <v>44166</v>
      </c>
      <c r="AR10" s="4" t="s">
        <v>87</v>
      </c>
      <c r="AS10" s="7">
        <v>44166</v>
      </c>
    </row>
    <row r="11" spans="1:49" x14ac:dyDescent="0.35">
      <c r="E11" s="4" t="s">
        <v>111</v>
      </c>
      <c r="F11" s="7">
        <v>1947</v>
      </c>
      <c r="N11" s="4" t="s">
        <v>45</v>
      </c>
      <c r="O11" s="7">
        <v>196</v>
      </c>
      <c r="R11" s="3" t="s">
        <v>110</v>
      </c>
      <c r="S11" t="s">
        <v>113</v>
      </c>
      <c r="X11" s="4" t="s">
        <v>45</v>
      </c>
      <c r="Y11" s="7">
        <v>138301</v>
      </c>
      <c r="AR11" s="4" t="s">
        <v>55</v>
      </c>
      <c r="AS11" s="7">
        <v>43372</v>
      </c>
    </row>
    <row r="12" spans="1:49" x14ac:dyDescent="0.35">
      <c r="N12" s="4" t="s">
        <v>41</v>
      </c>
      <c r="O12" s="7">
        <v>83</v>
      </c>
      <c r="R12" s="4" t="s">
        <v>20</v>
      </c>
      <c r="S12" s="7">
        <v>995</v>
      </c>
      <c r="X12" s="4" t="s">
        <v>41</v>
      </c>
      <c r="Y12" s="7">
        <v>40973</v>
      </c>
      <c r="AR12" s="4" t="s">
        <v>41</v>
      </c>
      <c r="AS12" s="7">
        <v>40973</v>
      </c>
    </row>
    <row r="13" spans="1:49" x14ac:dyDescent="0.35">
      <c r="N13" s="4" t="s">
        <v>72</v>
      </c>
      <c r="O13" s="7">
        <v>109</v>
      </c>
      <c r="R13" s="4" t="s">
        <v>19</v>
      </c>
      <c r="S13" s="7">
        <v>952</v>
      </c>
      <c r="X13" s="4" t="s">
        <v>72</v>
      </c>
      <c r="Y13" s="7">
        <v>36246</v>
      </c>
      <c r="AR13" s="4" t="s">
        <v>72</v>
      </c>
      <c r="AS13" s="7">
        <v>36246</v>
      </c>
    </row>
    <row r="14" spans="1:49" x14ac:dyDescent="0.35">
      <c r="N14" s="4" t="s">
        <v>32</v>
      </c>
      <c r="O14" s="7">
        <v>198</v>
      </c>
      <c r="R14" s="4" t="s">
        <v>111</v>
      </c>
      <c r="S14" s="7">
        <v>1947</v>
      </c>
      <c r="X14" s="4" t="s">
        <v>32</v>
      </c>
      <c r="Y14" s="7">
        <v>194039</v>
      </c>
      <c r="AR14" s="4" t="s">
        <v>50</v>
      </c>
      <c r="AS14" s="7">
        <v>35173</v>
      </c>
    </row>
    <row r="15" spans="1:49" x14ac:dyDescent="0.35">
      <c r="N15" s="4" t="s">
        <v>48</v>
      </c>
      <c r="O15" s="7">
        <v>97</v>
      </c>
      <c r="X15" s="4" t="s">
        <v>48</v>
      </c>
      <c r="Y15" s="7">
        <v>31795</v>
      </c>
      <c r="AR15" s="4" t="s">
        <v>48</v>
      </c>
      <c r="AS15" s="7">
        <v>31795</v>
      </c>
    </row>
    <row r="16" spans="1:49" x14ac:dyDescent="0.35">
      <c r="N16" s="4" t="s">
        <v>58</v>
      </c>
      <c r="O16" s="7">
        <v>85</v>
      </c>
      <c r="X16" s="4" t="s">
        <v>58</v>
      </c>
      <c r="Y16" s="7">
        <v>82774</v>
      </c>
      <c r="AR16" s="4" t="s">
        <v>18</v>
      </c>
      <c r="AS16" s="7">
        <v>28202</v>
      </c>
    </row>
    <row r="17" spans="14:45" x14ac:dyDescent="0.35">
      <c r="N17" s="4" t="s">
        <v>43</v>
      </c>
      <c r="O17" s="7">
        <v>191</v>
      </c>
      <c r="X17" s="4" t="s">
        <v>43</v>
      </c>
      <c r="Y17" s="7">
        <v>305657</v>
      </c>
      <c r="AR17" s="4" t="s">
        <v>100</v>
      </c>
      <c r="AS17" s="7">
        <v>25028</v>
      </c>
    </row>
    <row r="18" spans="14:45" x14ac:dyDescent="0.35">
      <c r="N18" s="4" t="s">
        <v>55</v>
      </c>
      <c r="O18" s="7">
        <v>102</v>
      </c>
      <c r="X18" s="4" t="s">
        <v>55</v>
      </c>
      <c r="Y18" s="7">
        <v>43372</v>
      </c>
      <c r="AR18" s="4" t="s">
        <v>36</v>
      </c>
      <c r="AS18" s="7">
        <v>10278</v>
      </c>
    </row>
    <row r="19" spans="14:45" x14ac:dyDescent="0.35">
      <c r="N19" s="4" t="s">
        <v>18</v>
      </c>
      <c r="O19" s="7">
        <v>85</v>
      </c>
      <c r="X19" s="4" t="s">
        <v>18</v>
      </c>
      <c r="Y19" s="7">
        <v>28202</v>
      </c>
      <c r="AR19" s="4" t="s">
        <v>111</v>
      </c>
      <c r="AS19" s="7">
        <v>1414800</v>
      </c>
    </row>
    <row r="20" spans="14:45" x14ac:dyDescent="0.35">
      <c r="N20" s="4" t="s">
        <v>29</v>
      </c>
      <c r="O20" s="7">
        <v>179</v>
      </c>
      <c r="X20" s="4" t="s">
        <v>29</v>
      </c>
      <c r="Y20" s="7">
        <v>48482</v>
      </c>
    </row>
    <row r="21" spans="14:45" x14ac:dyDescent="0.35">
      <c r="N21" s="4" t="s">
        <v>111</v>
      </c>
      <c r="O21" s="7">
        <v>1947</v>
      </c>
      <c r="X21" s="4" t="s">
        <v>111</v>
      </c>
      <c r="Y21" s="7">
        <v>1414800</v>
      </c>
    </row>
  </sheetData>
  <pageMargins left="0.7" right="0.7" top="0.75" bottom="0.75" header="0.3" footer="0.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F9BD5-4DC6-47B5-8D35-E659BD426DC7}">
  <dimension ref="A1:P1948"/>
  <sheetViews>
    <sheetView zoomScaleNormal="100" workbookViewId="0">
      <selection activeCell="H20" sqref="H20"/>
    </sheetView>
  </sheetViews>
  <sheetFormatPr defaultRowHeight="14.5" x14ac:dyDescent="0.35"/>
  <cols>
    <col min="1" max="1" width="16.90625" style="1" customWidth="1"/>
    <col min="2" max="2" width="9" style="1" customWidth="1"/>
    <col min="3" max="3" width="10.453125" style="1" bestFit="1" customWidth="1"/>
    <col min="4" max="4" width="13" style="1" bestFit="1" customWidth="1"/>
    <col min="5" max="5" width="14.36328125" style="1" customWidth="1"/>
    <col min="6" max="6" width="15.36328125" style="1" customWidth="1"/>
    <col min="7" max="7" width="18" style="1" customWidth="1"/>
    <col min="8" max="8" width="14.81640625" style="1" customWidth="1"/>
    <col min="9" max="9" width="14.26953125" style="1" bestFit="1" customWidth="1"/>
    <col min="10" max="10" width="11.6328125" style="1" customWidth="1"/>
    <col min="11" max="11" width="15.1796875" style="1" bestFit="1" customWidth="1"/>
    <col min="12" max="12" width="20.6328125" style="1" bestFit="1" customWidth="1"/>
    <col min="13" max="13" width="18" style="1" customWidth="1"/>
    <col min="14" max="14" width="15.26953125" style="1" customWidth="1"/>
    <col min="15" max="15" width="17.453125" style="1" bestFit="1" customWidth="1"/>
    <col min="16" max="16" width="14.81640625" style="1"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row>
    <row r="2" spans="1:16" x14ac:dyDescent="0.35">
      <c r="A2" s="1" t="s">
        <v>15</v>
      </c>
      <c r="B2" s="1" t="s">
        <v>16</v>
      </c>
      <c r="C2" s="2">
        <v>45471</v>
      </c>
      <c r="D2" s="1" t="s">
        <v>17</v>
      </c>
      <c r="E2" s="1" t="s">
        <v>18</v>
      </c>
      <c r="F2" s="1" t="s">
        <v>19</v>
      </c>
      <c r="G2" s="1" t="s">
        <v>20</v>
      </c>
      <c r="H2" s="1">
        <v>2</v>
      </c>
      <c r="I2" s="1">
        <v>176</v>
      </c>
      <c r="J2" s="1">
        <v>299</v>
      </c>
      <c r="K2" s="1">
        <v>0</v>
      </c>
      <c r="L2" s="1">
        <f>ROUNDDOWN(formatted_data[[#This Row],[Selling_Price]]*formatted_data[[#This Row],[Discount_%]]/100,0)</f>
        <v>0</v>
      </c>
      <c r="M2" s="1">
        <f>(formatted_data[[#This Row],[Selling_Price]]-formatted_data[[#This Row],[Discount_Amount]])*formatted_data[[#This Row],[Units]]</f>
        <v>598</v>
      </c>
      <c r="N2" s="1">
        <f>formatted_data[[#This Row],[Total_Revenue]]-(formatted_data[[#This Row],[Cost_Price]]*formatted_data[[#This Row],[Units]])</f>
        <v>246</v>
      </c>
      <c r="O2" s="1" t="s">
        <v>21</v>
      </c>
      <c r="P2"/>
    </row>
    <row r="3" spans="1:16" x14ac:dyDescent="0.35">
      <c r="A3" s="1" t="s">
        <v>22</v>
      </c>
      <c r="B3" s="1" t="s">
        <v>16</v>
      </c>
      <c r="C3" s="2">
        <v>45500</v>
      </c>
      <c r="D3" s="1" t="s">
        <v>23</v>
      </c>
      <c r="E3" s="1" t="s">
        <v>24</v>
      </c>
      <c r="F3" s="1" t="s">
        <v>25</v>
      </c>
      <c r="G3" s="1" t="s">
        <v>19</v>
      </c>
      <c r="H3" s="1">
        <v>1</v>
      </c>
      <c r="I3" s="1">
        <v>705</v>
      </c>
      <c r="J3" s="1">
        <v>999</v>
      </c>
      <c r="K3" s="1">
        <v>20</v>
      </c>
      <c r="L3" s="1">
        <f>ROUNDDOWN(formatted_data[[#This Row],[Selling_Price]]*formatted_data[[#This Row],[Discount_%]]/100,0)</f>
        <v>199</v>
      </c>
      <c r="M3" s="1">
        <f>(formatted_data[[#This Row],[Selling_Price]]-formatted_data[[#This Row],[Discount_Amount]])*formatted_data[[#This Row],[Units]]</f>
        <v>800</v>
      </c>
      <c r="N3" s="1">
        <f>formatted_data[[#This Row],[Total_Revenue]]-(formatted_data[[#This Row],[Cost_Price]]*formatted_data[[#This Row],[Units]])</f>
        <v>95</v>
      </c>
      <c r="O3" s="1" t="s">
        <v>21</v>
      </c>
      <c r="P3"/>
    </row>
    <row r="4" spans="1:16" x14ac:dyDescent="0.35">
      <c r="A4" s="1" t="s">
        <v>26</v>
      </c>
      <c r="B4" s="1" t="s">
        <v>27</v>
      </c>
      <c r="C4" s="2">
        <v>45534</v>
      </c>
      <c r="D4" s="1" t="s">
        <v>28</v>
      </c>
      <c r="E4" s="1" t="s">
        <v>29</v>
      </c>
      <c r="F4" s="1" t="s">
        <v>19</v>
      </c>
      <c r="G4" s="1" t="s">
        <v>19</v>
      </c>
      <c r="H4" s="1">
        <v>1</v>
      </c>
      <c r="I4" s="1">
        <v>540</v>
      </c>
      <c r="J4" s="1">
        <v>799</v>
      </c>
      <c r="K4" s="1">
        <v>15</v>
      </c>
      <c r="L4" s="1">
        <f>ROUNDDOWN(formatted_data[[#This Row],[Selling_Price]]*formatted_data[[#This Row],[Discount_%]]/100,0)</f>
        <v>119</v>
      </c>
      <c r="M4" s="1">
        <f>(formatted_data[[#This Row],[Selling_Price]]-formatted_data[[#This Row],[Discount_Amount]])*formatted_data[[#This Row],[Units]]</f>
        <v>680</v>
      </c>
      <c r="N4" s="1">
        <f>formatted_data[[#This Row],[Total_Revenue]]-(formatted_data[[#This Row],[Cost_Price]]*formatted_data[[#This Row],[Units]])</f>
        <v>140</v>
      </c>
      <c r="O4" s="1" t="s">
        <v>21</v>
      </c>
      <c r="P4"/>
    </row>
    <row r="5" spans="1:16" x14ac:dyDescent="0.35">
      <c r="A5" s="1" t="s">
        <v>30</v>
      </c>
      <c r="B5" s="1" t="s">
        <v>16</v>
      </c>
      <c r="C5" s="2">
        <v>45544</v>
      </c>
      <c r="D5" s="1" t="s">
        <v>31</v>
      </c>
      <c r="E5" s="1" t="s">
        <v>32</v>
      </c>
      <c r="F5" s="1" t="s">
        <v>19</v>
      </c>
      <c r="G5" s="1" t="s">
        <v>20</v>
      </c>
      <c r="H5" s="1">
        <v>3</v>
      </c>
      <c r="I5" s="1">
        <v>867</v>
      </c>
      <c r="J5" s="1">
        <v>1199</v>
      </c>
      <c r="K5" s="1">
        <v>0</v>
      </c>
      <c r="L5" s="1">
        <f>ROUNDDOWN(formatted_data[[#This Row],[Selling_Price]]*formatted_data[[#This Row],[Discount_%]]/100,0)</f>
        <v>0</v>
      </c>
      <c r="M5" s="1">
        <f>(formatted_data[[#This Row],[Selling_Price]]-formatted_data[[#This Row],[Discount_Amount]])*formatted_data[[#This Row],[Units]]</f>
        <v>3597</v>
      </c>
      <c r="N5" s="1">
        <f>formatted_data[[#This Row],[Total_Revenue]]-(formatted_data[[#This Row],[Cost_Price]]*formatted_data[[#This Row],[Units]])</f>
        <v>996</v>
      </c>
      <c r="O5" s="1" t="s">
        <v>33</v>
      </c>
      <c r="P5"/>
    </row>
    <row r="6" spans="1:16" x14ac:dyDescent="0.35">
      <c r="A6" s="1" t="s">
        <v>34</v>
      </c>
      <c r="B6" s="1" t="s">
        <v>27</v>
      </c>
      <c r="C6" s="2">
        <v>45644</v>
      </c>
      <c r="D6" s="1" t="s">
        <v>23</v>
      </c>
      <c r="E6" s="1" t="s">
        <v>24</v>
      </c>
      <c r="F6" s="1" t="s">
        <v>19</v>
      </c>
      <c r="G6" s="1" t="s">
        <v>20</v>
      </c>
      <c r="H6" s="1">
        <v>1</v>
      </c>
      <c r="I6" s="1">
        <v>605</v>
      </c>
      <c r="J6" s="1">
        <v>899</v>
      </c>
      <c r="K6" s="1">
        <v>5</v>
      </c>
      <c r="L6" s="1">
        <f>ROUNDDOWN(formatted_data[[#This Row],[Selling_Price]]*formatted_data[[#This Row],[Discount_%]]/100,0)</f>
        <v>44</v>
      </c>
      <c r="M6" s="1">
        <f>(formatted_data[[#This Row],[Selling_Price]]-formatted_data[[#This Row],[Discount_Amount]])*formatted_data[[#This Row],[Units]]</f>
        <v>855</v>
      </c>
      <c r="N6" s="1">
        <f>formatted_data[[#This Row],[Total_Revenue]]-(formatted_data[[#This Row],[Cost_Price]]*formatted_data[[#This Row],[Units]])</f>
        <v>250</v>
      </c>
      <c r="O6" s="1" t="s">
        <v>21</v>
      </c>
      <c r="P6"/>
    </row>
    <row r="7" spans="1:16" x14ac:dyDescent="0.35">
      <c r="A7" s="1" t="s">
        <v>34</v>
      </c>
      <c r="B7" s="1" t="s">
        <v>27</v>
      </c>
      <c r="C7" s="2">
        <v>45501</v>
      </c>
      <c r="D7" s="1" t="s">
        <v>35</v>
      </c>
      <c r="E7" s="1" t="s">
        <v>36</v>
      </c>
      <c r="F7" s="1" t="s">
        <v>37</v>
      </c>
      <c r="G7" s="1" t="s">
        <v>20</v>
      </c>
      <c r="H7" s="1">
        <v>1</v>
      </c>
      <c r="I7" s="1">
        <v>420</v>
      </c>
      <c r="J7" s="1">
        <v>599</v>
      </c>
      <c r="K7" s="1">
        <v>5</v>
      </c>
      <c r="L7" s="1">
        <f>ROUNDDOWN(formatted_data[[#This Row],[Selling_Price]]*formatted_data[[#This Row],[Discount_%]]/100,0)</f>
        <v>29</v>
      </c>
      <c r="M7" s="1">
        <f>(formatted_data[[#This Row],[Selling_Price]]-formatted_data[[#This Row],[Discount_Amount]])*formatted_data[[#This Row],[Units]]</f>
        <v>570</v>
      </c>
      <c r="N7" s="1">
        <f>formatted_data[[#This Row],[Total_Revenue]]-(formatted_data[[#This Row],[Cost_Price]]*formatted_data[[#This Row],[Units]])</f>
        <v>150</v>
      </c>
      <c r="O7" s="1" t="s">
        <v>21</v>
      </c>
      <c r="P7"/>
    </row>
    <row r="8" spans="1:16" x14ac:dyDescent="0.35">
      <c r="A8" s="1" t="s">
        <v>38</v>
      </c>
      <c r="B8" s="1" t="s">
        <v>27</v>
      </c>
      <c r="C8" s="2">
        <v>45523</v>
      </c>
      <c r="D8" s="1" t="s">
        <v>35</v>
      </c>
      <c r="E8" s="1" t="s">
        <v>39</v>
      </c>
      <c r="F8" s="1" t="s">
        <v>19</v>
      </c>
      <c r="G8" s="1" t="s">
        <v>20</v>
      </c>
      <c r="H8" s="1">
        <v>1</v>
      </c>
      <c r="I8" s="1">
        <v>495</v>
      </c>
      <c r="J8" s="1">
        <v>899</v>
      </c>
      <c r="K8" s="1">
        <v>15</v>
      </c>
      <c r="L8" s="1">
        <f>ROUNDDOWN(formatted_data[[#This Row],[Selling_Price]]*formatted_data[[#This Row],[Discount_%]]/100,0)</f>
        <v>134</v>
      </c>
      <c r="M8" s="1">
        <f>(formatted_data[[#This Row],[Selling_Price]]-formatted_data[[#This Row],[Discount_Amount]])*formatted_data[[#This Row],[Units]]</f>
        <v>765</v>
      </c>
      <c r="N8" s="1">
        <f>formatted_data[[#This Row],[Total_Revenue]]-(formatted_data[[#This Row],[Cost_Price]]*formatted_data[[#This Row],[Units]])</f>
        <v>270</v>
      </c>
      <c r="O8" s="1" t="s">
        <v>33</v>
      </c>
      <c r="P8"/>
    </row>
    <row r="9" spans="1:16" x14ac:dyDescent="0.35">
      <c r="A9" s="1" t="s">
        <v>40</v>
      </c>
      <c r="B9" s="1" t="s">
        <v>27</v>
      </c>
      <c r="C9" s="2">
        <v>45483</v>
      </c>
      <c r="D9" s="1" t="s">
        <v>35</v>
      </c>
      <c r="E9" s="1" t="s">
        <v>41</v>
      </c>
      <c r="F9" s="1" t="s">
        <v>19</v>
      </c>
      <c r="G9" s="1" t="s">
        <v>20</v>
      </c>
      <c r="H9" s="1">
        <v>4</v>
      </c>
      <c r="I9" s="1">
        <v>895</v>
      </c>
      <c r="J9" s="1">
        <v>1199</v>
      </c>
      <c r="K9" s="1">
        <v>10</v>
      </c>
      <c r="L9" s="1">
        <f>ROUNDDOWN(formatted_data[[#This Row],[Selling_Price]]*formatted_data[[#This Row],[Discount_%]]/100,0)</f>
        <v>119</v>
      </c>
      <c r="M9" s="1">
        <f>(formatted_data[[#This Row],[Selling_Price]]-formatted_data[[#This Row],[Discount_Amount]])*formatted_data[[#This Row],[Units]]</f>
        <v>4320</v>
      </c>
      <c r="N9" s="1">
        <f>formatted_data[[#This Row],[Total_Revenue]]-(formatted_data[[#This Row],[Cost_Price]]*formatted_data[[#This Row],[Units]])</f>
        <v>740</v>
      </c>
      <c r="O9" s="1" t="s">
        <v>21</v>
      </c>
      <c r="P9"/>
    </row>
    <row r="10" spans="1:16" x14ac:dyDescent="0.35">
      <c r="A10" s="1" t="s">
        <v>42</v>
      </c>
      <c r="B10" s="1" t="s">
        <v>27</v>
      </c>
      <c r="C10" s="2">
        <v>45548</v>
      </c>
      <c r="D10" s="1" t="s">
        <v>23</v>
      </c>
      <c r="E10" s="1" t="s">
        <v>43</v>
      </c>
      <c r="F10" s="1" t="s">
        <v>37</v>
      </c>
      <c r="G10" s="1" t="s">
        <v>20</v>
      </c>
      <c r="H10" s="1">
        <v>3</v>
      </c>
      <c r="I10" s="1">
        <v>1819</v>
      </c>
      <c r="J10" s="1">
        <v>2599</v>
      </c>
      <c r="K10" s="1">
        <v>15</v>
      </c>
      <c r="L10" s="1">
        <f>ROUNDDOWN(formatted_data[[#This Row],[Selling_Price]]*formatted_data[[#This Row],[Discount_%]]/100,0)</f>
        <v>389</v>
      </c>
      <c r="M10" s="1">
        <f>(formatted_data[[#This Row],[Selling_Price]]-formatted_data[[#This Row],[Discount_Amount]])*formatted_data[[#This Row],[Units]]</f>
        <v>6630</v>
      </c>
      <c r="N10" s="1">
        <f>formatted_data[[#This Row],[Total_Revenue]]-(formatted_data[[#This Row],[Cost_Price]]*formatted_data[[#This Row],[Units]])</f>
        <v>1173</v>
      </c>
      <c r="O10" s="1" t="s">
        <v>21</v>
      </c>
      <c r="P10"/>
    </row>
    <row r="11" spans="1:16" x14ac:dyDescent="0.35">
      <c r="A11" s="1" t="s">
        <v>26</v>
      </c>
      <c r="B11" s="1" t="s">
        <v>27</v>
      </c>
      <c r="C11" s="2">
        <v>45452</v>
      </c>
      <c r="D11" s="1" t="s">
        <v>28</v>
      </c>
      <c r="E11" s="1" t="s">
        <v>29</v>
      </c>
      <c r="F11" s="1" t="s">
        <v>25</v>
      </c>
      <c r="G11" s="1" t="s">
        <v>20</v>
      </c>
      <c r="H11" s="1">
        <v>2</v>
      </c>
      <c r="I11" s="1">
        <v>299</v>
      </c>
      <c r="J11" s="1">
        <v>499</v>
      </c>
      <c r="K11" s="1">
        <v>10</v>
      </c>
      <c r="L11" s="1">
        <f>ROUNDDOWN(formatted_data[[#This Row],[Selling_Price]]*formatted_data[[#This Row],[Discount_%]]/100,0)</f>
        <v>49</v>
      </c>
      <c r="M11" s="1">
        <f>(formatted_data[[#This Row],[Selling_Price]]-formatted_data[[#This Row],[Discount_Amount]])*formatted_data[[#This Row],[Units]]</f>
        <v>900</v>
      </c>
      <c r="N11" s="1">
        <f>formatted_data[[#This Row],[Total_Revenue]]-(formatted_data[[#This Row],[Cost_Price]]*formatted_data[[#This Row],[Units]])</f>
        <v>302</v>
      </c>
      <c r="O11" s="1" t="s">
        <v>21</v>
      </c>
      <c r="P11"/>
    </row>
    <row r="12" spans="1:16" x14ac:dyDescent="0.35">
      <c r="A12" s="1" t="s">
        <v>30</v>
      </c>
      <c r="B12" s="1" t="s">
        <v>16</v>
      </c>
      <c r="C12" s="2">
        <v>45552</v>
      </c>
      <c r="D12" s="1" t="s">
        <v>28</v>
      </c>
      <c r="E12" s="1" t="s">
        <v>29</v>
      </c>
      <c r="F12" s="1" t="s">
        <v>37</v>
      </c>
      <c r="G12" s="1" t="s">
        <v>20</v>
      </c>
      <c r="H12" s="1">
        <v>5</v>
      </c>
      <c r="I12" s="1">
        <v>255</v>
      </c>
      <c r="J12" s="1">
        <v>499</v>
      </c>
      <c r="K12" s="1">
        <v>10</v>
      </c>
      <c r="L12" s="1">
        <f>ROUNDDOWN(formatted_data[[#This Row],[Selling_Price]]*formatted_data[[#This Row],[Discount_%]]/100,0)</f>
        <v>49</v>
      </c>
      <c r="M12" s="1">
        <f>(formatted_data[[#This Row],[Selling_Price]]-formatted_data[[#This Row],[Discount_Amount]])*formatted_data[[#This Row],[Units]]</f>
        <v>2250</v>
      </c>
      <c r="N12" s="1">
        <f>formatted_data[[#This Row],[Total_Revenue]]-(formatted_data[[#This Row],[Cost_Price]]*formatted_data[[#This Row],[Units]])</f>
        <v>975</v>
      </c>
      <c r="O12" s="1" t="s">
        <v>21</v>
      </c>
      <c r="P12"/>
    </row>
    <row r="13" spans="1:16" x14ac:dyDescent="0.35">
      <c r="A13" s="1" t="s">
        <v>44</v>
      </c>
      <c r="B13" s="1" t="s">
        <v>16</v>
      </c>
      <c r="C13" s="2">
        <v>45580</v>
      </c>
      <c r="D13" s="1" t="s">
        <v>28</v>
      </c>
      <c r="E13" s="1" t="s">
        <v>45</v>
      </c>
      <c r="F13" s="1" t="s">
        <v>19</v>
      </c>
      <c r="G13" s="1" t="s">
        <v>20</v>
      </c>
      <c r="H13" s="1">
        <v>5</v>
      </c>
      <c r="I13" s="1">
        <v>564</v>
      </c>
      <c r="J13" s="1">
        <v>799</v>
      </c>
      <c r="K13" s="1">
        <v>20</v>
      </c>
      <c r="L13" s="1">
        <f>ROUNDDOWN(formatted_data[[#This Row],[Selling_Price]]*formatted_data[[#This Row],[Discount_%]]/100,0)</f>
        <v>159</v>
      </c>
      <c r="M13" s="1">
        <f>(formatted_data[[#This Row],[Selling_Price]]-formatted_data[[#This Row],[Discount_Amount]])*formatted_data[[#This Row],[Units]]</f>
        <v>3200</v>
      </c>
      <c r="N13" s="1">
        <f>formatted_data[[#This Row],[Total_Revenue]]-(formatted_data[[#This Row],[Cost_Price]]*formatted_data[[#This Row],[Units]])</f>
        <v>380</v>
      </c>
      <c r="O13" s="1" t="s">
        <v>21</v>
      </c>
      <c r="P13"/>
    </row>
    <row r="14" spans="1:16" x14ac:dyDescent="0.35">
      <c r="A14" s="1" t="s">
        <v>46</v>
      </c>
      <c r="B14" s="1" t="s">
        <v>16</v>
      </c>
      <c r="C14" s="2">
        <v>45601</v>
      </c>
      <c r="D14" s="1" t="s">
        <v>23</v>
      </c>
      <c r="E14" s="1" t="s">
        <v>24</v>
      </c>
      <c r="F14" s="1" t="s">
        <v>25</v>
      </c>
      <c r="G14" s="1" t="s">
        <v>19</v>
      </c>
      <c r="H14" s="1">
        <v>1</v>
      </c>
      <c r="I14" s="1">
        <v>1202</v>
      </c>
      <c r="J14" s="1">
        <v>2399</v>
      </c>
      <c r="K14" s="1">
        <v>15</v>
      </c>
      <c r="L14" s="1">
        <f>ROUNDDOWN(formatted_data[[#This Row],[Selling_Price]]*formatted_data[[#This Row],[Discount_%]]/100,0)</f>
        <v>359</v>
      </c>
      <c r="M14" s="1">
        <f>(formatted_data[[#This Row],[Selling_Price]]-formatted_data[[#This Row],[Discount_Amount]])*formatted_data[[#This Row],[Units]]</f>
        <v>2040</v>
      </c>
      <c r="N14" s="1">
        <f>formatted_data[[#This Row],[Total_Revenue]]-(formatted_data[[#This Row],[Cost_Price]]*formatted_data[[#This Row],[Units]])</f>
        <v>838</v>
      </c>
      <c r="O14" s="1" t="s">
        <v>33</v>
      </c>
      <c r="P14"/>
    </row>
    <row r="15" spans="1:16" x14ac:dyDescent="0.35">
      <c r="A15" s="1" t="s">
        <v>47</v>
      </c>
      <c r="B15" s="1" t="s">
        <v>16</v>
      </c>
      <c r="C15" s="2">
        <v>45629</v>
      </c>
      <c r="D15" s="1" t="s">
        <v>17</v>
      </c>
      <c r="E15" s="1" t="s">
        <v>48</v>
      </c>
      <c r="F15" s="1" t="s">
        <v>19</v>
      </c>
      <c r="G15" s="1" t="s">
        <v>20</v>
      </c>
      <c r="H15" s="1">
        <v>2</v>
      </c>
      <c r="I15" s="1">
        <v>414</v>
      </c>
      <c r="J15" s="1">
        <v>599</v>
      </c>
      <c r="K15" s="1">
        <v>0</v>
      </c>
      <c r="L15" s="1">
        <f>ROUNDDOWN(formatted_data[[#This Row],[Selling_Price]]*formatted_data[[#This Row],[Discount_%]]/100,0)</f>
        <v>0</v>
      </c>
      <c r="M15" s="1">
        <f>(formatted_data[[#This Row],[Selling_Price]]-formatted_data[[#This Row],[Discount_Amount]])*formatted_data[[#This Row],[Units]]</f>
        <v>1198</v>
      </c>
      <c r="N15" s="1">
        <f>formatted_data[[#This Row],[Total_Revenue]]-(formatted_data[[#This Row],[Cost_Price]]*formatted_data[[#This Row],[Units]])</f>
        <v>370</v>
      </c>
      <c r="O15" s="1" t="s">
        <v>21</v>
      </c>
      <c r="P15"/>
    </row>
    <row r="16" spans="1:16" x14ac:dyDescent="0.35">
      <c r="A16" s="1" t="s">
        <v>49</v>
      </c>
      <c r="B16" s="1" t="s">
        <v>27</v>
      </c>
      <c r="C16" s="2">
        <v>45643</v>
      </c>
      <c r="D16" s="1" t="s">
        <v>35</v>
      </c>
      <c r="E16" s="1" t="s">
        <v>50</v>
      </c>
      <c r="F16" s="1" t="s">
        <v>25</v>
      </c>
      <c r="G16" s="1" t="s">
        <v>20</v>
      </c>
      <c r="H16" s="1">
        <v>1</v>
      </c>
      <c r="I16" s="1">
        <v>512</v>
      </c>
      <c r="J16" s="1">
        <v>999</v>
      </c>
      <c r="K16" s="1">
        <v>15</v>
      </c>
      <c r="L16" s="1">
        <f>ROUNDDOWN(formatted_data[[#This Row],[Selling_Price]]*formatted_data[[#This Row],[Discount_%]]/100,0)</f>
        <v>149</v>
      </c>
      <c r="M16" s="1">
        <f>(formatted_data[[#This Row],[Selling_Price]]-formatted_data[[#This Row],[Discount_Amount]])*formatted_data[[#This Row],[Units]]</f>
        <v>850</v>
      </c>
      <c r="N16" s="1">
        <f>formatted_data[[#This Row],[Total_Revenue]]-(formatted_data[[#This Row],[Cost_Price]]*formatted_data[[#This Row],[Units]])</f>
        <v>338</v>
      </c>
      <c r="O16" s="1" t="s">
        <v>21</v>
      </c>
      <c r="P16"/>
    </row>
    <row r="17" spans="1:16" x14ac:dyDescent="0.35">
      <c r="A17" s="1" t="s">
        <v>51</v>
      </c>
      <c r="B17" s="1" t="s">
        <v>16</v>
      </c>
      <c r="C17" s="2">
        <v>45522</v>
      </c>
      <c r="D17" s="1" t="s">
        <v>28</v>
      </c>
      <c r="E17" s="1" t="s">
        <v>45</v>
      </c>
      <c r="F17" s="1" t="s">
        <v>37</v>
      </c>
      <c r="G17" s="1" t="s">
        <v>20</v>
      </c>
      <c r="H17" s="1">
        <v>4</v>
      </c>
      <c r="I17" s="1">
        <v>1092</v>
      </c>
      <c r="J17" s="1">
        <v>1599</v>
      </c>
      <c r="K17" s="1">
        <v>5</v>
      </c>
      <c r="L17" s="1">
        <f>ROUNDDOWN(formatted_data[[#This Row],[Selling_Price]]*formatted_data[[#This Row],[Discount_%]]/100,0)</f>
        <v>79</v>
      </c>
      <c r="M17" s="1">
        <f>(formatted_data[[#This Row],[Selling_Price]]-formatted_data[[#This Row],[Discount_Amount]])*formatted_data[[#This Row],[Units]]</f>
        <v>6080</v>
      </c>
      <c r="N17" s="1">
        <f>formatted_data[[#This Row],[Total_Revenue]]-(formatted_data[[#This Row],[Cost_Price]]*formatted_data[[#This Row],[Units]])</f>
        <v>1712</v>
      </c>
      <c r="O17" s="1" t="s">
        <v>21</v>
      </c>
      <c r="P17"/>
    </row>
    <row r="18" spans="1:16" x14ac:dyDescent="0.35">
      <c r="A18" s="1" t="s">
        <v>52</v>
      </c>
      <c r="B18" s="1" t="s">
        <v>27</v>
      </c>
      <c r="C18" s="2">
        <v>45654</v>
      </c>
      <c r="D18" s="1" t="s">
        <v>28</v>
      </c>
      <c r="E18" s="1" t="s">
        <v>45</v>
      </c>
      <c r="F18" s="1" t="s">
        <v>25</v>
      </c>
      <c r="G18" s="1" t="s">
        <v>19</v>
      </c>
      <c r="H18" s="1">
        <v>1</v>
      </c>
      <c r="I18" s="1">
        <v>1105</v>
      </c>
      <c r="J18" s="1">
        <v>1499</v>
      </c>
      <c r="K18" s="1">
        <v>15</v>
      </c>
      <c r="L18" s="1">
        <f>ROUNDDOWN(formatted_data[[#This Row],[Selling_Price]]*formatted_data[[#This Row],[Discount_%]]/100,0)</f>
        <v>224</v>
      </c>
      <c r="M18" s="1">
        <f>(formatted_data[[#This Row],[Selling_Price]]-formatted_data[[#This Row],[Discount_Amount]])*formatted_data[[#This Row],[Units]]</f>
        <v>1275</v>
      </c>
      <c r="N18" s="1">
        <f>formatted_data[[#This Row],[Total_Revenue]]-(formatted_data[[#This Row],[Cost_Price]]*formatted_data[[#This Row],[Units]])</f>
        <v>170</v>
      </c>
      <c r="O18" s="1" t="s">
        <v>33</v>
      </c>
      <c r="P18"/>
    </row>
    <row r="19" spans="1:16" x14ac:dyDescent="0.35">
      <c r="A19" s="1" t="s">
        <v>53</v>
      </c>
      <c r="B19" s="1" t="s">
        <v>27</v>
      </c>
      <c r="C19" s="2">
        <v>45514</v>
      </c>
      <c r="D19" s="1" t="s">
        <v>35</v>
      </c>
      <c r="E19" s="1" t="s">
        <v>39</v>
      </c>
      <c r="F19" s="1" t="s">
        <v>25</v>
      </c>
      <c r="G19" s="1" t="s">
        <v>20</v>
      </c>
      <c r="H19" s="1">
        <v>2</v>
      </c>
      <c r="I19" s="1">
        <v>1041</v>
      </c>
      <c r="J19" s="1">
        <v>1399</v>
      </c>
      <c r="K19" s="1">
        <v>5</v>
      </c>
      <c r="L19" s="1">
        <f>ROUNDDOWN(formatted_data[[#This Row],[Selling_Price]]*formatted_data[[#This Row],[Discount_%]]/100,0)</f>
        <v>69</v>
      </c>
      <c r="M19" s="1">
        <f>(formatted_data[[#This Row],[Selling_Price]]-formatted_data[[#This Row],[Discount_Amount]])*formatted_data[[#This Row],[Units]]</f>
        <v>2660</v>
      </c>
      <c r="N19" s="1">
        <f>formatted_data[[#This Row],[Total_Revenue]]-(formatted_data[[#This Row],[Cost_Price]]*formatted_data[[#This Row],[Units]])</f>
        <v>578</v>
      </c>
      <c r="O19" s="1" t="s">
        <v>21</v>
      </c>
      <c r="P19"/>
    </row>
    <row r="20" spans="1:16" x14ac:dyDescent="0.35">
      <c r="A20" s="1" t="s">
        <v>30</v>
      </c>
      <c r="B20" s="1" t="s">
        <v>16</v>
      </c>
      <c r="C20" s="2">
        <v>45487</v>
      </c>
      <c r="D20" s="1" t="s">
        <v>31</v>
      </c>
      <c r="E20" s="1" t="s">
        <v>32</v>
      </c>
      <c r="F20" s="1" t="s">
        <v>25</v>
      </c>
      <c r="G20" s="1" t="s">
        <v>19</v>
      </c>
      <c r="H20" s="1">
        <v>1</v>
      </c>
      <c r="I20" s="1">
        <v>624</v>
      </c>
      <c r="J20" s="1">
        <v>899</v>
      </c>
      <c r="K20" s="1">
        <v>0</v>
      </c>
      <c r="L20" s="1">
        <f>ROUNDDOWN(formatted_data[[#This Row],[Selling_Price]]*formatted_data[[#This Row],[Discount_%]]/100,0)</f>
        <v>0</v>
      </c>
      <c r="M20" s="1">
        <f>(formatted_data[[#This Row],[Selling_Price]]-formatted_data[[#This Row],[Discount_Amount]])*formatted_data[[#This Row],[Units]]</f>
        <v>899</v>
      </c>
      <c r="N20" s="1">
        <f>formatted_data[[#This Row],[Total_Revenue]]-(formatted_data[[#This Row],[Cost_Price]]*formatted_data[[#This Row],[Units]])</f>
        <v>275</v>
      </c>
      <c r="O20" s="1" t="s">
        <v>33</v>
      </c>
      <c r="P20"/>
    </row>
    <row r="21" spans="1:16" x14ac:dyDescent="0.35">
      <c r="A21" s="1" t="s">
        <v>54</v>
      </c>
      <c r="B21" s="1" t="s">
        <v>27</v>
      </c>
      <c r="C21" s="2">
        <v>45448</v>
      </c>
      <c r="D21" s="1" t="s">
        <v>17</v>
      </c>
      <c r="E21" s="1" t="s">
        <v>55</v>
      </c>
      <c r="F21" s="1" t="s">
        <v>25</v>
      </c>
      <c r="G21" s="1" t="s">
        <v>19</v>
      </c>
      <c r="H21" s="1">
        <v>2</v>
      </c>
      <c r="I21" s="1">
        <v>195</v>
      </c>
      <c r="J21" s="1">
        <v>299</v>
      </c>
      <c r="K21" s="1">
        <v>0</v>
      </c>
      <c r="L21" s="1">
        <f>ROUNDDOWN(formatted_data[[#This Row],[Selling_Price]]*formatted_data[[#This Row],[Discount_%]]/100,0)</f>
        <v>0</v>
      </c>
      <c r="M21" s="1">
        <f>(formatted_data[[#This Row],[Selling_Price]]-formatted_data[[#This Row],[Discount_Amount]])*formatted_data[[#This Row],[Units]]</f>
        <v>598</v>
      </c>
      <c r="N21" s="1">
        <f>formatted_data[[#This Row],[Total_Revenue]]-(formatted_data[[#This Row],[Cost_Price]]*formatted_data[[#This Row],[Units]])</f>
        <v>208</v>
      </c>
      <c r="O21" s="1" t="s">
        <v>21</v>
      </c>
      <c r="P21"/>
    </row>
    <row r="22" spans="1:16" x14ac:dyDescent="0.35">
      <c r="A22" s="1" t="s">
        <v>56</v>
      </c>
      <c r="B22" s="1" t="s">
        <v>27</v>
      </c>
      <c r="C22" s="2">
        <v>45580</v>
      </c>
      <c r="D22" s="1" t="s">
        <v>28</v>
      </c>
      <c r="E22" s="1" t="s">
        <v>45</v>
      </c>
      <c r="F22" s="1" t="s">
        <v>37</v>
      </c>
      <c r="G22" s="1" t="s">
        <v>20</v>
      </c>
      <c r="H22" s="1">
        <v>3</v>
      </c>
      <c r="I22" s="1">
        <v>1177</v>
      </c>
      <c r="J22" s="1">
        <v>1699</v>
      </c>
      <c r="K22" s="1">
        <v>10</v>
      </c>
      <c r="L22" s="1">
        <f>ROUNDDOWN(formatted_data[[#This Row],[Selling_Price]]*formatted_data[[#This Row],[Discount_%]]/100,0)</f>
        <v>169</v>
      </c>
      <c r="M22" s="1">
        <f>(formatted_data[[#This Row],[Selling_Price]]-formatted_data[[#This Row],[Discount_Amount]])*formatted_data[[#This Row],[Units]]</f>
        <v>4590</v>
      </c>
      <c r="N22" s="1">
        <f>formatted_data[[#This Row],[Total_Revenue]]-(formatted_data[[#This Row],[Cost_Price]]*formatted_data[[#This Row],[Units]])</f>
        <v>1059</v>
      </c>
      <c r="O22" s="1" t="s">
        <v>33</v>
      </c>
      <c r="P22"/>
    </row>
    <row r="23" spans="1:16" x14ac:dyDescent="0.35">
      <c r="A23" s="1" t="s">
        <v>57</v>
      </c>
      <c r="B23" s="1" t="s">
        <v>27</v>
      </c>
      <c r="C23" s="2">
        <v>45655</v>
      </c>
      <c r="D23" s="1" t="s">
        <v>23</v>
      </c>
      <c r="E23" s="1" t="s">
        <v>43</v>
      </c>
      <c r="F23" s="1" t="s">
        <v>25</v>
      </c>
      <c r="G23" s="1" t="s">
        <v>19</v>
      </c>
      <c r="H23" s="1">
        <v>5</v>
      </c>
      <c r="I23" s="1">
        <v>1708</v>
      </c>
      <c r="J23" s="1">
        <v>2599</v>
      </c>
      <c r="K23" s="1">
        <v>15</v>
      </c>
      <c r="L23" s="1">
        <f>ROUNDDOWN(formatted_data[[#This Row],[Selling_Price]]*formatted_data[[#This Row],[Discount_%]]/100,0)</f>
        <v>389</v>
      </c>
      <c r="M23" s="1">
        <f>(formatted_data[[#This Row],[Selling_Price]]-formatted_data[[#This Row],[Discount_Amount]])*formatted_data[[#This Row],[Units]]</f>
        <v>11050</v>
      </c>
      <c r="N23" s="1">
        <f>formatted_data[[#This Row],[Total_Revenue]]-(formatted_data[[#This Row],[Cost_Price]]*formatted_data[[#This Row],[Units]])</f>
        <v>2510</v>
      </c>
      <c r="O23" s="1" t="s">
        <v>21</v>
      </c>
      <c r="P23"/>
    </row>
    <row r="24" spans="1:16" x14ac:dyDescent="0.35">
      <c r="A24" s="1" t="s">
        <v>46</v>
      </c>
      <c r="B24" s="1" t="s">
        <v>16</v>
      </c>
      <c r="C24" s="2">
        <v>45603</v>
      </c>
      <c r="D24" s="1" t="s">
        <v>35</v>
      </c>
      <c r="E24" s="1" t="s">
        <v>58</v>
      </c>
      <c r="F24" s="1" t="s">
        <v>19</v>
      </c>
      <c r="G24" s="1" t="s">
        <v>19</v>
      </c>
      <c r="H24" s="1">
        <v>1</v>
      </c>
      <c r="I24" s="1">
        <v>1161</v>
      </c>
      <c r="J24" s="1">
        <v>1699</v>
      </c>
      <c r="K24" s="1">
        <v>10</v>
      </c>
      <c r="L24" s="1">
        <f>ROUNDDOWN(formatted_data[[#This Row],[Selling_Price]]*formatted_data[[#This Row],[Discount_%]]/100,0)</f>
        <v>169</v>
      </c>
      <c r="M24" s="1">
        <f>(formatted_data[[#This Row],[Selling_Price]]-formatted_data[[#This Row],[Discount_Amount]])*formatted_data[[#This Row],[Units]]</f>
        <v>1530</v>
      </c>
      <c r="N24" s="1">
        <f>formatted_data[[#This Row],[Total_Revenue]]-(formatted_data[[#This Row],[Cost_Price]]*formatted_data[[#This Row],[Units]])</f>
        <v>369</v>
      </c>
      <c r="O24" s="1" t="s">
        <v>21</v>
      </c>
      <c r="P24"/>
    </row>
    <row r="25" spans="1:16" x14ac:dyDescent="0.35">
      <c r="A25" s="1" t="s">
        <v>59</v>
      </c>
      <c r="B25" s="1" t="s">
        <v>27</v>
      </c>
      <c r="C25" s="2">
        <v>45516</v>
      </c>
      <c r="D25" s="1" t="s">
        <v>23</v>
      </c>
      <c r="E25" s="1" t="s">
        <v>24</v>
      </c>
      <c r="F25" s="1" t="s">
        <v>25</v>
      </c>
      <c r="G25" s="1" t="s">
        <v>20</v>
      </c>
      <c r="H25" s="1">
        <v>1</v>
      </c>
      <c r="I25" s="1">
        <v>1019</v>
      </c>
      <c r="J25" s="1">
        <v>1399</v>
      </c>
      <c r="K25" s="1">
        <v>10</v>
      </c>
      <c r="L25" s="1">
        <f>ROUNDDOWN(formatted_data[[#This Row],[Selling_Price]]*formatted_data[[#This Row],[Discount_%]]/100,0)</f>
        <v>139</v>
      </c>
      <c r="M25" s="1">
        <f>(formatted_data[[#This Row],[Selling_Price]]-formatted_data[[#This Row],[Discount_Amount]])*formatted_data[[#This Row],[Units]]</f>
        <v>1260</v>
      </c>
      <c r="N25" s="1">
        <f>formatted_data[[#This Row],[Total_Revenue]]-(formatted_data[[#This Row],[Cost_Price]]*formatted_data[[#This Row],[Units]])</f>
        <v>241</v>
      </c>
      <c r="O25" s="1" t="s">
        <v>21</v>
      </c>
      <c r="P25"/>
    </row>
    <row r="26" spans="1:16" x14ac:dyDescent="0.35">
      <c r="A26" s="1" t="s">
        <v>60</v>
      </c>
      <c r="B26" s="1" t="s">
        <v>27</v>
      </c>
      <c r="C26" s="2">
        <v>45536</v>
      </c>
      <c r="D26" s="1" t="s">
        <v>35</v>
      </c>
      <c r="E26" s="1" t="s">
        <v>41</v>
      </c>
      <c r="F26" s="1" t="s">
        <v>25</v>
      </c>
      <c r="G26" s="1" t="s">
        <v>19</v>
      </c>
      <c r="H26" s="1">
        <v>1</v>
      </c>
      <c r="I26" s="1">
        <v>392</v>
      </c>
      <c r="J26" s="1">
        <v>599</v>
      </c>
      <c r="K26" s="1">
        <v>5</v>
      </c>
      <c r="L26" s="1">
        <f>ROUNDDOWN(formatted_data[[#This Row],[Selling_Price]]*formatted_data[[#This Row],[Discount_%]]/100,0)</f>
        <v>29</v>
      </c>
      <c r="M26" s="1">
        <f>(formatted_data[[#This Row],[Selling_Price]]-formatted_data[[#This Row],[Discount_Amount]])*formatted_data[[#This Row],[Units]]</f>
        <v>570</v>
      </c>
      <c r="N26" s="1">
        <f>formatted_data[[#This Row],[Total_Revenue]]-(formatted_data[[#This Row],[Cost_Price]]*formatted_data[[#This Row],[Units]])</f>
        <v>178</v>
      </c>
      <c r="O26" s="1" t="s">
        <v>33</v>
      </c>
      <c r="P26"/>
    </row>
    <row r="27" spans="1:16" x14ac:dyDescent="0.35">
      <c r="A27" s="1" t="s">
        <v>61</v>
      </c>
      <c r="B27" s="1" t="s">
        <v>27</v>
      </c>
      <c r="C27" s="2">
        <v>45453</v>
      </c>
      <c r="D27" s="1" t="s">
        <v>17</v>
      </c>
      <c r="E27" s="1" t="s">
        <v>48</v>
      </c>
      <c r="F27" s="1" t="s">
        <v>37</v>
      </c>
      <c r="G27" s="1" t="s">
        <v>19</v>
      </c>
      <c r="H27" s="1">
        <v>1</v>
      </c>
      <c r="I27" s="1">
        <v>371</v>
      </c>
      <c r="J27" s="1">
        <v>499</v>
      </c>
      <c r="K27" s="1">
        <v>0</v>
      </c>
      <c r="L27" s="1">
        <f>ROUNDDOWN(formatted_data[[#This Row],[Selling_Price]]*formatted_data[[#This Row],[Discount_%]]/100,0)</f>
        <v>0</v>
      </c>
      <c r="M27" s="1">
        <f>(formatted_data[[#This Row],[Selling_Price]]-formatted_data[[#This Row],[Discount_Amount]])*formatted_data[[#This Row],[Units]]</f>
        <v>499</v>
      </c>
      <c r="N27" s="1">
        <f>formatted_data[[#This Row],[Total_Revenue]]-(formatted_data[[#This Row],[Cost_Price]]*formatted_data[[#This Row],[Units]])</f>
        <v>128</v>
      </c>
      <c r="O27" s="1" t="s">
        <v>21</v>
      </c>
      <c r="P27"/>
    </row>
    <row r="28" spans="1:16" x14ac:dyDescent="0.35">
      <c r="A28" s="1" t="s">
        <v>34</v>
      </c>
      <c r="B28" s="1" t="s">
        <v>27</v>
      </c>
      <c r="C28" s="2">
        <v>45559</v>
      </c>
      <c r="D28" s="1" t="s">
        <v>17</v>
      </c>
      <c r="E28" s="1" t="s">
        <v>18</v>
      </c>
      <c r="F28" s="1" t="s">
        <v>37</v>
      </c>
      <c r="G28" s="1" t="s">
        <v>20</v>
      </c>
      <c r="H28" s="1">
        <v>1</v>
      </c>
      <c r="I28" s="1">
        <v>307</v>
      </c>
      <c r="J28" s="1">
        <v>499</v>
      </c>
      <c r="K28" s="1">
        <v>0</v>
      </c>
      <c r="L28" s="1">
        <f>ROUNDDOWN(formatted_data[[#This Row],[Selling_Price]]*formatted_data[[#This Row],[Discount_%]]/100,0)</f>
        <v>0</v>
      </c>
      <c r="M28" s="1">
        <f>(formatted_data[[#This Row],[Selling_Price]]-formatted_data[[#This Row],[Discount_Amount]])*formatted_data[[#This Row],[Units]]</f>
        <v>499</v>
      </c>
      <c r="N28" s="1">
        <f>formatted_data[[#This Row],[Total_Revenue]]-(formatted_data[[#This Row],[Cost_Price]]*formatted_data[[#This Row],[Units]])</f>
        <v>192</v>
      </c>
      <c r="O28" s="1" t="s">
        <v>33</v>
      </c>
      <c r="P28"/>
    </row>
    <row r="29" spans="1:16" x14ac:dyDescent="0.35">
      <c r="A29" s="1" t="s">
        <v>46</v>
      </c>
      <c r="B29" s="1" t="s">
        <v>16</v>
      </c>
      <c r="C29" s="2">
        <v>45637</v>
      </c>
      <c r="D29" s="1" t="s">
        <v>23</v>
      </c>
      <c r="E29" s="1" t="s">
        <v>24</v>
      </c>
      <c r="F29" s="1" t="s">
        <v>25</v>
      </c>
      <c r="G29" s="1" t="s">
        <v>19</v>
      </c>
      <c r="H29" s="1">
        <v>1</v>
      </c>
      <c r="I29" s="1">
        <v>1023</v>
      </c>
      <c r="J29" s="1">
        <v>1899</v>
      </c>
      <c r="K29" s="1">
        <v>20</v>
      </c>
      <c r="L29" s="1">
        <f>ROUNDDOWN(formatted_data[[#This Row],[Selling_Price]]*formatted_data[[#This Row],[Discount_%]]/100,0)</f>
        <v>379</v>
      </c>
      <c r="M29" s="1">
        <f>(formatted_data[[#This Row],[Selling_Price]]-formatted_data[[#This Row],[Discount_Amount]])*formatted_data[[#This Row],[Units]]</f>
        <v>1520</v>
      </c>
      <c r="N29" s="1">
        <f>formatted_data[[#This Row],[Total_Revenue]]-(formatted_data[[#This Row],[Cost_Price]]*formatted_data[[#This Row],[Units]])</f>
        <v>497</v>
      </c>
      <c r="O29" s="1" t="s">
        <v>33</v>
      </c>
      <c r="P29"/>
    </row>
    <row r="30" spans="1:16" x14ac:dyDescent="0.35">
      <c r="A30" s="1" t="s">
        <v>62</v>
      </c>
      <c r="B30" s="1" t="s">
        <v>16</v>
      </c>
      <c r="C30" s="2">
        <v>45539</v>
      </c>
      <c r="D30" s="1" t="s">
        <v>23</v>
      </c>
      <c r="E30" s="1" t="s">
        <v>24</v>
      </c>
      <c r="F30" s="1" t="s">
        <v>19</v>
      </c>
      <c r="G30" s="1" t="s">
        <v>20</v>
      </c>
      <c r="H30" s="1">
        <v>2</v>
      </c>
      <c r="I30" s="1">
        <v>475</v>
      </c>
      <c r="J30" s="1">
        <v>899</v>
      </c>
      <c r="K30" s="1">
        <v>5</v>
      </c>
      <c r="L30" s="1">
        <f>ROUNDDOWN(formatted_data[[#This Row],[Selling_Price]]*formatted_data[[#This Row],[Discount_%]]/100,0)</f>
        <v>44</v>
      </c>
      <c r="M30" s="1">
        <f>(formatted_data[[#This Row],[Selling_Price]]-formatted_data[[#This Row],[Discount_Amount]])*formatted_data[[#This Row],[Units]]</f>
        <v>1710</v>
      </c>
      <c r="N30" s="1">
        <f>formatted_data[[#This Row],[Total_Revenue]]-(formatted_data[[#This Row],[Cost_Price]]*formatted_data[[#This Row],[Units]])</f>
        <v>760</v>
      </c>
      <c r="O30" s="1" t="s">
        <v>21</v>
      </c>
      <c r="P30"/>
    </row>
    <row r="31" spans="1:16" x14ac:dyDescent="0.35">
      <c r="A31" s="1" t="s">
        <v>63</v>
      </c>
      <c r="B31" s="1" t="s">
        <v>27</v>
      </c>
      <c r="C31" s="2">
        <v>45654</v>
      </c>
      <c r="D31" s="1" t="s">
        <v>17</v>
      </c>
      <c r="E31" s="1" t="s">
        <v>55</v>
      </c>
      <c r="F31" s="1" t="s">
        <v>19</v>
      </c>
      <c r="G31" s="1" t="s">
        <v>19</v>
      </c>
      <c r="H31" s="1">
        <v>1</v>
      </c>
      <c r="I31" s="1">
        <v>539</v>
      </c>
      <c r="J31" s="1">
        <v>799</v>
      </c>
      <c r="K31" s="1">
        <v>0</v>
      </c>
      <c r="L31" s="1">
        <f>ROUNDDOWN(formatted_data[[#This Row],[Selling_Price]]*formatted_data[[#This Row],[Discount_%]]/100,0)</f>
        <v>0</v>
      </c>
      <c r="M31" s="1">
        <f>(formatted_data[[#This Row],[Selling_Price]]-formatted_data[[#This Row],[Discount_Amount]])*formatted_data[[#This Row],[Units]]</f>
        <v>799</v>
      </c>
      <c r="N31" s="1">
        <f>formatted_data[[#This Row],[Total_Revenue]]-(formatted_data[[#This Row],[Cost_Price]]*formatted_data[[#This Row],[Units]])</f>
        <v>260</v>
      </c>
      <c r="O31" s="1" t="s">
        <v>21</v>
      </c>
      <c r="P31"/>
    </row>
    <row r="32" spans="1:16" x14ac:dyDescent="0.35">
      <c r="A32" s="1" t="s">
        <v>64</v>
      </c>
      <c r="B32" s="1" t="s">
        <v>16</v>
      </c>
      <c r="C32" s="2">
        <v>45594</v>
      </c>
      <c r="D32" s="1" t="s">
        <v>31</v>
      </c>
      <c r="E32" s="1" t="s">
        <v>32</v>
      </c>
      <c r="F32" s="1" t="s">
        <v>37</v>
      </c>
      <c r="G32" s="1" t="s">
        <v>20</v>
      </c>
      <c r="H32" s="1">
        <v>2</v>
      </c>
      <c r="I32" s="1">
        <v>960</v>
      </c>
      <c r="J32" s="1">
        <v>1499</v>
      </c>
      <c r="K32" s="1">
        <v>0</v>
      </c>
      <c r="L32" s="1">
        <f>ROUNDDOWN(formatted_data[[#This Row],[Selling_Price]]*formatted_data[[#This Row],[Discount_%]]/100,0)</f>
        <v>0</v>
      </c>
      <c r="M32" s="1">
        <f>(formatted_data[[#This Row],[Selling_Price]]-formatted_data[[#This Row],[Discount_Amount]])*formatted_data[[#This Row],[Units]]</f>
        <v>2998</v>
      </c>
      <c r="N32" s="1">
        <f>formatted_data[[#This Row],[Total_Revenue]]-(formatted_data[[#This Row],[Cost_Price]]*formatted_data[[#This Row],[Units]])</f>
        <v>1078</v>
      </c>
      <c r="O32" s="1" t="s">
        <v>33</v>
      </c>
      <c r="P32"/>
    </row>
    <row r="33" spans="1:16" x14ac:dyDescent="0.35">
      <c r="A33" s="1" t="s">
        <v>65</v>
      </c>
      <c r="B33" s="1" t="s">
        <v>16</v>
      </c>
      <c r="C33" s="2">
        <v>45555</v>
      </c>
      <c r="D33" s="1" t="s">
        <v>23</v>
      </c>
      <c r="E33" s="1" t="s">
        <v>43</v>
      </c>
      <c r="F33" s="1" t="s">
        <v>25</v>
      </c>
      <c r="G33" s="1" t="s">
        <v>20</v>
      </c>
      <c r="H33" s="1">
        <v>1</v>
      </c>
      <c r="I33" s="1">
        <v>1324</v>
      </c>
      <c r="J33" s="1">
        <v>2499</v>
      </c>
      <c r="K33" s="1">
        <v>20</v>
      </c>
      <c r="L33" s="1">
        <f>ROUNDDOWN(formatted_data[[#This Row],[Selling_Price]]*formatted_data[[#This Row],[Discount_%]]/100,0)</f>
        <v>499</v>
      </c>
      <c r="M33" s="1">
        <f>(formatted_data[[#This Row],[Selling_Price]]-formatted_data[[#This Row],[Discount_Amount]])*formatted_data[[#This Row],[Units]]</f>
        <v>2000</v>
      </c>
      <c r="N33" s="1">
        <f>formatted_data[[#This Row],[Total_Revenue]]-(formatted_data[[#This Row],[Cost_Price]]*formatted_data[[#This Row],[Units]])</f>
        <v>676</v>
      </c>
      <c r="O33" s="1" t="s">
        <v>21</v>
      </c>
      <c r="P33"/>
    </row>
    <row r="34" spans="1:16" x14ac:dyDescent="0.35">
      <c r="A34" s="1" t="s">
        <v>42</v>
      </c>
      <c r="B34" s="1" t="s">
        <v>27</v>
      </c>
      <c r="C34" s="2">
        <v>45453</v>
      </c>
      <c r="D34" s="1" t="s">
        <v>23</v>
      </c>
      <c r="E34" s="1" t="s">
        <v>24</v>
      </c>
      <c r="F34" s="1" t="s">
        <v>25</v>
      </c>
      <c r="G34" s="1" t="s">
        <v>20</v>
      </c>
      <c r="H34" s="1">
        <v>4</v>
      </c>
      <c r="I34" s="1">
        <v>633</v>
      </c>
      <c r="J34" s="1">
        <v>1099</v>
      </c>
      <c r="K34" s="1">
        <v>5</v>
      </c>
      <c r="L34" s="1">
        <f>ROUNDDOWN(formatted_data[[#This Row],[Selling_Price]]*formatted_data[[#This Row],[Discount_%]]/100,0)</f>
        <v>54</v>
      </c>
      <c r="M34" s="1">
        <f>(formatted_data[[#This Row],[Selling_Price]]-formatted_data[[#This Row],[Discount_Amount]])*formatted_data[[#This Row],[Units]]</f>
        <v>4180</v>
      </c>
      <c r="N34" s="1">
        <f>formatted_data[[#This Row],[Total_Revenue]]-(formatted_data[[#This Row],[Cost_Price]]*formatted_data[[#This Row],[Units]])</f>
        <v>1648</v>
      </c>
      <c r="O34" s="1" t="s">
        <v>33</v>
      </c>
      <c r="P34"/>
    </row>
    <row r="35" spans="1:16" x14ac:dyDescent="0.35">
      <c r="A35" s="1" t="s">
        <v>51</v>
      </c>
      <c r="B35" s="1" t="s">
        <v>16</v>
      </c>
      <c r="C35" s="2">
        <v>45490</v>
      </c>
      <c r="D35" s="1" t="s">
        <v>28</v>
      </c>
      <c r="E35" s="1" t="s">
        <v>45</v>
      </c>
      <c r="F35" s="1" t="s">
        <v>19</v>
      </c>
      <c r="G35" s="1" t="s">
        <v>19</v>
      </c>
      <c r="H35" s="1">
        <v>1</v>
      </c>
      <c r="I35" s="1">
        <v>619</v>
      </c>
      <c r="J35" s="1">
        <v>899</v>
      </c>
      <c r="K35" s="1">
        <v>5</v>
      </c>
      <c r="L35" s="1">
        <f>ROUNDDOWN(formatted_data[[#This Row],[Selling_Price]]*formatted_data[[#This Row],[Discount_%]]/100,0)</f>
        <v>44</v>
      </c>
      <c r="M35" s="1">
        <f>(formatted_data[[#This Row],[Selling_Price]]-formatted_data[[#This Row],[Discount_Amount]])*formatted_data[[#This Row],[Units]]</f>
        <v>855</v>
      </c>
      <c r="N35" s="1">
        <f>formatted_data[[#This Row],[Total_Revenue]]-(formatted_data[[#This Row],[Cost_Price]]*formatted_data[[#This Row],[Units]])</f>
        <v>236</v>
      </c>
      <c r="O35" s="1" t="s">
        <v>21</v>
      </c>
      <c r="P35"/>
    </row>
    <row r="36" spans="1:16" x14ac:dyDescent="0.35">
      <c r="A36" s="1" t="s">
        <v>15</v>
      </c>
      <c r="B36" s="1" t="s">
        <v>16</v>
      </c>
      <c r="C36" s="2">
        <v>45476</v>
      </c>
      <c r="D36" s="1" t="s">
        <v>23</v>
      </c>
      <c r="E36" s="1" t="s">
        <v>24</v>
      </c>
      <c r="F36" s="1" t="s">
        <v>25</v>
      </c>
      <c r="G36" s="1" t="s">
        <v>19</v>
      </c>
      <c r="H36" s="1">
        <v>3</v>
      </c>
      <c r="I36" s="1">
        <v>1258</v>
      </c>
      <c r="J36" s="1">
        <v>2199</v>
      </c>
      <c r="K36" s="1">
        <v>5</v>
      </c>
      <c r="L36" s="1">
        <f>ROUNDDOWN(formatted_data[[#This Row],[Selling_Price]]*formatted_data[[#This Row],[Discount_%]]/100,0)</f>
        <v>109</v>
      </c>
      <c r="M36" s="1">
        <f>(formatted_data[[#This Row],[Selling_Price]]-formatted_data[[#This Row],[Discount_Amount]])*formatted_data[[#This Row],[Units]]</f>
        <v>6270</v>
      </c>
      <c r="N36" s="1">
        <f>formatted_data[[#This Row],[Total_Revenue]]-(formatted_data[[#This Row],[Cost_Price]]*formatted_data[[#This Row],[Units]])</f>
        <v>2496</v>
      </c>
      <c r="O36" s="1" t="s">
        <v>21</v>
      </c>
      <c r="P36"/>
    </row>
    <row r="37" spans="1:16" x14ac:dyDescent="0.35">
      <c r="A37" s="1" t="s">
        <v>63</v>
      </c>
      <c r="B37" s="1" t="s">
        <v>27</v>
      </c>
      <c r="C37" s="2">
        <v>45563</v>
      </c>
      <c r="D37" s="1" t="s">
        <v>35</v>
      </c>
      <c r="E37" s="1" t="s">
        <v>58</v>
      </c>
      <c r="F37" s="1" t="s">
        <v>25</v>
      </c>
      <c r="G37" s="1" t="s">
        <v>20</v>
      </c>
      <c r="H37" s="1">
        <v>1</v>
      </c>
      <c r="I37" s="1">
        <v>890</v>
      </c>
      <c r="J37" s="1">
        <v>1299</v>
      </c>
      <c r="K37" s="1">
        <v>20</v>
      </c>
      <c r="L37" s="1">
        <f>ROUNDDOWN(formatted_data[[#This Row],[Selling_Price]]*formatted_data[[#This Row],[Discount_%]]/100,0)</f>
        <v>259</v>
      </c>
      <c r="M37" s="1">
        <f>(formatted_data[[#This Row],[Selling_Price]]-formatted_data[[#This Row],[Discount_Amount]])*formatted_data[[#This Row],[Units]]</f>
        <v>1040</v>
      </c>
      <c r="N37" s="1">
        <f>formatted_data[[#This Row],[Total_Revenue]]-(formatted_data[[#This Row],[Cost_Price]]*formatted_data[[#This Row],[Units]])</f>
        <v>150</v>
      </c>
      <c r="O37" s="1" t="s">
        <v>21</v>
      </c>
      <c r="P37"/>
    </row>
    <row r="38" spans="1:16" x14ac:dyDescent="0.35">
      <c r="A38" s="1" t="s">
        <v>66</v>
      </c>
      <c r="B38" s="1" t="s">
        <v>27</v>
      </c>
      <c r="C38" s="2">
        <v>45579</v>
      </c>
      <c r="D38" s="1" t="s">
        <v>23</v>
      </c>
      <c r="E38" s="1" t="s">
        <v>43</v>
      </c>
      <c r="F38" s="1" t="s">
        <v>25</v>
      </c>
      <c r="G38" s="1" t="s">
        <v>20</v>
      </c>
      <c r="H38" s="1">
        <v>1</v>
      </c>
      <c r="I38" s="1">
        <v>1566</v>
      </c>
      <c r="J38" s="1">
        <v>2299</v>
      </c>
      <c r="K38" s="1">
        <v>10</v>
      </c>
      <c r="L38" s="1">
        <f>ROUNDDOWN(formatted_data[[#This Row],[Selling_Price]]*formatted_data[[#This Row],[Discount_%]]/100,0)</f>
        <v>229</v>
      </c>
      <c r="M38" s="1">
        <f>(formatted_data[[#This Row],[Selling_Price]]-formatted_data[[#This Row],[Discount_Amount]])*formatted_data[[#This Row],[Units]]</f>
        <v>2070</v>
      </c>
      <c r="N38" s="1">
        <f>formatted_data[[#This Row],[Total_Revenue]]-(formatted_data[[#This Row],[Cost_Price]]*formatted_data[[#This Row],[Units]])</f>
        <v>504</v>
      </c>
      <c r="O38" s="1" t="s">
        <v>21</v>
      </c>
      <c r="P38"/>
    </row>
    <row r="39" spans="1:16" x14ac:dyDescent="0.35">
      <c r="A39" s="1" t="s">
        <v>67</v>
      </c>
      <c r="B39" s="1" t="s">
        <v>27</v>
      </c>
      <c r="C39" s="2">
        <v>45453</v>
      </c>
      <c r="D39" s="1" t="s">
        <v>17</v>
      </c>
      <c r="E39" s="1" t="s">
        <v>55</v>
      </c>
      <c r="F39" s="1" t="s">
        <v>19</v>
      </c>
      <c r="G39" s="1" t="s">
        <v>20</v>
      </c>
      <c r="H39" s="1">
        <v>1</v>
      </c>
      <c r="I39" s="1">
        <v>355</v>
      </c>
      <c r="J39" s="1">
        <v>499</v>
      </c>
      <c r="K39" s="1">
        <v>0</v>
      </c>
      <c r="L39" s="1">
        <f>ROUNDDOWN(formatted_data[[#This Row],[Selling_Price]]*formatted_data[[#This Row],[Discount_%]]/100,0)</f>
        <v>0</v>
      </c>
      <c r="M39" s="1">
        <f>(formatted_data[[#This Row],[Selling_Price]]-formatted_data[[#This Row],[Discount_Amount]])*formatted_data[[#This Row],[Units]]</f>
        <v>499</v>
      </c>
      <c r="N39" s="1">
        <f>formatted_data[[#This Row],[Total_Revenue]]-(formatted_data[[#This Row],[Cost_Price]]*formatted_data[[#This Row],[Units]])</f>
        <v>144</v>
      </c>
      <c r="O39" s="1" t="s">
        <v>21</v>
      </c>
      <c r="P39"/>
    </row>
    <row r="40" spans="1:16" x14ac:dyDescent="0.35">
      <c r="A40" s="1" t="s">
        <v>68</v>
      </c>
      <c r="B40" s="1" t="s">
        <v>16</v>
      </c>
      <c r="C40" s="2">
        <v>45472</v>
      </c>
      <c r="D40" s="1" t="s">
        <v>17</v>
      </c>
      <c r="E40" s="1" t="s">
        <v>55</v>
      </c>
      <c r="F40" s="1" t="s">
        <v>37</v>
      </c>
      <c r="G40" s="1" t="s">
        <v>19</v>
      </c>
      <c r="H40" s="1">
        <v>4</v>
      </c>
      <c r="I40" s="1">
        <v>510</v>
      </c>
      <c r="J40" s="1">
        <v>799</v>
      </c>
      <c r="K40" s="1">
        <v>0</v>
      </c>
      <c r="L40" s="1">
        <f>ROUNDDOWN(formatted_data[[#This Row],[Selling_Price]]*formatted_data[[#This Row],[Discount_%]]/100,0)</f>
        <v>0</v>
      </c>
      <c r="M40" s="1">
        <f>(formatted_data[[#This Row],[Selling_Price]]-formatted_data[[#This Row],[Discount_Amount]])*formatted_data[[#This Row],[Units]]</f>
        <v>3196</v>
      </c>
      <c r="N40" s="1">
        <f>formatted_data[[#This Row],[Total_Revenue]]-(formatted_data[[#This Row],[Cost_Price]]*formatted_data[[#This Row],[Units]])</f>
        <v>1156</v>
      </c>
      <c r="O40" s="1" t="s">
        <v>21</v>
      </c>
      <c r="P40"/>
    </row>
    <row r="41" spans="1:16" x14ac:dyDescent="0.35">
      <c r="A41" s="1" t="s">
        <v>69</v>
      </c>
      <c r="B41" s="1" t="s">
        <v>16</v>
      </c>
      <c r="C41" s="2">
        <v>45455</v>
      </c>
      <c r="D41" s="1" t="s">
        <v>17</v>
      </c>
      <c r="E41" s="1" t="s">
        <v>55</v>
      </c>
      <c r="F41" s="1" t="s">
        <v>37</v>
      </c>
      <c r="G41" s="1" t="s">
        <v>20</v>
      </c>
      <c r="H41" s="1">
        <v>1</v>
      </c>
      <c r="I41" s="1">
        <v>534</v>
      </c>
      <c r="J41" s="1">
        <v>799</v>
      </c>
      <c r="K41" s="1">
        <v>0</v>
      </c>
      <c r="L41" s="1">
        <f>ROUNDDOWN(formatted_data[[#This Row],[Selling_Price]]*formatted_data[[#This Row],[Discount_%]]/100,0)</f>
        <v>0</v>
      </c>
      <c r="M41" s="1">
        <f>(formatted_data[[#This Row],[Selling_Price]]-formatted_data[[#This Row],[Discount_Amount]])*formatted_data[[#This Row],[Units]]</f>
        <v>799</v>
      </c>
      <c r="N41" s="1">
        <f>formatted_data[[#This Row],[Total_Revenue]]-(formatted_data[[#This Row],[Cost_Price]]*formatted_data[[#This Row],[Units]])</f>
        <v>265</v>
      </c>
      <c r="O41" s="1" t="s">
        <v>21</v>
      </c>
      <c r="P41"/>
    </row>
    <row r="42" spans="1:16" x14ac:dyDescent="0.35">
      <c r="A42" s="1" t="s">
        <v>70</v>
      </c>
      <c r="B42" s="1" t="s">
        <v>27</v>
      </c>
      <c r="C42" s="2">
        <v>45477</v>
      </c>
      <c r="D42" s="1" t="s">
        <v>31</v>
      </c>
      <c r="E42" s="1" t="s">
        <v>32</v>
      </c>
      <c r="F42" s="1" t="s">
        <v>37</v>
      </c>
      <c r="G42" s="1" t="s">
        <v>20</v>
      </c>
      <c r="H42" s="1">
        <v>3</v>
      </c>
      <c r="I42" s="1">
        <v>666</v>
      </c>
      <c r="J42" s="1">
        <v>999</v>
      </c>
      <c r="K42" s="1">
        <v>0</v>
      </c>
      <c r="L42" s="1">
        <f>ROUNDDOWN(formatted_data[[#This Row],[Selling_Price]]*formatted_data[[#This Row],[Discount_%]]/100,0)</f>
        <v>0</v>
      </c>
      <c r="M42" s="1">
        <f>(formatted_data[[#This Row],[Selling_Price]]-formatted_data[[#This Row],[Discount_Amount]])*formatted_data[[#This Row],[Units]]</f>
        <v>2997</v>
      </c>
      <c r="N42" s="1">
        <f>formatted_data[[#This Row],[Total_Revenue]]-(formatted_data[[#This Row],[Cost_Price]]*formatted_data[[#This Row],[Units]])</f>
        <v>999</v>
      </c>
      <c r="O42" s="1" t="s">
        <v>21</v>
      </c>
      <c r="P42"/>
    </row>
    <row r="43" spans="1:16" x14ac:dyDescent="0.35">
      <c r="A43" s="1" t="s">
        <v>71</v>
      </c>
      <c r="B43" s="1" t="s">
        <v>16</v>
      </c>
      <c r="C43" s="2">
        <v>45593</v>
      </c>
      <c r="D43" s="1" t="s">
        <v>17</v>
      </c>
      <c r="E43" s="1" t="s">
        <v>72</v>
      </c>
      <c r="F43" s="1" t="s">
        <v>37</v>
      </c>
      <c r="G43" s="1" t="s">
        <v>19</v>
      </c>
      <c r="H43" s="1">
        <v>2</v>
      </c>
      <c r="I43" s="1">
        <v>254</v>
      </c>
      <c r="J43" s="1">
        <v>499</v>
      </c>
      <c r="K43" s="1">
        <v>0</v>
      </c>
      <c r="L43" s="1">
        <f>ROUNDDOWN(formatted_data[[#This Row],[Selling_Price]]*formatted_data[[#This Row],[Discount_%]]/100,0)</f>
        <v>0</v>
      </c>
      <c r="M43" s="1">
        <f>(formatted_data[[#This Row],[Selling_Price]]-formatted_data[[#This Row],[Discount_Amount]])*formatted_data[[#This Row],[Units]]</f>
        <v>998</v>
      </c>
      <c r="N43" s="1">
        <f>formatted_data[[#This Row],[Total_Revenue]]-(formatted_data[[#This Row],[Cost_Price]]*formatted_data[[#This Row],[Units]])</f>
        <v>490</v>
      </c>
      <c r="O43" s="1" t="s">
        <v>21</v>
      </c>
      <c r="P43"/>
    </row>
    <row r="44" spans="1:16" x14ac:dyDescent="0.35">
      <c r="A44" s="1" t="s">
        <v>30</v>
      </c>
      <c r="B44" s="1" t="s">
        <v>16</v>
      </c>
      <c r="C44" s="2">
        <v>45566</v>
      </c>
      <c r="D44" s="1" t="s">
        <v>23</v>
      </c>
      <c r="E44" s="1" t="s">
        <v>24</v>
      </c>
      <c r="F44" s="1" t="s">
        <v>37</v>
      </c>
      <c r="G44" s="1" t="s">
        <v>20</v>
      </c>
      <c r="H44" s="1">
        <v>2</v>
      </c>
      <c r="I44" s="1">
        <v>1106</v>
      </c>
      <c r="J44" s="1">
        <v>1599</v>
      </c>
      <c r="K44" s="1">
        <v>5</v>
      </c>
      <c r="L44" s="1">
        <f>ROUNDDOWN(formatted_data[[#This Row],[Selling_Price]]*formatted_data[[#This Row],[Discount_%]]/100,0)</f>
        <v>79</v>
      </c>
      <c r="M44" s="1">
        <f>(formatted_data[[#This Row],[Selling_Price]]-formatted_data[[#This Row],[Discount_Amount]])*formatted_data[[#This Row],[Units]]</f>
        <v>3040</v>
      </c>
      <c r="N44" s="1">
        <f>formatted_data[[#This Row],[Total_Revenue]]-(formatted_data[[#This Row],[Cost_Price]]*formatted_data[[#This Row],[Units]])</f>
        <v>828</v>
      </c>
      <c r="O44" s="1" t="s">
        <v>33</v>
      </c>
      <c r="P44"/>
    </row>
    <row r="45" spans="1:16" x14ac:dyDescent="0.35">
      <c r="A45" s="1" t="s">
        <v>73</v>
      </c>
      <c r="B45" s="1" t="s">
        <v>16</v>
      </c>
      <c r="C45" s="2">
        <v>45480</v>
      </c>
      <c r="D45" s="1" t="s">
        <v>31</v>
      </c>
      <c r="E45" s="1" t="s">
        <v>32</v>
      </c>
      <c r="F45" s="1" t="s">
        <v>37</v>
      </c>
      <c r="G45" s="1" t="s">
        <v>19</v>
      </c>
      <c r="H45" s="1">
        <v>1</v>
      </c>
      <c r="I45" s="1">
        <v>555</v>
      </c>
      <c r="J45" s="1">
        <v>999</v>
      </c>
      <c r="K45" s="1">
        <v>0</v>
      </c>
      <c r="L45" s="1">
        <f>ROUNDDOWN(formatted_data[[#This Row],[Selling_Price]]*formatted_data[[#This Row],[Discount_%]]/100,0)</f>
        <v>0</v>
      </c>
      <c r="M45" s="1">
        <f>(formatted_data[[#This Row],[Selling_Price]]-formatted_data[[#This Row],[Discount_Amount]])*formatted_data[[#This Row],[Units]]</f>
        <v>999</v>
      </c>
      <c r="N45" s="1">
        <f>formatted_data[[#This Row],[Total_Revenue]]-(formatted_data[[#This Row],[Cost_Price]]*formatted_data[[#This Row],[Units]])</f>
        <v>444</v>
      </c>
      <c r="O45" s="1" t="s">
        <v>21</v>
      </c>
      <c r="P45"/>
    </row>
    <row r="46" spans="1:16" x14ac:dyDescent="0.35">
      <c r="A46" s="1" t="s">
        <v>74</v>
      </c>
      <c r="B46" s="1" t="s">
        <v>16</v>
      </c>
      <c r="C46" s="2">
        <v>45451</v>
      </c>
      <c r="D46" s="1" t="s">
        <v>35</v>
      </c>
      <c r="E46" s="1" t="s">
        <v>36</v>
      </c>
      <c r="F46" s="1" t="s">
        <v>37</v>
      </c>
      <c r="G46" s="1" t="s">
        <v>19</v>
      </c>
      <c r="H46" s="1">
        <v>1</v>
      </c>
      <c r="I46" s="1">
        <v>308</v>
      </c>
      <c r="J46" s="1">
        <v>599</v>
      </c>
      <c r="K46" s="1">
        <v>15</v>
      </c>
      <c r="L46" s="1">
        <f>ROUNDDOWN(formatted_data[[#This Row],[Selling_Price]]*formatted_data[[#This Row],[Discount_%]]/100,0)</f>
        <v>89</v>
      </c>
      <c r="M46" s="1">
        <f>(formatted_data[[#This Row],[Selling_Price]]-formatted_data[[#This Row],[Discount_Amount]])*formatted_data[[#This Row],[Units]]</f>
        <v>510</v>
      </c>
      <c r="N46" s="1">
        <f>formatted_data[[#This Row],[Total_Revenue]]-(formatted_data[[#This Row],[Cost_Price]]*formatted_data[[#This Row],[Units]])</f>
        <v>202</v>
      </c>
      <c r="O46" s="1" t="s">
        <v>21</v>
      </c>
      <c r="P46"/>
    </row>
    <row r="47" spans="1:16" x14ac:dyDescent="0.35">
      <c r="A47" s="1" t="s">
        <v>75</v>
      </c>
      <c r="B47" s="1" t="s">
        <v>27</v>
      </c>
      <c r="C47" s="2">
        <v>45503</v>
      </c>
      <c r="D47" s="1" t="s">
        <v>35</v>
      </c>
      <c r="E47" s="1" t="s">
        <v>58</v>
      </c>
      <c r="F47" s="1" t="s">
        <v>25</v>
      </c>
      <c r="G47" s="1" t="s">
        <v>19</v>
      </c>
      <c r="H47" s="1">
        <v>1</v>
      </c>
      <c r="I47" s="1">
        <v>1195</v>
      </c>
      <c r="J47" s="1">
        <v>2299</v>
      </c>
      <c r="K47" s="1">
        <v>10</v>
      </c>
      <c r="L47" s="1">
        <f>ROUNDDOWN(formatted_data[[#This Row],[Selling_Price]]*formatted_data[[#This Row],[Discount_%]]/100,0)</f>
        <v>229</v>
      </c>
      <c r="M47" s="1">
        <f>(formatted_data[[#This Row],[Selling_Price]]-formatted_data[[#This Row],[Discount_Amount]])*formatted_data[[#This Row],[Units]]</f>
        <v>2070</v>
      </c>
      <c r="N47" s="1">
        <f>formatted_data[[#This Row],[Total_Revenue]]-(formatted_data[[#This Row],[Cost_Price]]*formatted_data[[#This Row],[Units]])</f>
        <v>875</v>
      </c>
      <c r="O47" s="1" t="s">
        <v>21</v>
      </c>
      <c r="P47"/>
    </row>
    <row r="48" spans="1:16" x14ac:dyDescent="0.35">
      <c r="A48" s="1" t="s">
        <v>70</v>
      </c>
      <c r="B48" s="1" t="s">
        <v>27</v>
      </c>
      <c r="C48" s="2">
        <v>45464</v>
      </c>
      <c r="D48" s="1" t="s">
        <v>23</v>
      </c>
      <c r="E48" s="1" t="s">
        <v>43</v>
      </c>
      <c r="F48" s="1" t="s">
        <v>19</v>
      </c>
      <c r="G48" s="1" t="s">
        <v>19</v>
      </c>
      <c r="H48" s="1">
        <v>2</v>
      </c>
      <c r="I48" s="1">
        <v>2003</v>
      </c>
      <c r="J48" s="1">
        <v>3799</v>
      </c>
      <c r="K48" s="1">
        <v>20</v>
      </c>
      <c r="L48" s="1">
        <f>ROUNDDOWN(formatted_data[[#This Row],[Selling_Price]]*formatted_data[[#This Row],[Discount_%]]/100,0)</f>
        <v>759</v>
      </c>
      <c r="M48" s="1">
        <f>(formatted_data[[#This Row],[Selling_Price]]-formatted_data[[#This Row],[Discount_Amount]])*formatted_data[[#This Row],[Units]]</f>
        <v>6080</v>
      </c>
      <c r="N48" s="1">
        <f>formatted_data[[#This Row],[Total_Revenue]]-(formatted_data[[#This Row],[Cost_Price]]*formatted_data[[#This Row],[Units]])</f>
        <v>2074</v>
      </c>
      <c r="O48" s="1" t="s">
        <v>21</v>
      </c>
      <c r="P48"/>
    </row>
    <row r="49" spans="1:16" x14ac:dyDescent="0.35">
      <c r="A49" s="1" t="s">
        <v>57</v>
      </c>
      <c r="B49" s="1" t="s">
        <v>27</v>
      </c>
      <c r="C49" s="2">
        <v>45513</v>
      </c>
      <c r="D49" s="1" t="s">
        <v>23</v>
      </c>
      <c r="E49" s="1" t="s">
        <v>24</v>
      </c>
      <c r="F49" s="1" t="s">
        <v>19</v>
      </c>
      <c r="G49" s="1" t="s">
        <v>19</v>
      </c>
      <c r="H49" s="1">
        <v>1</v>
      </c>
      <c r="I49" s="1">
        <v>773</v>
      </c>
      <c r="J49" s="1">
        <v>1299</v>
      </c>
      <c r="K49" s="1">
        <v>5</v>
      </c>
      <c r="L49" s="1">
        <f>ROUNDDOWN(formatted_data[[#This Row],[Selling_Price]]*formatted_data[[#This Row],[Discount_%]]/100,0)</f>
        <v>64</v>
      </c>
      <c r="M49" s="1">
        <f>(formatted_data[[#This Row],[Selling_Price]]-formatted_data[[#This Row],[Discount_Amount]])*formatted_data[[#This Row],[Units]]</f>
        <v>1235</v>
      </c>
      <c r="N49" s="1">
        <f>formatted_data[[#This Row],[Total_Revenue]]-(formatted_data[[#This Row],[Cost_Price]]*formatted_data[[#This Row],[Units]])</f>
        <v>462</v>
      </c>
      <c r="O49" s="1" t="s">
        <v>21</v>
      </c>
      <c r="P49"/>
    </row>
    <row r="50" spans="1:16" x14ac:dyDescent="0.35">
      <c r="A50" s="1" t="s">
        <v>64</v>
      </c>
      <c r="B50" s="1" t="s">
        <v>16</v>
      </c>
      <c r="C50" s="2">
        <v>45549</v>
      </c>
      <c r="D50" s="1" t="s">
        <v>31</v>
      </c>
      <c r="E50" s="1" t="s">
        <v>76</v>
      </c>
      <c r="F50" s="1" t="s">
        <v>19</v>
      </c>
      <c r="G50" s="1" t="s">
        <v>20</v>
      </c>
      <c r="H50" s="1">
        <v>2</v>
      </c>
      <c r="I50" s="1">
        <v>974</v>
      </c>
      <c r="J50" s="1">
        <v>1499</v>
      </c>
      <c r="K50" s="1">
        <v>0</v>
      </c>
      <c r="L50" s="1">
        <f>ROUNDDOWN(formatted_data[[#This Row],[Selling_Price]]*formatted_data[[#This Row],[Discount_%]]/100,0)</f>
        <v>0</v>
      </c>
      <c r="M50" s="1">
        <f>(formatted_data[[#This Row],[Selling_Price]]-formatted_data[[#This Row],[Discount_Amount]])*formatted_data[[#This Row],[Units]]</f>
        <v>2998</v>
      </c>
      <c r="N50" s="1">
        <f>formatted_data[[#This Row],[Total_Revenue]]-(formatted_data[[#This Row],[Cost_Price]]*formatted_data[[#This Row],[Units]])</f>
        <v>1050</v>
      </c>
      <c r="O50" s="1" t="s">
        <v>21</v>
      </c>
      <c r="P50"/>
    </row>
    <row r="51" spans="1:16" x14ac:dyDescent="0.35">
      <c r="A51" s="1" t="s">
        <v>52</v>
      </c>
      <c r="B51" s="1" t="s">
        <v>27</v>
      </c>
      <c r="C51" s="2">
        <v>45583</v>
      </c>
      <c r="D51" s="1" t="s">
        <v>31</v>
      </c>
      <c r="E51" s="1" t="s">
        <v>32</v>
      </c>
      <c r="F51" s="1" t="s">
        <v>37</v>
      </c>
      <c r="G51" s="1" t="s">
        <v>19</v>
      </c>
      <c r="H51" s="1">
        <v>5</v>
      </c>
      <c r="I51" s="1">
        <v>461</v>
      </c>
      <c r="J51" s="1">
        <v>899</v>
      </c>
      <c r="K51" s="1">
        <v>0</v>
      </c>
      <c r="L51" s="1">
        <f>ROUNDDOWN(formatted_data[[#This Row],[Selling_Price]]*formatted_data[[#This Row],[Discount_%]]/100,0)</f>
        <v>0</v>
      </c>
      <c r="M51" s="1">
        <f>(formatted_data[[#This Row],[Selling_Price]]-formatted_data[[#This Row],[Discount_Amount]])*formatted_data[[#This Row],[Units]]</f>
        <v>4495</v>
      </c>
      <c r="N51" s="1">
        <f>formatted_data[[#This Row],[Total_Revenue]]-(formatted_data[[#This Row],[Cost_Price]]*formatted_data[[#This Row],[Units]])</f>
        <v>2190</v>
      </c>
      <c r="O51" s="1" t="s">
        <v>21</v>
      </c>
      <c r="P51"/>
    </row>
    <row r="52" spans="1:16" x14ac:dyDescent="0.35">
      <c r="A52" s="1" t="s">
        <v>15</v>
      </c>
      <c r="B52" s="1" t="s">
        <v>16</v>
      </c>
      <c r="C52" s="2">
        <v>45624</v>
      </c>
      <c r="D52" s="1" t="s">
        <v>17</v>
      </c>
      <c r="E52" s="1" t="s">
        <v>55</v>
      </c>
      <c r="F52" s="1" t="s">
        <v>25</v>
      </c>
      <c r="G52" s="1" t="s">
        <v>19</v>
      </c>
      <c r="H52" s="1">
        <v>1</v>
      </c>
      <c r="I52" s="1">
        <v>212</v>
      </c>
      <c r="J52" s="1">
        <v>299</v>
      </c>
      <c r="K52" s="1">
        <v>0</v>
      </c>
      <c r="L52" s="1">
        <f>ROUNDDOWN(formatted_data[[#This Row],[Selling_Price]]*formatted_data[[#This Row],[Discount_%]]/100,0)</f>
        <v>0</v>
      </c>
      <c r="M52" s="1">
        <f>(formatted_data[[#This Row],[Selling_Price]]-formatted_data[[#This Row],[Discount_Amount]])*formatted_data[[#This Row],[Units]]</f>
        <v>299</v>
      </c>
      <c r="N52" s="1">
        <f>formatted_data[[#This Row],[Total_Revenue]]-(formatted_data[[#This Row],[Cost_Price]]*formatted_data[[#This Row],[Units]])</f>
        <v>87</v>
      </c>
      <c r="O52" s="1" t="s">
        <v>21</v>
      </c>
      <c r="P52"/>
    </row>
    <row r="53" spans="1:16" x14ac:dyDescent="0.35">
      <c r="A53" s="1" t="s">
        <v>77</v>
      </c>
      <c r="B53" s="1" t="s">
        <v>27</v>
      </c>
      <c r="C53" s="2">
        <v>45452</v>
      </c>
      <c r="D53" s="1" t="s">
        <v>35</v>
      </c>
      <c r="E53" s="1" t="s">
        <v>41</v>
      </c>
      <c r="F53" s="1" t="s">
        <v>37</v>
      </c>
      <c r="G53" s="1" t="s">
        <v>20</v>
      </c>
      <c r="H53" s="1">
        <v>1</v>
      </c>
      <c r="I53" s="1">
        <v>589</v>
      </c>
      <c r="J53" s="1">
        <v>999</v>
      </c>
      <c r="K53" s="1">
        <v>15</v>
      </c>
      <c r="L53" s="1">
        <f>ROUNDDOWN(formatted_data[[#This Row],[Selling_Price]]*formatted_data[[#This Row],[Discount_%]]/100,0)</f>
        <v>149</v>
      </c>
      <c r="M53" s="1">
        <f>(formatted_data[[#This Row],[Selling_Price]]-formatted_data[[#This Row],[Discount_Amount]])*formatted_data[[#This Row],[Units]]</f>
        <v>850</v>
      </c>
      <c r="N53" s="1">
        <f>formatted_data[[#This Row],[Total_Revenue]]-(formatted_data[[#This Row],[Cost_Price]]*formatted_data[[#This Row],[Units]])</f>
        <v>261</v>
      </c>
      <c r="O53" s="1" t="s">
        <v>21</v>
      </c>
      <c r="P53"/>
    </row>
    <row r="54" spans="1:16" x14ac:dyDescent="0.35">
      <c r="A54" s="1" t="s">
        <v>34</v>
      </c>
      <c r="B54" s="1" t="s">
        <v>27</v>
      </c>
      <c r="C54" s="2">
        <v>45648</v>
      </c>
      <c r="D54" s="1" t="s">
        <v>31</v>
      </c>
      <c r="E54" s="1" t="s">
        <v>76</v>
      </c>
      <c r="F54" s="1" t="s">
        <v>19</v>
      </c>
      <c r="G54" s="1" t="s">
        <v>19</v>
      </c>
      <c r="H54" s="1">
        <v>5</v>
      </c>
      <c r="I54" s="1">
        <v>352</v>
      </c>
      <c r="J54" s="1">
        <v>699</v>
      </c>
      <c r="K54" s="1">
        <v>0</v>
      </c>
      <c r="L54" s="1">
        <f>ROUNDDOWN(formatted_data[[#This Row],[Selling_Price]]*formatted_data[[#This Row],[Discount_%]]/100,0)</f>
        <v>0</v>
      </c>
      <c r="M54" s="1">
        <f>(formatted_data[[#This Row],[Selling_Price]]-formatted_data[[#This Row],[Discount_Amount]])*formatted_data[[#This Row],[Units]]</f>
        <v>3495</v>
      </c>
      <c r="N54" s="1">
        <f>formatted_data[[#This Row],[Total_Revenue]]-(formatted_data[[#This Row],[Cost_Price]]*formatted_data[[#This Row],[Units]])</f>
        <v>1735</v>
      </c>
      <c r="O54" s="1" t="s">
        <v>21</v>
      </c>
      <c r="P54"/>
    </row>
    <row r="55" spans="1:16" x14ac:dyDescent="0.35">
      <c r="A55" s="1" t="s">
        <v>78</v>
      </c>
      <c r="B55" s="1" t="s">
        <v>16</v>
      </c>
      <c r="C55" s="2">
        <v>45592</v>
      </c>
      <c r="D55" s="1" t="s">
        <v>35</v>
      </c>
      <c r="E55" s="1" t="s">
        <v>36</v>
      </c>
      <c r="F55" s="1" t="s">
        <v>25</v>
      </c>
      <c r="G55" s="1" t="s">
        <v>19</v>
      </c>
      <c r="H55" s="1">
        <v>1</v>
      </c>
      <c r="I55" s="1">
        <v>341</v>
      </c>
      <c r="J55" s="1">
        <v>499</v>
      </c>
      <c r="K55" s="1">
        <v>20</v>
      </c>
      <c r="L55" s="1">
        <f>ROUNDDOWN(formatted_data[[#This Row],[Selling_Price]]*formatted_data[[#This Row],[Discount_%]]/100,0)</f>
        <v>99</v>
      </c>
      <c r="M55" s="1">
        <f>(formatted_data[[#This Row],[Selling_Price]]-formatted_data[[#This Row],[Discount_Amount]])*formatted_data[[#This Row],[Units]]</f>
        <v>400</v>
      </c>
      <c r="N55" s="1">
        <f>formatted_data[[#This Row],[Total_Revenue]]-(formatted_data[[#This Row],[Cost_Price]]*formatted_data[[#This Row],[Units]])</f>
        <v>59</v>
      </c>
      <c r="O55" s="1" t="s">
        <v>33</v>
      </c>
      <c r="P55"/>
    </row>
    <row r="56" spans="1:16" x14ac:dyDescent="0.35">
      <c r="A56" s="1" t="s">
        <v>79</v>
      </c>
      <c r="B56" s="1" t="s">
        <v>16</v>
      </c>
      <c r="C56" s="2">
        <v>45458</v>
      </c>
      <c r="D56" s="1" t="s">
        <v>17</v>
      </c>
      <c r="E56" s="1" t="s">
        <v>55</v>
      </c>
      <c r="F56" s="1" t="s">
        <v>25</v>
      </c>
      <c r="G56" s="1" t="s">
        <v>19</v>
      </c>
      <c r="H56" s="1">
        <v>1</v>
      </c>
      <c r="I56" s="1">
        <v>289</v>
      </c>
      <c r="J56" s="1">
        <v>399</v>
      </c>
      <c r="K56" s="1">
        <v>0</v>
      </c>
      <c r="L56" s="1">
        <f>ROUNDDOWN(formatted_data[[#This Row],[Selling_Price]]*formatted_data[[#This Row],[Discount_%]]/100,0)</f>
        <v>0</v>
      </c>
      <c r="M56" s="1">
        <f>(formatted_data[[#This Row],[Selling_Price]]-formatted_data[[#This Row],[Discount_Amount]])*formatted_data[[#This Row],[Units]]</f>
        <v>399</v>
      </c>
      <c r="N56" s="1">
        <f>formatted_data[[#This Row],[Total_Revenue]]-(formatted_data[[#This Row],[Cost_Price]]*formatted_data[[#This Row],[Units]])</f>
        <v>110</v>
      </c>
      <c r="O56" s="1" t="s">
        <v>21</v>
      </c>
      <c r="P56"/>
    </row>
    <row r="57" spans="1:16" x14ac:dyDescent="0.35">
      <c r="A57" s="1" t="s">
        <v>80</v>
      </c>
      <c r="B57" s="1" t="s">
        <v>27</v>
      </c>
      <c r="C57" s="2">
        <v>45526</v>
      </c>
      <c r="D57" s="1" t="s">
        <v>17</v>
      </c>
      <c r="E57" s="1" t="s">
        <v>48</v>
      </c>
      <c r="F57" s="1" t="s">
        <v>37</v>
      </c>
      <c r="G57" s="1" t="s">
        <v>20</v>
      </c>
      <c r="H57" s="1">
        <v>1</v>
      </c>
      <c r="I57" s="1">
        <v>396</v>
      </c>
      <c r="J57" s="1">
        <v>599</v>
      </c>
      <c r="K57" s="1">
        <v>0</v>
      </c>
      <c r="L57" s="1">
        <f>ROUNDDOWN(formatted_data[[#This Row],[Selling_Price]]*formatted_data[[#This Row],[Discount_%]]/100,0)</f>
        <v>0</v>
      </c>
      <c r="M57" s="1">
        <f>(formatted_data[[#This Row],[Selling_Price]]-formatted_data[[#This Row],[Discount_Amount]])*formatted_data[[#This Row],[Units]]</f>
        <v>599</v>
      </c>
      <c r="N57" s="1">
        <f>formatted_data[[#This Row],[Total_Revenue]]-(formatted_data[[#This Row],[Cost_Price]]*formatted_data[[#This Row],[Units]])</f>
        <v>203</v>
      </c>
      <c r="O57" s="1" t="s">
        <v>33</v>
      </c>
      <c r="P57"/>
    </row>
    <row r="58" spans="1:16" x14ac:dyDescent="0.35">
      <c r="A58" s="1" t="s">
        <v>81</v>
      </c>
      <c r="B58" s="1" t="s">
        <v>27</v>
      </c>
      <c r="C58" s="2">
        <v>45529</v>
      </c>
      <c r="D58" s="1" t="s">
        <v>28</v>
      </c>
      <c r="E58" s="1" t="s">
        <v>29</v>
      </c>
      <c r="F58" s="1" t="s">
        <v>25</v>
      </c>
      <c r="G58" s="1" t="s">
        <v>19</v>
      </c>
      <c r="H58" s="1">
        <v>1</v>
      </c>
      <c r="I58" s="1">
        <v>483</v>
      </c>
      <c r="J58" s="1">
        <v>799</v>
      </c>
      <c r="K58" s="1">
        <v>15</v>
      </c>
      <c r="L58" s="1">
        <f>ROUNDDOWN(formatted_data[[#This Row],[Selling_Price]]*formatted_data[[#This Row],[Discount_%]]/100,0)</f>
        <v>119</v>
      </c>
      <c r="M58" s="1">
        <f>(formatted_data[[#This Row],[Selling_Price]]-formatted_data[[#This Row],[Discount_Amount]])*formatted_data[[#This Row],[Units]]</f>
        <v>680</v>
      </c>
      <c r="N58" s="1">
        <f>formatted_data[[#This Row],[Total_Revenue]]-(formatted_data[[#This Row],[Cost_Price]]*formatted_data[[#This Row],[Units]])</f>
        <v>197</v>
      </c>
      <c r="O58" s="1" t="s">
        <v>21</v>
      </c>
      <c r="P58"/>
    </row>
    <row r="59" spans="1:16" x14ac:dyDescent="0.35">
      <c r="A59" s="1" t="s">
        <v>40</v>
      </c>
      <c r="B59" s="1" t="s">
        <v>27</v>
      </c>
      <c r="C59" s="2">
        <v>45470</v>
      </c>
      <c r="D59" s="1" t="s">
        <v>35</v>
      </c>
      <c r="E59" s="1" t="s">
        <v>36</v>
      </c>
      <c r="F59" s="1" t="s">
        <v>19</v>
      </c>
      <c r="G59" s="1" t="s">
        <v>19</v>
      </c>
      <c r="H59" s="1">
        <v>1</v>
      </c>
      <c r="I59" s="1">
        <v>322</v>
      </c>
      <c r="J59" s="1">
        <v>499</v>
      </c>
      <c r="K59" s="1">
        <v>10</v>
      </c>
      <c r="L59" s="1">
        <f>ROUNDDOWN(formatted_data[[#This Row],[Selling_Price]]*formatted_data[[#This Row],[Discount_%]]/100,0)</f>
        <v>49</v>
      </c>
      <c r="M59" s="1">
        <f>(formatted_data[[#This Row],[Selling_Price]]-formatted_data[[#This Row],[Discount_Amount]])*formatted_data[[#This Row],[Units]]</f>
        <v>450</v>
      </c>
      <c r="N59" s="1">
        <f>formatted_data[[#This Row],[Total_Revenue]]-(formatted_data[[#This Row],[Cost_Price]]*formatted_data[[#This Row],[Units]])</f>
        <v>128</v>
      </c>
      <c r="O59" s="1" t="s">
        <v>21</v>
      </c>
      <c r="P59"/>
    </row>
    <row r="60" spans="1:16" x14ac:dyDescent="0.35">
      <c r="A60" s="1" t="s">
        <v>80</v>
      </c>
      <c r="B60" s="1" t="s">
        <v>27</v>
      </c>
      <c r="C60" s="2">
        <v>45454</v>
      </c>
      <c r="D60" s="1" t="s">
        <v>23</v>
      </c>
      <c r="E60" s="1" t="s">
        <v>43</v>
      </c>
      <c r="F60" s="1" t="s">
        <v>19</v>
      </c>
      <c r="G60" s="1" t="s">
        <v>20</v>
      </c>
      <c r="H60" s="1">
        <v>1</v>
      </c>
      <c r="I60" s="1">
        <v>1444</v>
      </c>
      <c r="J60" s="1">
        <v>2699</v>
      </c>
      <c r="K60" s="1">
        <v>5</v>
      </c>
      <c r="L60" s="1">
        <f>ROUNDDOWN(formatted_data[[#This Row],[Selling_Price]]*formatted_data[[#This Row],[Discount_%]]/100,0)</f>
        <v>134</v>
      </c>
      <c r="M60" s="1">
        <f>(formatted_data[[#This Row],[Selling_Price]]-formatted_data[[#This Row],[Discount_Amount]])*formatted_data[[#This Row],[Units]]</f>
        <v>2565</v>
      </c>
      <c r="N60" s="1">
        <f>formatted_data[[#This Row],[Total_Revenue]]-(formatted_data[[#This Row],[Cost_Price]]*formatted_data[[#This Row],[Units]])</f>
        <v>1121</v>
      </c>
      <c r="O60" s="1" t="s">
        <v>21</v>
      </c>
      <c r="P60"/>
    </row>
    <row r="61" spans="1:16" x14ac:dyDescent="0.35">
      <c r="A61" s="1" t="s">
        <v>77</v>
      </c>
      <c r="B61" s="1" t="s">
        <v>27</v>
      </c>
      <c r="C61" s="2">
        <v>45485</v>
      </c>
      <c r="D61" s="1" t="s">
        <v>35</v>
      </c>
      <c r="E61" s="1" t="s">
        <v>58</v>
      </c>
      <c r="F61" s="1" t="s">
        <v>37</v>
      </c>
      <c r="G61" s="1" t="s">
        <v>20</v>
      </c>
      <c r="H61" s="1">
        <v>4</v>
      </c>
      <c r="I61" s="1">
        <v>1037</v>
      </c>
      <c r="J61" s="1">
        <v>1799</v>
      </c>
      <c r="K61" s="1">
        <v>15</v>
      </c>
      <c r="L61" s="1">
        <f>ROUNDDOWN(formatted_data[[#This Row],[Selling_Price]]*formatted_data[[#This Row],[Discount_%]]/100,0)</f>
        <v>269</v>
      </c>
      <c r="M61" s="1">
        <f>(formatted_data[[#This Row],[Selling_Price]]-formatted_data[[#This Row],[Discount_Amount]])*formatted_data[[#This Row],[Units]]</f>
        <v>6120</v>
      </c>
      <c r="N61" s="1">
        <f>formatted_data[[#This Row],[Total_Revenue]]-(formatted_data[[#This Row],[Cost_Price]]*formatted_data[[#This Row],[Units]])</f>
        <v>1972</v>
      </c>
      <c r="O61" s="1" t="s">
        <v>33</v>
      </c>
      <c r="P61"/>
    </row>
    <row r="62" spans="1:16" x14ac:dyDescent="0.35">
      <c r="A62" s="1" t="s">
        <v>42</v>
      </c>
      <c r="B62" s="1" t="s">
        <v>27</v>
      </c>
      <c r="C62" s="2">
        <v>45535</v>
      </c>
      <c r="D62" s="1" t="s">
        <v>31</v>
      </c>
      <c r="E62" s="1" t="s">
        <v>76</v>
      </c>
      <c r="F62" s="1" t="s">
        <v>25</v>
      </c>
      <c r="G62" s="1" t="s">
        <v>19</v>
      </c>
      <c r="H62" s="1">
        <v>1</v>
      </c>
      <c r="I62" s="1">
        <v>873</v>
      </c>
      <c r="J62" s="1">
        <v>1499</v>
      </c>
      <c r="K62" s="1">
        <v>0</v>
      </c>
      <c r="L62" s="1">
        <f>ROUNDDOWN(formatted_data[[#This Row],[Selling_Price]]*formatted_data[[#This Row],[Discount_%]]/100,0)</f>
        <v>0</v>
      </c>
      <c r="M62" s="1">
        <f>(formatted_data[[#This Row],[Selling_Price]]-formatted_data[[#This Row],[Discount_Amount]])*formatted_data[[#This Row],[Units]]</f>
        <v>1499</v>
      </c>
      <c r="N62" s="1">
        <f>formatted_data[[#This Row],[Total_Revenue]]-(formatted_data[[#This Row],[Cost_Price]]*formatted_data[[#This Row],[Units]])</f>
        <v>626</v>
      </c>
      <c r="O62" s="1" t="s">
        <v>21</v>
      </c>
      <c r="P62"/>
    </row>
    <row r="63" spans="1:16" x14ac:dyDescent="0.35">
      <c r="A63" s="1" t="s">
        <v>82</v>
      </c>
      <c r="B63" s="1" t="s">
        <v>27</v>
      </c>
      <c r="C63" s="2">
        <v>45460</v>
      </c>
      <c r="D63" s="1" t="s">
        <v>28</v>
      </c>
      <c r="E63" s="1" t="s">
        <v>45</v>
      </c>
      <c r="F63" s="1" t="s">
        <v>37</v>
      </c>
      <c r="G63" s="1" t="s">
        <v>20</v>
      </c>
      <c r="H63" s="1">
        <v>1</v>
      </c>
      <c r="I63" s="1">
        <v>1286</v>
      </c>
      <c r="J63" s="1">
        <v>1899</v>
      </c>
      <c r="K63" s="1">
        <v>5</v>
      </c>
      <c r="L63" s="1">
        <f>ROUNDDOWN(formatted_data[[#This Row],[Selling_Price]]*formatted_data[[#This Row],[Discount_%]]/100,0)</f>
        <v>94</v>
      </c>
      <c r="M63" s="1">
        <f>(formatted_data[[#This Row],[Selling_Price]]-formatted_data[[#This Row],[Discount_Amount]])*formatted_data[[#This Row],[Units]]</f>
        <v>1805</v>
      </c>
      <c r="N63" s="1">
        <f>formatted_data[[#This Row],[Total_Revenue]]-(formatted_data[[#This Row],[Cost_Price]]*formatted_data[[#This Row],[Units]])</f>
        <v>519</v>
      </c>
      <c r="O63" s="1" t="s">
        <v>33</v>
      </c>
      <c r="P63"/>
    </row>
    <row r="64" spans="1:16" x14ac:dyDescent="0.35">
      <c r="A64" s="1" t="s">
        <v>83</v>
      </c>
      <c r="B64" s="1" t="s">
        <v>27</v>
      </c>
      <c r="C64" s="2">
        <v>45505</v>
      </c>
      <c r="D64" s="1" t="s">
        <v>35</v>
      </c>
      <c r="E64" s="1" t="s">
        <v>41</v>
      </c>
      <c r="F64" s="1" t="s">
        <v>37</v>
      </c>
      <c r="G64" s="1" t="s">
        <v>20</v>
      </c>
      <c r="H64" s="1">
        <v>2</v>
      </c>
      <c r="I64" s="1">
        <v>435</v>
      </c>
      <c r="J64" s="1">
        <v>599</v>
      </c>
      <c r="K64" s="1">
        <v>5</v>
      </c>
      <c r="L64" s="1">
        <f>ROUNDDOWN(formatted_data[[#This Row],[Selling_Price]]*formatted_data[[#This Row],[Discount_%]]/100,0)</f>
        <v>29</v>
      </c>
      <c r="M64" s="1">
        <f>(formatted_data[[#This Row],[Selling_Price]]-formatted_data[[#This Row],[Discount_Amount]])*formatted_data[[#This Row],[Units]]</f>
        <v>1140</v>
      </c>
      <c r="N64" s="1">
        <f>formatted_data[[#This Row],[Total_Revenue]]-(formatted_data[[#This Row],[Cost_Price]]*formatted_data[[#This Row],[Units]])</f>
        <v>270</v>
      </c>
      <c r="O64" s="1" t="s">
        <v>21</v>
      </c>
      <c r="P64"/>
    </row>
    <row r="65" spans="1:16" x14ac:dyDescent="0.35">
      <c r="A65" s="1" t="s">
        <v>74</v>
      </c>
      <c r="B65" s="1" t="s">
        <v>16</v>
      </c>
      <c r="C65" s="2">
        <v>45628</v>
      </c>
      <c r="D65" s="1" t="s">
        <v>35</v>
      </c>
      <c r="E65" s="1" t="s">
        <v>36</v>
      </c>
      <c r="F65" s="1" t="s">
        <v>37</v>
      </c>
      <c r="G65" s="1" t="s">
        <v>20</v>
      </c>
      <c r="H65" s="1">
        <v>4</v>
      </c>
      <c r="I65" s="1">
        <v>253</v>
      </c>
      <c r="J65" s="1">
        <v>399</v>
      </c>
      <c r="K65" s="1">
        <v>15</v>
      </c>
      <c r="L65" s="1">
        <f>ROUNDDOWN(formatted_data[[#This Row],[Selling_Price]]*formatted_data[[#This Row],[Discount_%]]/100,0)</f>
        <v>59</v>
      </c>
      <c r="M65" s="1">
        <f>(formatted_data[[#This Row],[Selling_Price]]-formatted_data[[#This Row],[Discount_Amount]])*formatted_data[[#This Row],[Units]]</f>
        <v>1360</v>
      </c>
      <c r="N65" s="1">
        <f>formatted_data[[#This Row],[Total_Revenue]]-(formatted_data[[#This Row],[Cost_Price]]*formatted_data[[#This Row],[Units]])</f>
        <v>348</v>
      </c>
      <c r="O65" s="1" t="s">
        <v>33</v>
      </c>
      <c r="P65"/>
    </row>
    <row r="66" spans="1:16" x14ac:dyDescent="0.35">
      <c r="A66" s="1" t="s">
        <v>83</v>
      </c>
      <c r="B66" s="1" t="s">
        <v>27</v>
      </c>
      <c r="C66" s="2">
        <v>45644</v>
      </c>
      <c r="D66" s="1" t="s">
        <v>17</v>
      </c>
      <c r="E66" s="1" t="s">
        <v>48</v>
      </c>
      <c r="F66" s="1" t="s">
        <v>37</v>
      </c>
      <c r="G66" s="1" t="s">
        <v>19</v>
      </c>
      <c r="H66" s="1">
        <v>5</v>
      </c>
      <c r="I66" s="1">
        <v>256</v>
      </c>
      <c r="J66" s="1">
        <v>399</v>
      </c>
      <c r="K66" s="1">
        <v>0</v>
      </c>
      <c r="L66" s="1">
        <f>ROUNDDOWN(formatted_data[[#This Row],[Selling_Price]]*formatted_data[[#This Row],[Discount_%]]/100,0)</f>
        <v>0</v>
      </c>
      <c r="M66" s="1">
        <f>(formatted_data[[#This Row],[Selling_Price]]-formatted_data[[#This Row],[Discount_Amount]])*formatted_data[[#This Row],[Units]]</f>
        <v>1995</v>
      </c>
      <c r="N66" s="1">
        <f>formatted_data[[#This Row],[Total_Revenue]]-(formatted_data[[#This Row],[Cost_Price]]*formatted_data[[#This Row],[Units]])</f>
        <v>715</v>
      </c>
      <c r="O66" s="1" t="s">
        <v>21</v>
      </c>
      <c r="P66"/>
    </row>
    <row r="67" spans="1:16" x14ac:dyDescent="0.35">
      <c r="A67" s="1" t="s">
        <v>84</v>
      </c>
      <c r="B67" s="1" t="s">
        <v>27</v>
      </c>
      <c r="C67" s="2">
        <v>45449</v>
      </c>
      <c r="D67" s="1" t="s">
        <v>17</v>
      </c>
      <c r="E67" s="1" t="s">
        <v>18</v>
      </c>
      <c r="F67" s="1" t="s">
        <v>37</v>
      </c>
      <c r="G67" s="1" t="s">
        <v>19</v>
      </c>
      <c r="H67" s="1">
        <v>1</v>
      </c>
      <c r="I67" s="1">
        <v>277</v>
      </c>
      <c r="J67" s="1">
        <v>499</v>
      </c>
      <c r="K67" s="1">
        <v>0</v>
      </c>
      <c r="L67" s="1">
        <f>ROUNDDOWN(formatted_data[[#This Row],[Selling_Price]]*formatted_data[[#This Row],[Discount_%]]/100,0)</f>
        <v>0</v>
      </c>
      <c r="M67" s="1">
        <f>(formatted_data[[#This Row],[Selling_Price]]-formatted_data[[#This Row],[Discount_Amount]])*formatted_data[[#This Row],[Units]]</f>
        <v>499</v>
      </c>
      <c r="N67" s="1">
        <f>formatted_data[[#This Row],[Total_Revenue]]-(formatted_data[[#This Row],[Cost_Price]]*formatted_data[[#This Row],[Units]])</f>
        <v>222</v>
      </c>
      <c r="O67" s="1" t="s">
        <v>33</v>
      </c>
      <c r="P67"/>
    </row>
    <row r="68" spans="1:16" x14ac:dyDescent="0.35">
      <c r="A68" s="1" t="s">
        <v>54</v>
      </c>
      <c r="B68" s="1" t="s">
        <v>27</v>
      </c>
      <c r="C68" s="2">
        <v>45612</v>
      </c>
      <c r="D68" s="1" t="s">
        <v>28</v>
      </c>
      <c r="E68" s="1" t="s">
        <v>45</v>
      </c>
      <c r="F68" s="1" t="s">
        <v>19</v>
      </c>
      <c r="G68" s="1" t="s">
        <v>19</v>
      </c>
      <c r="H68" s="1">
        <v>5</v>
      </c>
      <c r="I68" s="1">
        <v>843</v>
      </c>
      <c r="J68" s="1">
        <v>1599</v>
      </c>
      <c r="K68" s="1">
        <v>5</v>
      </c>
      <c r="L68" s="1">
        <f>ROUNDDOWN(formatted_data[[#This Row],[Selling_Price]]*formatted_data[[#This Row],[Discount_%]]/100,0)</f>
        <v>79</v>
      </c>
      <c r="M68" s="1">
        <f>(formatted_data[[#This Row],[Selling_Price]]-formatted_data[[#This Row],[Discount_Amount]])*formatted_data[[#This Row],[Units]]</f>
        <v>7600</v>
      </c>
      <c r="N68" s="1">
        <f>formatted_data[[#This Row],[Total_Revenue]]-(formatted_data[[#This Row],[Cost_Price]]*formatted_data[[#This Row],[Units]])</f>
        <v>3385</v>
      </c>
      <c r="O68" s="1" t="s">
        <v>33</v>
      </c>
      <c r="P68"/>
    </row>
    <row r="69" spans="1:16" x14ac:dyDescent="0.35">
      <c r="A69" s="1" t="s">
        <v>85</v>
      </c>
      <c r="B69" s="1" t="s">
        <v>27</v>
      </c>
      <c r="C69" s="2">
        <v>45586</v>
      </c>
      <c r="D69" s="1" t="s">
        <v>35</v>
      </c>
      <c r="E69" s="1" t="s">
        <v>39</v>
      </c>
      <c r="F69" s="1" t="s">
        <v>37</v>
      </c>
      <c r="G69" s="1" t="s">
        <v>20</v>
      </c>
      <c r="H69" s="1">
        <v>4</v>
      </c>
      <c r="I69" s="1">
        <v>642</v>
      </c>
      <c r="J69" s="1">
        <v>899</v>
      </c>
      <c r="K69" s="1">
        <v>20</v>
      </c>
      <c r="L69" s="1">
        <f>ROUNDDOWN(formatted_data[[#This Row],[Selling_Price]]*formatted_data[[#This Row],[Discount_%]]/100,0)</f>
        <v>179</v>
      </c>
      <c r="M69" s="1">
        <f>(formatted_data[[#This Row],[Selling_Price]]-formatted_data[[#This Row],[Discount_Amount]])*formatted_data[[#This Row],[Units]]</f>
        <v>2880</v>
      </c>
      <c r="N69" s="1">
        <f>formatted_data[[#This Row],[Total_Revenue]]-(formatted_data[[#This Row],[Cost_Price]]*formatted_data[[#This Row],[Units]])</f>
        <v>312</v>
      </c>
      <c r="O69" s="1" t="s">
        <v>21</v>
      </c>
      <c r="P69"/>
    </row>
    <row r="70" spans="1:16" x14ac:dyDescent="0.35">
      <c r="A70" s="1" t="s">
        <v>86</v>
      </c>
      <c r="B70" s="1" t="s">
        <v>27</v>
      </c>
      <c r="C70" s="2">
        <v>45543</v>
      </c>
      <c r="D70" s="1" t="s">
        <v>28</v>
      </c>
      <c r="E70" s="1" t="s">
        <v>45</v>
      </c>
      <c r="F70" s="1" t="s">
        <v>25</v>
      </c>
      <c r="G70" s="1" t="s">
        <v>19</v>
      </c>
      <c r="H70" s="1">
        <v>2</v>
      </c>
      <c r="I70" s="1">
        <v>557</v>
      </c>
      <c r="J70" s="1">
        <v>899</v>
      </c>
      <c r="K70" s="1">
        <v>10</v>
      </c>
      <c r="L70" s="1">
        <f>ROUNDDOWN(formatted_data[[#This Row],[Selling_Price]]*formatted_data[[#This Row],[Discount_%]]/100,0)</f>
        <v>89</v>
      </c>
      <c r="M70" s="1">
        <f>(formatted_data[[#This Row],[Selling_Price]]-formatted_data[[#This Row],[Discount_Amount]])*formatted_data[[#This Row],[Units]]</f>
        <v>1620</v>
      </c>
      <c r="N70" s="1">
        <f>formatted_data[[#This Row],[Total_Revenue]]-(formatted_data[[#This Row],[Cost_Price]]*formatted_data[[#This Row],[Units]])</f>
        <v>506</v>
      </c>
      <c r="O70" s="1" t="s">
        <v>21</v>
      </c>
      <c r="P70"/>
    </row>
    <row r="71" spans="1:16" x14ac:dyDescent="0.35">
      <c r="A71" s="1" t="s">
        <v>54</v>
      </c>
      <c r="B71" s="1" t="s">
        <v>27</v>
      </c>
      <c r="C71" s="2">
        <v>45481</v>
      </c>
      <c r="D71" s="1" t="s">
        <v>35</v>
      </c>
      <c r="E71" s="1" t="s">
        <v>87</v>
      </c>
      <c r="F71" s="1" t="s">
        <v>37</v>
      </c>
      <c r="G71" s="1" t="s">
        <v>19</v>
      </c>
      <c r="H71" s="1">
        <v>1</v>
      </c>
      <c r="I71" s="1">
        <v>1493</v>
      </c>
      <c r="J71" s="1">
        <v>2799</v>
      </c>
      <c r="K71" s="1">
        <v>10</v>
      </c>
      <c r="L71" s="1">
        <f>ROUNDDOWN(formatted_data[[#This Row],[Selling_Price]]*formatted_data[[#This Row],[Discount_%]]/100,0)</f>
        <v>279</v>
      </c>
      <c r="M71" s="1">
        <f>(formatted_data[[#This Row],[Selling_Price]]-formatted_data[[#This Row],[Discount_Amount]])*formatted_data[[#This Row],[Units]]</f>
        <v>2520</v>
      </c>
      <c r="N71" s="1">
        <f>formatted_data[[#This Row],[Total_Revenue]]-(formatted_data[[#This Row],[Cost_Price]]*formatted_data[[#This Row],[Units]])</f>
        <v>1027</v>
      </c>
      <c r="O71" s="1" t="s">
        <v>21</v>
      </c>
      <c r="P71"/>
    </row>
    <row r="72" spans="1:16" x14ac:dyDescent="0.35">
      <c r="A72" s="1" t="s">
        <v>88</v>
      </c>
      <c r="B72" s="1" t="s">
        <v>27</v>
      </c>
      <c r="C72" s="2">
        <v>45591</v>
      </c>
      <c r="D72" s="1" t="s">
        <v>35</v>
      </c>
      <c r="E72" s="1" t="s">
        <v>41</v>
      </c>
      <c r="F72" s="1" t="s">
        <v>37</v>
      </c>
      <c r="G72" s="1" t="s">
        <v>20</v>
      </c>
      <c r="H72" s="1">
        <v>2</v>
      </c>
      <c r="I72" s="1">
        <v>605</v>
      </c>
      <c r="J72" s="1">
        <v>999</v>
      </c>
      <c r="K72" s="1">
        <v>20</v>
      </c>
      <c r="L72" s="1">
        <f>ROUNDDOWN(formatted_data[[#This Row],[Selling_Price]]*formatted_data[[#This Row],[Discount_%]]/100,0)</f>
        <v>199</v>
      </c>
      <c r="M72" s="1">
        <f>(formatted_data[[#This Row],[Selling_Price]]-formatted_data[[#This Row],[Discount_Amount]])*formatted_data[[#This Row],[Units]]</f>
        <v>1600</v>
      </c>
      <c r="N72" s="1">
        <f>formatted_data[[#This Row],[Total_Revenue]]-(formatted_data[[#This Row],[Cost_Price]]*formatted_data[[#This Row],[Units]])</f>
        <v>390</v>
      </c>
      <c r="O72" s="1" t="s">
        <v>21</v>
      </c>
      <c r="P72"/>
    </row>
    <row r="73" spans="1:16" x14ac:dyDescent="0.35">
      <c r="A73" s="1" t="s">
        <v>88</v>
      </c>
      <c r="B73" s="1" t="s">
        <v>27</v>
      </c>
      <c r="C73" s="2">
        <v>45574</v>
      </c>
      <c r="D73" s="1" t="s">
        <v>31</v>
      </c>
      <c r="E73" s="1" t="s">
        <v>76</v>
      </c>
      <c r="F73" s="1" t="s">
        <v>19</v>
      </c>
      <c r="G73" s="1" t="s">
        <v>19</v>
      </c>
      <c r="H73" s="1">
        <v>1</v>
      </c>
      <c r="I73" s="1">
        <v>758</v>
      </c>
      <c r="J73" s="1">
        <v>1499</v>
      </c>
      <c r="K73" s="1">
        <v>0</v>
      </c>
      <c r="L73" s="1">
        <f>ROUNDDOWN(formatted_data[[#This Row],[Selling_Price]]*formatted_data[[#This Row],[Discount_%]]/100,0)</f>
        <v>0</v>
      </c>
      <c r="M73" s="1">
        <f>(formatted_data[[#This Row],[Selling_Price]]-formatted_data[[#This Row],[Discount_Amount]])*formatted_data[[#This Row],[Units]]</f>
        <v>1499</v>
      </c>
      <c r="N73" s="1">
        <f>formatted_data[[#This Row],[Total_Revenue]]-(formatted_data[[#This Row],[Cost_Price]]*formatted_data[[#This Row],[Units]])</f>
        <v>741</v>
      </c>
      <c r="O73" s="1" t="s">
        <v>21</v>
      </c>
      <c r="P73"/>
    </row>
    <row r="74" spans="1:16" x14ac:dyDescent="0.35">
      <c r="A74" s="1" t="s">
        <v>74</v>
      </c>
      <c r="B74" s="1" t="s">
        <v>16</v>
      </c>
      <c r="C74" s="2">
        <v>45630</v>
      </c>
      <c r="D74" s="1" t="s">
        <v>17</v>
      </c>
      <c r="E74" s="1" t="s">
        <v>72</v>
      </c>
      <c r="F74" s="1" t="s">
        <v>37</v>
      </c>
      <c r="G74" s="1" t="s">
        <v>20</v>
      </c>
      <c r="H74" s="1">
        <v>1</v>
      </c>
      <c r="I74" s="1">
        <v>274</v>
      </c>
      <c r="J74" s="1">
        <v>399</v>
      </c>
      <c r="K74" s="1">
        <v>0</v>
      </c>
      <c r="L74" s="1">
        <f>ROUNDDOWN(formatted_data[[#This Row],[Selling_Price]]*formatted_data[[#This Row],[Discount_%]]/100,0)</f>
        <v>0</v>
      </c>
      <c r="M74" s="1">
        <f>(formatted_data[[#This Row],[Selling_Price]]-formatted_data[[#This Row],[Discount_Amount]])*formatted_data[[#This Row],[Units]]</f>
        <v>399</v>
      </c>
      <c r="N74" s="1">
        <f>formatted_data[[#This Row],[Total_Revenue]]-(formatted_data[[#This Row],[Cost_Price]]*formatted_data[[#This Row],[Units]])</f>
        <v>125</v>
      </c>
      <c r="O74" s="1" t="s">
        <v>33</v>
      </c>
      <c r="P74"/>
    </row>
    <row r="75" spans="1:16" x14ac:dyDescent="0.35">
      <c r="A75" s="1" t="s">
        <v>89</v>
      </c>
      <c r="B75" s="1" t="s">
        <v>16</v>
      </c>
      <c r="C75" s="2">
        <v>45507</v>
      </c>
      <c r="D75" s="1" t="s">
        <v>17</v>
      </c>
      <c r="E75" s="1" t="s">
        <v>72</v>
      </c>
      <c r="F75" s="1" t="s">
        <v>25</v>
      </c>
      <c r="G75" s="1" t="s">
        <v>19</v>
      </c>
      <c r="H75" s="1">
        <v>2</v>
      </c>
      <c r="I75" s="1">
        <v>242</v>
      </c>
      <c r="J75" s="1">
        <v>399</v>
      </c>
      <c r="K75" s="1">
        <v>0</v>
      </c>
      <c r="L75" s="1">
        <f>ROUNDDOWN(formatted_data[[#This Row],[Selling_Price]]*formatted_data[[#This Row],[Discount_%]]/100,0)</f>
        <v>0</v>
      </c>
      <c r="M75" s="1">
        <f>(formatted_data[[#This Row],[Selling_Price]]-formatted_data[[#This Row],[Discount_Amount]])*formatted_data[[#This Row],[Units]]</f>
        <v>798</v>
      </c>
      <c r="N75" s="1">
        <f>formatted_data[[#This Row],[Total_Revenue]]-(formatted_data[[#This Row],[Cost_Price]]*formatted_data[[#This Row],[Units]])</f>
        <v>314</v>
      </c>
      <c r="O75" s="1" t="s">
        <v>21</v>
      </c>
      <c r="P75"/>
    </row>
    <row r="76" spans="1:16" x14ac:dyDescent="0.35">
      <c r="A76" s="1" t="s">
        <v>90</v>
      </c>
      <c r="B76" s="1" t="s">
        <v>27</v>
      </c>
      <c r="C76" s="2">
        <v>45640</v>
      </c>
      <c r="D76" s="1" t="s">
        <v>17</v>
      </c>
      <c r="E76" s="1" t="s">
        <v>48</v>
      </c>
      <c r="F76" s="1" t="s">
        <v>37</v>
      </c>
      <c r="G76" s="1" t="s">
        <v>20</v>
      </c>
      <c r="H76" s="1">
        <v>1</v>
      </c>
      <c r="I76" s="1">
        <v>405</v>
      </c>
      <c r="J76" s="1">
        <v>599</v>
      </c>
      <c r="K76" s="1">
        <v>0</v>
      </c>
      <c r="L76" s="1">
        <f>ROUNDDOWN(formatted_data[[#This Row],[Selling_Price]]*formatted_data[[#This Row],[Discount_%]]/100,0)</f>
        <v>0</v>
      </c>
      <c r="M76" s="1">
        <f>(formatted_data[[#This Row],[Selling_Price]]-formatted_data[[#This Row],[Discount_Amount]])*formatted_data[[#This Row],[Units]]</f>
        <v>599</v>
      </c>
      <c r="N76" s="1">
        <f>formatted_data[[#This Row],[Total_Revenue]]-(formatted_data[[#This Row],[Cost_Price]]*formatted_data[[#This Row],[Units]])</f>
        <v>194</v>
      </c>
      <c r="O76" s="1" t="s">
        <v>33</v>
      </c>
      <c r="P76"/>
    </row>
    <row r="77" spans="1:16" x14ac:dyDescent="0.35">
      <c r="A77" s="1" t="s">
        <v>91</v>
      </c>
      <c r="B77" s="1" t="s">
        <v>16</v>
      </c>
      <c r="C77" s="2">
        <v>45557</v>
      </c>
      <c r="D77" s="1" t="s">
        <v>35</v>
      </c>
      <c r="E77" s="1" t="s">
        <v>36</v>
      </c>
      <c r="F77" s="1" t="s">
        <v>19</v>
      </c>
      <c r="G77" s="1" t="s">
        <v>20</v>
      </c>
      <c r="H77" s="1">
        <v>2</v>
      </c>
      <c r="I77" s="1">
        <v>290</v>
      </c>
      <c r="J77" s="1">
        <v>399</v>
      </c>
      <c r="K77" s="1">
        <v>15</v>
      </c>
      <c r="L77" s="1">
        <f>ROUNDDOWN(formatted_data[[#This Row],[Selling_Price]]*formatted_data[[#This Row],[Discount_%]]/100,0)</f>
        <v>59</v>
      </c>
      <c r="M77" s="1">
        <f>(formatted_data[[#This Row],[Selling_Price]]-formatted_data[[#This Row],[Discount_Amount]])*formatted_data[[#This Row],[Units]]</f>
        <v>680</v>
      </c>
      <c r="N77" s="1">
        <f>formatted_data[[#This Row],[Total_Revenue]]-(formatted_data[[#This Row],[Cost_Price]]*formatted_data[[#This Row],[Units]])</f>
        <v>100</v>
      </c>
      <c r="O77" s="1" t="s">
        <v>33</v>
      </c>
      <c r="P77"/>
    </row>
    <row r="78" spans="1:16" x14ac:dyDescent="0.35">
      <c r="A78" s="1" t="s">
        <v>92</v>
      </c>
      <c r="B78" s="1" t="s">
        <v>27</v>
      </c>
      <c r="C78" s="2">
        <v>45602</v>
      </c>
      <c r="D78" s="1" t="s">
        <v>28</v>
      </c>
      <c r="E78" s="1" t="s">
        <v>45</v>
      </c>
      <c r="F78" s="1" t="s">
        <v>25</v>
      </c>
      <c r="G78" s="1" t="s">
        <v>20</v>
      </c>
      <c r="H78" s="1">
        <v>1</v>
      </c>
      <c r="I78" s="1">
        <v>402</v>
      </c>
      <c r="J78" s="1">
        <v>799</v>
      </c>
      <c r="K78" s="1">
        <v>20</v>
      </c>
      <c r="L78" s="1">
        <f>ROUNDDOWN(formatted_data[[#This Row],[Selling_Price]]*formatted_data[[#This Row],[Discount_%]]/100,0)</f>
        <v>159</v>
      </c>
      <c r="M78" s="1">
        <f>(formatted_data[[#This Row],[Selling_Price]]-formatted_data[[#This Row],[Discount_Amount]])*formatted_data[[#This Row],[Units]]</f>
        <v>640</v>
      </c>
      <c r="N78" s="1">
        <f>formatted_data[[#This Row],[Total_Revenue]]-(formatted_data[[#This Row],[Cost_Price]]*formatted_data[[#This Row],[Units]])</f>
        <v>238</v>
      </c>
      <c r="O78" s="1" t="s">
        <v>21</v>
      </c>
      <c r="P78"/>
    </row>
    <row r="79" spans="1:16" x14ac:dyDescent="0.35">
      <c r="A79" s="1" t="s">
        <v>56</v>
      </c>
      <c r="B79" s="1" t="s">
        <v>27</v>
      </c>
      <c r="C79" s="2">
        <v>45646</v>
      </c>
      <c r="D79" s="1" t="s">
        <v>35</v>
      </c>
      <c r="E79" s="1" t="s">
        <v>41</v>
      </c>
      <c r="F79" s="1" t="s">
        <v>25</v>
      </c>
      <c r="G79" s="1" t="s">
        <v>19</v>
      </c>
      <c r="H79" s="1">
        <v>1</v>
      </c>
      <c r="I79" s="1">
        <v>524</v>
      </c>
      <c r="J79" s="1">
        <v>999</v>
      </c>
      <c r="K79" s="1">
        <v>20</v>
      </c>
      <c r="L79" s="1">
        <f>ROUNDDOWN(formatted_data[[#This Row],[Selling_Price]]*formatted_data[[#This Row],[Discount_%]]/100,0)</f>
        <v>199</v>
      </c>
      <c r="M79" s="1">
        <f>(formatted_data[[#This Row],[Selling_Price]]-formatted_data[[#This Row],[Discount_Amount]])*formatted_data[[#This Row],[Units]]</f>
        <v>800</v>
      </c>
      <c r="N79" s="1">
        <f>formatted_data[[#This Row],[Total_Revenue]]-(formatted_data[[#This Row],[Cost_Price]]*formatted_data[[#This Row],[Units]])</f>
        <v>276</v>
      </c>
      <c r="O79" s="1" t="s">
        <v>21</v>
      </c>
      <c r="P79"/>
    </row>
    <row r="80" spans="1:16" x14ac:dyDescent="0.35">
      <c r="A80" s="1" t="s">
        <v>67</v>
      </c>
      <c r="B80" s="1" t="s">
        <v>27</v>
      </c>
      <c r="C80" s="2">
        <v>45481</v>
      </c>
      <c r="D80" s="1" t="s">
        <v>17</v>
      </c>
      <c r="E80" s="1" t="s">
        <v>55</v>
      </c>
      <c r="F80" s="1" t="s">
        <v>25</v>
      </c>
      <c r="G80" s="1" t="s">
        <v>20</v>
      </c>
      <c r="H80" s="1">
        <v>1</v>
      </c>
      <c r="I80" s="1">
        <v>557</v>
      </c>
      <c r="J80" s="1">
        <v>799</v>
      </c>
      <c r="K80" s="1">
        <v>0</v>
      </c>
      <c r="L80" s="1">
        <f>ROUNDDOWN(formatted_data[[#This Row],[Selling_Price]]*formatted_data[[#This Row],[Discount_%]]/100,0)</f>
        <v>0</v>
      </c>
      <c r="M80" s="1">
        <f>(formatted_data[[#This Row],[Selling_Price]]-formatted_data[[#This Row],[Discount_Amount]])*formatted_data[[#This Row],[Units]]</f>
        <v>799</v>
      </c>
      <c r="N80" s="1">
        <f>formatted_data[[#This Row],[Total_Revenue]]-(formatted_data[[#This Row],[Cost_Price]]*formatted_data[[#This Row],[Units]])</f>
        <v>242</v>
      </c>
      <c r="O80" s="1" t="s">
        <v>33</v>
      </c>
      <c r="P80"/>
    </row>
    <row r="81" spans="1:16" x14ac:dyDescent="0.35">
      <c r="A81" s="1" t="s">
        <v>52</v>
      </c>
      <c r="B81" s="1" t="s">
        <v>27</v>
      </c>
      <c r="C81" s="2">
        <v>45562</v>
      </c>
      <c r="D81" s="1" t="s">
        <v>17</v>
      </c>
      <c r="E81" s="1" t="s">
        <v>48</v>
      </c>
      <c r="F81" s="1" t="s">
        <v>25</v>
      </c>
      <c r="G81" s="1" t="s">
        <v>20</v>
      </c>
      <c r="H81" s="1">
        <v>2</v>
      </c>
      <c r="I81" s="1">
        <v>272</v>
      </c>
      <c r="J81" s="1">
        <v>399</v>
      </c>
      <c r="K81" s="1">
        <v>0</v>
      </c>
      <c r="L81" s="1">
        <f>ROUNDDOWN(formatted_data[[#This Row],[Selling_Price]]*formatted_data[[#This Row],[Discount_%]]/100,0)</f>
        <v>0</v>
      </c>
      <c r="M81" s="1">
        <f>(formatted_data[[#This Row],[Selling_Price]]-formatted_data[[#This Row],[Discount_Amount]])*formatted_data[[#This Row],[Units]]</f>
        <v>798</v>
      </c>
      <c r="N81" s="1">
        <f>formatted_data[[#This Row],[Total_Revenue]]-(formatted_data[[#This Row],[Cost_Price]]*formatted_data[[#This Row],[Units]])</f>
        <v>254</v>
      </c>
      <c r="O81" s="1" t="s">
        <v>21</v>
      </c>
      <c r="P81"/>
    </row>
    <row r="82" spans="1:16" x14ac:dyDescent="0.35">
      <c r="A82" s="1" t="s">
        <v>60</v>
      </c>
      <c r="B82" s="1" t="s">
        <v>27</v>
      </c>
      <c r="C82" s="2">
        <v>45645</v>
      </c>
      <c r="D82" s="1" t="s">
        <v>28</v>
      </c>
      <c r="E82" s="1" t="s">
        <v>45</v>
      </c>
      <c r="F82" s="1" t="s">
        <v>19</v>
      </c>
      <c r="G82" s="1" t="s">
        <v>19</v>
      </c>
      <c r="H82" s="1">
        <v>4</v>
      </c>
      <c r="I82" s="1">
        <v>847</v>
      </c>
      <c r="J82" s="1">
        <v>1199</v>
      </c>
      <c r="K82" s="1">
        <v>10</v>
      </c>
      <c r="L82" s="1">
        <f>ROUNDDOWN(formatted_data[[#This Row],[Selling_Price]]*formatted_data[[#This Row],[Discount_%]]/100,0)</f>
        <v>119</v>
      </c>
      <c r="M82" s="1">
        <f>(formatted_data[[#This Row],[Selling_Price]]-formatted_data[[#This Row],[Discount_Amount]])*formatted_data[[#This Row],[Units]]</f>
        <v>4320</v>
      </c>
      <c r="N82" s="1">
        <f>formatted_data[[#This Row],[Total_Revenue]]-(formatted_data[[#This Row],[Cost_Price]]*formatted_data[[#This Row],[Units]])</f>
        <v>932</v>
      </c>
      <c r="O82" s="1" t="s">
        <v>21</v>
      </c>
      <c r="P82"/>
    </row>
    <row r="83" spans="1:16" x14ac:dyDescent="0.35">
      <c r="A83" s="1" t="s">
        <v>93</v>
      </c>
      <c r="B83" s="1" t="s">
        <v>16</v>
      </c>
      <c r="C83" s="2">
        <v>45522</v>
      </c>
      <c r="D83" s="1" t="s">
        <v>31</v>
      </c>
      <c r="E83" s="1" t="s">
        <v>76</v>
      </c>
      <c r="F83" s="1" t="s">
        <v>19</v>
      </c>
      <c r="G83" s="1" t="s">
        <v>20</v>
      </c>
      <c r="H83" s="1">
        <v>1</v>
      </c>
      <c r="I83" s="1">
        <v>512</v>
      </c>
      <c r="J83" s="1">
        <v>999</v>
      </c>
      <c r="K83" s="1">
        <v>0</v>
      </c>
      <c r="L83" s="1">
        <f>ROUNDDOWN(formatted_data[[#This Row],[Selling_Price]]*formatted_data[[#This Row],[Discount_%]]/100,0)</f>
        <v>0</v>
      </c>
      <c r="M83" s="1">
        <f>(formatted_data[[#This Row],[Selling_Price]]-formatted_data[[#This Row],[Discount_Amount]])*formatted_data[[#This Row],[Units]]</f>
        <v>999</v>
      </c>
      <c r="N83" s="1">
        <f>formatted_data[[#This Row],[Total_Revenue]]-(formatted_data[[#This Row],[Cost_Price]]*formatted_data[[#This Row],[Units]])</f>
        <v>487</v>
      </c>
      <c r="O83" s="1" t="s">
        <v>21</v>
      </c>
      <c r="P83"/>
    </row>
    <row r="84" spans="1:16" x14ac:dyDescent="0.35">
      <c r="A84" s="1" t="s">
        <v>94</v>
      </c>
      <c r="B84" s="1" t="s">
        <v>16</v>
      </c>
      <c r="C84" s="2">
        <v>45578</v>
      </c>
      <c r="D84" s="1" t="s">
        <v>28</v>
      </c>
      <c r="E84" s="1" t="s">
        <v>29</v>
      </c>
      <c r="F84" s="1" t="s">
        <v>37</v>
      </c>
      <c r="G84" s="1" t="s">
        <v>20</v>
      </c>
      <c r="H84" s="1">
        <v>1</v>
      </c>
      <c r="I84" s="1">
        <v>393</v>
      </c>
      <c r="J84" s="1">
        <v>599</v>
      </c>
      <c r="K84" s="1">
        <v>15</v>
      </c>
      <c r="L84" s="1">
        <f>ROUNDDOWN(formatted_data[[#This Row],[Selling_Price]]*formatted_data[[#This Row],[Discount_%]]/100,0)</f>
        <v>89</v>
      </c>
      <c r="M84" s="1">
        <f>(formatted_data[[#This Row],[Selling_Price]]-formatted_data[[#This Row],[Discount_Amount]])*formatted_data[[#This Row],[Units]]</f>
        <v>510</v>
      </c>
      <c r="N84" s="1">
        <f>formatted_data[[#This Row],[Total_Revenue]]-(formatted_data[[#This Row],[Cost_Price]]*formatted_data[[#This Row],[Units]])</f>
        <v>117</v>
      </c>
      <c r="O84" s="1" t="s">
        <v>21</v>
      </c>
      <c r="P84"/>
    </row>
    <row r="85" spans="1:16" x14ac:dyDescent="0.35">
      <c r="A85" s="1" t="s">
        <v>54</v>
      </c>
      <c r="B85" s="1" t="s">
        <v>27</v>
      </c>
      <c r="C85" s="2">
        <v>45488</v>
      </c>
      <c r="D85" s="1" t="s">
        <v>28</v>
      </c>
      <c r="E85" s="1" t="s">
        <v>45</v>
      </c>
      <c r="F85" s="1" t="s">
        <v>25</v>
      </c>
      <c r="G85" s="1" t="s">
        <v>19</v>
      </c>
      <c r="H85" s="1">
        <v>4</v>
      </c>
      <c r="I85" s="1">
        <v>895</v>
      </c>
      <c r="J85" s="1">
        <v>1499</v>
      </c>
      <c r="K85" s="1">
        <v>20</v>
      </c>
      <c r="L85" s="1">
        <f>ROUNDDOWN(formatted_data[[#This Row],[Selling_Price]]*formatted_data[[#This Row],[Discount_%]]/100,0)</f>
        <v>299</v>
      </c>
      <c r="M85" s="1">
        <f>(formatted_data[[#This Row],[Selling_Price]]-formatted_data[[#This Row],[Discount_Amount]])*formatted_data[[#This Row],[Units]]</f>
        <v>4800</v>
      </c>
      <c r="N85" s="1">
        <f>formatted_data[[#This Row],[Total_Revenue]]-(formatted_data[[#This Row],[Cost_Price]]*formatted_data[[#This Row],[Units]])</f>
        <v>1220</v>
      </c>
      <c r="O85" s="1" t="s">
        <v>33</v>
      </c>
      <c r="P85"/>
    </row>
    <row r="86" spans="1:16" x14ac:dyDescent="0.35">
      <c r="A86" s="1" t="s">
        <v>51</v>
      </c>
      <c r="B86" s="1" t="s">
        <v>16</v>
      </c>
      <c r="C86" s="2">
        <v>45629</v>
      </c>
      <c r="D86" s="1" t="s">
        <v>28</v>
      </c>
      <c r="E86" s="1" t="s">
        <v>29</v>
      </c>
      <c r="F86" s="1" t="s">
        <v>37</v>
      </c>
      <c r="G86" s="1" t="s">
        <v>20</v>
      </c>
      <c r="H86" s="1">
        <v>1</v>
      </c>
      <c r="I86" s="1">
        <v>426</v>
      </c>
      <c r="J86" s="1">
        <v>799</v>
      </c>
      <c r="K86" s="1">
        <v>15</v>
      </c>
      <c r="L86" s="1">
        <f>ROUNDDOWN(formatted_data[[#This Row],[Selling_Price]]*formatted_data[[#This Row],[Discount_%]]/100,0)</f>
        <v>119</v>
      </c>
      <c r="M86" s="1">
        <f>(formatted_data[[#This Row],[Selling_Price]]-formatted_data[[#This Row],[Discount_Amount]])*formatted_data[[#This Row],[Units]]</f>
        <v>680</v>
      </c>
      <c r="N86" s="1">
        <f>formatted_data[[#This Row],[Total_Revenue]]-(formatted_data[[#This Row],[Cost_Price]]*formatted_data[[#This Row],[Units]])</f>
        <v>254</v>
      </c>
      <c r="O86" s="1" t="s">
        <v>21</v>
      </c>
      <c r="P86"/>
    </row>
    <row r="87" spans="1:16" x14ac:dyDescent="0.35">
      <c r="A87" s="1" t="s">
        <v>47</v>
      </c>
      <c r="B87" s="1" t="s">
        <v>16</v>
      </c>
      <c r="C87" s="2">
        <v>45578</v>
      </c>
      <c r="D87" s="1" t="s">
        <v>28</v>
      </c>
      <c r="E87" s="1" t="s">
        <v>45</v>
      </c>
      <c r="F87" s="1" t="s">
        <v>37</v>
      </c>
      <c r="G87" s="1" t="s">
        <v>19</v>
      </c>
      <c r="H87" s="1">
        <v>1</v>
      </c>
      <c r="I87" s="1">
        <v>876</v>
      </c>
      <c r="J87" s="1">
        <v>1499</v>
      </c>
      <c r="K87" s="1">
        <v>20</v>
      </c>
      <c r="L87" s="1">
        <f>ROUNDDOWN(formatted_data[[#This Row],[Selling_Price]]*formatted_data[[#This Row],[Discount_%]]/100,0)</f>
        <v>299</v>
      </c>
      <c r="M87" s="1">
        <f>(formatted_data[[#This Row],[Selling_Price]]-formatted_data[[#This Row],[Discount_Amount]])*formatted_data[[#This Row],[Units]]</f>
        <v>1200</v>
      </c>
      <c r="N87" s="1">
        <f>formatted_data[[#This Row],[Total_Revenue]]-(formatted_data[[#This Row],[Cost_Price]]*formatted_data[[#This Row],[Units]])</f>
        <v>324</v>
      </c>
      <c r="O87" s="1" t="s">
        <v>33</v>
      </c>
      <c r="P87"/>
    </row>
    <row r="88" spans="1:16" x14ac:dyDescent="0.35">
      <c r="A88" s="1" t="s">
        <v>75</v>
      </c>
      <c r="B88" s="1" t="s">
        <v>27</v>
      </c>
      <c r="C88" s="2">
        <v>45556</v>
      </c>
      <c r="D88" s="1" t="s">
        <v>28</v>
      </c>
      <c r="E88" s="1" t="s">
        <v>29</v>
      </c>
      <c r="F88" s="1" t="s">
        <v>19</v>
      </c>
      <c r="G88" s="1" t="s">
        <v>20</v>
      </c>
      <c r="H88" s="1">
        <v>4</v>
      </c>
      <c r="I88" s="1">
        <v>380</v>
      </c>
      <c r="J88" s="1">
        <v>599</v>
      </c>
      <c r="K88" s="1">
        <v>15</v>
      </c>
      <c r="L88" s="1">
        <f>ROUNDDOWN(formatted_data[[#This Row],[Selling_Price]]*formatted_data[[#This Row],[Discount_%]]/100,0)</f>
        <v>89</v>
      </c>
      <c r="M88" s="1">
        <f>(formatted_data[[#This Row],[Selling_Price]]-formatted_data[[#This Row],[Discount_Amount]])*formatted_data[[#This Row],[Units]]</f>
        <v>2040</v>
      </c>
      <c r="N88" s="1">
        <f>formatted_data[[#This Row],[Total_Revenue]]-(formatted_data[[#This Row],[Cost_Price]]*formatted_data[[#This Row],[Units]])</f>
        <v>520</v>
      </c>
      <c r="O88" s="1" t="s">
        <v>21</v>
      </c>
      <c r="P88"/>
    </row>
    <row r="89" spans="1:16" x14ac:dyDescent="0.35">
      <c r="A89" s="1" t="s">
        <v>95</v>
      </c>
      <c r="B89" s="1" t="s">
        <v>27</v>
      </c>
      <c r="C89" s="2">
        <v>45646</v>
      </c>
      <c r="D89" s="1" t="s">
        <v>31</v>
      </c>
      <c r="E89" s="1" t="s">
        <v>76</v>
      </c>
      <c r="F89" s="1" t="s">
        <v>19</v>
      </c>
      <c r="G89" s="1" t="s">
        <v>20</v>
      </c>
      <c r="H89" s="1">
        <v>1</v>
      </c>
      <c r="I89" s="1">
        <v>420</v>
      </c>
      <c r="J89" s="1">
        <v>699</v>
      </c>
      <c r="K89" s="1">
        <v>0</v>
      </c>
      <c r="L89" s="1">
        <f>ROUNDDOWN(formatted_data[[#This Row],[Selling_Price]]*formatted_data[[#This Row],[Discount_%]]/100,0)</f>
        <v>0</v>
      </c>
      <c r="M89" s="1">
        <f>(formatted_data[[#This Row],[Selling_Price]]-formatted_data[[#This Row],[Discount_Amount]])*formatted_data[[#This Row],[Units]]</f>
        <v>699</v>
      </c>
      <c r="N89" s="1">
        <f>formatted_data[[#This Row],[Total_Revenue]]-(formatted_data[[#This Row],[Cost_Price]]*formatted_data[[#This Row],[Units]])</f>
        <v>279</v>
      </c>
      <c r="O89" s="1" t="s">
        <v>21</v>
      </c>
      <c r="P89"/>
    </row>
    <row r="90" spans="1:16" x14ac:dyDescent="0.35">
      <c r="A90" s="1" t="s">
        <v>96</v>
      </c>
      <c r="B90" s="1" t="s">
        <v>16</v>
      </c>
      <c r="C90" s="2">
        <v>45498</v>
      </c>
      <c r="D90" s="1" t="s">
        <v>31</v>
      </c>
      <c r="E90" s="1" t="s">
        <v>76</v>
      </c>
      <c r="F90" s="1" t="s">
        <v>25</v>
      </c>
      <c r="G90" s="1" t="s">
        <v>20</v>
      </c>
      <c r="H90" s="1">
        <v>1</v>
      </c>
      <c r="I90" s="1">
        <v>944</v>
      </c>
      <c r="J90" s="1">
        <v>1499</v>
      </c>
      <c r="K90" s="1">
        <v>0</v>
      </c>
      <c r="L90" s="1">
        <f>ROUNDDOWN(formatted_data[[#This Row],[Selling_Price]]*formatted_data[[#This Row],[Discount_%]]/100,0)</f>
        <v>0</v>
      </c>
      <c r="M90" s="1">
        <f>(formatted_data[[#This Row],[Selling_Price]]-formatted_data[[#This Row],[Discount_Amount]])*formatted_data[[#This Row],[Units]]</f>
        <v>1499</v>
      </c>
      <c r="N90" s="1">
        <f>formatted_data[[#This Row],[Total_Revenue]]-(formatted_data[[#This Row],[Cost_Price]]*formatted_data[[#This Row],[Units]])</f>
        <v>555</v>
      </c>
      <c r="O90" s="1" t="s">
        <v>33</v>
      </c>
      <c r="P90"/>
    </row>
    <row r="91" spans="1:16" x14ac:dyDescent="0.35">
      <c r="A91" s="1" t="s">
        <v>84</v>
      </c>
      <c r="B91" s="1" t="s">
        <v>27</v>
      </c>
      <c r="C91" s="2">
        <v>45640</v>
      </c>
      <c r="D91" s="1" t="s">
        <v>17</v>
      </c>
      <c r="E91" s="1" t="s">
        <v>72</v>
      </c>
      <c r="F91" s="1" t="s">
        <v>37</v>
      </c>
      <c r="G91" s="1" t="s">
        <v>19</v>
      </c>
      <c r="H91" s="1">
        <v>1</v>
      </c>
      <c r="I91" s="1">
        <v>273</v>
      </c>
      <c r="J91" s="1">
        <v>499</v>
      </c>
      <c r="K91" s="1">
        <v>0</v>
      </c>
      <c r="L91" s="1">
        <f>ROUNDDOWN(formatted_data[[#This Row],[Selling_Price]]*formatted_data[[#This Row],[Discount_%]]/100,0)</f>
        <v>0</v>
      </c>
      <c r="M91" s="1">
        <f>(formatted_data[[#This Row],[Selling_Price]]-formatted_data[[#This Row],[Discount_Amount]])*formatted_data[[#This Row],[Units]]</f>
        <v>499</v>
      </c>
      <c r="N91" s="1">
        <f>formatted_data[[#This Row],[Total_Revenue]]-(formatted_data[[#This Row],[Cost_Price]]*formatted_data[[#This Row],[Units]])</f>
        <v>226</v>
      </c>
      <c r="O91" s="1" t="s">
        <v>21</v>
      </c>
      <c r="P91"/>
    </row>
    <row r="92" spans="1:16" x14ac:dyDescent="0.35">
      <c r="A92" s="1" t="s">
        <v>68</v>
      </c>
      <c r="B92" s="1" t="s">
        <v>16</v>
      </c>
      <c r="C92" s="2">
        <v>45502</v>
      </c>
      <c r="D92" s="1" t="s">
        <v>23</v>
      </c>
      <c r="E92" s="1" t="s">
        <v>43</v>
      </c>
      <c r="F92" s="1" t="s">
        <v>19</v>
      </c>
      <c r="G92" s="1" t="s">
        <v>19</v>
      </c>
      <c r="H92" s="1">
        <v>2</v>
      </c>
      <c r="I92" s="1">
        <v>1354</v>
      </c>
      <c r="J92" s="1">
        <v>2399</v>
      </c>
      <c r="K92" s="1">
        <v>20</v>
      </c>
      <c r="L92" s="1">
        <f>ROUNDDOWN(formatted_data[[#This Row],[Selling_Price]]*formatted_data[[#This Row],[Discount_%]]/100,0)</f>
        <v>479</v>
      </c>
      <c r="M92" s="1">
        <f>(formatted_data[[#This Row],[Selling_Price]]-formatted_data[[#This Row],[Discount_Amount]])*formatted_data[[#This Row],[Units]]</f>
        <v>3840</v>
      </c>
      <c r="N92" s="1">
        <f>formatted_data[[#This Row],[Total_Revenue]]-(formatted_data[[#This Row],[Cost_Price]]*formatted_data[[#This Row],[Units]])</f>
        <v>1132</v>
      </c>
      <c r="O92" s="1" t="s">
        <v>21</v>
      </c>
      <c r="P92"/>
    </row>
    <row r="93" spans="1:16" x14ac:dyDescent="0.35">
      <c r="A93" s="1" t="s">
        <v>66</v>
      </c>
      <c r="B93" s="1" t="s">
        <v>27</v>
      </c>
      <c r="C93" s="2">
        <v>45514</v>
      </c>
      <c r="D93" s="1" t="s">
        <v>31</v>
      </c>
      <c r="E93" s="1" t="s">
        <v>32</v>
      </c>
      <c r="F93" s="1" t="s">
        <v>37</v>
      </c>
      <c r="G93" s="1" t="s">
        <v>20</v>
      </c>
      <c r="H93" s="1">
        <v>1</v>
      </c>
      <c r="I93" s="1">
        <v>582</v>
      </c>
      <c r="J93" s="1">
        <v>999</v>
      </c>
      <c r="K93" s="1">
        <v>0</v>
      </c>
      <c r="L93" s="1">
        <f>ROUNDDOWN(formatted_data[[#This Row],[Selling_Price]]*formatted_data[[#This Row],[Discount_%]]/100,0)</f>
        <v>0</v>
      </c>
      <c r="M93" s="1">
        <f>(formatted_data[[#This Row],[Selling_Price]]-formatted_data[[#This Row],[Discount_Amount]])*formatted_data[[#This Row],[Units]]</f>
        <v>999</v>
      </c>
      <c r="N93" s="1">
        <f>formatted_data[[#This Row],[Total_Revenue]]-(formatted_data[[#This Row],[Cost_Price]]*formatted_data[[#This Row],[Units]])</f>
        <v>417</v>
      </c>
      <c r="O93" s="1" t="s">
        <v>33</v>
      </c>
      <c r="P93"/>
    </row>
    <row r="94" spans="1:16" x14ac:dyDescent="0.35">
      <c r="A94" s="1" t="s">
        <v>97</v>
      </c>
      <c r="B94" s="1" t="s">
        <v>16</v>
      </c>
      <c r="C94" s="2">
        <v>45491</v>
      </c>
      <c r="D94" s="1" t="s">
        <v>31</v>
      </c>
      <c r="E94" s="1" t="s">
        <v>76</v>
      </c>
      <c r="F94" s="1" t="s">
        <v>25</v>
      </c>
      <c r="G94" s="1" t="s">
        <v>20</v>
      </c>
      <c r="H94" s="1">
        <v>5</v>
      </c>
      <c r="I94" s="1">
        <v>642</v>
      </c>
      <c r="J94" s="1">
        <v>999</v>
      </c>
      <c r="K94" s="1">
        <v>0</v>
      </c>
      <c r="L94" s="1">
        <f>ROUNDDOWN(formatted_data[[#This Row],[Selling_Price]]*formatted_data[[#This Row],[Discount_%]]/100,0)</f>
        <v>0</v>
      </c>
      <c r="M94" s="1">
        <f>(formatted_data[[#This Row],[Selling_Price]]-formatted_data[[#This Row],[Discount_Amount]])*formatted_data[[#This Row],[Units]]</f>
        <v>4995</v>
      </c>
      <c r="N94" s="1">
        <f>formatted_data[[#This Row],[Total_Revenue]]-(formatted_data[[#This Row],[Cost_Price]]*formatted_data[[#This Row],[Units]])</f>
        <v>1785</v>
      </c>
      <c r="O94" s="1" t="s">
        <v>33</v>
      </c>
      <c r="P94"/>
    </row>
    <row r="95" spans="1:16" x14ac:dyDescent="0.35">
      <c r="A95" s="1" t="s">
        <v>54</v>
      </c>
      <c r="B95" s="1" t="s">
        <v>27</v>
      </c>
      <c r="C95" s="2">
        <v>45631</v>
      </c>
      <c r="D95" s="1" t="s">
        <v>17</v>
      </c>
      <c r="E95" s="1" t="s">
        <v>48</v>
      </c>
      <c r="F95" s="1" t="s">
        <v>19</v>
      </c>
      <c r="G95" s="1" t="s">
        <v>19</v>
      </c>
      <c r="H95" s="1">
        <v>1</v>
      </c>
      <c r="I95" s="1">
        <v>401</v>
      </c>
      <c r="J95" s="1">
        <v>599</v>
      </c>
      <c r="K95" s="1">
        <v>0</v>
      </c>
      <c r="L95" s="1">
        <f>ROUNDDOWN(formatted_data[[#This Row],[Selling_Price]]*formatted_data[[#This Row],[Discount_%]]/100,0)</f>
        <v>0</v>
      </c>
      <c r="M95" s="1">
        <f>(formatted_data[[#This Row],[Selling_Price]]-formatted_data[[#This Row],[Discount_Amount]])*formatted_data[[#This Row],[Units]]</f>
        <v>599</v>
      </c>
      <c r="N95" s="1">
        <f>formatted_data[[#This Row],[Total_Revenue]]-(formatted_data[[#This Row],[Cost_Price]]*formatted_data[[#This Row],[Units]])</f>
        <v>198</v>
      </c>
      <c r="O95" s="1" t="s">
        <v>21</v>
      </c>
      <c r="P95"/>
    </row>
    <row r="96" spans="1:16" x14ac:dyDescent="0.35">
      <c r="A96" s="1" t="s">
        <v>54</v>
      </c>
      <c r="B96" s="1" t="s">
        <v>27</v>
      </c>
      <c r="C96" s="2">
        <v>45593</v>
      </c>
      <c r="D96" s="1" t="s">
        <v>17</v>
      </c>
      <c r="E96" s="1" t="s">
        <v>48</v>
      </c>
      <c r="F96" s="1" t="s">
        <v>25</v>
      </c>
      <c r="G96" s="1" t="s">
        <v>19</v>
      </c>
      <c r="H96" s="1">
        <v>4</v>
      </c>
      <c r="I96" s="1">
        <v>321</v>
      </c>
      <c r="J96" s="1">
        <v>499</v>
      </c>
      <c r="K96" s="1">
        <v>0</v>
      </c>
      <c r="L96" s="1">
        <f>ROUNDDOWN(formatted_data[[#This Row],[Selling_Price]]*formatted_data[[#This Row],[Discount_%]]/100,0)</f>
        <v>0</v>
      </c>
      <c r="M96" s="1">
        <f>(formatted_data[[#This Row],[Selling_Price]]-formatted_data[[#This Row],[Discount_Amount]])*formatted_data[[#This Row],[Units]]</f>
        <v>1996</v>
      </c>
      <c r="N96" s="1">
        <f>formatted_data[[#This Row],[Total_Revenue]]-(formatted_data[[#This Row],[Cost_Price]]*formatted_data[[#This Row],[Units]])</f>
        <v>712</v>
      </c>
      <c r="O96" s="1" t="s">
        <v>21</v>
      </c>
      <c r="P96"/>
    </row>
    <row r="97" spans="1:16" x14ac:dyDescent="0.35">
      <c r="A97" s="1" t="s">
        <v>53</v>
      </c>
      <c r="B97" s="1" t="s">
        <v>27</v>
      </c>
      <c r="C97" s="2">
        <v>45492</v>
      </c>
      <c r="D97" s="1" t="s">
        <v>31</v>
      </c>
      <c r="E97" s="1" t="s">
        <v>32</v>
      </c>
      <c r="F97" s="1" t="s">
        <v>37</v>
      </c>
      <c r="G97" s="1" t="s">
        <v>19</v>
      </c>
      <c r="H97" s="1">
        <v>3</v>
      </c>
      <c r="I97" s="1">
        <v>458</v>
      </c>
      <c r="J97" s="1">
        <v>899</v>
      </c>
      <c r="K97" s="1">
        <v>0</v>
      </c>
      <c r="L97" s="1">
        <f>ROUNDDOWN(formatted_data[[#This Row],[Selling_Price]]*formatted_data[[#This Row],[Discount_%]]/100,0)</f>
        <v>0</v>
      </c>
      <c r="M97" s="1">
        <f>(formatted_data[[#This Row],[Selling_Price]]-formatted_data[[#This Row],[Discount_Amount]])*formatted_data[[#This Row],[Units]]</f>
        <v>2697</v>
      </c>
      <c r="N97" s="1">
        <f>formatted_data[[#This Row],[Total_Revenue]]-(formatted_data[[#This Row],[Cost_Price]]*formatted_data[[#This Row],[Units]])</f>
        <v>1323</v>
      </c>
      <c r="O97" s="1" t="s">
        <v>21</v>
      </c>
      <c r="P97"/>
    </row>
    <row r="98" spans="1:16" x14ac:dyDescent="0.35">
      <c r="A98" s="1" t="s">
        <v>51</v>
      </c>
      <c r="B98" s="1" t="s">
        <v>16</v>
      </c>
      <c r="C98" s="2">
        <v>45548</v>
      </c>
      <c r="D98" s="1" t="s">
        <v>17</v>
      </c>
      <c r="E98" s="1" t="s">
        <v>48</v>
      </c>
      <c r="F98" s="1" t="s">
        <v>37</v>
      </c>
      <c r="G98" s="1" t="s">
        <v>19</v>
      </c>
      <c r="H98" s="1">
        <v>5</v>
      </c>
      <c r="I98" s="1">
        <v>337</v>
      </c>
      <c r="J98" s="1">
        <v>599</v>
      </c>
      <c r="K98" s="1">
        <v>0</v>
      </c>
      <c r="L98" s="1">
        <f>ROUNDDOWN(formatted_data[[#This Row],[Selling_Price]]*formatted_data[[#This Row],[Discount_%]]/100,0)</f>
        <v>0</v>
      </c>
      <c r="M98" s="1">
        <f>(formatted_data[[#This Row],[Selling_Price]]-formatted_data[[#This Row],[Discount_Amount]])*formatted_data[[#This Row],[Units]]</f>
        <v>2995</v>
      </c>
      <c r="N98" s="1">
        <f>formatted_data[[#This Row],[Total_Revenue]]-(formatted_data[[#This Row],[Cost_Price]]*formatted_data[[#This Row],[Units]])</f>
        <v>1310</v>
      </c>
      <c r="O98" s="1" t="s">
        <v>21</v>
      </c>
      <c r="P98"/>
    </row>
    <row r="99" spans="1:16" x14ac:dyDescent="0.35">
      <c r="A99" s="1" t="s">
        <v>56</v>
      </c>
      <c r="B99" s="1" t="s">
        <v>27</v>
      </c>
      <c r="C99" s="2">
        <v>45491</v>
      </c>
      <c r="D99" s="1" t="s">
        <v>35</v>
      </c>
      <c r="E99" s="1" t="s">
        <v>58</v>
      </c>
      <c r="F99" s="1" t="s">
        <v>25</v>
      </c>
      <c r="G99" s="1" t="s">
        <v>19</v>
      </c>
      <c r="H99" s="1">
        <v>4</v>
      </c>
      <c r="I99" s="1">
        <v>986</v>
      </c>
      <c r="J99" s="1">
        <v>1699</v>
      </c>
      <c r="K99" s="1">
        <v>10</v>
      </c>
      <c r="L99" s="1">
        <f>ROUNDDOWN(formatted_data[[#This Row],[Selling_Price]]*formatted_data[[#This Row],[Discount_%]]/100,0)</f>
        <v>169</v>
      </c>
      <c r="M99" s="1">
        <f>(formatted_data[[#This Row],[Selling_Price]]-formatted_data[[#This Row],[Discount_Amount]])*formatted_data[[#This Row],[Units]]</f>
        <v>6120</v>
      </c>
      <c r="N99" s="1">
        <f>formatted_data[[#This Row],[Total_Revenue]]-(formatted_data[[#This Row],[Cost_Price]]*formatted_data[[#This Row],[Units]])</f>
        <v>2176</v>
      </c>
      <c r="O99" s="1" t="s">
        <v>33</v>
      </c>
      <c r="P99"/>
    </row>
    <row r="100" spans="1:16" x14ac:dyDescent="0.35">
      <c r="A100" s="1" t="s">
        <v>91</v>
      </c>
      <c r="B100" s="1" t="s">
        <v>16</v>
      </c>
      <c r="C100" s="2">
        <v>45620</v>
      </c>
      <c r="D100" s="1" t="s">
        <v>31</v>
      </c>
      <c r="E100" s="1" t="s">
        <v>76</v>
      </c>
      <c r="F100" s="1" t="s">
        <v>37</v>
      </c>
      <c r="G100" s="1" t="s">
        <v>20</v>
      </c>
      <c r="H100" s="1">
        <v>2</v>
      </c>
      <c r="I100" s="1">
        <v>534</v>
      </c>
      <c r="J100" s="1">
        <v>999</v>
      </c>
      <c r="K100" s="1">
        <v>0</v>
      </c>
      <c r="L100" s="1">
        <f>ROUNDDOWN(formatted_data[[#This Row],[Selling_Price]]*formatted_data[[#This Row],[Discount_%]]/100,0)</f>
        <v>0</v>
      </c>
      <c r="M100" s="1">
        <f>(formatted_data[[#This Row],[Selling_Price]]-formatted_data[[#This Row],[Discount_Amount]])*formatted_data[[#This Row],[Units]]</f>
        <v>1998</v>
      </c>
      <c r="N100" s="1">
        <f>formatted_data[[#This Row],[Total_Revenue]]-(formatted_data[[#This Row],[Cost_Price]]*formatted_data[[#This Row],[Units]])</f>
        <v>930</v>
      </c>
      <c r="O100" s="1" t="s">
        <v>21</v>
      </c>
      <c r="P100"/>
    </row>
    <row r="101" spans="1:16" x14ac:dyDescent="0.35">
      <c r="A101" s="1" t="s">
        <v>69</v>
      </c>
      <c r="B101" s="1" t="s">
        <v>16</v>
      </c>
      <c r="C101" s="2">
        <v>45615</v>
      </c>
      <c r="D101" s="1" t="s">
        <v>31</v>
      </c>
      <c r="E101" s="1" t="s">
        <v>76</v>
      </c>
      <c r="F101" s="1" t="s">
        <v>19</v>
      </c>
      <c r="G101" s="1" t="s">
        <v>20</v>
      </c>
      <c r="H101" s="1">
        <v>1</v>
      </c>
      <c r="I101" s="1">
        <v>513</v>
      </c>
      <c r="J101" s="1">
        <v>799</v>
      </c>
      <c r="K101" s="1">
        <v>0</v>
      </c>
      <c r="L101" s="1">
        <f>ROUNDDOWN(formatted_data[[#This Row],[Selling_Price]]*formatted_data[[#This Row],[Discount_%]]/100,0)</f>
        <v>0</v>
      </c>
      <c r="M101" s="1">
        <f>(formatted_data[[#This Row],[Selling_Price]]-formatted_data[[#This Row],[Discount_Amount]])*formatted_data[[#This Row],[Units]]</f>
        <v>799</v>
      </c>
      <c r="N101" s="1">
        <f>formatted_data[[#This Row],[Total_Revenue]]-(formatted_data[[#This Row],[Cost_Price]]*formatted_data[[#This Row],[Units]])</f>
        <v>286</v>
      </c>
      <c r="O101" s="1" t="s">
        <v>21</v>
      </c>
      <c r="P101"/>
    </row>
    <row r="102" spans="1:16" x14ac:dyDescent="0.35">
      <c r="A102" s="1" t="s">
        <v>79</v>
      </c>
      <c r="B102" s="1" t="s">
        <v>16</v>
      </c>
      <c r="C102" s="2">
        <v>45527</v>
      </c>
      <c r="D102" s="1" t="s">
        <v>35</v>
      </c>
      <c r="E102" s="1" t="s">
        <v>87</v>
      </c>
      <c r="F102" s="1" t="s">
        <v>37</v>
      </c>
      <c r="G102" s="1" t="s">
        <v>19</v>
      </c>
      <c r="H102" s="1">
        <v>1</v>
      </c>
      <c r="I102" s="1">
        <v>1465</v>
      </c>
      <c r="J102" s="1">
        <v>2199</v>
      </c>
      <c r="K102" s="1">
        <v>5</v>
      </c>
      <c r="L102" s="1">
        <f>ROUNDDOWN(formatted_data[[#This Row],[Selling_Price]]*formatted_data[[#This Row],[Discount_%]]/100,0)</f>
        <v>109</v>
      </c>
      <c r="M102" s="1">
        <f>(formatted_data[[#This Row],[Selling_Price]]-formatted_data[[#This Row],[Discount_Amount]])*formatted_data[[#This Row],[Units]]</f>
        <v>2090</v>
      </c>
      <c r="N102" s="1">
        <f>formatted_data[[#This Row],[Total_Revenue]]-(formatted_data[[#This Row],[Cost_Price]]*formatted_data[[#This Row],[Units]])</f>
        <v>625</v>
      </c>
      <c r="O102" s="1" t="s">
        <v>21</v>
      </c>
      <c r="P102"/>
    </row>
    <row r="103" spans="1:16" x14ac:dyDescent="0.35">
      <c r="A103" s="1" t="s">
        <v>86</v>
      </c>
      <c r="B103" s="1" t="s">
        <v>27</v>
      </c>
      <c r="C103" s="2">
        <v>45577</v>
      </c>
      <c r="D103" s="1" t="s">
        <v>28</v>
      </c>
      <c r="E103" s="1" t="s">
        <v>29</v>
      </c>
      <c r="F103" s="1" t="s">
        <v>19</v>
      </c>
      <c r="G103" s="1" t="s">
        <v>19</v>
      </c>
      <c r="H103" s="1">
        <v>2</v>
      </c>
      <c r="I103" s="1">
        <v>305</v>
      </c>
      <c r="J103" s="1">
        <v>499</v>
      </c>
      <c r="K103" s="1">
        <v>20</v>
      </c>
      <c r="L103" s="1">
        <f>ROUNDDOWN(formatted_data[[#This Row],[Selling_Price]]*formatted_data[[#This Row],[Discount_%]]/100,0)</f>
        <v>99</v>
      </c>
      <c r="M103" s="1">
        <f>(formatted_data[[#This Row],[Selling_Price]]-formatted_data[[#This Row],[Discount_Amount]])*formatted_data[[#This Row],[Units]]</f>
        <v>800</v>
      </c>
      <c r="N103" s="1">
        <f>formatted_data[[#This Row],[Total_Revenue]]-(formatted_data[[#This Row],[Cost_Price]]*formatted_data[[#This Row],[Units]])</f>
        <v>190</v>
      </c>
      <c r="O103" s="1" t="s">
        <v>21</v>
      </c>
      <c r="P103"/>
    </row>
    <row r="104" spans="1:16" x14ac:dyDescent="0.35">
      <c r="A104" s="1" t="s">
        <v>66</v>
      </c>
      <c r="B104" s="1" t="s">
        <v>27</v>
      </c>
      <c r="C104" s="2">
        <v>45451</v>
      </c>
      <c r="D104" s="1" t="s">
        <v>28</v>
      </c>
      <c r="E104" s="1" t="s">
        <v>29</v>
      </c>
      <c r="F104" s="1" t="s">
        <v>19</v>
      </c>
      <c r="G104" s="1" t="s">
        <v>19</v>
      </c>
      <c r="H104" s="1">
        <v>1</v>
      </c>
      <c r="I104" s="1">
        <v>306</v>
      </c>
      <c r="J104" s="1">
        <v>599</v>
      </c>
      <c r="K104" s="1">
        <v>15</v>
      </c>
      <c r="L104" s="1">
        <f>ROUNDDOWN(formatted_data[[#This Row],[Selling_Price]]*formatted_data[[#This Row],[Discount_%]]/100,0)</f>
        <v>89</v>
      </c>
      <c r="M104" s="1">
        <f>(formatted_data[[#This Row],[Selling_Price]]-formatted_data[[#This Row],[Discount_Amount]])*formatted_data[[#This Row],[Units]]</f>
        <v>510</v>
      </c>
      <c r="N104" s="1">
        <f>formatted_data[[#This Row],[Total_Revenue]]-(formatted_data[[#This Row],[Cost_Price]]*formatted_data[[#This Row],[Units]])</f>
        <v>204</v>
      </c>
      <c r="O104" s="1" t="s">
        <v>21</v>
      </c>
      <c r="P104"/>
    </row>
    <row r="105" spans="1:16" x14ac:dyDescent="0.35">
      <c r="A105" s="1" t="s">
        <v>64</v>
      </c>
      <c r="B105" s="1" t="s">
        <v>16</v>
      </c>
      <c r="C105" s="2">
        <v>45502</v>
      </c>
      <c r="D105" s="1" t="s">
        <v>17</v>
      </c>
      <c r="E105" s="1" t="s">
        <v>55</v>
      </c>
      <c r="F105" s="1" t="s">
        <v>25</v>
      </c>
      <c r="G105" s="1" t="s">
        <v>19</v>
      </c>
      <c r="H105" s="1">
        <v>1</v>
      </c>
      <c r="I105" s="1">
        <v>398</v>
      </c>
      <c r="J105" s="1">
        <v>599</v>
      </c>
      <c r="K105" s="1">
        <v>0</v>
      </c>
      <c r="L105" s="1">
        <f>ROUNDDOWN(formatted_data[[#This Row],[Selling_Price]]*formatted_data[[#This Row],[Discount_%]]/100,0)</f>
        <v>0</v>
      </c>
      <c r="M105" s="1">
        <f>(formatted_data[[#This Row],[Selling_Price]]-formatted_data[[#This Row],[Discount_Amount]])*formatted_data[[#This Row],[Units]]</f>
        <v>599</v>
      </c>
      <c r="N105" s="1">
        <f>formatted_data[[#This Row],[Total_Revenue]]-(formatted_data[[#This Row],[Cost_Price]]*formatted_data[[#This Row],[Units]])</f>
        <v>201</v>
      </c>
      <c r="O105" s="1" t="s">
        <v>21</v>
      </c>
      <c r="P105"/>
    </row>
    <row r="106" spans="1:16" x14ac:dyDescent="0.35">
      <c r="A106" s="1" t="s">
        <v>79</v>
      </c>
      <c r="B106" s="1" t="s">
        <v>16</v>
      </c>
      <c r="C106" s="2">
        <v>45630</v>
      </c>
      <c r="D106" s="1" t="s">
        <v>35</v>
      </c>
      <c r="E106" s="1" t="s">
        <v>58</v>
      </c>
      <c r="F106" s="1" t="s">
        <v>25</v>
      </c>
      <c r="G106" s="1" t="s">
        <v>19</v>
      </c>
      <c r="H106" s="1">
        <v>1</v>
      </c>
      <c r="I106" s="1">
        <v>1381</v>
      </c>
      <c r="J106" s="1">
        <v>2499</v>
      </c>
      <c r="K106" s="1">
        <v>20</v>
      </c>
      <c r="L106" s="1">
        <f>ROUNDDOWN(formatted_data[[#This Row],[Selling_Price]]*formatted_data[[#This Row],[Discount_%]]/100,0)</f>
        <v>499</v>
      </c>
      <c r="M106" s="1">
        <f>(formatted_data[[#This Row],[Selling_Price]]-formatted_data[[#This Row],[Discount_Amount]])*formatted_data[[#This Row],[Units]]</f>
        <v>2000</v>
      </c>
      <c r="N106" s="1">
        <f>formatted_data[[#This Row],[Total_Revenue]]-(formatted_data[[#This Row],[Cost_Price]]*formatted_data[[#This Row],[Units]])</f>
        <v>619</v>
      </c>
      <c r="O106" s="1" t="s">
        <v>33</v>
      </c>
      <c r="P106"/>
    </row>
    <row r="107" spans="1:16" x14ac:dyDescent="0.35">
      <c r="A107" s="1" t="s">
        <v>44</v>
      </c>
      <c r="B107" s="1" t="s">
        <v>16</v>
      </c>
      <c r="C107" s="2">
        <v>45635</v>
      </c>
      <c r="D107" s="1" t="s">
        <v>31</v>
      </c>
      <c r="E107" s="1" t="s">
        <v>32</v>
      </c>
      <c r="F107" s="1" t="s">
        <v>19</v>
      </c>
      <c r="G107" s="1" t="s">
        <v>20</v>
      </c>
      <c r="H107" s="1">
        <v>1</v>
      </c>
      <c r="I107" s="1">
        <v>605</v>
      </c>
      <c r="J107" s="1">
        <v>999</v>
      </c>
      <c r="K107" s="1">
        <v>0</v>
      </c>
      <c r="L107" s="1">
        <f>ROUNDDOWN(formatted_data[[#This Row],[Selling_Price]]*formatted_data[[#This Row],[Discount_%]]/100,0)</f>
        <v>0</v>
      </c>
      <c r="M107" s="1">
        <f>(formatted_data[[#This Row],[Selling_Price]]-formatted_data[[#This Row],[Discount_Amount]])*formatted_data[[#This Row],[Units]]</f>
        <v>999</v>
      </c>
      <c r="N107" s="1">
        <f>formatted_data[[#This Row],[Total_Revenue]]-(formatted_data[[#This Row],[Cost_Price]]*formatted_data[[#This Row],[Units]])</f>
        <v>394</v>
      </c>
      <c r="O107" s="1" t="s">
        <v>21</v>
      </c>
      <c r="P107"/>
    </row>
    <row r="108" spans="1:16" x14ac:dyDescent="0.35">
      <c r="A108" s="1" t="s">
        <v>30</v>
      </c>
      <c r="B108" s="1" t="s">
        <v>16</v>
      </c>
      <c r="C108" s="2">
        <v>45614</v>
      </c>
      <c r="D108" s="1" t="s">
        <v>17</v>
      </c>
      <c r="E108" s="1" t="s">
        <v>48</v>
      </c>
      <c r="F108" s="1" t="s">
        <v>37</v>
      </c>
      <c r="G108" s="1" t="s">
        <v>19</v>
      </c>
      <c r="H108" s="1">
        <v>2</v>
      </c>
      <c r="I108" s="1">
        <v>207</v>
      </c>
      <c r="J108" s="1">
        <v>299</v>
      </c>
      <c r="K108" s="1">
        <v>0</v>
      </c>
      <c r="L108" s="1">
        <f>ROUNDDOWN(formatted_data[[#This Row],[Selling_Price]]*formatted_data[[#This Row],[Discount_%]]/100,0)</f>
        <v>0</v>
      </c>
      <c r="M108" s="1">
        <f>(formatted_data[[#This Row],[Selling_Price]]-formatted_data[[#This Row],[Discount_Amount]])*formatted_data[[#This Row],[Units]]</f>
        <v>598</v>
      </c>
      <c r="N108" s="1">
        <f>formatted_data[[#This Row],[Total_Revenue]]-(formatted_data[[#This Row],[Cost_Price]]*formatted_data[[#This Row],[Units]])</f>
        <v>184</v>
      </c>
      <c r="O108" s="1" t="s">
        <v>21</v>
      </c>
      <c r="P108"/>
    </row>
    <row r="109" spans="1:16" x14ac:dyDescent="0.35">
      <c r="A109" s="1" t="s">
        <v>54</v>
      </c>
      <c r="B109" s="1" t="s">
        <v>27</v>
      </c>
      <c r="C109" s="2">
        <v>45458</v>
      </c>
      <c r="D109" s="1" t="s">
        <v>23</v>
      </c>
      <c r="E109" s="1" t="s">
        <v>43</v>
      </c>
      <c r="F109" s="1" t="s">
        <v>25</v>
      </c>
      <c r="G109" s="1" t="s">
        <v>20</v>
      </c>
      <c r="H109" s="1">
        <v>1</v>
      </c>
      <c r="I109" s="1">
        <v>1255</v>
      </c>
      <c r="J109" s="1">
        <v>2299</v>
      </c>
      <c r="K109" s="1">
        <v>15</v>
      </c>
      <c r="L109" s="1">
        <f>ROUNDDOWN(formatted_data[[#This Row],[Selling_Price]]*formatted_data[[#This Row],[Discount_%]]/100,0)</f>
        <v>344</v>
      </c>
      <c r="M109" s="1">
        <f>(formatted_data[[#This Row],[Selling_Price]]-formatted_data[[#This Row],[Discount_Amount]])*formatted_data[[#This Row],[Units]]</f>
        <v>1955</v>
      </c>
      <c r="N109" s="1">
        <f>formatted_data[[#This Row],[Total_Revenue]]-(formatted_data[[#This Row],[Cost_Price]]*formatted_data[[#This Row],[Units]])</f>
        <v>700</v>
      </c>
      <c r="O109" s="1" t="s">
        <v>33</v>
      </c>
      <c r="P109"/>
    </row>
    <row r="110" spans="1:16" x14ac:dyDescent="0.35">
      <c r="A110" s="1" t="s">
        <v>98</v>
      </c>
      <c r="B110" s="1" t="s">
        <v>16</v>
      </c>
      <c r="C110" s="2">
        <v>45604</v>
      </c>
      <c r="D110" s="1" t="s">
        <v>23</v>
      </c>
      <c r="E110" s="1" t="s">
        <v>24</v>
      </c>
      <c r="F110" s="1" t="s">
        <v>19</v>
      </c>
      <c r="G110" s="1" t="s">
        <v>19</v>
      </c>
      <c r="H110" s="1">
        <v>1</v>
      </c>
      <c r="I110" s="1">
        <v>879</v>
      </c>
      <c r="J110" s="1">
        <v>1399</v>
      </c>
      <c r="K110" s="1">
        <v>10</v>
      </c>
      <c r="L110" s="1">
        <f>ROUNDDOWN(formatted_data[[#This Row],[Selling_Price]]*formatted_data[[#This Row],[Discount_%]]/100,0)</f>
        <v>139</v>
      </c>
      <c r="M110" s="1">
        <f>(formatted_data[[#This Row],[Selling_Price]]-formatted_data[[#This Row],[Discount_Amount]])*formatted_data[[#This Row],[Units]]</f>
        <v>1260</v>
      </c>
      <c r="N110" s="1">
        <f>formatted_data[[#This Row],[Total_Revenue]]-(formatted_data[[#This Row],[Cost_Price]]*formatted_data[[#This Row],[Units]])</f>
        <v>381</v>
      </c>
      <c r="O110" s="1" t="s">
        <v>33</v>
      </c>
      <c r="P110"/>
    </row>
    <row r="111" spans="1:16" x14ac:dyDescent="0.35">
      <c r="A111" s="1" t="s">
        <v>57</v>
      </c>
      <c r="B111" s="1" t="s">
        <v>27</v>
      </c>
      <c r="C111" s="2">
        <v>45507</v>
      </c>
      <c r="D111" s="1" t="s">
        <v>28</v>
      </c>
      <c r="E111" s="1" t="s">
        <v>29</v>
      </c>
      <c r="F111" s="1" t="s">
        <v>19</v>
      </c>
      <c r="G111" s="1" t="s">
        <v>19</v>
      </c>
      <c r="H111" s="1">
        <v>1</v>
      </c>
      <c r="I111" s="1">
        <v>296</v>
      </c>
      <c r="J111" s="1">
        <v>499</v>
      </c>
      <c r="K111" s="1">
        <v>15</v>
      </c>
      <c r="L111" s="1">
        <f>ROUNDDOWN(formatted_data[[#This Row],[Selling_Price]]*formatted_data[[#This Row],[Discount_%]]/100,0)</f>
        <v>74</v>
      </c>
      <c r="M111" s="1">
        <f>(formatted_data[[#This Row],[Selling_Price]]-formatted_data[[#This Row],[Discount_Amount]])*formatted_data[[#This Row],[Units]]</f>
        <v>425</v>
      </c>
      <c r="N111" s="1">
        <f>formatted_data[[#This Row],[Total_Revenue]]-(formatted_data[[#This Row],[Cost_Price]]*formatted_data[[#This Row],[Units]])</f>
        <v>129</v>
      </c>
      <c r="O111" s="1" t="s">
        <v>21</v>
      </c>
      <c r="P111"/>
    </row>
    <row r="112" spans="1:16" x14ac:dyDescent="0.35">
      <c r="A112" s="1" t="s">
        <v>88</v>
      </c>
      <c r="B112" s="1" t="s">
        <v>27</v>
      </c>
      <c r="C112" s="2">
        <v>45547</v>
      </c>
      <c r="D112" s="1" t="s">
        <v>17</v>
      </c>
      <c r="E112" s="1" t="s">
        <v>55</v>
      </c>
      <c r="F112" s="1" t="s">
        <v>19</v>
      </c>
      <c r="G112" s="1" t="s">
        <v>20</v>
      </c>
      <c r="H112" s="1">
        <v>4</v>
      </c>
      <c r="I112" s="1">
        <v>522</v>
      </c>
      <c r="J112" s="1">
        <v>799</v>
      </c>
      <c r="K112" s="1">
        <v>0</v>
      </c>
      <c r="L112" s="1">
        <f>ROUNDDOWN(formatted_data[[#This Row],[Selling_Price]]*formatted_data[[#This Row],[Discount_%]]/100,0)</f>
        <v>0</v>
      </c>
      <c r="M112" s="1">
        <f>(formatted_data[[#This Row],[Selling_Price]]-formatted_data[[#This Row],[Discount_Amount]])*formatted_data[[#This Row],[Units]]</f>
        <v>3196</v>
      </c>
      <c r="N112" s="1">
        <f>formatted_data[[#This Row],[Total_Revenue]]-(formatted_data[[#This Row],[Cost_Price]]*formatted_data[[#This Row],[Units]])</f>
        <v>1108</v>
      </c>
      <c r="O112" s="1" t="s">
        <v>21</v>
      </c>
      <c r="P112"/>
    </row>
    <row r="113" spans="1:16" x14ac:dyDescent="0.35">
      <c r="A113" s="1" t="s">
        <v>59</v>
      </c>
      <c r="B113" s="1" t="s">
        <v>27</v>
      </c>
      <c r="C113" s="2">
        <v>45500</v>
      </c>
      <c r="D113" s="1" t="s">
        <v>35</v>
      </c>
      <c r="E113" s="1" t="s">
        <v>39</v>
      </c>
      <c r="F113" s="1" t="s">
        <v>19</v>
      </c>
      <c r="G113" s="1" t="s">
        <v>19</v>
      </c>
      <c r="H113" s="1">
        <v>3</v>
      </c>
      <c r="I113" s="1">
        <v>498</v>
      </c>
      <c r="J113" s="1">
        <v>799</v>
      </c>
      <c r="K113" s="1">
        <v>10</v>
      </c>
      <c r="L113" s="1">
        <f>ROUNDDOWN(formatted_data[[#This Row],[Selling_Price]]*formatted_data[[#This Row],[Discount_%]]/100,0)</f>
        <v>79</v>
      </c>
      <c r="M113" s="1">
        <f>(formatted_data[[#This Row],[Selling_Price]]-formatted_data[[#This Row],[Discount_Amount]])*formatted_data[[#This Row],[Units]]</f>
        <v>2160</v>
      </c>
      <c r="N113" s="1">
        <f>formatted_data[[#This Row],[Total_Revenue]]-(formatted_data[[#This Row],[Cost_Price]]*formatted_data[[#This Row],[Units]])</f>
        <v>666</v>
      </c>
      <c r="O113" s="1" t="s">
        <v>21</v>
      </c>
      <c r="P113"/>
    </row>
    <row r="114" spans="1:16" x14ac:dyDescent="0.35">
      <c r="A114" s="1" t="s">
        <v>49</v>
      </c>
      <c r="B114" s="1" t="s">
        <v>27</v>
      </c>
      <c r="C114" s="2">
        <v>45592</v>
      </c>
      <c r="D114" s="1" t="s">
        <v>31</v>
      </c>
      <c r="E114" s="1" t="s">
        <v>32</v>
      </c>
      <c r="F114" s="1" t="s">
        <v>37</v>
      </c>
      <c r="G114" s="1" t="s">
        <v>20</v>
      </c>
      <c r="H114" s="1">
        <v>1</v>
      </c>
      <c r="I114" s="1">
        <v>1042</v>
      </c>
      <c r="J114" s="1">
        <v>1499</v>
      </c>
      <c r="K114" s="1">
        <v>0</v>
      </c>
      <c r="L114" s="1">
        <f>ROUNDDOWN(formatted_data[[#This Row],[Selling_Price]]*formatted_data[[#This Row],[Discount_%]]/100,0)</f>
        <v>0</v>
      </c>
      <c r="M114" s="1">
        <f>(formatted_data[[#This Row],[Selling_Price]]-formatted_data[[#This Row],[Discount_Amount]])*formatted_data[[#This Row],[Units]]</f>
        <v>1499</v>
      </c>
      <c r="N114" s="1">
        <f>formatted_data[[#This Row],[Total_Revenue]]-(formatted_data[[#This Row],[Cost_Price]]*formatted_data[[#This Row],[Units]])</f>
        <v>457</v>
      </c>
      <c r="O114" s="1" t="s">
        <v>33</v>
      </c>
      <c r="P114"/>
    </row>
    <row r="115" spans="1:16" x14ac:dyDescent="0.35">
      <c r="A115" s="1" t="s">
        <v>83</v>
      </c>
      <c r="B115" s="1" t="s">
        <v>27</v>
      </c>
      <c r="C115" s="2">
        <v>45446</v>
      </c>
      <c r="D115" s="1" t="s">
        <v>35</v>
      </c>
      <c r="E115" s="1" t="s">
        <v>50</v>
      </c>
      <c r="F115" s="1" t="s">
        <v>19</v>
      </c>
      <c r="G115" s="1" t="s">
        <v>19</v>
      </c>
      <c r="H115" s="1">
        <v>4</v>
      </c>
      <c r="I115" s="1">
        <v>911</v>
      </c>
      <c r="J115" s="1">
        <v>1299</v>
      </c>
      <c r="K115" s="1">
        <v>20</v>
      </c>
      <c r="L115" s="1">
        <f>ROUNDDOWN(formatted_data[[#This Row],[Selling_Price]]*formatted_data[[#This Row],[Discount_%]]/100,0)</f>
        <v>259</v>
      </c>
      <c r="M115" s="1">
        <f>(formatted_data[[#This Row],[Selling_Price]]-formatted_data[[#This Row],[Discount_Amount]])*formatted_data[[#This Row],[Units]]</f>
        <v>4160</v>
      </c>
      <c r="N115" s="1">
        <f>formatted_data[[#This Row],[Total_Revenue]]-(formatted_data[[#This Row],[Cost_Price]]*formatted_data[[#This Row],[Units]])</f>
        <v>516</v>
      </c>
      <c r="O115" s="1" t="s">
        <v>33</v>
      </c>
      <c r="P115"/>
    </row>
    <row r="116" spans="1:16" x14ac:dyDescent="0.35">
      <c r="A116" s="1" t="s">
        <v>65</v>
      </c>
      <c r="B116" s="1" t="s">
        <v>16</v>
      </c>
      <c r="C116" s="2">
        <v>45508</v>
      </c>
      <c r="D116" s="1" t="s">
        <v>31</v>
      </c>
      <c r="E116" s="1" t="s">
        <v>76</v>
      </c>
      <c r="F116" s="1" t="s">
        <v>37</v>
      </c>
      <c r="G116" s="1" t="s">
        <v>19</v>
      </c>
      <c r="H116" s="1">
        <v>4</v>
      </c>
      <c r="I116" s="1">
        <v>702</v>
      </c>
      <c r="J116" s="1">
        <v>1199</v>
      </c>
      <c r="K116" s="1">
        <v>0</v>
      </c>
      <c r="L116" s="1">
        <f>ROUNDDOWN(formatted_data[[#This Row],[Selling_Price]]*formatted_data[[#This Row],[Discount_%]]/100,0)</f>
        <v>0</v>
      </c>
      <c r="M116" s="1">
        <f>(formatted_data[[#This Row],[Selling_Price]]-formatted_data[[#This Row],[Discount_Amount]])*formatted_data[[#This Row],[Units]]</f>
        <v>4796</v>
      </c>
      <c r="N116" s="1">
        <f>formatted_data[[#This Row],[Total_Revenue]]-(formatted_data[[#This Row],[Cost_Price]]*formatted_data[[#This Row],[Units]])</f>
        <v>1988</v>
      </c>
      <c r="O116" s="1" t="s">
        <v>21</v>
      </c>
      <c r="P116"/>
    </row>
    <row r="117" spans="1:16" x14ac:dyDescent="0.35">
      <c r="A117" s="1" t="s">
        <v>99</v>
      </c>
      <c r="B117" s="1" t="s">
        <v>27</v>
      </c>
      <c r="C117" s="2">
        <v>45525</v>
      </c>
      <c r="D117" s="1" t="s">
        <v>28</v>
      </c>
      <c r="E117" s="1" t="s">
        <v>29</v>
      </c>
      <c r="F117" s="1" t="s">
        <v>37</v>
      </c>
      <c r="G117" s="1" t="s">
        <v>20</v>
      </c>
      <c r="H117" s="1">
        <v>1</v>
      </c>
      <c r="I117" s="1">
        <v>485</v>
      </c>
      <c r="J117" s="1">
        <v>699</v>
      </c>
      <c r="K117" s="1">
        <v>20</v>
      </c>
      <c r="L117" s="1">
        <f>ROUNDDOWN(formatted_data[[#This Row],[Selling_Price]]*formatted_data[[#This Row],[Discount_%]]/100,0)</f>
        <v>139</v>
      </c>
      <c r="M117" s="1">
        <f>(formatted_data[[#This Row],[Selling_Price]]-formatted_data[[#This Row],[Discount_Amount]])*formatted_data[[#This Row],[Units]]</f>
        <v>560</v>
      </c>
      <c r="N117" s="1">
        <f>formatted_data[[#This Row],[Total_Revenue]]-(formatted_data[[#This Row],[Cost_Price]]*formatted_data[[#This Row],[Units]])</f>
        <v>75</v>
      </c>
      <c r="O117" s="1" t="s">
        <v>21</v>
      </c>
      <c r="P117"/>
    </row>
    <row r="118" spans="1:16" x14ac:dyDescent="0.35">
      <c r="A118" s="1" t="s">
        <v>34</v>
      </c>
      <c r="B118" s="1" t="s">
        <v>27</v>
      </c>
      <c r="C118" s="2">
        <v>45521</v>
      </c>
      <c r="D118" s="1" t="s">
        <v>17</v>
      </c>
      <c r="E118" s="1" t="s">
        <v>48</v>
      </c>
      <c r="F118" s="1" t="s">
        <v>19</v>
      </c>
      <c r="G118" s="1" t="s">
        <v>19</v>
      </c>
      <c r="H118" s="1">
        <v>4</v>
      </c>
      <c r="I118" s="1">
        <v>334</v>
      </c>
      <c r="J118" s="1">
        <v>599</v>
      </c>
      <c r="K118" s="1">
        <v>0</v>
      </c>
      <c r="L118" s="1">
        <f>ROUNDDOWN(formatted_data[[#This Row],[Selling_Price]]*formatted_data[[#This Row],[Discount_%]]/100,0)</f>
        <v>0</v>
      </c>
      <c r="M118" s="1">
        <f>(formatted_data[[#This Row],[Selling_Price]]-formatted_data[[#This Row],[Discount_Amount]])*formatted_data[[#This Row],[Units]]</f>
        <v>2396</v>
      </c>
      <c r="N118" s="1">
        <f>formatted_data[[#This Row],[Total_Revenue]]-(formatted_data[[#This Row],[Cost_Price]]*formatted_data[[#This Row],[Units]])</f>
        <v>1060</v>
      </c>
      <c r="O118" s="1" t="s">
        <v>21</v>
      </c>
      <c r="P118"/>
    </row>
    <row r="119" spans="1:16" x14ac:dyDescent="0.35">
      <c r="A119" s="1" t="s">
        <v>91</v>
      </c>
      <c r="B119" s="1" t="s">
        <v>16</v>
      </c>
      <c r="C119" s="2">
        <v>45654</v>
      </c>
      <c r="D119" s="1" t="s">
        <v>28</v>
      </c>
      <c r="E119" s="1" t="s">
        <v>29</v>
      </c>
      <c r="F119" s="1" t="s">
        <v>19</v>
      </c>
      <c r="G119" s="1" t="s">
        <v>20</v>
      </c>
      <c r="H119" s="1">
        <v>5</v>
      </c>
      <c r="I119" s="1">
        <v>325</v>
      </c>
      <c r="J119" s="1">
        <v>599</v>
      </c>
      <c r="K119" s="1">
        <v>15</v>
      </c>
      <c r="L119" s="1">
        <f>ROUNDDOWN(formatted_data[[#This Row],[Selling_Price]]*formatted_data[[#This Row],[Discount_%]]/100,0)</f>
        <v>89</v>
      </c>
      <c r="M119" s="1">
        <f>(formatted_data[[#This Row],[Selling_Price]]-formatted_data[[#This Row],[Discount_Amount]])*formatted_data[[#This Row],[Units]]</f>
        <v>2550</v>
      </c>
      <c r="N119" s="1">
        <f>formatted_data[[#This Row],[Total_Revenue]]-(formatted_data[[#This Row],[Cost_Price]]*formatted_data[[#This Row],[Units]])</f>
        <v>925</v>
      </c>
      <c r="O119" s="1" t="s">
        <v>33</v>
      </c>
      <c r="P119"/>
    </row>
    <row r="120" spans="1:16" x14ac:dyDescent="0.35">
      <c r="A120" s="1" t="s">
        <v>85</v>
      </c>
      <c r="B120" s="1" t="s">
        <v>27</v>
      </c>
      <c r="C120" s="2">
        <v>45498</v>
      </c>
      <c r="D120" s="1" t="s">
        <v>28</v>
      </c>
      <c r="E120" s="1" t="s">
        <v>29</v>
      </c>
      <c r="F120" s="1" t="s">
        <v>37</v>
      </c>
      <c r="G120" s="1" t="s">
        <v>19</v>
      </c>
      <c r="H120" s="1">
        <v>2</v>
      </c>
      <c r="I120" s="1">
        <v>431</v>
      </c>
      <c r="J120" s="1">
        <v>599</v>
      </c>
      <c r="K120" s="1">
        <v>5</v>
      </c>
      <c r="L120" s="1">
        <f>ROUNDDOWN(formatted_data[[#This Row],[Selling_Price]]*formatted_data[[#This Row],[Discount_%]]/100,0)</f>
        <v>29</v>
      </c>
      <c r="M120" s="1">
        <f>(formatted_data[[#This Row],[Selling_Price]]-formatted_data[[#This Row],[Discount_Amount]])*formatted_data[[#This Row],[Units]]</f>
        <v>1140</v>
      </c>
      <c r="N120" s="1">
        <f>formatted_data[[#This Row],[Total_Revenue]]-(formatted_data[[#This Row],[Cost_Price]]*formatted_data[[#This Row],[Units]])</f>
        <v>278</v>
      </c>
      <c r="O120" s="1" t="s">
        <v>21</v>
      </c>
      <c r="P120"/>
    </row>
    <row r="121" spans="1:16" x14ac:dyDescent="0.35">
      <c r="A121" s="1" t="s">
        <v>52</v>
      </c>
      <c r="B121" s="1" t="s">
        <v>27</v>
      </c>
      <c r="C121" s="2">
        <v>45587</v>
      </c>
      <c r="D121" s="1" t="s">
        <v>35</v>
      </c>
      <c r="E121" s="1" t="s">
        <v>100</v>
      </c>
      <c r="F121" s="1" t="s">
        <v>37</v>
      </c>
      <c r="G121" s="1" t="s">
        <v>19</v>
      </c>
      <c r="H121" s="1">
        <v>2</v>
      </c>
      <c r="I121" s="1">
        <v>1532</v>
      </c>
      <c r="J121" s="1">
        <v>2299</v>
      </c>
      <c r="K121" s="1">
        <v>10</v>
      </c>
      <c r="L121" s="1">
        <f>ROUNDDOWN(formatted_data[[#This Row],[Selling_Price]]*formatted_data[[#This Row],[Discount_%]]/100,0)</f>
        <v>229</v>
      </c>
      <c r="M121" s="1">
        <f>(formatted_data[[#This Row],[Selling_Price]]-formatted_data[[#This Row],[Discount_Amount]])*formatted_data[[#This Row],[Units]]</f>
        <v>4140</v>
      </c>
      <c r="N121" s="1">
        <f>formatted_data[[#This Row],[Total_Revenue]]-(formatted_data[[#This Row],[Cost_Price]]*formatted_data[[#This Row],[Units]])</f>
        <v>1076</v>
      </c>
      <c r="O121" s="1" t="s">
        <v>21</v>
      </c>
      <c r="P121"/>
    </row>
    <row r="122" spans="1:16" x14ac:dyDescent="0.35">
      <c r="A122" s="1" t="s">
        <v>101</v>
      </c>
      <c r="B122" s="1" t="s">
        <v>16</v>
      </c>
      <c r="C122" s="2">
        <v>45630</v>
      </c>
      <c r="D122" s="1" t="s">
        <v>23</v>
      </c>
      <c r="E122" s="1" t="s">
        <v>43</v>
      </c>
      <c r="F122" s="1" t="s">
        <v>25</v>
      </c>
      <c r="G122" s="1" t="s">
        <v>20</v>
      </c>
      <c r="H122" s="1">
        <v>2</v>
      </c>
      <c r="I122" s="1">
        <v>1919</v>
      </c>
      <c r="J122" s="1">
        <v>3799</v>
      </c>
      <c r="K122" s="1">
        <v>20</v>
      </c>
      <c r="L122" s="1">
        <f>ROUNDDOWN(formatted_data[[#This Row],[Selling_Price]]*formatted_data[[#This Row],[Discount_%]]/100,0)</f>
        <v>759</v>
      </c>
      <c r="M122" s="1">
        <f>(formatted_data[[#This Row],[Selling_Price]]-formatted_data[[#This Row],[Discount_Amount]])*formatted_data[[#This Row],[Units]]</f>
        <v>6080</v>
      </c>
      <c r="N122" s="1">
        <f>formatted_data[[#This Row],[Total_Revenue]]-(formatted_data[[#This Row],[Cost_Price]]*formatted_data[[#This Row],[Units]])</f>
        <v>2242</v>
      </c>
      <c r="O122" s="1" t="s">
        <v>33</v>
      </c>
      <c r="P122"/>
    </row>
    <row r="123" spans="1:16" x14ac:dyDescent="0.35">
      <c r="A123" s="1" t="s">
        <v>75</v>
      </c>
      <c r="B123" s="1" t="s">
        <v>27</v>
      </c>
      <c r="C123" s="2">
        <v>45613</v>
      </c>
      <c r="D123" s="1" t="s">
        <v>17</v>
      </c>
      <c r="E123" s="1" t="s">
        <v>72</v>
      </c>
      <c r="F123" s="1" t="s">
        <v>37</v>
      </c>
      <c r="G123" s="1" t="s">
        <v>20</v>
      </c>
      <c r="H123" s="1">
        <v>2</v>
      </c>
      <c r="I123" s="1">
        <v>291</v>
      </c>
      <c r="J123" s="1">
        <v>399</v>
      </c>
      <c r="K123" s="1">
        <v>0</v>
      </c>
      <c r="L123" s="1">
        <f>ROUNDDOWN(formatted_data[[#This Row],[Selling_Price]]*formatted_data[[#This Row],[Discount_%]]/100,0)</f>
        <v>0</v>
      </c>
      <c r="M123" s="1">
        <f>(formatted_data[[#This Row],[Selling_Price]]-formatted_data[[#This Row],[Discount_Amount]])*formatted_data[[#This Row],[Units]]</f>
        <v>798</v>
      </c>
      <c r="N123" s="1">
        <f>formatted_data[[#This Row],[Total_Revenue]]-(formatted_data[[#This Row],[Cost_Price]]*formatted_data[[#This Row],[Units]])</f>
        <v>216</v>
      </c>
      <c r="O123" s="1" t="s">
        <v>33</v>
      </c>
      <c r="P123"/>
    </row>
    <row r="124" spans="1:16" x14ac:dyDescent="0.35">
      <c r="A124" s="1" t="s">
        <v>66</v>
      </c>
      <c r="B124" s="1" t="s">
        <v>27</v>
      </c>
      <c r="C124" s="2">
        <v>45612</v>
      </c>
      <c r="D124" s="1" t="s">
        <v>31</v>
      </c>
      <c r="E124" s="1" t="s">
        <v>76</v>
      </c>
      <c r="F124" s="1" t="s">
        <v>25</v>
      </c>
      <c r="G124" s="1" t="s">
        <v>19</v>
      </c>
      <c r="H124" s="1">
        <v>2</v>
      </c>
      <c r="I124" s="1">
        <v>503</v>
      </c>
      <c r="J124" s="1">
        <v>799</v>
      </c>
      <c r="K124" s="1">
        <v>0</v>
      </c>
      <c r="L124" s="1">
        <f>ROUNDDOWN(formatted_data[[#This Row],[Selling_Price]]*formatted_data[[#This Row],[Discount_%]]/100,0)</f>
        <v>0</v>
      </c>
      <c r="M124" s="1">
        <f>(formatted_data[[#This Row],[Selling_Price]]-formatted_data[[#This Row],[Discount_Amount]])*formatted_data[[#This Row],[Units]]</f>
        <v>1598</v>
      </c>
      <c r="N124" s="1">
        <f>formatted_data[[#This Row],[Total_Revenue]]-(formatted_data[[#This Row],[Cost_Price]]*formatted_data[[#This Row],[Units]])</f>
        <v>592</v>
      </c>
      <c r="O124" s="1" t="s">
        <v>33</v>
      </c>
      <c r="P124"/>
    </row>
    <row r="125" spans="1:16" x14ac:dyDescent="0.35">
      <c r="A125" s="1" t="s">
        <v>90</v>
      </c>
      <c r="B125" s="1" t="s">
        <v>27</v>
      </c>
      <c r="C125" s="2">
        <v>45655</v>
      </c>
      <c r="D125" s="1" t="s">
        <v>17</v>
      </c>
      <c r="E125" s="1" t="s">
        <v>55</v>
      </c>
      <c r="F125" s="1" t="s">
        <v>37</v>
      </c>
      <c r="G125" s="1" t="s">
        <v>20</v>
      </c>
      <c r="H125" s="1">
        <v>2</v>
      </c>
      <c r="I125" s="1">
        <v>162</v>
      </c>
      <c r="J125" s="1">
        <v>299</v>
      </c>
      <c r="K125" s="1">
        <v>0</v>
      </c>
      <c r="L125" s="1">
        <f>ROUNDDOWN(formatted_data[[#This Row],[Selling_Price]]*formatted_data[[#This Row],[Discount_%]]/100,0)</f>
        <v>0</v>
      </c>
      <c r="M125" s="1">
        <f>(formatted_data[[#This Row],[Selling_Price]]-formatted_data[[#This Row],[Discount_Amount]])*formatted_data[[#This Row],[Units]]</f>
        <v>598</v>
      </c>
      <c r="N125" s="1">
        <f>formatted_data[[#This Row],[Total_Revenue]]-(formatted_data[[#This Row],[Cost_Price]]*formatted_data[[#This Row],[Units]])</f>
        <v>274</v>
      </c>
      <c r="O125" s="1" t="s">
        <v>21</v>
      </c>
      <c r="P125"/>
    </row>
    <row r="126" spans="1:16" x14ac:dyDescent="0.35">
      <c r="A126" s="1" t="s">
        <v>102</v>
      </c>
      <c r="B126" s="1" t="s">
        <v>27</v>
      </c>
      <c r="C126" s="2">
        <v>45461</v>
      </c>
      <c r="D126" s="1" t="s">
        <v>23</v>
      </c>
      <c r="E126" s="1" t="s">
        <v>24</v>
      </c>
      <c r="F126" s="1" t="s">
        <v>37</v>
      </c>
      <c r="G126" s="1" t="s">
        <v>20</v>
      </c>
      <c r="H126" s="1">
        <v>1</v>
      </c>
      <c r="I126" s="1">
        <v>1211</v>
      </c>
      <c r="J126" s="1">
        <v>1899</v>
      </c>
      <c r="K126" s="1">
        <v>20</v>
      </c>
      <c r="L126" s="1">
        <f>ROUNDDOWN(formatted_data[[#This Row],[Selling_Price]]*formatted_data[[#This Row],[Discount_%]]/100,0)</f>
        <v>379</v>
      </c>
      <c r="M126" s="1">
        <f>(formatted_data[[#This Row],[Selling_Price]]-formatted_data[[#This Row],[Discount_Amount]])*formatted_data[[#This Row],[Units]]</f>
        <v>1520</v>
      </c>
      <c r="N126" s="1">
        <f>formatted_data[[#This Row],[Total_Revenue]]-(formatted_data[[#This Row],[Cost_Price]]*formatted_data[[#This Row],[Units]])</f>
        <v>309</v>
      </c>
      <c r="O126" s="1" t="s">
        <v>21</v>
      </c>
      <c r="P126"/>
    </row>
    <row r="127" spans="1:16" x14ac:dyDescent="0.35">
      <c r="A127" s="1" t="s">
        <v>92</v>
      </c>
      <c r="B127" s="1" t="s">
        <v>27</v>
      </c>
      <c r="C127" s="2">
        <v>45488</v>
      </c>
      <c r="D127" s="1" t="s">
        <v>28</v>
      </c>
      <c r="E127" s="1" t="s">
        <v>45</v>
      </c>
      <c r="F127" s="1" t="s">
        <v>25</v>
      </c>
      <c r="G127" s="1" t="s">
        <v>19</v>
      </c>
      <c r="H127" s="1">
        <v>1</v>
      </c>
      <c r="I127" s="1">
        <v>1180</v>
      </c>
      <c r="J127" s="1">
        <v>1899</v>
      </c>
      <c r="K127" s="1">
        <v>20</v>
      </c>
      <c r="L127" s="1">
        <f>ROUNDDOWN(formatted_data[[#This Row],[Selling_Price]]*formatted_data[[#This Row],[Discount_%]]/100,0)</f>
        <v>379</v>
      </c>
      <c r="M127" s="1">
        <f>(formatted_data[[#This Row],[Selling_Price]]-formatted_data[[#This Row],[Discount_Amount]])*formatted_data[[#This Row],[Units]]</f>
        <v>1520</v>
      </c>
      <c r="N127" s="1">
        <f>formatted_data[[#This Row],[Total_Revenue]]-(formatted_data[[#This Row],[Cost_Price]]*formatted_data[[#This Row],[Units]])</f>
        <v>340</v>
      </c>
      <c r="O127" s="1" t="s">
        <v>21</v>
      </c>
      <c r="P127"/>
    </row>
    <row r="128" spans="1:16" x14ac:dyDescent="0.35">
      <c r="A128" s="1" t="s">
        <v>61</v>
      </c>
      <c r="B128" s="1" t="s">
        <v>27</v>
      </c>
      <c r="C128" s="2">
        <v>45520</v>
      </c>
      <c r="D128" s="1" t="s">
        <v>31</v>
      </c>
      <c r="E128" s="1" t="s">
        <v>76</v>
      </c>
      <c r="F128" s="1" t="s">
        <v>19</v>
      </c>
      <c r="G128" s="1" t="s">
        <v>20</v>
      </c>
      <c r="H128" s="1">
        <v>5</v>
      </c>
      <c r="I128" s="1">
        <v>1055</v>
      </c>
      <c r="J128" s="1">
        <v>1499</v>
      </c>
      <c r="K128" s="1">
        <v>0</v>
      </c>
      <c r="L128" s="1">
        <f>ROUNDDOWN(formatted_data[[#This Row],[Selling_Price]]*formatted_data[[#This Row],[Discount_%]]/100,0)</f>
        <v>0</v>
      </c>
      <c r="M128" s="1">
        <f>(formatted_data[[#This Row],[Selling_Price]]-formatted_data[[#This Row],[Discount_Amount]])*formatted_data[[#This Row],[Units]]</f>
        <v>7495</v>
      </c>
      <c r="N128" s="1">
        <f>formatted_data[[#This Row],[Total_Revenue]]-(formatted_data[[#This Row],[Cost_Price]]*formatted_data[[#This Row],[Units]])</f>
        <v>2220</v>
      </c>
      <c r="O128" s="1" t="s">
        <v>21</v>
      </c>
      <c r="P128"/>
    </row>
    <row r="129" spans="1:16" x14ac:dyDescent="0.35">
      <c r="A129" s="1" t="s">
        <v>96</v>
      </c>
      <c r="B129" s="1" t="s">
        <v>16</v>
      </c>
      <c r="C129" s="2">
        <v>45648</v>
      </c>
      <c r="D129" s="1" t="s">
        <v>17</v>
      </c>
      <c r="E129" s="1" t="s">
        <v>18</v>
      </c>
      <c r="F129" s="1" t="s">
        <v>25</v>
      </c>
      <c r="G129" s="1" t="s">
        <v>19</v>
      </c>
      <c r="H129" s="1">
        <v>1</v>
      </c>
      <c r="I129" s="1">
        <v>206</v>
      </c>
      <c r="J129" s="1">
        <v>299</v>
      </c>
      <c r="K129" s="1">
        <v>0</v>
      </c>
      <c r="L129" s="1">
        <f>ROUNDDOWN(formatted_data[[#This Row],[Selling_Price]]*formatted_data[[#This Row],[Discount_%]]/100,0)</f>
        <v>0</v>
      </c>
      <c r="M129" s="1">
        <f>(formatted_data[[#This Row],[Selling_Price]]-formatted_data[[#This Row],[Discount_Amount]])*formatted_data[[#This Row],[Units]]</f>
        <v>299</v>
      </c>
      <c r="N129" s="1">
        <f>formatted_data[[#This Row],[Total_Revenue]]-(formatted_data[[#This Row],[Cost_Price]]*formatted_data[[#This Row],[Units]])</f>
        <v>93</v>
      </c>
      <c r="O129" s="1" t="s">
        <v>21</v>
      </c>
      <c r="P129"/>
    </row>
    <row r="130" spans="1:16" x14ac:dyDescent="0.35">
      <c r="A130" s="1" t="s">
        <v>93</v>
      </c>
      <c r="B130" s="1" t="s">
        <v>16</v>
      </c>
      <c r="C130" s="2">
        <v>45564</v>
      </c>
      <c r="D130" s="1" t="s">
        <v>31</v>
      </c>
      <c r="E130" s="1" t="s">
        <v>32</v>
      </c>
      <c r="F130" s="1" t="s">
        <v>19</v>
      </c>
      <c r="G130" s="1" t="s">
        <v>19</v>
      </c>
      <c r="H130" s="1">
        <v>1</v>
      </c>
      <c r="I130" s="1">
        <v>715</v>
      </c>
      <c r="J130" s="1">
        <v>999</v>
      </c>
      <c r="K130" s="1">
        <v>0</v>
      </c>
      <c r="L130" s="1">
        <f>ROUNDDOWN(formatted_data[[#This Row],[Selling_Price]]*formatted_data[[#This Row],[Discount_%]]/100,0)</f>
        <v>0</v>
      </c>
      <c r="M130" s="1">
        <f>(formatted_data[[#This Row],[Selling_Price]]-formatted_data[[#This Row],[Discount_Amount]])*formatted_data[[#This Row],[Units]]</f>
        <v>999</v>
      </c>
      <c r="N130" s="1">
        <f>formatted_data[[#This Row],[Total_Revenue]]-(formatted_data[[#This Row],[Cost_Price]]*formatted_data[[#This Row],[Units]])</f>
        <v>284</v>
      </c>
      <c r="O130" s="1" t="s">
        <v>21</v>
      </c>
      <c r="P130"/>
    </row>
    <row r="131" spans="1:16" x14ac:dyDescent="0.35">
      <c r="A131" s="1" t="s">
        <v>52</v>
      </c>
      <c r="B131" s="1" t="s">
        <v>27</v>
      </c>
      <c r="C131" s="2">
        <v>45579</v>
      </c>
      <c r="D131" s="1" t="s">
        <v>28</v>
      </c>
      <c r="E131" s="1" t="s">
        <v>29</v>
      </c>
      <c r="F131" s="1" t="s">
        <v>25</v>
      </c>
      <c r="G131" s="1" t="s">
        <v>19</v>
      </c>
      <c r="H131" s="1">
        <v>1</v>
      </c>
      <c r="I131" s="1">
        <v>518</v>
      </c>
      <c r="J131" s="1">
        <v>699</v>
      </c>
      <c r="K131" s="1">
        <v>5</v>
      </c>
      <c r="L131" s="1">
        <f>ROUNDDOWN(formatted_data[[#This Row],[Selling_Price]]*formatted_data[[#This Row],[Discount_%]]/100,0)</f>
        <v>34</v>
      </c>
      <c r="M131" s="1">
        <f>(formatted_data[[#This Row],[Selling_Price]]-formatted_data[[#This Row],[Discount_Amount]])*formatted_data[[#This Row],[Units]]</f>
        <v>665</v>
      </c>
      <c r="N131" s="1">
        <f>formatted_data[[#This Row],[Total_Revenue]]-(formatted_data[[#This Row],[Cost_Price]]*formatted_data[[#This Row],[Units]])</f>
        <v>147</v>
      </c>
      <c r="O131" s="1" t="s">
        <v>21</v>
      </c>
      <c r="P131"/>
    </row>
    <row r="132" spans="1:16" x14ac:dyDescent="0.35">
      <c r="A132" s="1" t="s">
        <v>74</v>
      </c>
      <c r="B132" s="1" t="s">
        <v>16</v>
      </c>
      <c r="C132" s="2">
        <v>45472</v>
      </c>
      <c r="D132" s="1" t="s">
        <v>28</v>
      </c>
      <c r="E132" s="1" t="s">
        <v>45</v>
      </c>
      <c r="F132" s="1" t="s">
        <v>19</v>
      </c>
      <c r="G132" s="1" t="s">
        <v>19</v>
      </c>
      <c r="H132" s="1">
        <v>1</v>
      </c>
      <c r="I132" s="1">
        <v>699</v>
      </c>
      <c r="J132" s="1">
        <v>1299</v>
      </c>
      <c r="K132" s="1">
        <v>20</v>
      </c>
      <c r="L132" s="1">
        <f>ROUNDDOWN(formatted_data[[#This Row],[Selling_Price]]*formatted_data[[#This Row],[Discount_%]]/100,0)</f>
        <v>259</v>
      </c>
      <c r="M132" s="1">
        <f>(formatted_data[[#This Row],[Selling_Price]]-formatted_data[[#This Row],[Discount_Amount]])*formatted_data[[#This Row],[Units]]</f>
        <v>1040</v>
      </c>
      <c r="N132" s="1">
        <f>formatted_data[[#This Row],[Total_Revenue]]-(formatted_data[[#This Row],[Cost_Price]]*formatted_data[[#This Row],[Units]])</f>
        <v>341</v>
      </c>
      <c r="O132" s="1" t="s">
        <v>21</v>
      </c>
      <c r="P132"/>
    </row>
    <row r="133" spans="1:16" x14ac:dyDescent="0.35">
      <c r="A133" s="1" t="s">
        <v>51</v>
      </c>
      <c r="B133" s="1" t="s">
        <v>16</v>
      </c>
      <c r="C133" s="2">
        <v>45642</v>
      </c>
      <c r="D133" s="1" t="s">
        <v>28</v>
      </c>
      <c r="E133" s="1" t="s">
        <v>29</v>
      </c>
      <c r="F133" s="1" t="s">
        <v>25</v>
      </c>
      <c r="G133" s="1" t="s">
        <v>19</v>
      </c>
      <c r="H133" s="1">
        <v>1</v>
      </c>
      <c r="I133" s="1">
        <v>418</v>
      </c>
      <c r="J133" s="1">
        <v>799</v>
      </c>
      <c r="K133" s="1">
        <v>20</v>
      </c>
      <c r="L133" s="1">
        <f>ROUNDDOWN(formatted_data[[#This Row],[Selling_Price]]*formatted_data[[#This Row],[Discount_%]]/100,0)</f>
        <v>159</v>
      </c>
      <c r="M133" s="1">
        <f>(formatted_data[[#This Row],[Selling_Price]]-formatted_data[[#This Row],[Discount_Amount]])*formatted_data[[#This Row],[Units]]</f>
        <v>640</v>
      </c>
      <c r="N133" s="1">
        <f>formatted_data[[#This Row],[Total_Revenue]]-(formatted_data[[#This Row],[Cost_Price]]*formatted_data[[#This Row],[Units]])</f>
        <v>222</v>
      </c>
      <c r="O133" s="1" t="s">
        <v>21</v>
      </c>
      <c r="P133"/>
    </row>
    <row r="134" spans="1:16" x14ac:dyDescent="0.35">
      <c r="A134" s="1" t="s">
        <v>67</v>
      </c>
      <c r="B134" s="1" t="s">
        <v>27</v>
      </c>
      <c r="C134" s="2">
        <v>45493</v>
      </c>
      <c r="D134" s="1" t="s">
        <v>23</v>
      </c>
      <c r="E134" s="1" t="s">
        <v>43</v>
      </c>
      <c r="F134" s="1" t="s">
        <v>37</v>
      </c>
      <c r="G134" s="1" t="s">
        <v>19</v>
      </c>
      <c r="H134" s="1">
        <v>1</v>
      </c>
      <c r="I134" s="1">
        <v>2106</v>
      </c>
      <c r="J134" s="1">
        <v>3699</v>
      </c>
      <c r="K134" s="1">
        <v>5</v>
      </c>
      <c r="L134" s="1">
        <f>ROUNDDOWN(formatted_data[[#This Row],[Selling_Price]]*formatted_data[[#This Row],[Discount_%]]/100,0)</f>
        <v>184</v>
      </c>
      <c r="M134" s="1">
        <f>(formatted_data[[#This Row],[Selling_Price]]-formatted_data[[#This Row],[Discount_Amount]])*formatted_data[[#This Row],[Units]]</f>
        <v>3515</v>
      </c>
      <c r="N134" s="1">
        <f>formatted_data[[#This Row],[Total_Revenue]]-(formatted_data[[#This Row],[Cost_Price]]*formatted_data[[#This Row],[Units]])</f>
        <v>1409</v>
      </c>
      <c r="O134" s="1" t="s">
        <v>21</v>
      </c>
      <c r="P134"/>
    </row>
    <row r="135" spans="1:16" x14ac:dyDescent="0.35">
      <c r="A135" s="1" t="s">
        <v>98</v>
      </c>
      <c r="B135" s="1" t="s">
        <v>16</v>
      </c>
      <c r="C135" s="2">
        <v>45472</v>
      </c>
      <c r="D135" s="1" t="s">
        <v>28</v>
      </c>
      <c r="E135" s="1" t="s">
        <v>45</v>
      </c>
      <c r="F135" s="1" t="s">
        <v>25</v>
      </c>
      <c r="G135" s="1" t="s">
        <v>20</v>
      </c>
      <c r="H135" s="1">
        <v>1</v>
      </c>
      <c r="I135" s="1">
        <v>939</v>
      </c>
      <c r="J135" s="1">
        <v>1499</v>
      </c>
      <c r="K135" s="1">
        <v>15</v>
      </c>
      <c r="L135" s="1">
        <f>ROUNDDOWN(formatted_data[[#This Row],[Selling_Price]]*formatted_data[[#This Row],[Discount_%]]/100,0)</f>
        <v>224</v>
      </c>
      <c r="M135" s="1">
        <f>(formatted_data[[#This Row],[Selling_Price]]-formatted_data[[#This Row],[Discount_Amount]])*formatted_data[[#This Row],[Units]]</f>
        <v>1275</v>
      </c>
      <c r="N135" s="1">
        <f>formatted_data[[#This Row],[Total_Revenue]]-(formatted_data[[#This Row],[Cost_Price]]*formatted_data[[#This Row],[Units]])</f>
        <v>336</v>
      </c>
      <c r="O135" s="1" t="s">
        <v>21</v>
      </c>
      <c r="P135"/>
    </row>
    <row r="136" spans="1:16" x14ac:dyDescent="0.35">
      <c r="A136" s="1" t="s">
        <v>69</v>
      </c>
      <c r="B136" s="1" t="s">
        <v>16</v>
      </c>
      <c r="C136" s="2">
        <v>45627</v>
      </c>
      <c r="D136" s="1" t="s">
        <v>23</v>
      </c>
      <c r="E136" s="1" t="s">
        <v>43</v>
      </c>
      <c r="F136" s="1" t="s">
        <v>19</v>
      </c>
      <c r="G136" s="1" t="s">
        <v>20</v>
      </c>
      <c r="H136" s="1">
        <v>1</v>
      </c>
      <c r="I136" s="1">
        <v>1382</v>
      </c>
      <c r="J136" s="1">
        <v>2399</v>
      </c>
      <c r="K136" s="1">
        <v>5</v>
      </c>
      <c r="L136" s="1">
        <f>ROUNDDOWN(formatted_data[[#This Row],[Selling_Price]]*formatted_data[[#This Row],[Discount_%]]/100,0)</f>
        <v>119</v>
      </c>
      <c r="M136" s="1">
        <f>(formatted_data[[#This Row],[Selling_Price]]-formatted_data[[#This Row],[Discount_Amount]])*formatted_data[[#This Row],[Units]]</f>
        <v>2280</v>
      </c>
      <c r="N136" s="1">
        <f>formatted_data[[#This Row],[Total_Revenue]]-(formatted_data[[#This Row],[Cost_Price]]*formatted_data[[#This Row],[Units]])</f>
        <v>898</v>
      </c>
      <c r="O136" s="1" t="s">
        <v>21</v>
      </c>
      <c r="P136"/>
    </row>
    <row r="137" spans="1:16" x14ac:dyDescent="0.35">
      <c r="A137" s="1" t="s">
        <v>73</v>
      </c>
      <c r="B137" s="1" t="s">
        <v>16</v>
      </c>
      <c r="C137" s="2">
        <v>45634</v>
      </c>
      <c r="D137" s="1" t="s">
        <v>28</v>
      </c>
      <c r="E137" s="1" t="s">
        <v>45</v>
      </c>
      <c r="F137" s="1" t="s">
        <v>37</v>
      </c>
      <c r="G137" s="1" t="s">
        <v>19</v>
      </c>
      <c r="H137" s="1">
        <v>3</v>
      </c>
      <c r="I137" s="1">
        <v>961</v>
      </c>
      <c r="J137" s="1">
        <v>1899</v>
      </c>
      <c r="K137" s="1">
        <v>5</v>
      </c>
      <c r="L137" s="1">
        <f>ROUNDDOWN(formatted_data[[#This Row],[Selling_Price]]*formatted_data[[#This Row],[Discount_%]]/100,0)</f>
        <v>94</v>
      </c>
      <c r="M137" s="1">
        <f>(formatted_data[[#This Row],[Selling_Price]]-formatted_data[[#This Row],[Discount_Amount]])*formatted_data[[#This Row],[Units]]</f>
        <v>5415</v>
      </c>
      <c r="N137" s="1">
        <f>formatted_data[[#This Row],[Total_Revenue]]-(formatted_data[[#This Row],[Cost_Price]]*formatted_data[[#This Row],[Units]])</f>
        <v>2532</v>
      </c>
      <c r="O137" s="1" t="s">
        <v>21</v>
      </c>
      <c r="P137"/>
    </row>
    <row r="138" spans="1:16" x14ac:dyDescent="0.35">
      <c r="A138" s="1" t="s">
        <v>70</v>
      </c>
      <c r="B138" s="1" t="s">
        <v>27</v>
      </c>
      <c r="C138" s="2">
        <v>45465</v>
      </c>
      <c r="D138" s="1" t="s">
        <v>17</v>
      </c>
      <c r="E138" s="1" t="s">
        <v>72</v>
      </c>
      <c r="F138" s="1" t="s">
        <v>25</v>
      </c>
      <c r="G138" s="1" t="s">
        <v>20</v>
      </c>
      <c r="H138" s="1">
        <v>1</v>
      </c>
      <c r="I138" s="1">
        <v>292</v>
      </c>
      <c r="J138" s="1">
        <v>499</v>
      </c>
      <c r="K138" s="1">
        <v>0</v>
      </c>
      <c r="L138" s="1">
        <f>ROUNDDOWN(formatted_data[[#This Row],[Selling_Price]]*formatted_data[[#This Row],[Discount_%]]/100,0)</f>
        <v>0</v>
      </c>
      <c r="M138" s="1">
        <f>(formatted_data[[#This Row],[Selling_Price]]-formatted_data[[#This Row],[Discount_Amount]])*formatted_data[[#This Row],[Units]]</f>
        <v>499</v>
      </c>
      <c r="N138" s="1">
        <f>formatted_data[[#This Row],[Total_Revenue]]-(formatted_data[[#This Row],[Cost_Price]]*formatted_data[[#This Row],[Units]])</f>
        <v>207</v>
      </c>
      <c r="O138" s="1" t="s">
        <v>21</v>
      </c>
      <c r="P138"/>
    </row>
    <row r="139" spans="1:16" x14ac:dyDescent="0.35">
      <c r="A139" s="1" t="s">
        <v>68</v>
      </c>
      <c r="B139" s="1" t="s">
        <v>16</v>
      </c>
      <c r="C139" s="2">
        <v>45520</v>
      </c>
      <c r="D139" s="1" t="s">
        <v>35</v>
      </c>
      <c r="E139" s="1" t="s">
        <v>58</v>
      </c>
      <c r="F139" s="1" t="s">
        <v>19</v>
      </c>
      <c r="G139" s="1" t="s">
        <v>20</v>
      </c>
      <c r="H139" s="1">
        <v>1</v>
      </c>
      <c r="I139" s="1">
        <v>661</v>
      </c>
      <c r="J139" s="1">
        <v>1199</v>
      </c>
      <c r="K139" s="1">
        <v>15</v>
      </c>
      <c r="L139" s="1">
        <f>ROUNDDOWN(formatted_data[[#This Row],[Selling_Price]]*formatted_data[[#This Row],[Discount_%]]/100,0)</f>
        <v>179</v>
      </c>
      <c r="M139" s="1">
        <f>(formatted_data[[#This Row],[Selling_Price]]-formatted_data[[#This Row],[Discount_Amount]])*formatted_data[[#This Row],[Units]]</f>
        <v>1020</v>
      </c>
      <c r="N139" s="1">
        <f>formatted_data[[#This Row],[Total_Revenue]]-(formatted_data[[#This Row],[Cost_Price]]*formatted_data[[#This Row],[Units]])</f>
        <v>359</v>
      </c>
      <c r="O139" s="1" t="s">
        <v>21</v>
      </c>
      <c r="P139"/>
    </row>
    <row r="140" spans="1:16" x14ac:dyDescent="0.35">
      <c r="A140" s="1" t="s">
        <v>99</v>
      </c>
      <c r="B140" s="1" t="s">
        <v>27</v>
      </c>
      <c r="C140" s="2">
        <v>45510</v>
      </c>
      <c r="D140" s="1" t="s">
        <v>35</v>
      </c>
      <c r="E140" s="1" t="s">
        <v>50</v>
      </c>
      <c r="F140" s="1" t="s">
        <v>37</v>
      </c>
      <c r="G140" s="1" t="s">
        <v>19</v>
      </c>
      <c r="H140" s="1">
        <v>1</v>
      </c>
      <c r="I140" s="1">
        <v>1205</v>
      </c>
      <c r="J140" s="1">
        <v>1899</v>
      </c>
      <c r="K140" s="1">
        <v>20</v>
      </c>
      <c r="L140" s="1">
        <f>ROUNDDOWN(formatted_data[[#This Row],[Selling_Price]]*formatted_data[[#This Row],[Discount_%]]/100,0)</f>
        <v>379</v>
      </c>
      <c r="M140" s="1">
        <f>(formatted_data[[#This Row],[Selling_Price]]-formatted_data[[#This Row],[Discount_Amount]])*formatted_data[[#This Row],[Units]]</f>
        <v>1520</v>
      </c>
      <c r="N140" s="1">
        <f>formatted_data[[#This Row],[Total_Revenue]]-(formatted_data[[#This Row],[Cost_Price]]*formatted_data[[#This Row],[Units]])</f>
        <v>315</v>
      </c>
      <c r="O140" s="1" t="s">
        <v>33</v>
      </c>
      <c r="P140"/>
    </row>
    <row r="141" spans="1:16" x14ac:dyDescent="0.35">
      <c r="A141" s="1" t="s">
        <v>66</v>
      </c>
      <c r="B141" s="1" t="s">
        <v>27</v>
      </c>
      <c r="C141" s="2">
        <v>45507</v>
      </c>
      <c r="D141" s="1" t="s">
        <v>17</v>
      </c>
      <c r="E141" s="1" t="s">
        <v>55</v>
      </c>
      <c r="F141" s="1" t="s">
        <v>37</v>
      </c>
      <c r="G141" s="1" t="s">
        <v>20</v>
      </c>
      <c r="H141" s="1">
        <v>5</v>
      </c>
      <c r="I141" s="1">
        <v>303</v>
      </c>
      <c r="J141" s="1">
        <v>499</v>
      </c>
      <c r="K141" s="1">
        <v>0</v>
      </c>
      <c r="L141" s="1">
        <f>ROUNDDOWN(formatted_data[[#This Row],[Selling_Price]]*formatted_data[[#This Row],[Discount_%]]/100,0)</f>
        <v>0</v>
      </c>
      <c r="M141" s="1">
        <f>(formatted_data[[#This Row],[Selling_Price]]-formatted_data[[#This Row],[Discount_Amount]])*formatted_data[[#This Row],[Units]]</f>
        <v>2495</v>
      </c>
      <c r="N141" s="1">
        <f>formatted_data[[#This Row],[Total_Revenue]]-(formatted_data[[#This Row],[Cost_Price]]*formatted_data[[#This Row],[Units]])</f>
        <v>980</v>
      </c>
      <c r="O141" s="1" t="s">
        <v>33</v>
      </c>
      <c r="P141"/>
    </row>
    <row r="142" spans="1:16" x14ac:dyDescent="0.35">
      <c r="A142" s="1" t="s">
        <v>53</v>
      </c>
      <c r="B142" s="1" t="s">
        <v>27</v>
      </c>
      <c r="C142" s="2">
        <v>45539</v>
      </c>
      <c r="D142" s="1" t="s">
        <v>23</v>
      </c>
      <c r="E142" s="1" t="s">
        <v>43</v>
      </c>
      <c r="F142" s="1" t="s">
        <v>25</v>
      </c>
      <c r="G142" s="1" t="s">
        <v>19</v>
      </c>
      <c r="H142" s="1">
        <v>3</v>
      </c>
      <c r="I142" s="1">
        <v>1503</v>
      </c>
      <c r="J142" s="1">
        <v>2699</v>
      </c>
      <c r="K142" s="1">
        <v>5</v>
      </c>
      <c r="L142" s="1">
        <f>ROUNDDOWN(formatted_data[[#This Row],[Selling_Price]]*formatted_data[[#This Row],[Discount_%]]/100,0)</f>
        <v>134</v>
      </c>
      <c r="M142" s="1">
        <f>(formatted_data[[#This Row],[Selling_Price]]-formatted_data[[#This Row],[Discount_Amount]])*formatted_data[[#This Row],[Units]]</f>
        <v>7695</v>
      </c>
      <c r="N142" s="1">
        <f>formatted_data[[#This Row],[Total_Revenue]]-(formatted_data[[#This Row],[Cost_Price]]*formatted_data[[#This Row],[Units]])</f>
        <v>3186</v>
      </c>
      <c r="O142" s="1" t="s">
        <v>21</v>
      </c>
      <c r="P142"/>
    </row>
    <row r="143" spans="1:16" x14ac:dyDescent="0.35">
      <c r="A143" s="1" t="s">
        <v>26</v>
      </c>
      <c r="B143" s="1" t="s">
        <v>27</v>
      </c>
      <c r="C143" s="2">
        <v>45451</v>
      </c>
      <c r="D143" s="1" t="s">
        <v>17</v>
      </c>
      <c r="E143" s="1" t="s">
        <v>18</v>
      </c>
      <c r="F143" s="1" t="s">
        <v>19</v>
      </c>
      <c r="G143" s="1" t="s">
        <v>20</v>
      </c>
      <c r="H143" s="1">
        <v>1</v>
      </c>
      <c r="I143" s="1">
        <v>159</v>
      </c>
      <c r="J143" s="1">
        <v>299</v>
      </c>
      <c r="K143" s="1">
        <v>0</v>
      </c>
      <c r="L143" s="1">
        <f>ROUNDDOWN(formatted_data[[#This Row],[Selling_Price]]*formatted_data[[#This Row],[Discount_%]]/100,0)</f>
        <v>0</v>
      </c>
      <c r="M143" s="1">
        <f>(formatted_data[[#This Row],[Selling_Price]]-formatted_data[[#This Row],[Discount_Amount]])*formatted_data[[#This Row],[Units]]</f>
        <v>299</v>
      </c>
      <c r="N143" s="1">
        <f>formatted_data[[#This Row],[Total_Revenue]]-(formatted_data[[#This Row],[Cost_Price]]*formatted_data[[#This Row],[Units]])</f>
        <v>140</v>
      </c>
      <c r="O143" s="1" t="s">
        <v>21</v>
      </c>
      <c r="P143"/>
    </row>
    <row r="144" spans="1:16" x14ac:dyDescent="0.35">
      <c r="A144" s="1" t="s">
        <v>63</v>
      </c>
      <c r="B144" s="1" t="s">
        <v>27</v>
      </c>
      <c r="C144" s="2">
        <v>45505</v>
      </c>
      <c r="D144" s="1" t="s">
        <v>17</v>
      </c>
      <c r="E144" s="1" t="s">
        <v>55</v>
      </c>
      <c r="F144" s="1" t="s">
        <v>25</v>
      </c>
      <c r="G144" s="1" t="s">
        <v>20</v>
      </c>
      <c r="H144" s="1">
        <v>1</v>
      </c>
      <c r="I144" s="1">
        <v>333</v>
      </c>
      <c r="J144" s="1">
        <v>499</v>
      </c>
      <c r="K144" s="1">
        <v>0</v>
      </c>
      <c r="L144" s="1">
        <f>ROUNDDOWN(formatted_data[[#This Row],[Selling_Price]]*formatted_data[[#This Row],[Discount_%]]/100,0)</f>
        <v>0</v>
      </c>
      <c r="M144" s="1">
        <f>(formatted_data[[#This Row],[Selling_Price]]-formatted_data[[#This Row],[Discount_Amount]])*formatted_data[[#This Row],[Units]]</f>
        <v>499</v>
      </c>
      <c r="N144" s="1">
        <f>formatted_data[[#This Row],[Total_Revenue]]-(formatted_data[[#This Row],[Cost_Price]]*formatted_data[[#This Row],[Units]])</f>
        <v>166</v>
      </c>
      <c r="O144" s="1" t="s">
        <v>21</v>
      </c>
      <c r="P144"/>
    </row>
    <row r="145" spans="1:16" x14ac:dyDescent="0.35">
      <c r="A145" s="1" t="s">
        <v>83</v>
      </c>
      <c r="B145" s="1" t="s">
        <v>27</v>
      </c>
      <c r="C145" s="2">
        <v>45460</v>
      </c>
      <c r="D145" s="1" t="s">
        <v>23</v>
      </c>
      <c r="E145" s="1" t="s">
        <v>24</v>
      </c>
      <c r="F145" s="1" t="s">
        <v>25</v>
      </c>
      <c r="G145" s="1" t="s">
        <v>20</v>
      </c>
      <c r="H145" s="1">
        <v>1</v>
      </c>
      <c r="I145" s="1">
        <v>922</v>
      </c>
      <c r="J145" s="1">
        <v>1499</v>
      </c>
      <c r="K145" s="1">
        <v>20</v>
      </c>
      <c r="L145" s="1">
        <f>ROUNDDOWN(formatted_data[[#This Row],[Selling_Price]]*formatted_data[[#This Row],[Discount_%]]/100,0)</f>
        <v>299</v>
      </c>
      <c r="M145" s="1">
        <f>(formatted_data[[#This Row],[Selling_Price]]-formatted_data[[#This Row],[Discount_Amount]])*formatted_data[[#This Row],[Units]]</f>
        <v>1200</v>
      </c>
      <c r="N145" s="1">
        <f>formatted_data[[#This Row],[Total_Revenue]]-(formatted_data[[#This Row],[Cost_Price]]*formatted_data[[#This Row],[Units]])</f>
        <v>278</v>
      </c>
      <c r="O145" s="1" t="s">
        <v>33</v>
      </c>
      <c r="P145"/>
    </row>
    <row r="146" spans="1:16" x14ac:dyDescent="0.35">
      <c r="A146" s="1" t="s">
        <v>102</v>
      </c>
      <c r="B146" s="1" t="s">
        <v>27</v>
      </c>
      <c r="C146" s="2">
        <v>45530</v>
      </c>
      <c r="D146" s="1" t="s">
        <v>23</v>
      </c>
      <c r="E146" s="1" t="s">
        <v>43</v>
      </c>
      <c r="F146" s="1" t="s">
        <v>37</v>
      </c>
      <c r="G146" s="1" t="s">
        <v>19</v>
      </c>
      <c r="H146" s="1">
        <v>5</v>
      </c>
      <c r="I146" s="1">
        <v>1913</v>
      </c>
      <c r="J146" s="1">
        <v>3399</v>
      </c>
      <c r="K146" s="1">
        <v>10</v>
      </c>
      <c r="L146" s="1">
        <f>ROUNDDOWN(formatted_data[[#This Row],[Selling_Price]]*formatted_data[[#This Row],[Discount_%]]/100,0)</f>
        <v>339</v>
      </c>
      <c r="M146" s="1">
        <f>(formatted_data[[#This Row],[Selling_Price]]-formatted_data[[#This Row],[Discount_Amount]])*formatted_data[[#This Row],[Units]]</f>
        <v>15300</v>
      </c>
      <c r="N146" s="1">
        <f>formatted_data[[#This Row],[Total_Revenue]]-(formatted_data[[#This Row],[Cost_Price]]*formatted_data[[#This Row],[Units]])</f>
        <v>5735</v>
      </c>
      <c r="O146" s="1" t="s">
        <v>21</v>
      </c>
      <c r="P146"/>
    </row>
    <row r="147" spans="1:16" x14ac:dyDescent="0.35">
      <c r="A147" s="1" t="s">
        <v>61</v>
      </c>
      <c r="B147" s="1" t="s">
        <v>27</v>
      </c>
      <c r="C147" s="2">
        <v>45513</v>
      </c>
      <c r="D147" s="1" t="s">
        <v>23</v>
      </c>
      <c r="E147" s="1" t="s">
        <v>43</v>
      </c>
      <c r="F147" s="1" t="s">
        <v>25</v>
      </c>
      <c r="G147" s="1" t="s">
        <v>20</v>
      </c>
      <c r="H147" s="1">
        <v>1</v>
      </c>
      <c r="I147" s="1">
        <v>2341</v>
      </c>
      <c r="J147" s="1">
        <v>4199</v>
      </c>
      <c r="K147" s="1">
        <v>15</v>
      </c>
      <c r="L147" s="1">
        <f>ROUNDDOWN(formatted_data[[#This Row],[Selling_Price]]*formatted_data[[#This Row],[Discount_%]]/100,0)</f>
        <v>629</v>
      </c>
      <c r="M147" s="1">
        <f>(formatted_data[[#This Row],[Selling_Price]]-formatted_data[[#This Row],[Discount_Amount]])*formatted_data[[#This Row],[Units]]</f>
        <v>3570</v>
      </c>
      <c r="N147" s="1">
        <f>formatted_data[[#This Row],[Total_Revenue]]-(formatted_data[[#This Row],[Cost_Price]]*formatted_data[[#This Row],[Units]])</f>
        <v>1229</v>
      </c>
      <c r="O147" s="1" t="s">
        <v>33</v>
      </c>
      <c r="P147"/>
    </row>
    <row r="148" spans="1:16" x14ac:dyDescent="0.35">
      <c r="A148" s="1" t="s">
        <v>96</v>
      </c>
      <c r="B148" s="1" t="s">
        <v>16</v>
      </c>
      <c r="C148" s="2">
        <v>45526</v>
      </c>
      <c r="D148" s="1" t="s">
        <v>28</v>
      </c>
      <c r="E148" s="1" t="s">
        <v>45</v>
      </c>
      <c r="F148" s="1" t="s">
        <v>25</v>
      </c>
      <c r="G148" s="1" t="s">
        <v>20</v>
      </c>
      <c r="H148" s="1">
        <v>5</v>
      </c>
      <c r="I148" s="1">
        <v>706</v>
      </c>
      <c r="J148" s="1">
        <v>999</v>
      </c>
      <c r="K148" s="1">
        <v>15</v>
      </c>
      <c r="L148" s="1">
        <f>ROUNDDOWN(formatted_data[[#This Row],[Selling_Price]]*formatted_data[[#This Row],[Discount_%]]/100,0)</f>
        <v>149</v>
      </c>
      <c r="M148" s="1">
        <f>(formatted_data[[#This Row],[Selling_Price]]-formatted_data[[#This Row],[Discount_Amount]])*formatted_data[[#This Row],[Units]]</f>
        <v>4250</v>
      </c>
      <c r="N148" s="1">
        <f>formatted_data[[#This Row],[Total_Revenue]]-(formatted_data[[#This Row],[Cost_Price]]*formatted_data[[#This Row],[Units]])</f>
        <v>720</v>
      </c>
      <c r="O148" s="1" t="s">
        <v>33</v>
      </c>
      <c r="P148"/>
    </row>
    <row r="149" spans="1:16" x14ac:dyDescent="0.35">
      <c r="A149" s="1" t="s">
        <v>26</v>
      </c>
      <c r="B149" s="1" t="s">
        <v>27</v>
      </c>
      <c r="C149" s="2">
        <v>45601</v>
      </c>
      <c r="D149" s="1" t="s">
        <v>31</v>
      </c>
      <c r="E149" s="1" t="s">
        <v>32</v>
      </c>
      <c r="F149" s="1" t="s">
        <v>37</v>
      </c>
      <c r="G149" s="1" t="s">
        <v>19</v>
      </c>
      <c r="H149" s="1">
        <v>1</v>
      </c>
      <c r="I149" s="1">
        <v>645</v>
      </c>
      <c r="J149" s="1">
        <v>899</v>
      </c>
      <c r="K149" s="1">
        <v>0</v>
      </c>
      <c r="L149" s="1">
        <f>ROUNDDOWN(formatted_data[[#This Row],[Selling_Price]]*formatted_data[[#This Row],[Discount_%]]/100,0)</f>
        <v>0</v>
      </c>
      <c r="M149" s="1">
        <f>(formatted_data[[#This Row],[Selling_Price]]-formatted_data[[#This Row],[Discount_Amount]])*formatted_data[[#This Row],[Units]]</f>
        <v>899</v>
      </c>
      <c r="N149" s="1">
        <f>formatted_data[[#This Row],[Total_Revenue]]-(formatted_data[[#This Row],[Cost_Price]]*formatted_data[[#This Row],[Units]])</f>
        <v>254</v>
      </c>
      <c r="O149" s="1" t="s">
        <v>21</v>
      </c>
      <c r="P149"/>
    </row>
    <row r="150" spans="1:16" x14ac:dyDescent="0.35">
      <c r="A150" s="1" t="s">
        <v>99</v>
      </c>
      <c r="B150" s="1" t="s">
        <v>27</v>
      </c>
      <c r="C150" s="2">
        <v>45497</v>
      </c>
      <c r="D150" s="1" t="s">
        <v>28</v>
      </c>
      <c r="E150" s="1" t="s">
        <v>29</v>
      </c>
      <c r="F150" s="1" t="s">
        <v>19</v>
      </c>
      <c r="G150" s="1" t="s">
        <v>20</v>
      </c>
      <c r="H150" s="1">
        <v>3</v>
      </c>
      <c r="I150" s="1">
        <v>269</v>
      </c>
      <c r="J150" s="1">
        <v>499</v>
      </c>
      <c r="K150" s="1">
        <v>10</v>
      </c>
      <c r="L150" s="1">
        <f>ROUNDDOWN(formatted_data[[#This Row],[Selling_Price]]*formatted_data[[#This Row],[Discount_%]]/100,0)</f>
        <v>49</v>
      </c>
      <c r="M150" s="1">
        <f>(formatted_data[[#This Row],[Selling_Price]]-formatted_data[[#This Row],[Discount_Amount]])*formatted_data[[#This Row],[Units]]</f>
        <v>1350</v>
      </c>
      <c r="N150" s="1">
        <f>formatted_data[[#This Row],[Total_Revenue]]-(formatted_data[[#This Row],[Cost_Price]]*formatted_data[[#This Row],[Units]])</f>
        <v>543</v>
      </c>
      <c r="O150" s="1" t="s">
        <v>21</v>
      </c>
      <c r="P150"/>
    </row>
    <row r="151" spans="1:16" x14ac:dyDescent="0.35">
      <c r="A151" s="1" t="s">
        <v>75</v>
      </c>
      <c r="B151" s="1" t="s">
        <v>27</v>
      </c>
      <c r="C151" s="2">
        <v>45586</v>
      </c>
      <c r="D151" s="1" t="s">
        <v>31</v>
      </c>
      <c r="E151" s="1" t="s">
        <v>32</v>
      </c>
      <c r="F151" s="1" t="s">
        <v>37</v>
      </c>
      <c r="G151" s="1" t="s">
        <v>19</v>
      </c>
      <c r="H151" s="1">
        <v>2</v>
      </c>
      <c r="I151" s="1">
        <v>599</v>
      </c>
      <c r="J151" s="1">
        <v>999</v>
      </c>
      <c r="K151" s="1">
        <v>0</v>
      </c>
      <c r="L151" s="1">
        <f>ROUNDDOWN(formatted_data[[#This Row],[Selling_Price]]*formatted_data[[#This Row],[Discount_%]]/100,0)</f>
        <v>0</v>
      </c>
      <c r="M151" s="1">
        <f>(formatted_data[[#This Row],[Selling_Price]]-formatted_data[[#This Row],[Discount_Amount]])*formatted_data[[#This Row],[Units]]</f>
        <v>1998</v>
      </c>
      <c r="N151" s="1">
        <f>formatted_data[[#This Row],[Total_Revenue]]-(formatted_data[[#This Row],[Cost_Price]]*formatted_data[[#This Row],[Units]])</f>
        <v>800</v>
      </c>
      <c r="O151" s="1" t="s">
        <v>21</v>
      </c>
      <c r="P151"/>
    </row>
    <row r="152" spans="1:16" x14ac:dyDescent="0.35">
      <c r="A152" s="1" t="s">
        <v>85</v>
      </c>
      <c r="B152" s="1" t="s">
        <v>27</v>
      </c>
      <c r="C152" s="2">
        <v>45493</v>
      </c>
      <c r="D152" s="1" t="s">
        <v>17</v>
      </c>
      <c r="E152" s="1" t="s">
        <v>72</v>
      </c>
      <c r="F152" s="1" t="s">
        <v>37</v>
      </c>
      <c r="G152" s="1" t="s">
        <v>19</v>
      </c>
      <c r="H152" s="1">
        <v>2</v>
      </c>
      <c r="I152" s="1">
        <v>283</v>
      </c>
      <c r="J152" s="1">
        <v>399</v>
      </c>
      <c r="K152" s="1">
        <v>0</v>
      </c>
      <c r="L152" s="1">
        <f>ROUNDDOWN(formatted_data[[#This Row],[Selling_Price]]*formatted_data[[#This Row],[Discount_%]]/100,0)</f>
        <v>0</v>
      </c>
      <c r="M152" s="1">
        <f>(formatted_data[[#This Row],[Selling_Price]]-formatted_data[[#This Row],[Discount_Amount]])*formatted_data[[#This Row],[Units]]</f>
        <v>798</v>
      </c>
      <c r="N152" s="1">
        <f>formatted_data[[#This Row],[Total_Revenue]]-(formatted_data[[#This Row],[Cost_Price]]*formatted_data[[#This Row],[Units]])</f>
        <v>232</v>
      </c>
      <c r="O152" s="1" t="s">
        <v>21</v>
      </c>
      <c r="P152"/>
    </row>
    <row r="153" spans="1:16" x14ac:dyDescent="0.35">
      <c r="A153" s="1" t="s">
        <v>74</v>
      </c>
      <c r="B153" s="1" t="s">
        <v>16</v>
      </c>
      <c r="C153" s="2">
        <v>45629</v>
      </c>
      <c r="D153" s="1" t="s">
        <v>35</v>
      </c>
      <c r="E153" s="1" t="s">
        <v>41</v>
      </c>
      <c r="F153" s="1" t="s">
        <v>37</v>
      </c>
      <c r="G153" s="1" t="s">
        <v>20</v>
      </c>
      <c r="H153" s="1">
        <v>3</v>
      </c>
      <c r="I153" s="1">
        <v>318</v>
      </c>
      <c r="J153" s="1">
        <v>599</v>
      </c>
      <c r="K153" s="1">
        <v>5</v>
      </c>
      <c r="L153" s="1">
        <f>ROUNDDOWN(formatted_data[[#This Row],[Selling_Price]]*formatted_data[[#This Row],[Discount_%]]/100,0)</f>
        <v>29</v>
      </c>
      <c r="M153" s="1">
        <f>(formatted_data[[#This Row],[Selling_Price]]-formatted_data[[#This Row],[Discount_Amount]])*formatted_data[[#This Row],[Units]]</f>
        <v>1710</v>
      </c>
      <c r="N153" s="1">
        <f>formatted_data[[#This Row],[Total_Revenue]]-(formatted_data[[#This Row],[Cost_Price]]*formatted_data[[#This Row],[Units]])</f>
        <v>756</v>
      </c>
      <c r="O153" s="1" t="s">
        <v>21</v>
      </c>
      <c r="P153"/>
    </row>
    <row r="154" spans="1:16" x14ac:dyDescent="0.35">
      <c r="A154" s="1" t="s">
        <v>101</v>
      </c>
      <c r="B154" s="1" t="s">
        <v>16</v>
      </c>
      <c r="C154" s="2">
        <v>45585</v>
      </c>
      <c r="D154" s="1" t="s">
        <v>17</v>
      </c>
      <c r="E154" s="1" t="s">
        <v>55</v>
      </c>
      <c r="F154" s="1" t="s">
        <v>25</v>
      </c>
      <c r="G154" s="1" t="s">
        <v>19</v>
      </c>
      <c r="H154" s="1">
        <v>1</v>
      </c>
      <c r="I154" s="1">
        <v>573</v>
      </c>
      <c r="J154" s="1">
        <v>799</v>
      </c>
      <c r="K154" s="1">
        <v>0</v>
      </c>
      <c r="L154" s="1">
        <f>ROUNDDOWN(formatted_data[[#This Row],[Selling_Price]]*formatted_data[[#This Row],[Discount_%]]/100,0)</f>
        <v>0</v>
      </c>
      <c r="M154" s="1">
        <f>(formatted_data[[#This Row],[Selling_Price]]-formatted_data[[#This Row],[Discount_Amount]])*formatted_data[[#This Row],[Units]]</f>
        <v>799</v>
      </c>
      <c r="N154" s="1">
        <f>formatted_data[[#This Row],[Total_Revenue]]-(formatted_data[[#This Row],[Cost_Price]]*formatted_data[[#This Row],[Units]])</f>
        <v>226</v>
      </c>
      <c r="O154" s="1" t="s">
        <v>21</v>
      </c>
      <c r="P154"/>
    </row>
    <row r="155" spans="1:16" x14ac:dyDescent="0.35">
      <c r="A155" s="1" t="s">
        <v>103</v>
      </c>
      <c r="B155" s="1" t="s">
        <v>16</v>
      </c>
      <c r="C155" s="2">
        <v>45555</v>
      </c>
      <c r="D155" s="1" t="s">
        <v>17</v>
      </c>
      <c r="E155" s="1" t="s">
        <v>48</v>
      </c>
      <c r="F155" s="1" t="s">
        <v>19</v>
      </c>
      <c r="G155" s="1" t="s">
        <v>20</v>
      </c>
      <c r="H155" s="1">
        <v>1</v>
      </c>
      <c r="I155" s="1">
        <v>198</v>
      </c>
      <c r="J155" s="1">
        <v>299</v>
      </c>
      <c r="K155" s="1">
        <v>0</v>
      </c>
      <c r="L155" s="1">
        <f>ROUNDDOWN(formatted_data[[#This Row],[Selling_Price]]*formatted_data[[#This Row],[Discount_%]]/100,0)</f>
        <v>0</v>
      </c>
      <c r="M155" s="1">
        <f>(formatted_data[[#This Row],[Selling_Price]]-formatted_data[[#This Row],[Discount_Amount]])*formatted_data[[#This Row],[Units]]</f>
        <v>299</v>
      </c>
      <c r="N155" s="1">
        <f>formatted_data[[#This Row],[Total_Revenue]]-(formatted_data[[#This Row],[Cost_Price]]*formatted_data[[#This Row],[Units]])</f>
        <v>101</v>
      </c>
      <c r="O155" s="1" t="s">
        <v>21</v>
      </c>
      <c r="P155"/>
    </row>
    <row r="156" spans="1:16" x14ac:dyDescent="0.35">
      <c r="A156" s="1" t="s">
        <v>22</v>
      </c>
      <c r="B156" s="1" t="s">
        <v>16</v>
      </c>
      <c r="C156" s="2">
        <v>45504</v>
      </c>
      <c r="D156" s="1" t="s">
        <v>23</v>
      </c>
      <c r="E156" s="1" t="s">
        <v>24</v>
      </c>
      <c r="F156" s="1" t="s">
        <v>25</v>
      </c>
      <c r="G156" s="1" t="s">
        <v>20</v>
      </c>
      <c r="H156" s="1">
        <v>1</v>
      </c>
      <c r="I156" s="1">
        <v>739</v>
      </c>
      <c r="J156" s="1">
        <v>1299</v>
      </c>
      <c r="K156" s="1">
        <v>20</v>
      </c>
      <c r="L156" s="1">
        <f>ROUNDDOWN(formatted_data[[#This Row],[Selling_Price]]*formatted_data[[#This Row],[Discount_%]]/100,0)</f>
        <v>259</v>
      </c>
      <c r="M156" s="1">
        <f>(formatted_data[[#This Row],[Selling_Price]]-formatted_data[[#This Row],[Discount_Amount]])*formatted_data[[#This Row],[Units]]</f>
        <v>1040</v>
      </c>
      <c r="N156" s="1">
        <f>formatted_data[[#This Row],[Total_Revenue]]-(formatted_data[[#This Row],[Cost_Price]]*formatted_data[[#This Row],[Units]])</f>
        <v>301</v>
      </c>
      <c r="O156" s="1" t="s">
        <v>33</v>
      </c>
      <c r="P156"/>
    </row>
    <row r="157" spans="1:16" x14ac:dyDescent="0.35">
      <c r="A157" s="1" t="s">
        <v>94</v>
      </c>
      <c r="B157" s="1" t="s">
        <v>16</v>
      </c>
      <c r="C157" s="2">
        <v>45630</v>
      </c>
      <c r="D157" s="1" t="s">
        <v>28</v>
      </c>
      <c r="E157" s="1" t="s">
        <v>29</v>
      </c>
      <c r="F157" s="1" t="s">
        <v>19</v>
      </c>
      <c r="G157" s="1" t="s">
        <v>20</v>
      </c>
      <c r="H157" s="1">
        <v>1</v>
      </c>
      <c r="I157" s="1">
        <v>322</v>
      </c>
      <c r="J157" s="1">
        <v>599</v>
      </c>
      <c r="K157" s="1">
        <v>15</v>
      </c>
      <c r="L157" s="1">
        <f>ROUNDDOWN(formatted_data[[#This Row],[Selling_Price]]*formatted_data[[#This Row],[Discount_%]]/100,0)</f>
        <v>89</v>
      </c>
      <c r="M157" s="1">
        <f>(formatted_data[[#This Row],[Selling_Price]]-formatted_data[[#This Row],[Discount_Amount]])*formatted_data[[#This Row],[Units]]</f>
        <v>510</v>
      </c>
      <c r="N157" s="1">
        <f>formatted_data[[#This Row],[Total_Revenue]]-(formatted_data[[#This Row],[Cost_Price]]*formatted_data[[#This Row],[Units]])</f>
        <v>188</v>
      </c>
      <c r="O157" s="1" t="s">
        <v>21</v>
      </c>
      <c r="P157"/>
    </row>
    <row r="158" spans="1:16" x14ac:dyDescent="0.35">
      <c r="A158" s="1" t="s">
        <v>91</v>
      </c>
      <c r="B158" s="1" t="s">
        <v>16</v>
      </c>
      <c r="C158" s="2">
        <v>45655</v>
      </c>
      <c r="D158" s="1" t="s">
        <v>17</v>
      </c>
      <c r="E158" s="1" t="s">
        <v>48</v>
      </c>
      <c r="F158" s="1" t="s">
        <v>19</v>
      </c>
      <c r="G158" s="1" t="s">
        <v>20</v>
      </c>
      <c r="H158" s="1">
        <v>1</v>
      </c>
      <c r="I158" s="1">
        <v>331</v>
      </c>
      <c r="J158" s="1">
        <v>499</v>
      </c>
      <c r="K158" s="1">
        <v>0</v>
      </c>
      <c r="L158" s="1">
        <f>ROUNDDOWN(formatted_data[[#This Row],[Selling_Price]]*formatted_data[[#This Row],[Discount_%]]/100,0)</f>
        <v>0</v>
      </c>
      <c r="M158" s="1">
        <f>(formatted_data[[#This Row],[Selling_Price]]-formatted_data[[#This Row],[Discount_Amount]])*formatted_data[[#This Row],[Units]]</f>
        <v>499</v>
      </c>
      <c r="N158" s="1">
        <f>formatted_data[[#This Row],[Total_Revenue]]-(formatted_data[[#This Row],[Cost_Price]]*formatted_data[[#This Row],[Units]])</f>
        <v>168</v>
      </c>
      <c r="O158" s="1" t="s">
        <v>21</v>
      </c>
      <c r="P158"/>
    </row>
    <row r="159" spans="1:16" x14ac:dyDescent="0.35">
      <c r="A159" s="1" t="s">
        <v>90</v>
      </c>
      <c r="B159" s="1" t="s">
        <v>27</v>
      </c>
      <c r="C159" s="2">
        <v>45569</v>
      </c>
      <c r="D159" s="1" t="s">
        <v>31</v>
      </c>
      <c r="E159" s="1" t="s">
        <v>32</v>
      </c>
      <c r="F159" s="1" t="s">
        <v>19</v>
      </c>
      <c r="G159" s="1" t="s">
        <v>20</v>
      </c>
      <c r="H159" s="1">
        <v>2</v>
      </c>
      <c r="I159" s="1">
        <v>781</v>
      </c>
      <c r="J159" s="1">
        <v>1399</v>
      </c>
      <c r="K159" s="1">
        <v>0</v>
      </c>
      <c r="L159" s="1">
        <f>ROUNDDOWN(formatted_data[[#This Row],[Selling_Price]]*formatted_data[[#This Row],[Discount_%]]/100,0)</f>
        <v>0</v>
      </c>
      <c r="M159" s="1">
        <f>(formatted_data[[#This Row],[Selling_Price]]-formatted_data[[#This Row],[Discount_Amount]])*formatted_data[[#This Row],[Units]]</f>
        <v>2798</v>
      </c>
      <c r="N159" s="1">
        <f>formatted_data[[#This Row],[Total_Revenue]]-(formatted_data[[#This Row],[Cost_Price]]*formatted_data[[#This Row],[Units]])</f>
        <v>1236</v>
      </c>
      <c r="O159" s="1" t="s">
        <v>21</v>
      </c>
      <c r="P159"/>
    </row>
    <row r="160" spans="1:16" x14ac:dyDescent="0.35">
      <c r="A160" s="1" t="s">
        <v>98</v>
      </c>
      <c r="B160" s="1" t="s">
        <v>16</v>
      </c>
      <c r="C160" s="2">
        <v>45571</v>
      </c>
      <c r="D160" s="1" t="s">
        <v>17</v>
      </c>
      <c r="E160" s="1" t="s">
        <v>48</v>
      </c>
      <c r="F160" s="1" t="s">
        <v>25</v>
      </c>
      <c r="G160" s="1" t="s">
        <v>19</v>
      </c>
      <c r="H160" s="1">
        <v>4</v>
      </c>
      <c r="I160" s="1">
        <v>382</v>
      </c>
      <c r="J160" s="1">
        <v>599</v>
      </c>
      <c r="K160" s="1">
        <v>0</v>
      </c>
      <c r="L160" s="1">
        <f>ROUNDDOWN(formatted_data[[#This Row],[Selling_Price]]*formatted_data[[#This Row],[Discount_%]]/100,0)</f>
        <v>0</v>
      </c>
      <c r="M160" s="1">
        <f>(formatted_data[[#This Row],[Selling_Price]]-formatted_data[[#This Row],[Discount_Amount]])*formatted_data[[#This Row],[Units]]</f>
        <v>2396</v>
      </c>
      <c r="N160" s="1">
        <f>formatted_data[[#This Row],[Total_Revenue]]-(formatted_data[[#This Row],[Cost_Price]]*formatted_data[[#This Row],[Units]])</f>
        <v>868</v>
      </c>
      <c r="O160" s="1" t="s">
        <v>21</v>
      </c>
      <c r="P160"/>
    </row>
    <row r="161" spans="1:16" x14ac:dyDescent="0.35">
      <c r="A161" s="1" t="s">
        <v>52</v>
      </c>
      <c r="B161" s="1" t="s">
        <v>27</v>
      </c>
      <c r="C161" s="2">
        <v>45541</v>
      </c>
      <c r="D161" s="1" t="s">
        <v>35</v>
      </c>
      <c r="E161" s="1" t="s">
        <v>58</v>
      </c>
      <c r="F161" s="1" t="s">
        <v>25</v>
      </c>
      <c r="G161" s="1" t="s">
        <v>19</v>
      </c>
      <c r="H161" s="1">
        <v>1</v>
      </c>
      <c r="I161" s="1">
        <v>1279</v>
      </c>
      <c r="J161" s="1">
        <v>1799</v>
      </c>
      <c r="K161" s="1">
        <v>15</v>
      </c>
      <c r="L161" s="1">
        <f>ROUNDDOWN(formatted_data[[#This Row],[Selling_Price]]*formatted_data[[#This Row],[Discount_%]]/100,0)</f>
        <v>269</v>
      </c>
      <c r="M161" s="1">
        <f>(formatted_data[[#This Row],[Selling_Price]]-formatted_data[[#This Row],[Discount_Amount]])*formatted_data[[#This Row],[Units]]</f>
        <v>1530</v>
      </c>
      <c r="N161" s="1">
        <f>formatted_data[[#This Row],[Total_Revenue]]-(formatted_data[[#This Row],[Cost_Price]]*formatted_data[[#This Row],[Units]])</f>
        <v>251</v>
      </c>
      <c r="O161" s="1" t="s">
        <v>21</v>
      </c>
      <c r="P161"/>
    </row>
    <row r="162" spans="1:16" x14ac:dyDescent="0.35">
      <c r="A162" s="1" t="s">
        <v>60</v>
      </c>
      <c r="B162" s="1" t="s">
        <v>27</v>
      </c>
      <c r="C162" s="2">
        <v>45450</v>
      </c>
      <c r="D162" s="1" t="s">
        <v>31</v>
      </c>
      <c r="E162" s="1" t="s">
        <v>32</v>
      </c>
      <c r="F162" s="1" t="s">
        <v>19</v>
      </c>
      <c r="G162" s="1" t="s">
        <v>20</v>
      </c>
      <c r="H162" s="1">
        <v>3</v>
      </c>
      <c r="I162" s="1">
        <v>931</v>
      </c>
      <c r="J162" s="1">
        <v>1399</v>
      </c>
      <c r="K162" s="1">
        <v>0</v>
      </c>
      <c r="L162" s="1">
        <f>ROUNDDOWN(formatted_data[[#This Row],[Selling_Price]]*formatted_data[[#This Row],[Discount_%]]/100,0)</f>
        <v>0</v>
      </c>
      <c r="M162" s="1">
        <f>(formatted_data[[#This Row],[Selling_Price]]-formatted_data[[#This Row],[Discount_Amount]])*formatted_data[[#This Row],[Units]]</f>
        <v>4197</v>
      </c>
      <c r="N162" s="1">
        <f>formatted_data[[#This Row],[Total_Revenue]]-(formatted_data[[#This Row],[Cost_Price]]*formatted_data[[#This Row],[Units]])</f>
        <v>1404</v>
      </c>
      <c r="O162" s="1" t="s">
        <v>33</v>
      </c>
      <c r="P162"/>
    </row>
    <row r="163" spans="1:16" x14ac:dyDescent="0.35">
      <c r="A163" s="1" t="s">
        <v>60</v>
      </c>
      <c r="B163" s="1" t="s">
        <v>27</v>
      </c>
      <c r="C163" s="2">
        <v>45490</v>
      </c>
      <c r="D163" s="1" t="s">
        <v>23</v>
      </c>
      <c r="E163" s="1" t="s">
        <v>24</v>
      </c>
      <c r="F163" s="1" t="s">
        <v>37</v>
      </c>
      <c r="G163" s="1" t="s">
        <v>19</v>
      </c>
      <c r="H163" s="1">
        <v>5</v>
      </c>
      <c r="I163" s="1">
        <v>950</v>
      </c>
      <c r="J163" s="1">
        <v>1299</v>
      </c>
      <c r="K163" s="1">
        <v>20</v>
      </c>
      <c r="L163" s="1">
        <f>ROUNDDOWN(formatted_data[[#This Row],[Selling_Price]]*formatted_data[[#This Row],[Discount_%]]/100,0)</f>
        <v>259</v>
      </c>
      <c r="M163" s="1">
        <f>(formatted_data[[#This Row],[Selling_Price]]-formatted_data[[#This Row],[Discount_Amount]])*formatted_data[[#This Row],[Units]]</f>
        <v>5200</v>
      </c>
      <c r="N163" s="1">
        <f>formatted_data[[#This Row],[Total_Revenue]]-(formatted_data[[#This Row],[Cost_Price]]*formatted_data[[#This Row],[Units]])</f>
        <v>450</v>
      </c>
      <c r="O163" s="1" t="s">
        <v>21</v>
      </c>
      <c r="P163"/>
    </row>
    <row r="164" spans="1:16" x14ac:dyDescent="0.35">
      <c r="A164" s="1" t="s">
        <v>99</v>
      </c>
      <c r="B164" s="1" t="s">
        <v>27</v>
      </c>
      <c r="C164" s="2">
        <v>45457</v>
      </c>
      <c r="D164" s="1" t="s">
        <v>35</v>
      </c>
      <c r="E164" s="1" t="s">
        <v>58</v>
      </c>
      <c r="F164" s="1" t="s">
        <v>19</v>
      </c>
      <c r="G164" s="1" t="s">
        <v>20</v>
      </c>
      <c r="H164" s="1">
        <v>1</v>
      </c>
      <c r="I164" s="1">
        <v>749</v>
      </c>
      <c r="J164" s="1">
        <v>1199</v>
      </c>
      <c r="K164" s="1">
        <v>15</v>
      </c>
      <c r="L164" s="1">
        <f>ROUNDDOWN(formatted_data[[#This Row],[Selling_Price]]*formatted_data[[#This Row],[Discount_%]]/100,0)</f>
        <v>179</v>
      </c>
      <c r="M164" s="1">
        <f>(formatted_data[[#This Row],[Selling_Price]]-formatted_data[[#This Row],[Discount_Amount]])*formatted_data[[#This Row],[Units]]</f>
        <v>1020</v>
      </c>
      <c r="N164" s="1">
        <f>formatted_data[[#This Row],[Total_Revenue]]-(formatted_data[[#This Row],[Cost_Price]]*formatted_data[[#This Row],[Units]])</f>
        <v>271</v>
      </c>
      <c r="O164" s="1" t="s">
        <v>33</v>
      </c>
      <c r="P164"/>
    </row>
    <row r="165" spans="1:16" x14ac:dyDescent="0.35">
      <c r="A165" s="1" t="s">
        <v>75</v>
      </c>
      <c r="B165" s="1" t="s">
        <v>27</v>
      </c>
      <c r="C165" s="2">
        <v>45516</v>
      </c>
      <c r="D165" s="1" t="s">
        <v>31</v>
      </c>
      <c r="E165" s="1" t="s">
        <v>32</v>
      </c>
      <c r="F165" s="1" t="s">
        <v>19</v>
      </c>
      <c r="G165" s="1" t="s">
        <v>20</v>
      </c>
      <c r="H165" s="1">
        <v>1</v>
      </c>
      <c r="I165" s="1">
        <v>879</v>
      </c>
      <c r="J165" s="1">
        <v>1199</v>
      </c>
      <c r="K165" s="1">
        <v>0</v>
      </c>
      <c r="L165" s="1">
        <f>ROUNDDOWN(formatted_data[[#This Row],[Selling_Price]]*formatted_data[[#This Row],[Discount_%]]/100,0)</f>
        <v>0</v>
      </c>
      <c r="M165" s="1">
        <f>(formatted_data[[#This Row],[Selling_Price]]-formatted_data[[#This Row],[Discount_Amount]])*formatted_data[[#This Row],[Units]]</f>
        <v>1199</v>
      </c>
      <c r="N165" s="1">
        <f>formatted_data[[#This Row],[Total_Revenue]]-(formatted_data[[#This Row],[Cost_Price]]*formatted_data[[#This Row],[Units]])</f>
        <v>320</v>
      </c>
      <c r="O165" s="1" t="s">
        <v>21</v>
      </c>
      <c r="P165"/>
    </row>
    <row r="166" spans="1:16" x14ac:dyDescent="0.35">
      <c r="A166" s="1" t="s">
        <v>73</v>
      </c>
      <c r="B166" s="1" t="s">
        <v>16</v>
      </c>
      <c r="C166" s="2">
        <v>45553</v>
      </c>
      <c r="D166" s="1" t="s">
        <v>17</v>
      </c>
      <c r="E166" s="1" t="s">
        <v>18</v>
      </c>
      <c r="F166" s="1" t="s">
        <v>25</v>
      </c>
      <c r="G166" s="1" t="s">
        <v>20</v>
      </c>
      <c r="H166" s="1">
        <v>1</v>
      </c>
      <c r="I166" s="1">
        <v>193</v>
      </c>
      <c r="J166" s="1">
        <v>299</v>
      </c>
      <c r="K166" s="1">
        <v>0</v>
      </c>
      <c r="L166" s="1">
        <f>ROUNDDOWN(formatted_data[[#This Row],[Selling_Price]]*formatted_data[[#This Row],[Discount_%]]/100,0)</f>
        <v>0</v>
      </c>
      <c r="M166" s="1">
        <f>(formatted_data[[#This Row],[Selling_Price]]-formatted_data[[#This Row],[Discount_Amount]])*formatted_data[[#This Row],[Units]]</f>
        <v>299</v>
      </c>
      <c r="N166" s="1">
        <f>formatted_data[[#This Row],[Total_Revenue]]-(formatted_data[[#This Row],[Cost_Price]]*formatted_data[[#This Row],[Units]])</f>
        <v>106</v>
      </c>
      <c r="O166" s="1" t="s">
        <v>21</v>
      </c>
      <c r="P166"/>
    </row>
    <row r="167" spans="1:16" x14ac:dyDescent="0.35">
      <c r="A167" s="1" t="s">
        <v>103</v>
      </c>
      <c r="B167" s="1" t="s">
        <v>16</v>
      </c>
      <c r="C167" s="2">
        <v>45458</v>
      </c>
      <c r="D167" s="1" t="s">
        <v>28</v>
      </c>
      <c r="E167" s="1" t="s">
        <v>29</v>
      </c>
      <c r="F167" s="1" t="s">
        <v>19</v>
      </c>
      <c r="G167" s="1" t="s">
        <v>20</v>
      </c>
      <c r="H167" s="1">
        <v>4</v>
      </c>
      <c r="I167" s="1">
        <v>250</v>
      </c>
      <c r="J167" s="1">
        <v>499</v>
      </c>
      <c r="K167" s="1">
        <v>15</v>
      </c>
      <c r="L167" s="1">
        <f>ROUNDDOWN(formatted_data[[#This Row],[Selling_Price]]*formatted_data[[#This Row],[Discount_%]]/100,0)</f>
        <v>74</v>
      </c>
      <c r="M167" s="1">
        <f>(formatted_data[[#This Row],[Selling_Price]]-formatted_data[[#This Row],[Discount_Amount]])*formatted_data[[#This Row],[Units]]</f>
        <v>1700</v>
      </c>
      <c r="N167" s="1">
        <f>formatted_data[[#This Row],[Total_Revenue]]-(formatted_data[[#This Row],[Cost_Price]]*formatted_data[[#This Row],[Units]])</f>
        <v>700</v>
      </c>
      <c r="O167" s="1" t="s">
        <v>21</v>
      </c>
      <c r="P167"/>
    </row>
    <row r="168" spans="1:16" x14ac:dyDescent="0.35">
      <c r="A168" s="1" t="s">
        <v>86</v>
      </c>
      <c r="B168" s="1" t="s">
        <v>27</v>
      </c>
      <c r="C168" s="2">
        <v>45500</v>
      </c>
      <c r="D168" s="1" t="s">
        <v>17</v>
      </c>
      <c r="E168" s="1" t="s">
        <v>18</v>
      </c>
      <c r="F168" s="1" t="s">
        <v>19</v>
      </c>
      <c r="G168" s="1" t="s">
        <v>20</v>
      </c>
      <c r="H168" s="1">
        <v>2</v>
      </c>
      <c r="I168" s="1">
        <v>357</v>
      </c>
      <c r="J168" s="1">
        <v>499</v>
      </c>
      <c r="K168" s="1">
        <v>0</v>
      </c>
      <c r="L168" s="1">
        <f>ROUNDDOWN(formatted_data[[#This Row],[Selling_Price]]*formatted_data[[#This Row],[Discount_%]]/100,0)</f>
        <v>0</v>
      </c>
      <c r="M168" s="1">
        <f>(formatted_data[[#This Row],[Selling_Price]]-formatted_data[[#This Row],[Discount_Amount]])*formatted_data[[#This Row],[Units]]</f>
        <v>998</v>
      </c>
      <c r="N168" s="1">
        <f>formatted_data[[#This Row],[Total_Revenue]]-(formatted_data[[#This Row],[Cost_Price]]*formatted_data[[#This Row],[Units]])</f>
        <v>284</v>
      </c>
      <c r="O168" s="1" t="s">
        <v>21</v>
      </c>
      <c r="P168"/>
    </row>
    <row r="169" spans="1:16" x14ac:dyDescent="0.35">
      <c r="A169" s="1" t="s">
        <v>54</v>
      </c>
      <c r="B169" s="1" t="s">
        <v>27</v>
      </c>
      <c r="C169" s="2">
        <v>45613</v>
      </c>
      <c r="D169" s="1" t="s">
        <v>35</v>
      </c>
      <c r="E169" s="1" t="s">
        <v>87</v>
      </c>
      <c r="F169" s="1" t="s">
        <v>19</v>
      </c>
      <c r="G169" s="1" t="s">
        <v>20</v>
      </c>
      <c r="H169" s="1">
        <v>1</v>
      </c>
      <c r="I169" s="1">
        <v>1354</v>
      </c>
      <c r="J169" s="1">
        <v>2399</v>
      </c>
      <c r="K169" s="1">
        <v>15</v>
      </c>
      <c r="L169" s="1">
        <f>ROUNDDOWN(formatted_data[[#This Row],[Selling_Price]]*formatted_data[[#This Row],[Discount_%]]/100,0)</f>
        <v>359</v>
      </c>
      <c r="M169" s="1">
        <f>(formatted_data[[#This Row],[Selling_Price]]-formatted_data[[#This Row],[Discount_Amount]])*formatted_data[[#This Row],[Units]]</f>
        <v>2040</v>
      </c>
      <c r="N169" s="1">
        <f>formatted_data[[#This Row],[Total_Revenue]]-(formatted_data[[#This Row],[Cost_Price]]*formatted_data[[#This Row],[Units]])</f>
        <v>686</v>
      </c>
      <c r="O169" s="1" t="s">
        <v>21</v>
      </c>
      <c r="P169"/>
    </row>
    <row r="170" spans="1:16" x14ac:dyDescent="0.35">
      <c r="A170" s="1" t="s">
        <v>78</v>
      </c>
      <c r="B170" s="1" t="s">
        <v>16</v>
      </c>
      <c r="C170" s="2">
        <v>45633</v>
      </c>
      <c r="D170" s="1" t="s">
        <v>28</v>
      </c>
      <c r="E170" s="1" t="s">
        <v>45</v>
      </c>
      <c r="F170" s="1" t="s">
        <v>37</v>
      </c>
      <c r="G170" s="1" t="s">
        <v>20</v>
      </c>
      <c r="H170" s="1">
        <v>1</v>
      </c>
      <c r="I170" s="1">
        <v>359</v>
      </c>
      <c r="J170" s="1">
        <v>699</v>
      </c>
      <c r="K170" s="1">
        <v>5</v>
      </c>
      <c r="L170" s="1">
        <f>ROUNDDOWN(formatted_data[[#This Row],[Selling_Price]]*formatted_data[[#This Row],[Discount_%]]/100,0)</f>
        <v>34</v>
      </c>
      <c r="M170" s="1">
        <f>(formatted_data[[#This Row],[Selling_Price]]-formatted_data[[#This Row],[Discount_Amount]])*formatted_data[[#This Row],[Units]]</f>
        <v>665</v>
      </c>
      <c r="N170" s="1">
        <f>formatted_data[[#This Row],[Total_Revenue]]-(formatted_data[[#This Row],[Cost_Price]]*formatted_data[[#This Row],[Units]])</f>
        <v>306</v>
      </c>
      <c r="O170" s="1" t="s">
        <v>21</v>
      </c>
      <c r="P170"/>
    </row>
    <row r="171" spans="1:16" x14ac:dyDescent="0.35">
      <c r="A171" s="1" t="s">
        <v>38</v>
      </c>
      <c r="B171" s="1" t="s">
        <v>27</v>
      </c>
      <c r="C171" s="2">
        <v>45645</v>
      </c>
      <c r="D171" s="1" t="s">
        <v>35</v>
      </c>
      <c r="E171" s="1" t="s">
        <v>50</v>
      </c>
      <c r="F171" s="1" t="s">
        <v>37</v>
      </c>
      <c r="G171" s="1" t="s">
        <v>19</v>
      </c>
      <c r="H171" s="1">
        <v>1</v>
      </c>
      <c r="I171" s="1">
        <v>534</v>
      </c>
      <c r="J171" s="1">
        <v>899</v>
      </c>
      <c r="K171" s="1">
        <v>10</v>
      </c>
      <c r="L171" s="1">
        <f>ROUNDDOWN(formatted_data[[#This Row],[Selling_Price]]*formatted_data[[#This Row],[Discount_%]]/100,0)</f>
        <v>89</v>
      </c>
      <c r="M171" s="1">
        <f>(formatted_data[[#This Row],[Selling_Price]]-formatted_data[[#This Row],[Discount_Amount]])*formatted_data[[#This Row],[Units]]</f>
        <v>810</v>
      </c>
      <c r="N171" s="1">
        <f>formatted_data[[#This Row],[Total_Revenue]]-(formatted_data[[#This Row],[Cost_Price]]*formatted_data[[#This Row],[Units]])</f>
        <v>276</v>
      </c>
      <c r="O171" s="1" t="s">
        <v>21</v>
      </c>
      <c r="P171"/>
    </row>
    <row r="172" spans="1:16" x14ac:dyDescent="0.35">
      <c r="A172" s="1" t="s">
        <v>74</v>
      </c>
      <c r="B172" s="1" t="s">
        <v>16</v>
      </c>
      <c r="C172" s="2">
        <v>45486</v>
      </c>
      <c r="D172" s="1" t="s">
        <v>23</v>
      </c>
      <c r="E172" s="1" t="s">
        <v>43</v>
      </c>
      <c r="F172" s="1" t="s">
        <v>19</v>
      </c>
      <c r="G172" s="1" t="s">
        <v>19</v>
      </c>
      <c r="H172" s="1">
        <v>1</v>
      </c>
      <c r="I172" s="1">
        <v>2615</v>
      </c>
      <c r="J172" s="1">
        <v>4799</v>
      </c>
      <c r="K172" s="1">
        <v>15</v>
      </c>
      <c r="L172" s="1">
        <f>ROUNDDOWN(formatted_data[[#This Row],[Selling_Price]]*formatted_data[[#This Row],[Discount_%]]/100,0)</f>
        <v>719</v>
      </c>
      <c r="M172" s="1">
        <f>(formatted_data[[#This Row],[Selling_Price]]-formatted_data[[#This Row],[Discount_Amount]])*formatted_data[[#This Row],[Units]]</f>
        <v>4080</v>
      </c>
      <c r="N172" s="1">
        <f>formatted_data[[#This Row],[Total_Revenue]]-(formatted_data[[#This Row],[Cost_Price]]*formatted_data[[#This Row],[Units]])</f>
        <v>1465</v>
      </c>
      <c r="O172" s="1" t="s">
        <v>21</v>
      </c>
      <c r="P172"/>
    </row>
    <row r="173" spans="1:16" x14ac:dyDescent="0.35">
      <c r="A173" s="1" t="s">
        <v>67</v>
      </c>
      <c r="B173" s="1" t="s">
        <v>27</v>
      </c>
      <c r="C173" s="2">
        <v>45568</v>
      </c>
      <c r="D173" s="1" t="s">
        <v>17</v>
      </c>
      <c r="E173" s="1" t="s">
        <v>48</v>
      </c>
      <c r="F173" s="1" t="s">
        <v>37</v>
      </c>
      <c r="G173" s="1" t="s">
        <v>19</v>
      </c>
      <c r="H173" s="1">
        <v>3</v>
      </c>
      <c r="I173" s="1">
        <v>180</v>
      </c>
      <c r="J173" s="1">
        <v>299</v>
      </c>
      <c r="K173" s="1">
        <v>0</v>
      </c>
      <c r="L173" s="1">
        <f>ROUNDDOWN(formatted_data[[#This Row],[Selling_Price]]*formatted_data[[#This Row],[Discount_%]]/100,0)</f>
        <v>0</v>
      </c>
      <c r="M173" s="1">
        <f>(formatted_data[[#This Row],[Selling_Price]]-formatted_data[[#This Row],[Discount_Amount]])*formatted_data[[#This Row],[Units]]</f>
        <v>897</v>
      </c>
      <c r="N173" s="1">
        <f>formatted_data[[#This Row],[Total_Revenue]]-(formatted_data[[#This Row],[Cost_Price]]*formatted_data[[#This Row],[Units]])</f>
        <v>357</v>
      </c>
      <c r="O173" s="1" t="s">
        <v>21</v>
      </c>
      <c r="P173"/>
    </row>
    <row r="174" spans="1:16" x14ac:dyDescent="0.35">
      <c r="A174" s="1" t="s">
        <v>104</v>
      </c>
      <c r="B174" s="1" t="s">
        <v>27</v>
      </c>
      <c r="C174" s="2">
        <v>45453</v>
      </c>
      <c r="D174" s="1" t="s">
        <v>31</v>
      </c>
      <c r="E174" s="1" t="s">
        <v>32</v>
      </c>
      <c r="F174" s="1" t="s">
        <v>19</v>
      </c>
      <c r="G174" s="1" t="s">
        <v>20</v>
      </c>
      <c r="H174" s="1">
        <v>1</v>
      </c>
      <c r="I174" s="1">
        <v>907</v>
      </c>
      <c r="J174" s="1">
        <v>1499</v>
      </c>
      <c r="K174" s="1">
        <v>0</v>
      </c>
      <c r="L174" s="1">
        <f>ROUNDDOWN(formatted_data[[#This Row],[Selling_Price]]*formatted_data[[#This Row],[Discount_%]]/100,0)</f>
        <v>0</v>
      </c>
      <c r="M174" s="1">
        <f>(formatted_data[[#This Row],[Selling_Price]]-formatted_data[[#This Row],[Discount_Amount]])*formatted_data[[#This Row],[Units]]</f>
        <v>1499</v>
      </c>
      <c r="N174" s="1">
        <f>formatted_data[[#This Row],[Total_Revenue]]-(formatted_data[[#This Row],[Cost_Price]]*formatted_data[[#This Row],[Units]])</f>
        <v>592</v>
      </c>
      <c r="O174" s="1" t="s">
        <v>21</v>
      </c>
      <c r="P174"/>
    </row>
    <row r="175" spans="1:16" x14ac:dyDescent="0.35">
      <c r="A175" s="1" t="s">
        <v>89</v>
      </c>
      <c r="B175" s="1" t="s">
        <v>16</v>
      </c>
      <c r="C175" s="2">
        <v>45594</v>
      </c>
      <c r="D175" s="1" t="s">
        <v>17</v>
      </c>
      <c r="E175" s="1" t="s">
        <v>72</v>
      </c>
      <c r="F175" s="1" t="s">
        <v>37</v>
      </c>
      <c r="G175" s="1" t="s">
        <v>19</v>
      </c>
      <c r="H175" s="1">
        <v>1</v>
      </c>
      <c r="I175" s="1">
        <v>336</v>
      </c>
      <c r="J175" s="1">
        <v>499</v>
      </c>
      <c r="K175" s="1">
        <v>0</v>
      </c>
      <c r="L175" s="1">
        <f>ROUNDDOWN(formatted_data[[#This Row],[Selling_Price]]*formatted_data[[#This Row],[Discount_%]]/100,0)</f>
        <v>0</v>
      </c>
      <c r="M175" s="1">
        <f>(formatted_data[[#This Row],[Selling_Price]]-formatted_data[[#This Row],[Discount_Amount]])*formatted_data[[#This Row],[Units]]</f>
        <v>499</v>
      </c>
      <c r="N175" s="1">
        <f>formatted_data[[#This Row],[Total_Revenue]]-(formatted_data[[#This Row],[Cost_Price]]*formatted_data[[#This Row],[Units]])</f>
        <v>163</v>
      </c>
      <c r="O175" s="1" t="s">
        <v>21</v>
      </c>
      <c r="P175"/>
    </row>
    <row r="176" spans="1:16" x14ac:dyDescent="0.35">
      <c r="A176" s="1" t="s">
        <v>34</v>
      </c>
      <c r="B176" s="1" t="s">
        <v>27</v>
      </c>
      <c r="C176" s="2">
        <v>45564</v>
      </c>
      <c r="D176" s="1" t="s">
        <v>35</v>
      </c>
      <c r="E176" s="1" t="s">
        <v>50</v>
      </c>
      <c r="F176" s="1" t="s">
        <v>25</v>
      </c>
      <c r="G176" s="1" t="s">
        <v>20</v>
      </c>
      <c r="H176" s="1">
        <v>2</v>
      </c>
      <c r="I176" s="1">
        <v>821</v>
      </c>
      <c r="J176" s="1">
        <v>1199</v>
      </c>
      <c r="K176" s="1">
        <v>10</v>
      </c>
      <c r="L176" s="1">
        <f>ROUNDDOWN(formatted_data[[#This Row],[Selling_Price]]*formatted_data[[#This Row],[Discount_%]]/100,0)</f>
        <v>119</v>
      </c>
      <c r="M176" s="1">
        <f>(formatted_data[[#This Row],[Selling_Price]]-formatted_data[[#This Row],[Discount_Amount]])*formatted_data[[#This Row],[Units]]</f>
        <v>2160</v>
      </c>
      <c r="N176" s="1">
        <f>formatted_data[[#This Row],[Total_Revenue]]-(formatted_data[[#This Row],[Cost_Price]]*formatted_data[[#This Row],[Units]])</f>
        <v>518</v>
      </c>
      <c r="O176" s="1" t="s">
        <v>21</v>
      </c>
      <c r="P176"/>
    </row>
    <row r="177" spans="1:16" x14ac:dyDescent="0.35">
      <c r="A177" s="1" t="s">
        <v>105</v>
      </c>
      <c r="B177" s="1" t="s">
        <v>16</v>
      </c>
      <c r="C177" s="2">
        <v>45554</v>
      </c>
      <c r="D177" s="1" t="s">
        <v>31</v>
      </c>
      <c r="E177" s="1" t="s">
        <v>32</v>
      </c>
      <c r="F177" s="1" t="s">
        <v>25</v>
      </c>
      <c r="G177" s="1" t="s">
        <v>20</v>
      </c>
      <c r="H177" s="1">
        <v>2</v>
      </c>
      <c r="I177" s="1">
        <v>953</v>
      </c>
      <c r="J177" s="1">
        <v>1399</v>
      </c>
      <c r="K177" s="1">
        <v>0</v>
      </c>
      <c r="L177" s="1">
        <f>ROUNDDOWN(formatted_data[[#This Row],[Selling_Price]]*formatted_data[[#This Row],[Discount_%]]/100,0)</f>
        <v>0</v>
      </c>
      <c r="M177" s="1">
        <f>(formatted_data[[#This Row],[Selling_Price]]-formatted_data[[#This Row],[Discount_Amount]])*formatted_data[[#This Row],[Units]]</f>
        <v>2798</v>
      </c>
      <c r="N177" s="1">
        <f>formatted_data[[#This Row],[Total_Revenue]]-(formatted_data[[#This Row],[Cost_Price]]*formatted_data[[#This Row],[Units]])</f>
        <v>892</v>
      </c>
      <c r="O177" s="1" t="s">
        <v>21</v>
      </c>
      <c r="P177"/>
    </row>
    <row r="178" spans="1:16" x14ac:dyDescent="0.35">
      <c r="A178" s="1" t="s">
        <v>66</v>
      </c>
      <c r="B178" s="1" t="s">
        <v>27</v>
      </c>
      <c r="C178" s="2">
        <v>45525</v>
      </c>
      <c r="D178" s="1" t="s">
        <v>31</v>
      </c>
      <c r="E178" s="1" t="s">
        <v>76</v>
      </c>
      <c r="F178" s="1" t="s">
        <v>37</v>
      </c>
      <c r="G178" s="1" t="s">
        <v>20</v>
      </c>
      <c r="H178" s="1">
        <v>1</v>
      </c>
      <c r="I178" s="1">
        <v>542</v>
      </c>
      <c r="J178" s="1">
        <v>999</v>
      </c>
      <c r="K178" s="1">
        <v>0</v>
      </c>
      <c r="L178" s="1">
        <f>ROUNDDOWN(formatted_data[[#This Row],[Selling_Price]]*formatted_data[[#This Row],[Discount_%]]/100,0)</f>
        <v>0</v>
      </c>
      <c r="M178" s="1">
        <f>(formatted_data[[#This Row],[Selling_Price]]-formatted_data[[#This Row],[Discount_Amount]])*formatted_data[[#This Row],[Units]]</f>
        <v>999</v>
      </c>
      <c r="N178" s="1">
        <f>formatted_data[[#This Row],[Total_Revenue]]-(formatted_data[[#This Row],[Cost_Price]]*formatted_data[[#This Row],[Units]])</f>
        <v>457</v>
      </c>
      <c r="O178" s="1" t="s">
        <v>21</v>
      </c>
      <c r="P178"/>
    </row>
    <row r="179" spans="1:16" x14ac:dyDescent="0.35">
      <c r="A179" s="1" t="s">
        <v>42</v>
      </c>
      <c r="B179" s="1" t="s">
        <v>27</v>
      </c>
      <c r="C179" s="2">
        <v>45527</v>
      </c>
      <c r="D179" s="1" t="s">
        <v>17</v>
      </c>
      <c r="E179" s="1" t="s">
        <v>72</v>
      </c>
      <c r="F179" s="1" t="s">
        <v>19</v>
      </c>
      <c r="G179" s="1" t="s">
        <v>19</v>
      </c>
      <c r="H179" s="1">
        <v>1</v>
      </c>
      <c r="I179" s="1">
        <v>286</v>
      </c>
      <c r="J179" s="1">
        <v>399</v>
      </c>
      <c r="K179" s="1">
        <v>0</v>
      </c>
      <c r="L179" s="1">
        <f>ROUNDDOWN(formatted_data[[#This Row],[Selling_Price]]*formatted_data[[#This Row],[Discount_%]]/100,0)</f>
        <v>0</v>
      </c>
      <c r="M179" s="1">
        <f>(formatted_data[[#This Row],[Selling_Price]]-formatted_data[[#This Row],[Discount_Amount]])*formatted_data[[#This Row],[Units]]</f>
        <v>399</v>
      </c>
      <c r="N179" s="1">
        <f>formatted_data[[#This Row],[Total_Revenue]]-(formatted_data[[#This Row],[Cost_Price]]*formatted_data[[#This Row],[Units]])</f>
        <v>113</v>
      </c>
      <c r="O179" s="1" t="s">
        <v>33</v>
      </c>
      <c r="P179"/>
    </row>
    <row r="180" spans="1:16" x14ac:dyDescent="0.35">
      <c r="A180" s="1" t="s">
        <v>105</v>
      </c>
      <c r="B180" s="1" t="s">
        <v>16</v>
      </c>
      <c r="C180" s="2">
        <v>45617</v>
      </c>
      <c r="D180" s="1" t="s">
        <v>17</v>
      </c>
      <c r="E180" s="1" t="s">
        <v>72</v>
      </c>
      <c r="F180" s="1" t="s">
        <v>25</v>
      </c>
      <c r="G180" s="1" t="s">
        <v>19</v>
      </c>
      <c r="H180" s="1">
        <v>1</v>
      </c>
      <c r="I180" s="1">
        <v>326</v>
      </c>
      <c r="J180" s="1">
        <v>499</v>
      </c>
      <c r="K180" s="1">
        <v>0</v>
      </c>
      <c r="L180" s="1">
        <f>ROUNDDOWN(formatted_data[[#This Row],[Selling_Price]]*formatted_data[[#This Row],[Discount_%]]/100,0)</f>
        <v>0</v>
      </c>
      <c r="M180" s="1">
        <f>(formatted_data[[#This Row],[Selling_Price]]-formatted_data[[#This Row],[Discount_Amount]])*formatted_data[[#This Row],[Units]]</f>
        <v>499</v>
      </c>
      <c r="N180" s="1">
        <f>formatted_data[[#This Row],[Total_Revenue]]-(formatted_data[[#This Row],[Cost_Price]]*formatted_data[[#This Row],[Units]])</f>
        <v>173</v>
      </c>
      <c r="O180" s="1" t="s">
        <v>21</v>
      </c>
      <c r="P180"/>
    </row>
    <row r="181" spans="1:16" x14ac:dyDescent="0.35">
      <c r="A181" s="1" t="s">
        <v>103</v>
      </c>
      <c r="B181" s="1" t="s">
        <v>16</v>
      </c>
      <c r="C181" s="2">
        <v>45510</v>
      </c>
      <c r="D181" s="1" t="s">
        <v>28</v>
      </c>
      <c r="E181" s="1" t="s">
        <v>45</v>
      </c>
      <c r="F181" s="1" t="s">
        <v>37</v>
      </c>
      <c r="G181" s="1" t="s">
        <v>20</v>
      </c>
      <c r="H181" s="1">
        <v>1</v>
      </c>
      <c r="I181" s="1">
        <v>438</v>
      </c>
      <c r="J181" s="1">
        <v>799</v>
      </c>
      <c r="K181" s="1">
        <v>20</v>
      </c>
      <c r="L181" s="1">
        <f>ROUNDDOWN(formatted_data[[#This Row],[Selling_Price]]*formatted_data[[#This Row],[Discount_%]]/100,0)</f>
        <v>159</v>
      </c>
      <c r="M181" s="1">
        <f>(formatted_data[[#This Row],[Selling_Price]]-formatted_data[[#This Row],[Discount_Amount]])*formatted_data[[#This Row],[Units]]</f>
        <v>640</v>
      </c>
      <c r="N181" s="1">
        <f>formatted_data[[#This Row],[Total_Revenue]]-(formatted_data[[#This Row],[Cost_Price]]*formatted_data[[#This Row],[Units]])</f>
        <v>202</v>
      </c>
      <c r="O181" s="1" t="s">
        <v>21</v>
      </c>
      <c r="P181"/>
    </row>
    <row r="182" spans="1:16" x14ac:dyDescent="0.35">
      <c r="A182" s="1" t="s">
        <v>89</v>
      </c>
      <c r="B182" s="1" t="s">
        <v>16</v>
      </c>
      <c r="C182" s="2">
        <v>45466</v>
      </c>
      <c r="D182" s="1" t="s">
        <v>23</v>
      </c>
      <c r="E182" s="1" t="s">
        <v>43</v>
      </c>
      <c r="F182" s="1" t="s">
        <v>19</v>
      </c>
      <c r="G182" s="1" t="s">
        <v>20</v>
      </c>
      <c r="H182" s="1">
        <v>4</v>
      </c>
      <c r="I182" s="1">
        <v>2117</v>
      </c>
      <c r="J182" s="1">
        <v>3699</v>
      </c>
      <c r="K182" s="1">
        <v>5</v>
      </c>
      <c r="L182" s="1">
        <f>ROUNDDOWN(formatted_data[[#This Row],[Selling_Price]]*formatted_data[[#This Row],[Discount_%]]/100,0)</f>
        <v>184</v>
      </c>
      <c r="M182" s="1">
        <f>(formatted_data[[#This Row],[Selling_Price]]-formatted_data[[#This Row],[Discount_Amount]])*formatted_data[[#This Row],[Units]]</f>
        <v>14060</v>
      </c>
      <c r="N182" s="1">
        <f>formatted_data[[#This Row],[Total_Revenue]]-(formatted_data[[#This Row],[Cost_Price]]*formatted_data[[#This Row],[Units]])</f>
        <v>5592</v>
      </c>
      <c r="O182" s="1" t="s">
        <v>21</v>
      </c>
      <c r="P182"/>
    </row>
    <row r="183" spans="1:16" x14ac:dyDescent="0.35">
      <c r="A183" s="1" t="s">
        <v>67</v>
      </c>
      <c r="B183" s="1" t="s">
        <v>27</v>
      </c>
      <c r="C183" s="2">
        <v>45480</v>
      </c>
      <c r="D183" s="1" t="s">
        <v>35</v>
      </c>
      <c r="E183" s="1" t="s">
        <v>58</v>
      </c>
      <c r="F183" s="1" t="s">
        <v>37</v>
      </c>
      <c r="G183" s="1" t="s">
        <v>19</v>
      </c>
      <c r="H183" s="1">
        <v>1</v>
      </c>
      <c r="I183" s="1">
        <v>1467</v>
      </c>
      <c r="J183" s="1">
        <v>2199</v>
      </c>
      <c r="K183" s="1">
        <v>5</v>
      </c>
      <c r="L183" s="1">
        <f>ROUNDDOWN(formatted_data[[#This Row],[Selling_Price]]*formatted_data[[#This Row],[Discount_%]]/100,0)</f>
        <v>109</v>
      </c>
      <c r="M183" s="1">
        <f>(formatted_data[[#This Row],[Selling_Price]]-formatted_data[[#This Row],[Discount_Amount]])*formatted_data[[#This Row],[Units]]</f>
        <v>2090</v>
      </c>
      <c r="N183" s="1">
        <f>formatted_data[[#This Row],[Total_Revenue]]-(formatted_data[[#This Row],[Cost_Price]]*formatted_data[[#This Row],[Units]])</f>
        <v>623</v>
      </c>
      <c r="O183" s="1" t="s">
        <v>33</v>
      </c>
      <c r="P183"/>
    </row>
    <row r="184" spans="1:16" x14ac:dyDescent="0.35">
      <c r="A184" s="1" t="s">
        <v>60</v>
      </c>
      <c r="B184" s="1" t="s">
        <v>27</v>
      </c>
      <c r="C184" s="2">
        <v>45494</v>
      </c>
      <c r="D184" s="1" t="s">
        <v>28</v>
      </c>
      <c r="E184" s="1" t="s">
        <v>29</v>
      </c>
      <c r="F184" s="1" t="s">
        <v>37</v>
      </c>
      <c r="G184" s="1" t="s">
        <v>19</v>
      </c>
      <c r="H184" s="1">
        <v>1</v>
      </c>
      <c r="I184" s="1">
        <v>302</v>
      </c>
      <c r="J184" s="1">
        <v>499</v>
      </c>
      <c r="K184" s="1">
        <v>10</v>
      </c>
      <c r="L184" s="1">
        <f>ROUNDDOWN(formatted_data[[#This Row],[Selling_Price]]*formatted_data[[#This Row],[Discount_%]]/100,0)</f>
        <v>49</v>
      </c>
      <c r="M184" s="1">
        <f>(formatted_data[[#This Row],[Selling_Price]]-formatted_data[[#This Row],[Discount_Amount]])*formatted_data[[#This Row],[Units]]</f>
        <v>450</v>
      </c>
      <c r="N184" s="1">
        <f>formatted_data[[#This Row],[Total_Revenue]]-(formatted_data[[#This Row],[Cost_Price]]*formatted_data[[#This Row],[Units]])</f>
        <v>148</v>
      </c>
      <c r="O184" s="1" t="s">
        <v>21</v>
      </c>
      <c r="P184"/>
    </row>
    <row r="185" spans="1:16" x14ac:dyDescent="0.35">
      <c r="A185" s="1" t="s">
        <v>70</v>
      </c>
      <c r="B185" s="1" t="s">
        <v>27</v>
      </c>
      <c r="C185" s="2">
        <v>45631</v>
      </c>
      <c r="D185" s="1" t="s">
        <v>17</v>
      </c>
      <c r="E185" s="1" t="s">
        <v>18</v>
      </c>
      <c r="F185" s="1" t="s">
        <v>37</v>
      </c>
      <c r="G185" s="1" t="s">
        <v>19</v>
      </c>
      <c r="H185" s="1">
        <v>1</v>
      </c>
      <c r="I185" s="1">
        <v>264</v>
      </c>
      <c r="J185" s="1">
        <v>399</v>
      </c>
      <c r="K185" s="1">
        <v>0</v>
      </c>
      <c r="L185" s="1">
        <f>ROUNDDOWN(formatted_data[[#This Row],[Selling_Price]]*formatted_data[[#This Row],[Discount_%]]/100,0)</f>
        <v>0</v>
      </c>
      <c r="M185" s="1">
        <f>(formatted_data[[#This Row],[Selling_Price]]-formatted_data[[#This Row],[Discount_Amount]])*formatted_data[[#This Row],[Units]]</f>
        <v>399</v>
      </c>
      <c r="N185" s="1">
        <f>formatted_data[[#This Row],[Total_Revenue]]-(formatted_data[[#This Row],[Cost_Price]]*formatted_data[[#This Row],[Units]])</f>
        <v>135</v>
      </c>
      <c r="O185" s="1" t="s">
        <v>21</v>
      </c>
      <c r="P185"/>
    </row>
    <row r="186" spans="1:16" x14ac:dyDescent="0.35">
      <c r="A186" s="1" t="s">
        <v>85</v>
      </c>
      <c r="B186" s="1" t="s">
        <v>27</v>
      </c>
      <c r="C186" s="2">
        <v>45516</v>
      </c>
      <c r="D186" s="1" t="s">
        <v>31</v>
      </c>
      <c r="E186" s="1" t="s">
        <v>76</v>
      </c>
      <c r="F186" s="1" t="s">
        <v>25</v>
      </c>
      <c r="G186" s="1" t="s">
        <v>19</v>
      </c>
      <c r="H186" s="1">
        <v>2</v>
      </c>
      <c r="I186" s="1">
        <v>401</v>
      </c>
      <c r="J186" s="1">
        <v>699</v>
      </c>
      <c r="K186" s="1">
        <v>0</v>
      </c>
      <c r="L186" s="1">
        <f>ROUNDDOWN(formatted_data[[#This Row],[Selling_Price]]*formatted_data[[#This Row],[Discount_%]]/100,0)</f>
        <v>0</v>
      </c>
      <c r="M186" s="1">
        <f>(formatted_data[[#This Row],[Selling_Price]]-formatted_data[[#This Row],[Discount_Amount]])*formatted_data[[#This Row],[Units]]</f>
        <v>1398</v>
      </c>
      <c r="N186" s="1">
        <f>formatted_data[[#This Row],[Total_Revenue]]-(formatted_data[[#This Row],[Cost_Price]]*formatted_data[[#This Row],[Units]])</f>
        <v>596</v>
      </c>
      <c r="O186" s="1" t="s">
        <v>21</v>
      </c>
      <c r="P186"/>
    </row>
    <row r="187" spans="1:16" x14ac:dyDescent="0.35">
      <c r="A187" s="1" t="s">
        <v>42</v>
      </c>
      <c r="B187" s="1" t="s">
        <v>27</v>
      </c>
      <c r="C187" s="2">
        <v>45542</v>
      </c>
      <c r="D187" s="1" t="s">
        <v>17</v>
      </c>
      <c r="E187" s="1" t="s">
        <v>48</v>
      </c>
      <c r="F187" s="1" t="s">
        <v>37</v>
      </c>
      <c r="G187" s="1" t="s">
        <v>20</v>
      </c>
      <c r="H187" s="1">
        <v>5</v>
      </c>
      <c r="I187" s="1">
        <v>316</v>
      </c>
      <c r="J187" s="1">
        <v>499</v>
      </c>
      <c r="K187" s="1">
        <v>0</v>
      </c>
      <c r="L187" s="1">
        <f>ROUNDDOWN(formatted_data[[#This Row],[Selling_Price]]*formatted_data[[#This Row],[Discount_%]]/100,0)</f>
        <v>0</v>
      </c>
      <c r="M187" s="1">
        <f>(formatted_data[[#This Row],[Selling_Price]]-formatted_data[[#This Row],[Discount_Amount]])*formatted_data[[#This Row],[Units]]</f>
        <v>2495</v>
      </c>
      <c r="N187" s="1">
        <f>formatted_data[[#This Row],[Total_Revenue]]-(formatted_data[[#This Row],[Cost_Price]]*formatted_data[[#This Row],[Units]])</f>
        <v>915</v>
      </c>
      <c r="O187" s="1" t="s">
        <v>33</v>
      </c>
      <c r="P187"/>
    </row>
    <row r="188" spans="1:16" x14ac:dyDescent="0.35">
      <c r="A188" s="1" t="s">
        <v>51</v>
      </c>
      <c r="B188" s="1" t="s">
        <v>16</v>
      </c>
      <c r="C188" s="2">
        <v>45550</v>
      </c>
      <c r="D188" s="1" t="s">
        <v>23</v>
      </c>
      <c r="E188" s="1" t="s">
        <v>24</v>
      </c>
      <c r="F188" s="1" t="s">
        <v>19</v>
      </c>
      <c r="G188" s="1" t="s">
        <v>19</v>
      </c>
      <c r="H188" s="1">
        <v>1</v>
      </c>
      <c r="I188" s="1">
        <v>897</v>
      </c>
      <c r="J188" s="1">
        <v>1199</v>
      </c>
      <c r="K188" s="1">
        <v>10</v>
      </c>
      <c r="L188" s="1">
        <f>ROUNDDOWN(formatted_data[[#This Row],[Selling_Price]]*formatted_data[[#This Row],[Discount_%]]/100,0)</f>
        <v>119</v>
      </c>
      <c r="M188" s="1">
        <f>(formatted_data[[#This Row],[Selling_Price]]-formatted_data[[#This Row],[Discount_Amount]])*formatted_data[[#This Row],[Units]]</f>
        <v>1080</v>
      </c>
      <c r="N188" s="1">
        <f>formatted_data[[#This Row],[Total_Revenue]]-(formatted_data[[#This Row],[Cost_Price]]*formatted_data[[#This Row],[Units]])</f>
        <v>183</v>
      </c>
      <c r="O188" s="1" t="s">
        <v>21</v>
      </c>
      <c r="P188"/>
    </row>
    <row r="189" spans="1:16" x14ac:dyDescent="0.35">
      <c r="A189" s="1" t="s">
        <v>88</v>
      </c>
      <c r="B189" s="1" t="s">
        <v>27</v>
      </c>
      <c r="C189" s="2">
        <v>45548</v>
      </c>
      <c r="D189" s="1" t="s">
        <v>35</v>
      </c>
      <c r="E189" s="1" t="s">
        <v>41</v>
      </c>
      <c r="F189" s="1" t="s">
        <v>37</v>
      </c>
      <c r="G189" s="1" t="s">
        <v>19</v>
      </c>
      <c r="H189" s="1">
        <v>2</v>
      </c>
      <c r="I189" s="1">
        <v>507</v>
      </c>
      <c r="J189" s="1">
        <v>999</v>
      </c>
      <c r="K189" s="1">
        <v>15</v>
      </c>
      <c r="L189" s="1">
        <f>ROUNDDOWN(formatted_data[[#This Row],[Selling_Price]]*formatted_data[[#This Row],[Discount_%]]/100,0)</f>
        <v>149</v>
      </c>
      <c r="M189" s="1">
        <f>(formatted_data[[#This Row],[Selling_Price]]-formatted_data[[#This Row],[Discount_Amount]])*formatted_data[[#This Row],[Units]]</f>
        <v>1700</v>
      </c>
      <c r="N189" s="1">
        <f>formatted_data[[#This Row],[Total_Revenue]]-(formatted_data[[#This Row],[Cost_Price]]*formatted_data[[#This Row],[Units]])</f>
        <v>686</v>
      </c>
      <c r="O189" s="1" t="s">
        <v>21</v>
      </c>
      <c r="P189"/>
    </row>
    <row r="190" spans="1:16" x14ac:dyDescent="0.35">
      <c r="A190" s="1" t="s">
        <v>78</v>
      </c>
      <c r="B190" s="1" t="s">
        <v>16</v>
      </c>
      <c r="C190" s="2">
        <v>45455</v>
      </c>
      <c r="D190" s="1" t="s">
        <v>35</v>
      </c>
      <c r="E190" s="1" t="s">
        <v>50</v>
      </c>
      <c r="F190" s="1" t="s">
        <v>37</v>
      </c>
      <c r="G190" s="1" t="s">
        <v>19</v>
      </c>
      <c r="H190" s="1">
        <v>1</v>
      </c>
      <c r="I190" s="1">
        <v>1219</v>
      </c>
      <c r="J190" s="1">
        <v>1799</v>
      </c>
      <c r="K190" s="1">
        <v>15</v>
      </c>
      <c r="L190" s="1">
        <f>ROUNDDOWN(formatted_data[[#This Row],[Selling_Price]]*formatted_data[[#This Row],[Discount_%]]/100,0)</f>
        <v>269</v>
      </c>
      <c r="M190" s="1">
        <f>(formatted_data[[#This Row],[Selling_Price]]-formatted_data[[#This Row],[Discount_Amount]])*formatted_data[[#This Row],[Units]]</f>
        <v>1530</v>
      </c>
      <c r="N190" s="1">
        <f>formatted_data[[#This Row],[Total_Revenue]]-(formatted_data[[#This Row],[Cost_Price]]*formatted_data[[#This Row],[Units]])</f>
        <v>311</v>
      </c>
      <c r="O190" s="1" t="s">
        <v>21</v>
      </c>
      <c r="P190"/>
    </row>
    <row r="191" spans="1:16" x14ac:dyDescent="0.35">
      <c r="A191" s="1" t="s">
        <v>90</v>
      </c>
      <c r="B191" s="1" t="s">
        <v>27</v>
      </c>
      <c r="C191" s="2">
        <v>45549</v>
      </c>
      <c r="D191" s="1" t="s">
        <v>17</v>
      </c>
      <c r="E191" s="1" t="s">
        <v>18</v>
      </c>
      <c r="F191" s="1" t="s">
        <v>37</v>
      </c>
      <c r="G191" s="1" t="s">
        <v>20</v>
      </c>
      <c r="H191" s="1">
        <v>4</v>
      </c>
      <c r="I191" s="1">
        <v>252</v>
      </c>
      <c r="J191" s="1">
        <v>399</v>
      </c>
      <c r="K191" s="1">
        <v>0</v>
      </c>
      <c r="L191" s="1">
        <f>ROUNDDOWN(formatted_data[[#This Row],[Selling_Price]]*formatted_data[[#This Row],[Discount_%]]/100,0)</f>
        <v>0</v>
      </c>
      <c r="M191" s="1">
        <f>(formatted_data[[#This Row],[Selling_Price]]-formatted_data[[#This Row],[Discount_Amount]])*formatted_data[[#This Row],[Units]]</f>
        <v>1596</v>
      </c>
      <c r="N191" s="1">
        <f>formatted_data[[#This Row],[Total_Revenue]]-(formatted_data[[#This Row],[Cost_Price]]*formatted_data[[#This Row],[Units]])</f>
        <v>588</v>
      </c>
      <c r="O191" s="1" t="s">
        <v>33</v>
      </c>
      <c r="P191"/>
    </row>
    <row r="192" spans="1:16" x14ac:dyDescent="0.35">
      <c r="A192" s="1" t="s">
        <v>106</v>
      </c>
      <c r="B192" s="1" t="s">
        <v>27</v>
      </c>
      <c r="C192" s="2">
        <v>45471</v>
      </c>
      <c r="D192" s="1" t="s">
        <v>28</v>
      </c>
      <c r="E192" s="1" t="s">
        <v>29</v>
      </c>
      <c r="F192" s="1" t="s">
        <v>25</v>
      </c>
      <c r="G192" s="1" t="s">
        <v>19</v>
      </c>
      <c r="H192" s="1">
        <v>1</v>
      </c>
      <c r="I192" s="1">
        <v>481</v>
      </c>
      <c r="J192" s="1">
        <v>699</v>
      </c>
      <c r="K192" s="1">
        <v>20</v>
      </c>
      <c r="L192" s="1">
        <f>ROUNDDOWN(formatted_data[[#This Row],[Selling_Price]]*formatted_data[[#This Row],[Discount_%]]/100,0)</f>
        <v>139</v>
      </c>
      <c r="M192" s="1">
        <f>(formatted_data[[#This Row],[Selling_Price]]-formatted_data[[#This Row],[Discount_Amount]])*formatted_data[[#This Row],[Units]]</f>
        <v>560</v>
      </c>
      <c r="N192" s="1">
        <f>formatted_data[[#This Row],[Total_Revenue]]-(formatted_data[[#This Row],[Cost_Price]]*formatted_data[[#This Row],[Units]])</f>
        <v>79</v>
      </c>
      <c r="O192" s="1" t="s">
        <v>21</v>
      </c>
      <c r="P192"/>
    </row>
    <row r="193" spans="1:16" x14ac:dyDescent="0.35">
      <c r="A193" s="1" t="s">
        <v>79</v>
      </c>
      <c r="B193" s="1" t="s">
        <v>16</v>
      </c>
      <c r="C193" s="2">
        <v>45641</v>
      </c>
      <c r="D193" s="1" t="s">
        <v>31</v>
      </c>
      <c r="E193" s="1" t="s">
        <v>32</v>
      </c>
      <c r="F193" s="1" t="s">
        <v>25</v>
      </c>
      <c r="G193" s="1" t="s">
        <v>19</v>
      </c>
      <c r="H193" s="1">
        <v>5</v>
      </c>
      <c r="I193" s="1">
        <v>657</v>
      </c>
      <c r="J193" s="1">
        <v>899</v>
      </c>
      <c r="K193" s="1">
        <v>0</v>
      </c>
      <c r="L193" s="1">
        <f>ROUNDDOWN(formatted_data[[#This Row],[Selling_Price]]*formatted_data[[#This Row],[Discount_%]]/100,0)</f>
        <v>0</v>
      </c>
      <c r="M193" s="1">
        <f>(formatted_data[[#This Row],[Selling_Price]]-formatted_data[[#This Row],[Discount_Amount]])*formatted_data[[#This Row],[Units]]</f>
        <v>4495</v>
      </c>
      <c r="N193" s="1">
        <f>formatted_data[[#This Row],[Total_Revenue]]-(formatted_data[[#This Row],[Cost_Price]]*formatted_data[[#This Row],[Units]])</f>
        <v>1210</v>
      </c>
      <c r="O193" s="1" t="s">
        <v>21</v>
      </c>
      <c r="P193"/>
    </row>
    <row r="194" spans="1:16" x14ac:dyDescent="0.35">
      <c r="A194" s="1" t="s">
        <v>15</v>
      </c>
      <c r="B194" s="1" t="s">
        <v>16</v>
      </c>
      <c r="C194" s="2">
        <v>45655</v>
      </c>
      <c r="D194" s="1" t="s">
        <v>35</v>
      </c>
      <c r="E194" s="1" t="s">
        <v>41</v>
      </c>
      <c r="F194" s="1" t="s">
        <v>25</v>
      </c>
      <c r="G194" s="1" t="s">
        <v>20</v>
      </c>
      <c r="H194" s="1">
        <v>2</v>
      </c>
      <c r="I194" s="1">
        <v>384</v>
      </c>
      <c r="J194" s="1">
        <v>599</v>
      </c>
      <c r="K194" s="1">
        <v>5</v>
      </c>
      <c r="L194" s="1">
        <f>ROUNDDOWN(formatted_data[[#This Row],[Selling_Price]]*formatted_data[[#This Row],[Discount_%]]/100,0)</f>
        <v>29</v>
      </c>
      <c r="M194" s="1">
        <f>(formatted_data[[#This Row],[Selling_Price]]-formatted_data[[#This Row],[Discount_Amount]])*formatted_data[[#This Row],[Units]]</f>
        <v>1140</v>
      </c>
      <c r="N194" s="1">
        <f>formatted_data[[#This Row],[Total_Revenue]]-(formatted_data[[#This Row],[Cost_Price]]*formatted_data[[#This Row],[Units]])</f>
        <v>372</v>
      </c>
      <c r="O194" s="1" t="s">
        <v>21</v>
      </c>
      <c r="P194"/>
    </row>
    <row r="195" spans="1:16" x14ac:dyDescent="0.35">
      <c r="A195" s="1" t="s">
        <v>60</v>
      </c>
      <c r="B195" s="1" t="s">
        <v>27</v>
      </c>
      <c r="C195" s="2">
        <v>45590</v>
      </c>
      <c r="D195" s="1" t="s">
        <v>17</v>
      </c>
      <c r="E195" s="1" t="s">
        <v>55</v>
      </c>
      <c r="F195" s="1" t="s">
        <v>25</v>
      </c>
      <c r="G195" s="1" t="s">
        <v>20</v>
      </c>
      <c r="H195" s="1">
        <v>1</v>
      </c>
      <c r="I195" s="1">
        <v>236</v>
      </c>
      <c r="J195" s="1">
        <v>399</v>
      </c>
      <c r="K195" s="1">
        <v>0</v>
      </c>
      <c r="L195" s="1">
        <f>ROUNDDOWN(formatted_data[[#This Row],[Selling_Price]]*formatted_data[[#This Row],[Discount_%]]/100,0)</f>
        <v>0</v>
      </c>
      <c r="M195" s="1">
        <f>(formatted_data[[#This Row],[Selling_Price]]-formatted_data[[#This Row],[Discount_Amount]])*formatted_data[[#This Row],[Units]]</f>
        <v>399</v>
      </c>
      <c r="N195" s="1">
        <f>formatted_data[[#This Row],[Total_Revenue]]-(formatted_data[[#This Row],[Cost_Price]]*formatted_data[[#This Row],[Units]])</f>
        <v>163</v>
      </c>
      <c r="O195" s="1" t="s">
        <v>21</v>
      </c>
      <c r="P195"/>
    </row>
    <row r="196" spans="1:16" x14ac:dyDescent="0.35">
      <c r="A196" s="1" t="s">
        <v>54</v>
      </c>
      <c r="B196" s="1" t="s">
        <v>27</v>
      </c>
      <c r="C196" s="2">
        <v>45472</v>
      </c>
      <c r="D196" s="1" t="s">
        <v>17</v>
      </c>
      <c r="E196" s="1" t="s">
        <v>48</v>
      </c>
      <c r="F196" s="1" t="s">
        <v>25</v>
      </c>
      <c r="G196" s="1" t="s">
        <v>19</v>
      </c>
      <c r="H196" s="1">
        <v>1</v>
      </c>
      <c r="I196" s="1">
        <v>269</v>
      </c>
      <c r="J196" s="1">
        <v>399</v>
      </c>
      <c r="K196" s="1">
        <v>0</v>
      </c>
      <c r="L196" s="1">
        <f>ROUNDDOWN(formatted_data[[#This Row],[Selling_Price]]*formatted_data[[#This Row],[Discount_%]]/100,0)</f>
        <v>0</v>
      </c>
      <c r="M196" s="1">
        <f>(formatted_data[[#This Row],[Selling_Price]]-formatted_data[[#This Row],[Discount_Amount]])*formatted_data[[#This Row],[Units]]</f>
        <v>399</v>
      </c>
      <c r="N196" s="1">
        <f>formatted_data[[#This Row],[Total_Revenue]]-(formatted_data[[#This Row],[Cost_Price]]*formatted_data[[#This Row],[Units]])</f>
        <v>130</v>
      </c>
      <c r="O196" s="1" t="s">
        <v>21</v>
      </c>
      <c r="P196"/>
    </row>
    <row r="197" spans="1:16" x14ac:dyDescent="0.35">
      <c r="A197" s="1" t="s">
        <v>53</v>
      </c>
      <c r="B197" s="1" t="s">
        <v>27</v>
      </c>
      <c r="C197" s="2">
        <v>45493</v>
      </c>
      <c r="D197" s="1" t="s">
        <v>23</v>
      </c>
      <c r="E197" s="1" t="s">
        <v>24</v>
      </c>
      <c r="F197" s="1" t="s">
        <v>25</v>
      </c>
      <c r="G197" s="1" t="s">
        <v>20</v>
      </c>
      <c r="H197" s="1">
        <v>1</v>
      </c>
      <c r="I197" s="1">
        <v>1286</v>
      </c>
      <c r="J197" s="1">
        <v>1799</v>
      </c>
      <c r="K197" s="1">
        <v>15</v>
      </c>
      <c r="L197" s="1">
        <f>ROUNDDOWN(formatted_data[[#This Row],[Selling_Price]]*formatted_data[[#This Row],[Discount_%]]/100,0)</f>
        <v>269</v>
      </c>
      <c r="M197" s="1">
        <f>(formatted_data[[#This Row],[Selling_Price]]-formatted_data[[#This Row],[Discount_Amount]])*formatted_data[[#This Row],[Units]]</f>
        <v>1530</v>
      </c>
      <c r="N197" s="1">
        <f>formatted_data[[#This Row],[Total_Revenue]]-(formatted_data[[#This Row],[Cost_Price]]*formatted_data[[#This Row],[Units]])</f>
        <v>244</v>
      </c>
      <c r="O197" s="1" t="s">
        <v>21</v>
      </c>
      <c r="P197"/>
    </row>
    <row r="198" spans="1:16" x14ac:dyDescent="0.35">
      <c r="A198" s="1" t="s">
        <v>107</v>
      </c>
      <c r="B198" s="1" t="s">
        <v>27</v>
      </c>
      <c r="C198" s="2">
        <v>45495</v>
      </c>
      <c r="D198" s="1" t="s">
        <v>31</v>
      </c>
      <c r="E198" s="1" t="s">
        <v>32</v>
      </c>
      <c r="F198" s="1" t="s">
        <v>25</v>
      </c>
      <c r="G198" s="1" t="s">
        <v>19</v>
      </c>
      <c r="H198" s="1">
        <v>1</v>
      </c>
      <c r="I198" s="1">
        <v>1013</v>
      </c>
      <c r="J198" s="1">
        <v>1499</v>
      </c>
      <c r="K198" s="1">
        <v>0</v>
      </c>
      <c r="L198" s="1">
        <f>ROUNDDOWN(formatted_data[[#This Row],[Selling_Price]]*formatted_data[[#This Row],[Discount_%]]/100,0)</f>
        <v>0</v>
      </c>
      <c r="M198" s="1">
        <f>(formatted_data[[#This Row],[Selling_Price]]-formatted_data[[#This Row],[Discount_Amount]])*formatted_data[[#This Row],[Units]]</f>
        <v>1499</v>
      </c>
      <c r="N198" s="1">
        <f>formatted_data[[#This Row],[Total_Revenue]]-(formatted_data[[#This Row],[Cost_Price]]*formatted_data[[#This Row],[Units]])</f>
        <v>486</v>
      </c>
      <c r="O198" s="1" t="s">
        <v>21</v>
      </c>
      <c r="P198"/>
    </row>
    <row r="199" spans="1:16" x14ac:dyDescent="0.35">
      <c r="A199" s="1" t="s">
        <v>51</v>
      </c>
      <c r="B199" s="1" t="s">
        <v>16</v>
      </c>
      <c r="C199" s="2">
        <v>45651</v>
      </c>
      <c r="D199" s="1" t="s">
        <v>23</v>
      </c>
      <c r="E199" s="1" t="s">
        <v>24</v>
      </c>
      <c r="F199" s="1" t="s">
        <v>37</v>
      </c>
      <c r="G199" s="1" t="s">
        <v>20</v>
      </c>
      <c r="H199" s="1">
        <v>1</v>
      </c>
      <c r="I199" s="1">
        <v>1241</v>
      </c>
      <c r="J199" s="1">
        <v>2299</v>
      </c>
      <c r="K199" s="1">
        <v>10</v>
      </c>
      <c r="L199" s="1">
        <f>ROUNDDOWN(formatted_data[[#This Row],[Selling_Price]]*formatted_data[[#This Row],[Discount_%]]/100,0)</f>
        <v>229</v>
      </c>
      <c r="M199" s="1">
        <f>(formatted_data[[#This Row],[Selling_Price]]-formatted_data[[#This Row],[Discount_Amount]])*formatted_data[[#This Row],[Units]]</f>
        <v>2070</v>
      </c>
      <c r="N199" s="1">
        <f>formatted_data[[#This Row],[Total_Revenue]]-(formatted_data[[#This Row],[Cost_Price]]*formatted_data[[#This Row],[Units]])</f>
        <v>829</v>
      </c>
      <c r="O199" s="1" t="s">
        <v>21</v>
      </c>
      <c r="P199"/>
    </row>
    <row r="200" spans="1:16" x14ac:dyDescent="0.35">
      <c r="A200" s="1" t="s">
        <v>67</v>
      </c>
      <c r="B200" s="1" t="s">
        <v>27</v>
      </c>
      <c r="C200" s="2">
        <v>45616</v>
      </c>
      <c r="D200" s="1" t="s">
        <v>23</v>
      </c>
      <c r="E200" s="1" t="s">
        <v>24</v>
      </c>
      <c r="F200" s="1" t="s">
        <v>37</v>
      </c>
      <c r="G200" s="1" t="s">
        <v>19</v>
      </c>
      <c r="H200" s="1">
        <v>1</v>
      </c>
      <c r="I200" s="1">
        <v>1442</v>
      </c>
      <c r="J200" s="1">
        <v>2499</v>
      </c>
      <c r="K200" s="1">
        <v>20</v>
      </c>
      <c r="L200" s="1">
        <f>ROUNDDOWN(formatted_data[[#This Row],[Selling_Price]]*formatted_data[[#This Row],[Discount_%]]/100,0)</f>
        <v>499</v>
      </c>
      <c r="M200" s="1">
        <f>(formatted_data[[#This Row],[Selling_Price]]-formatted_data[[#This Row],[Discount_Amount]])*formatted_data[[#This Row],[Units]]</f>
        <v>2000</v>
      </c>
      <c r="N200" s="1">
        <f>formatted_data[[#This Row],[Total_Revenue]]-(formatted_data[[#This Row],[Cost_Price]]*formatted_data[[#This Row],[Units]])</f>
        <v>558</v>
      </c>
      <c r="O200" s="1" t="s">
        <v>33</v>
      </c>
      <c r="P200"/>
    </row>
    <row r="201" spans="1:16" x14ac:dyDescent="0.35">
      <c r="A201" s="1" t="s">
        <v>34</v>
      </c>
      <c r="B201" s="1" t="s">
        <v>27</v>
      </c>
      <c r="C201" s="2">
        <v>45646</v>
      </c>
      <c r="D201" s="1" t="s">
        <v>35</v>
      </c>
      <c r="E201" s="1" t="s">
        <v>39</v>
      </c>
      <c r="F201" s="1" t="s">
        <v>37</v>
      </c>
      <c r="G201" s="1" t="s">
        <v>19</v>
      </c>
      <c r="H201" s="1">
        <v>1</v>
      </c>
      <c r="I201" s="1">
        <v>585</v>
      </c>
      <c r="J201" s="1">
        <v>799</v>
      </c>
      <c r="K201" s="1">
        <v>5</v>
      </c>
      <c r="L201" s="1">
        <f>ROUNDDOWN(formatted_data[[#This Row],[Selling_Price]]*formatted_data[[#This Row],[Discount_%]]/100,0)</f>
        <v>39</v>
      </c>
      <c r="M201" s="1">
        <f>(formatted_data[[#This Row],[Selling_Price]]-formatted_data[[#This Row],[Discount_Amount]])*formatted_data[[#This Row],[Units]]</f>
        <v>760</v>
      </c>
      <c r="N201" s="1">
        <f>formatted_data[[#This Row],[Total_Revenue]]-(formatted_data[[#This Row],[Cost_Price]]*formatted_data[[#This Row],[Units]])</f>
        <v>175</v>
      </c>
      <c r="O201" s="1" t="s">
        <v>33</v>
      </c>
      <c r="P201"/>
    </row>
    <row r="202" spans="1:16" x14ac:dyDescent="0.35">
      <c r="A202" s="1" t="s">
        <v>22</v>
      </c>
      <c r="B202" s="1" t="s">
        <v>16</v>
      </c>
      <c r="C202" s="2">
        <v>45513</v>
      </c>
      <c r="D202" s="1" t="s">
        <v>35</v>
      </c>
      <c r="E202" s="1" t="s">
        <v>39</v>
      </c>
      <c r="F202" s="1" t="s">
        <v>19</v>
      </c>
      <c r="G202" s="1" t="s">
        <v>19</v>
      </c>
      <c r="H202" s="1">
        <v>5</v>
      </c>
      <c r="I202" s="1">
        <v>1112</v>
      </c>
      <c r="J202" s="1">
        <v>1699</v>
      </c>
      <c r="K202" s="1">
        <v>20</v>
      </c>
      <c r="L202" s="1">
        <f>ROUNDDOWN(formatted_data[[#This Row],[Selling_Price]]*formatted_data[[#This Row],[Discount_%]]/100,0)</f>
        <v>339</v>
      </c>
      <c r="M202" s="1">
        <f>(formatted_data[[#This Row],[Selling_Price]]-formatted_data[[#This Row],[Discount_Amount]])*formatted_data[[#This Row],[Units]]</f>
        <v>6800</v>
      </c>
      <c r="N202" s="1">
        <f>formatted_data[[#This Row],[Total_Revenue]]-(formatted_data[[#This Row],[Cost_Price]]*formatted_data[[#This Row],[Units]])</f>
        <v>1240</v>
      </c>
      <c r="O202" s="1" t="s">
        <v>21</v>
      </c>
      <c r="P202"/>
    </row>
    <row r="203" spans="1:16" x14ac:dyDescent="0.35">
      <c r="A203" s="1" t="s">
        <v>75</v>
      </c>
      <c r="B203" s="1" t="s">
        <v>27</v>
      </c>
      <c r="C203" s="2">
        <v>45545</v>
      </c>
      <c r="D203" s="1" t="s">
        <v>17</v>
      </c>
      <c r="E203" s="1" t="s">
        <v>55</v>
      </c>
      <c r="F203" s="1" t="s">
        <v>37</v>
      </c>
      <c r="G203" s="1" t="s">
        <v>20</v>
      </c>
      <c r="H203" s="1">
        <v>1</v>
      </c>
      <c r="I203" s="1">
        <v>453</v>
      </c>
      <c r="J203" s="1">
        <v>799</v>
      </c>
      <c r="K203" s="1">
        <v>0</v>
      </c>
      <c r="L203" s="1">
        <f>ROUNDDOWN(formatted_data[[#This Row],[Selling_Price]]*formatted_data[[#This Row],[Discount_%]]/100,0)</f>
        <v>0</v>
      </c>
      <c r="M203" s="1">
        <f>(formatted_data[[#This Row],[Selling_Price]]-formatted_data[[#This Row],[Discount_Amount]])*formatted_data[[#This Row],[Units]]</f>
        <v>799</v>
      </c>
      <c r="N203" s="1">
        <f>formatted_data[[#This Row],[Total_Revenue]]-(formatted_data[[#This Row],[Cost_Price]]*formatted_data[[#This Row],[Units]])</f>
        <v>346</v>
      </c>
      <c r="O203" s="1" t="s">
        <v>21</v>
      </c>
      <c r="P203"/>
    </row>
    <row r="204" spans="1:16" x14ac:dyDescent="0.35">
      <c r="A204" s="1" t="s">
        <v>62</v>
      </c>
      <c r="B204" s="1" t="s">
        <v>16</v>
      </c>
      <c r="C204" s="2">
        <v>45472</v>
      </c>
      <c r="D204" s="1" t="s">
        <v>31</v>
      </c>
      <c r="E204" s="1" t="s">
        <v>32</v>
      </c>
      <c r="F204" s="1" t="s">
        <v>37</v>
      </c>
      <c r="G204" s="1" t="s">
        <v>20</v>
      </c>
      <c r="H204" s="1">
        <v>1</v>
      </c>
      <c r="I204" s="1">
        <v>923</v>
      </c>
      <c r="J204" s="1">
        <v>1399</v>
      </c>
      <c r="K204" s="1">
        <v>0</v>
      </c>
      <c r="L204" s="1">
        <f>ROUNDDOWN(formatted_data[[#This Row],[Selling_Price]]*formatted_data[[#This Row],[Discount_%]]/100,0)</f>
        <v>0</v>
      </c>
      <c r="M204" s="1">
        <f>(formatted_data[[#This Row],[Selling_Price]]-formatted_data[[#This Row],[Discount_Amount]])*formatted_data[[#This Row],[Units]]</f>
        <v>1399</v>
      </c>
      <c r="N204" s="1">
        <f>formatted_data[[#This Row],[Total_Revenue]]-(formatted_data[[#This Row],[Cost_Price]]*formatted_data[[#This Row],[Units]])</f>
        <v>476</v>
      </c>
      <c r="O204" s="1" t="s">
        <v>33</v>
      </c>
      <c r="P204"/>
    </row>
    <row r="205" spans="1:16" x14ac:dyDescent="0.35">
      <c r="A205" s="1" t="s">
        <v>93</v>
      </c>
      <c r="B205" s="1" t="s">
        <v>16</v>
      </c>
      <c r="C205" s="2">
        <v>45529</v>
      </c>
      <c r="D205" s="1" t="s">
        <v>31</v>
      </c>
      <c r="E205" s="1" t="s">
        <v>32</v>
      </c>
      <c r="F205" s="1" t="s">
        <v>19</v>
      </c>
      <c r="G205" s="1" t="s">
        <v>20</v>
      </c>
      <c r="H205" s="1">
        <v>5</v>
      </c>
      <c r="I205" s="1">
        <v>653</v>
      </c>
      <c r="J205" s="1">
        <v>899</v>
      </c>
      <c r="K205" s="1">
        <v>0</v>
      </c>
      <c r="L205" s="1">
        <f>ROUNDDOWN(formatted_data[[#This Row],[Selling_Price]]*formatted_data[[#This Row],[Discount_%]]/100,0)</f>
        <v>0</v>
      </c>
      <c r="M205" s="1">
        <f>(formatted_data[[#This Row],[Selling_Price]]-formatted_data[[#This Row],[Discount_Amount]])*formatted_data[[#This Row],[Units]]</f>
        <v>4495</v>
      </c>
      <c r="N205" s="1">
        <f>formatted_data[[#This Row],[Total_Revenue]]-(formatted_data[[#This Row],[Cost_Price]]*formatted_data[[#This Row],[Units]])</f>
        <v>1230</v>
      </c>
      <c r="O205" s="1" t="s">
        <v>21</v>
      </c>
      <c r="P205"/>
    </row>
    <row r="206" spans="1:16" x14ac:dyDescent="0.35">
      <c r="A206" s="1" t="s">
        <v>94</v>
      </c>
      <c r="B206" s="1" t="s">
        <v>16</v>
      </c>
      <c r="C206" s="2">
        <v>45639</v>
      </c>
      <c r="D206" s="1" t="s">
        <v>35</v>
      </c>
      <c r="E206" s="1" t="s">
        <v>58</v>
      </c>
      <c r="F206" s="1" t="s">
        <v>37</v>
      </c>
      <c r="G206" s="1" t="s">
        <v>20</v>
      </c>
      <c r="H206" s="1">
        <v>2</v>
      </c>
      <c r="I206" s="1">
        <v>668</v>
      </c>
      <c r="J206" s="1">
        <v>1199</v>
      </c>
      <c r="K206" s="1">
        <v>10</v>
      </c>
      <c r="L206" s="1">
        <f>ROUNDDOWN(formatted_data[[#This Row],[Selling_Price]]*formatted_data[[#This Row],[Discount_%]]/100,0)</f>
        <v>119</v>
      </c>
      <c r="M206" s="1">
        <f>(formatted_data[[#This Row],[Selling_Price]]-formatted_data[[#This Row],[Discount_Amount]])*formatted_data[[#This Row],[Units]]</f>
        <v>2160</v>
      </c>
      <c r="N206" s="1">
        <f>formatted_data[[#This Row],[Total_Revenue]]-(formatted_data[[#This Row],[Cost_Price]]*formatted_data[[#This Row],[Units]])</f>
        <v>824</v>
      </c>
      <c r="O206" s="1" t="s">
        <v>21</v>
      </c>
      <c r="P206"/>
    </row>
    <row r="207" spans="1:16" x14ac:dyDescent="0.35">
      <c r="A207" s="1" t="s">
        <v>84</v>
      </c>
      <c r="B207" s="1" t="s">
        <v>27</v>
      </c>
      <c r="C207" s="2">
        <v>45490</v>
      </c>
      <c r="D207" s="1" t="s">
        <v>28</v>
      </c>
      <c r="E207" s="1" t="s">
        <v>29</v>
      </c>
      <c r="F207" s="1" t="s">
        <v>25</v>
      </c>
      <c r="G207" s="1" t="s">
        <v>19</v>
      </c>
      <c r="H207" s="1">
        <v>1</v>
      </c>
      <c r="I207" s="1">
        <v>482</v>
      </c>
      <c r="J207" s="1">
        <v>699</v>
      </c>
      <c r="K207" s="1">
        <v>20</v>
      </c>
      <c r="L207" s="1">
        <f>ROUNDDOWN(formatted_data[[#This Row],[Selling_Price]]*formatted_data[[#This Row],[Discount_%]]/100,0)</f>
        <v>139</v>
      </c>
      <c r="M207" s="1">
        <f>(formatted_data[[#This Row],[Selling_Price]]-formatted_data[[#This Row],[Discount_Amount]])*formatted_data[[#This Row],[Units]]</f>
        <v>560</v>
      </c>
      <c r="N207" s="1">
        <f>formatted_data[[#This Row],[Total_Revenue]]-(formatted_data[[#This Row],[Cost_Price]]*formatted_data[[#This Row],[Units]])</f>
        <v>78</v>
      </c>
      <c r="O207" s="1" t="s">
        <v>21</v>
      </c>
      <c r="P207"/>
    </row>
    <row r="208" spans="1:16" x14ac:dyDescent="0.35">
      <c r="A208" s="1" t="s">
        <v>34</v>
      </c>
      <c r="B208" s="1" t="s">
        <v>27</v>
      </c>
      <c r="C208" s="2">
        <v>45558</v>
      </c>
      <c r="D208" s="1" t="s">
        <v>31</v>
      </c>
      <c r="E208" s="1" t="s">
        <v>32</v>
      </c>
      <c r="F208" s="1" t="s">
        <v>37</v>
      </c>
      <c r="G208" s="1" t="s">
        <v>20</v>
      </c>
      <c r="H208" s="1">
        <v>1</v>
      </c>
      <c r="I208" s="1">
        <v>669</v>
      </c>
      <c r="J208" s="1">
        <v>999</v>
      </c>
      <c r="K208" s="1">
        <v>0</v>
      </c>
      <c r="L208" s="1">
        <f>ROUNDDOWN(formatted_data[[#This Row],[Selling_Price]]*formatted_data[[#This Row],[Discount_%]]/100,0)</f>
        <v>0</v>
      </c>
      <c r="M208" s="1">
        <f>(formatted_data[[#This Row],[Selling_Price]]-formatted_data[[#This Row],[Discount_Amount]])*formatted_data[[#This Row],[Units]]</f>
        <v>999</v>
      </c>
      <c r="N208" s="1">
        <f>formatted_data[[#This Row],[Total_Revenue]]-(formatted_data[[#This Row],[Cost_Price]]*formatted_data[[#This Row],[Units]])</f>
        <v>330</v>
      </c>
      <c r="O208" s="1" t="s">
        <v>33</v>
      </c>
      <c r="P208"/>
    </row>
    <row r="209" spans="1:16" x14ac:dyDescent="0.35">
      <c r="A209" s="1" t="s">
        <v>42</v>
      </c>
      <c r="B209" s="1" t="s">
        <v>27</v>
      </c>
      <c r="C209" s="2">
        <v>45539</v>
      </c>
      <c r="D209" s="1" t="s">
        <v>17</v>
      </c>
      <c r="E209" s="1" t="s">
        <v>55</v>
      </c>
      <c r="F209" s="1" t="s">
        <v>37</v>
      </c>
      <c r="G209" s="1" t="s">
        <v>20</v>
      </c>
      <c r="H209" s="1">
        <v>1</v>
      </c>
      <c r="I209" s="1">
        <v>218</v>
      </c>
      <c r="J209" s="1">
        <v>399</v>
      </c>
      <c r="K209" s="1">
        <v>0</v>
      </c>
      <c r="L209" s="1">
        <f>ROUNDDOWN(formatted_data[[#This Row],[Selling_Price]]*formatted_data[[#This Row],[Discount_%]]/100,0)</f>
        <v>0</v>
      </c>
      <c r="M209" s="1">
        <f>(formatted_data[[#This Row],[Selling_Price]]-formatted_data[[#This Row],[Discount_Amount]])*formatted_data[[#This Row],[Units]]</f>
        <v>399</v>
      </c>
      <c r="N209" s="1">
        <f>formatted_data[[#This Row],[Total_Revenue]]-(formatted_data[[#This Row],[Cost_Price]]*formatted_data[[#This Row],[Units]])</f>
        <v>181</v>
      </c>
      <c r="O209" s="1" t="s">
        <v>33</v>
      </c>
      <c r="P209"/>
    </row>
    <row r="210" spans="1:16" x14ac:dyDescent="0.35">
      <c r="A210" s="1" t="s">
        <v>101</v>
      </c>
      <c r="B210" s="1" t="s">
        <v>16</v>
      </c>
      <c r="C210" s="2">
        <v>45622</v>
      </c>
      <c r="D210" s="1" t="s">
        <v>28</v>
      </c>
      <c r="E210" s="1" t="s">
        <v>45</v>
      </c>
      <c r="F210" s="1" t="s">
        <v>25</v>
      </c>
      <c r="G210" s="1" t="s">
        <v>19</v>
      </c>
      <c r="H210" s="1">
        <v>5</v>
      </c>
      <c r="I210" s="1">
        <v>437</v>
      </c>
      <c r="J210" s="1">
        <v>699</v>
      </c>
      <c r="K210" s="1">
        <v>5</v>
      </c>
      <c r="L210" s="1">
        <f>ROUNDDOWN(formatted_data[[#This Row],[Selling_Price]]*formatted_data[[#This Row],[Discount_%]]/100,0)</f>
        <v>34</v>
      </c>
      <c r="M210" s="1">
        <f>(formatted_data[[#This Row],[Selling_Price]]-formatted_data[[#This Row],[Discount_Amount]])*formatted_data[[#This Row],[Units]]</f>
        <v>3325</v>
      </c>
      <c r="N210" s="1">
        <f>formatted_data[[#This Row],[Total_Revenue]]-(formatted_data[[#This Row],[Cost_Price]]*formatted_data[[#This Row],[Units]])</f>
        <v>1140</v>
      </c>
      <c r="O210" s="1" t="s">
        <v>21</v>
      </c>
      <c r="P210"/>
    </row>
    <row r="211" spans="1:16" x14ac:dyDescent="0.35">
      <c r="A211" s="1" t="s">
        <v>59</v>
      </c>
      <c r="B211" s="1" t="s">
        <v>27</v>
      </c>
      <c r="C211" s="2">
        <v>45647</v>
      </c>
      <c r="D211" s="1" t="s">
        <v>28</v>
      </c>
      <c r="E211" s="1" t="s">
        <v>45</v>
      </c>
      <c r="F211" s="1" t="s">
        <v>19</v>
      </c>
      <c r="G211" s="1" t="s">
        <v>19</v>
      </c>
      <c r="H211" s="1">
        <v>3</v>
      </c>
      <c r="I211" s="1">
        <v>641</v>
      </c>
      <c r="J211" s="1">
        <v>999</v>
      </c>
      <c r="K211" s="1">
        <v>20</v>
      </c>
      <c r="L211" s="1">
        <f>ROUNDDOWN(formatted_data[[#This Row],[Selling_Price]]*formatted_data[[#This Row],[Discount_%]]/100,0)</f>
        <v>199</v>
      </c>
      <c r="M211" s="1">
        <f>(formatted_data[[#This Row],[Selling_Price]]-formatted_data[[#This Row],[Discount_Amount]])*formatted_data[[#This Row],[Units]]</f>
        <v>2400</v>
      </c>
      <c r="N211" s="1">
        <f>formatted_data[[#This Row],[Total_Revenue]]-(formatted_data[[#This Row],[Cost_Price]]*formatted_data[[#This Row],[Units]])</f>
        <v>477</v>
      </c>
      <c r="O211" s="1" t="s">
        <v>21</v>
      </c>
      <c r="P211"/>
    </row>
    <row r="212" spans="1:16" x14ac:dyDescent="0.35">
      <c r="A212" s="1" t="s">
        <v>26</v>
      </c>
      <c r="B212" s="1" t="s">
        <v>27</v>
      </c>
      <c r="C212" s="2">
        <v>45555</v>
      </c>
      <c r="D212" s="1" t="s">
        <v>28</v>
      </c>
      <c r="E212" s="1" t="s">
        <v>45</v>
      </c>
      <c r="F212" s="1" t="s">
        <v>37</v>
      </c>
      <c r="G212" s="1" t="s">
        <v>19</v>
      </c>
      <c r="H212" s="1">
        <v>4</v>
      </c>
      <c r="I212" s="1">
        <v>1171</v>
      </c>
      <c r="J212" s="1">
        <v>1799</v>
      </c>
      <c r="K212" s="1">
        <v>15</v>
      </c>
      <c r="L212" s="1">
        <f>ROUNDDOWN(formatted_data[[#This Row],[Selling_Price]]*formatted_data[[#This Row],[Discount_%]]/100,0)</f>
        <v>269</v>
      </c>
      <c r="M212" s="1">
        <f>(formatted_data[[#This Row],[Selling_Price]]-formatted_data[[#This Row],[Discount_Amount]])*formatted_data[[#This Row],[Units]]</f>
        <v>6120</v>
      </c>
      <c r="N212" s="1">
        <f>formatted_data[[#This Row],[Total_Revenue]]-(formatted_data[[#This Row],[Cost_Price]]*formatted_data[[#This Row],[Units]])</f>
        <v>1436</v>
      </c>
      <c r="O212" s="1" t="s">
        <v>33</v>
      </c>
      <c r="P212"/>
    </row>
    <row r="213" spans="1:16" x14ac:dyDescent="0.35">
      <c r="A213" s="1" t="s">
        <v>67</v>
      </c>
      <c r="B213" s="1" t="s">
        <v>27</v>
      </c>
      <c r="C213" s="2">
        <v>45491</v>
      </c>
      <c r="D213" s="1" t="s">
        <v>35</v>
      </c>
      <c r="E213" s="1" t="s">
        <v>36</v>
      </c>
      <c r="F213" s="1" t="s">
        <v>25</v>
      </c>
      <c r="G213" s="1" t="s">
        <v>19</v>
      </c>
      <c r="H213" s="1">
        <v>1</v>
      </c>
      <c r="I213" s="1">
        <v>343</v>
      </c>
      <c r="J213" s="1">
        <v>599</v>
      </c>
      <c r="K213" s="1">
        <v>15</v>
      </c>
      <c r="L213" s="1">
        <f>ROUNDDOWN(formatted_data[[#This Row],[Selling_Price]]*formatted_data[[#This Row],[Discount_%]]/100,0)</f>
        <v>89</v>
      </c>
      <c r="M213" s="1">
        <f>(formatted_data[[#This Row],[Selling_Price]]-formatted_data[[#This Row],[Discount_Amount]])*formatted_data[[#This Row],[Units]]</f>
        <v>510</v>
      </c>
      <c r="N213" s="1">
        <f>formatted_data[[#This Row],[Total_Revenue]]-(formatted_data[[#This Row],[Cost_Price]]*formatted_data[[#This Row],[Units]])</f>
        <v>167</v>
      </c>
      <c r="O213" s="1" t="s">
        <v>21</v>
      </c>
      <c r="P213"/>
    </row>
    <row r="214" spans="1:16" x14ac:dyDescent="0.35">
      <c r="A214" s="1" t="s">
        <v>57</v>
      </c>
      <c r="B214" s="1" t="s">
        <v>27</v>
      </c>
      <c r="C214" s="2">
        <v>45461</v>
      </c>
      <c r="D214" s="1" t="s">
        <v>31</v>
      </c>
      <c r="E214" s="1" t="s">
        <v>32</v>
      </c>
      <c r="F214" s="1" t="s">
        <v>37</v>
      </c>
      <c r="G214" s="1" t="s">
        <v>19</v>
      </c>
      <c r="H214" s="1">
        <v>1</v>
      </c>
      <c r="I214" s="1">
        <v>705</v>
      </c>
      <c r="J214" s="1">
        <v>999</v>
      </c>
      <c r="K214" s="1">
        <v>0</v>
      </c>
      <c r="L214" s="1">
        <f>ROUNDDOWN(formatted_data[[#This Row],[Selling_Price]]*formatted_data[[#This Row],[Discount_%]]/100,0)</f>
        <v>0</v>
      </c>
      <c r="M214" s="1">
        <f>(formatted_data[[#This Row],[Selling_Price]]-formatted_data[[#This Row],[Discount_Amount]])*formatted_data[[#This Row],[Units]]</f>
        <v>999</v>
      </c>
      <c r="N214" s="1">
        <f>formatted_data[[#This Row],[Total_Revenue]]-(formatted_data[[#This Row],[Cost_Price]]*formatted_data[[#This Row],[Units]])</f>
        <v>294</v>
      </c>
      <c r="O214" s="1" t="s">
        <v>21</v>
      </c>
      <c r="P214"/>
    </row>
    <row r="215" spans="1:16" x14ac:dyDescent="0.35">
      <c r="A215" s="1" t="s">
        <v>93</v>
      </c>
      <c r="B215" s="1" t="s">
        <v>16</v>
      </c>
      <c r="C215" s="2">
        <v>45556</v>
      </c>
      <c r="D215" s="1" t="s">
        <v>17</v>
      </c>
      <c r="E215" s="1" t="s">
        <v>48</v>
      </c>
      <c r="F215" s="1" t="s">
        <v>37</v>
      </c>
      <c r="G215" s="1" t="s">
        <v>20</v>
      </c>
      <c r="H215" s="1">
        <v>1</v>
      </c>
      <c r="I215" s="1">
        <v>400</v>
      </c>
      <c r="J215" s="1">
        <v>599</v>
      </c>
      <c r="K215" s="1">
        <v>0</v>
      </c>
      <c r="L215" s="1">
        <f>ROUNDDOWN(formatted_data[[#This Row],[Selling_Price]]*formatted_data[[#This Row],[Discount_%]]/100,0)</f>
        <v>0</v>
      </c>
      <c r="M215" s="1">
        <f>(formatted_data[[#This Row],[Selling_Price]]-formatted_data[[#This Row],[Discount_Amount]])*formatted_data[[#This Row],[Units]]</f>
        <v>599</v>
      </c>
      <c r="N215" s="1">
        <f>formatted_data[[#This Row],[Total_Revenue]]-(formatted_data[[#This Row],[Cost_Price]]*formatted_data[[#This Row],[Units]])</f>
        <v>199</v>
      </c>
      <c r="O215" s="1" t="s">
        <v>21</v>
      </c>
      <c r="P215"/>
    </row>
    <row r="216" spans="1:16" x14ac:dyDescent="0.35">
      <c r="A216" s="1" t="s">
        <v>75</v>
      </c>
      <c r="B216" s="1" t="s">
        <v>27</v>
      </c>
      <c r="C216" s="2">
        <v>45555</v>
      </c>
      <c r="D216" s="1" t="s">
        <v>17</v>
      </c>
      <c r="E216" s="1" t="s">
        <v>55</v>
      </c>
      <c r="F216" s="1" t="s">
        <v>25</v>
      </c>
      <c r="G216" s="1" t="s">
        <v>19</v>
      </c>
      <c r="H216" s="1">
        <v>4</v>
      </c>
      <c r="I216" s="1">
        <v>192</v>
      </c>
      <c r="J216" s="1">
        <v>299</v>
      </c>
      <c r="K216" s="1">
        <v>0</v>
      </c>
      <c r="L216" s="1">
        <f>ROUNDDOWN(formatted_data[[#This Row],[Selling_Price]]*formatted_data[[#This Row],[Discount_%]]/100,0)</f>
        <v>0</v>
      </c>
      <c r="M216" s="1">
        <f>(formatted_data[[#This Row],[Selling_Price]]-formatted_data[[#This Row],[Discount_Amount]])*formatted_data[[#This Row],[Units]]</f>
        <v>1196</v>
      </c>
      <c r="N216" s="1">
        <f>formatted_data[[#This Row],[Total_Revenue]]-(formatted_data[[#This Row],[Cost_Price]]*formatted_data[[#This Row],[Units]])</f>
        <v>428</v>
      </c>
      <c r="O216" s="1" t="s">
        <v>21</v>
      </c>
      <c r="P216"/>
    </row>
    <row r="217" spans="1:16" x14ac:dyDescent="0.35">
      <c r="A217" s="1" t="s">
        <v>106</v>
      </c>
      <c r="B217" s="1" t="s">
        <v>27</v>
      </c>
      <c r="C217" s="2">
        <v>45600</v>
      </c>
      <c r="D217" s="1" t="s">
        <v>35</v>
      </c>
      <c r="E217" s="1" t="s">
        <v>39</v>
      </c>
      <c r="F217" s="1" t="s">
        <v>25</v>
      </c>
      <c r="G217" s="1" t="s">
        <v>19</v>
      </c>
      <c r="H217" s="1">
        <v>1</v>
      </c>
      <c r="I217" s="1">
        <v>578</v>
      </c>
      <c r="J217" s="1">
        <v>899</v>
      </c>
      <c r="K217" s="1">
        <v>20</v>
      </c>
      <c r="L217" s="1">
        <f>ROUNDDOWN(formatted_data[[#This Row],[Selling_Price]]*formatted_data[[#This Row],[Discount_%]]/100,0)</f>
        <v>179</v>
      </c>
      <c r="M217" s="1">
        <f>(formatted_data[[#This Row],[Selling_Price]]-formatted_data[[#This Row],[Discount_Amount]])*formatted_data[[#This Row],[Units]]</f>
        <v>720</v>
      </c>
      <c r="N217" s="1">
        <f>formatted_data[[#This Row],[Total_Revenue]]-(formatted_data[[#This Row],[Cost_Price]]*formatted_data[[#This Row],[Units]])</f>
        <v>142</v>
      </c>
      <c r="O217" s="1" t="s">
        <v>21</v>
      </c>
      <c r="P217"/>
    </row>
    <row r="218" spans="1:16" x14ac:dyDescent="0.35">
      <c r="A218" s="1" t="s">
        <v>44</v>
      </c>
      <c r="B218" s="1" t="s">
        <v>16</v>
      </c>
      <c r="C218" s="2">
        <v>45471</v>
      </c>
      <c r="D218" s="1" t="s">
        <v>23</v>
      </c>
      <c r="E218" s="1" t="s">
        <v>43</v>
      </c>
      <c r="F218" s="1" t="s">
        <v>25</v>
      </c>
      <c r="G218" s="1" t="s">
        <v>20</v>
      </c>
      <c r="H218" s="1">
        <v>2</v>
      </c>
      <c r="I218" s="1">
        <v>2389</v>
      </c>
      <c r="J218" s="1">
        <v>3599</v>
      </c>
      <c r="K218" s="1">
        <v>15</v>
      </c>
      <c r="L218" s="1">
        <f>ROUNDDOWN(formatted_data[[#This Row],[Selling_Price]]*formatted_data[[#This Row],[Discount_%]]/100,0)</f>
        <v>539</v>
      </c>
      <c r="M218" s="1">
        <f>(formatted_data[[#This Row],[Selling_Price]]-formatted_data[[#This Row],[Discount_Amount]])*formatted_data[[#This Row],[Units]]</f>
        <v>6120</v>
      </c>
      <c r="N218" s="1">
        <f>formatted_data[[#This Row],[Total_Revenue]]-(formatted_data[[#This Row],[Cost_Price]]*formatted_data[[#This Row],[Units]])</f>
        <v>1342</v>
      </c>
      <c r="O218" s="1" t="s">
        <v>21</v>
      </c>
      <c r="P218"/>
    </row>
    <row r="219" spans="1:16" x14ac:dyDescent="0.35">
      <c r="A219" s="1" t="s">
        <v>26</v>
      </c>
      <c r="B219" s="1" t="s">
        <v>27</v>
      </c>
      <c r="C219" s="2">
        <v>45573</v>
      </c>
      <c r="D219" s="1" t="s">
        <v>28</v>
      </c>
      <c r="E219" s="1" t="s">
        <v>29</v>
      </c>
      <c r="F219" s="1" t="s">
        <v>25</v>
      </c>
      <c r="G219" s="1" t="s">
        <v>19</v>
      </c>
      <c r="H219" s="1">
        <v>2</v>
      </c>
      <c r="I219" s="1">
        <v>508</v>
      </c>
      <c r="J219" s="1">
        <v>699</v>
      </c>
      <c r="K219" s="1">
        <v>20</v>
      </c>
      <c r="L219" s="1">
        <f>ROUNDDOWN(formatted_data[[#This Row],[Selling_Price]]*formatted_data[[#This Row],[Discount_%]]/100,0)</f>
        <v>139</v>
      </c>
      <c r="M219" s="1">
        <f>(formatted_data[[#This Row],[Selling_Price]]-formatted_data[[#This Row],[Discount_Amount]])*formatted_data[[#This Row],[Units]]</f>
        <v>1120</v>
      </c>
      <c r="N219" s="1">
        <f>formatted_data[[#This Row],[Total_Revenue]]-(formatted_data[[#This Row],[Cost_Price]]*formatted_data[[#This Row],[Units]])</f>
        <v>104</v>
      </c>
      <c r="O219" s="1" t="s">
        <v>33</v>
      </c>
      <c r="P219"/>
    </row>
    <row r="220" spans="1:16" x14ac:dyDescent="0.35">
      <c r="A220" s="1" t="s">
        <v>84</v>
      </c>
      <c r="B220" s="1" t="s">
        <v>27</v>
      </c>
      <c r="C220" s="2">
        <v>45562</v>
      </c>
      <c r="D220" s="1" t="s">
        <v>23</v>
      </c>
      <c r="E220" s="1" t="s">
        <v>43</v>
      </c>
      <c r="F220" s="1" t="s">
        <v>19</v>
      </c>
      <c r="G220" s="1" t="s">
        <v>20</v>
      </c>
      <c r="H220" s="1">
        <v>5</v>
      </c>
      <c r="I220" s="1">
        <v>1797</v>
      </c>
      <c r="J220" s="1">
        <v>2399</v>
      </c>
      <c r="K220" s="1">
        <v>5</v>
      </c>
      <c r="L220" s="1">
        <f>ROUNDDOWN(formatted_data[[#This Row],[Selling_Price]]*formatted_data[[#This Row],[Discount_%]]/100,0)</f>
        <v>119</v>
      </c>
      <c r="M220" s="1">
        <f>(formatted_data[[#This Row],[Selling_Price]]-formatted_data[[#This Row],[Discount_Amount]])*formatted_data[[#This Row],[Units]]</f>
        <v>11400</v>
      </c>
      <c r="N220" s="1">
        <f>formatted_data[[#This Row],[Total_Revenue]]-(formatted_data[[#This Row],[Cost_Price]]*formatted_data[[#This Row],[Units]])</f>
        <v>2415</v>
      </c>
      <c r="O220" s="1" t="s">
        <v>33</v>
      </c>
      <c r="P220"/>
    </row>
    <row r="221" spans="1:16" x14ac:dyDescent="0.35">
      <c r="A221" s="1" t="s">
        <v>77</v>
      </c>
      <c r="B221" s="1" t="s">
        <v>27</v>
      </c>
      <c r="C221" s="2">
        <v>45517</v>
      </c>
      <c r="D221" s="1" t="s">
        <v>28</v>
      </c>
      <c r="E221" s="1" t="s">
        <v>29</v>
      </c>
      <c r="F221" s="1" t="s">
        <v>25</v>
      </c>
      <c r="G221" s="1" t="s">
        <v>19</v>
      </c>
      <c r="H221" s="1">
        <v>2</v>
      </c>
      <c r="I221" s="1">
        <v>410</v>
      </c>
      <c r="J221" s="1">
        <v>599</v>
      </c>
      <c r="K221" s="1">
        <v>5</v>
      </c>
      <c r="L221" s="1">
        <f>ROUNDDOWN(formatted_data[[#This Row],[Selling_Price]]*formatted_data[[#This Row],[Discount_%]]/100,0)</f>
        <v>29</v>
      </c>
      <c r="M221" s="1">
        <f>(formatted_data[[#This Row],[Selling_Price]]-formatted_data[[#This Row],[Discount_Amount]])*formatted_data[[#This Row],[Units]]</f>
        <v>1140</v>
      </c>
      <c r="N221" s="1">
        <f>formatted_data[[#This Row],[Total_Revenue]]-(formatted_data[[#This Row],[Cost_Price]]*formatted_data[[#This Row],[Units]])</f>
        <v>320</v>
      </c>
      <c r="O221" s="1" t="s">
        <v>21</v>
      </c>
      <c r="P221"/>
    </row>
    <row r="222" spans="1:16" x14ac:dyDescent="0.35">
      <c r="A222" s="1" t="s">
        <v>104</v>
      </c>
      <c r="B222" s="1" t="s">
        <v>27</v>
      </c>
      <c r="C222" s="2">
        <v>45605</v>
      </c>
      <c r="D222" s="1" t="s">
        <v>31</v>
      </c>
      <c r="E222" s="1" t="s">
        <v>32</v>
      </c>
      <c r="F222" s="1" t="s">
        <v>19</v>
      </c>
      <c r="G222" s="1" t="s">
        <v>20</v>
      </c>
      <c r="H222" s="1">
        <v>1</v>
      </c>
      <c r="I222" s="1">
        <v>1022</v>
      </c>
      <c r="J222" s="1">
        <v>1499</v>
      </c>
      <c r="K222" s="1">
        <v>0</v>
      </c>
      <c r="L222" s="1">
        <f>ROUNDDOWN(formatted_data[[#This Row],[Selling_Price]]*formatted_data[[#This Row],[Discount_%]]/100,0)</f>
        <v>0</v>
      </c>
      <c r="M222" s="1">
        <f>(formatted_data[[#This Row],[Selling_Price]]-formatted_data[[#This Row],[Discount_Amount]])*formatted_data[[#This Row],[Units]]</f>
        <v>1499</v>
      </c>
      <c r="N222" s="1">
        <f>formatted_data[[#This Row],[Total_Revenue]]-(formatted_data[[#This Row],[Cost_Price]]*formatted_data[[#This Row],[Units]])</f>
        <v>477</v>
      </c>
      <c r="O222" s="1" t="s">
        <v>21</v>
      </c>
      <c r="P222"/>
    </row>
    <row r="223" spans="1:16" x14ac:dyDescent="0.35">
      <c r="A223" s="1" t="s">
        <v>106</v>
      </c>
      <c r="B223" s="1" t="s">
        <v>27</v>
      </c>
      <c r="C223" s="2">
        <v>45621</v>
      </c>
      <c r="D223" s="1" t="s">
        <v>17</v>
      </c>
      <c r="E223" s="1" t="s">
        <v>48</v>
      </c>
      <c r="F223" s="1" t="s">
        <v>25</v>
      </c>
      <c r="G223" s="1" t="s">
        <v>19</v>
      </c>
      <c r="H223" s="1">
        <v>5</v>
      </c>
      <c r="I223" s="1">
        <v>318</v>
      </c>
      <c r="J223" s="1">
        <v>499</v>
      </c>
      <c r="K223" s="1">
        <v>0</v>
      </c>
      <c r="L223" s="1">
        <f>ROUNDDOWN(formatted_data[[#This Row],[Selling_Price]]*formatted_data[[#This Row],[Discount_%]]/100,0)</f>
        <v>0</v>
      </c>
      <c r="M223" s="1">
        <f>(formatted_data[[#This Row],[Selling_Price]]-formatted_data[[#This Row],[Discount_Amount]])*formatted_data[[#This Row],[Units]]</f>
        <v>2495</v>
      </c>
      <c r="N223" s="1">
        <f>formatted_data[[#This Row],[Total_Revenue]]-(formatted_data[[#This Row],[Cost_Price]]*formatted_data[[#This Row],[Units]])</f>
        <v>905</v>
      </c>
      <c r="O223" s="1" t="s">
        <v>21</v>
      </c>
      <c r="P223"/>
    </row>
    <row r="224" spans="1:16" x14ac:dyDescent="0.35">
      <c r="A224" s="1" t="s">
        <v>70</v>
      </c>
      <c r="B224" s="1" t="s">
        <v>27</v>
      </c>
      <c r="C224" s="2">
        <v>45612</v>
      </c>
      <c r="D224" s="1" t="s">
        <v>35</v>
      </c>
      <c r="E224" s="1" t="s">
        <v>100</v>
      </c>
      <c r="F224" s="1" t="s">
        <v>19</v>
      </c>
      <c r="G224" s="1" t="s">
        <v>20</v>
      </c>
      <c r="H224" s="1">
        <v>1</v>
      </c>
      <c r="I224" s="1">
        <v>969</v>
      </c>
      <c r="J224" s="1">
        <v>1899</v>
      </c>
      <c r="K224" s="1">
        <v>20</v>
      </c>
      <c r="L224" s="1">
        <f>ROUNDDOWN(formatted_data[[#This Row],[Selling_Price]]*formatted_data[[#This Row],[Discount_%]]/100,0)</f>
        <v>379</v>
      </c>
      <c r="M224" s="1">
        <f>(formatted_data[[#This Row],[Selling_Price]]-formatted_data[[#This Row],[Discount_Amount]])*formatted_data[[#This Row],[Units]]</f>
        <v>1520</v>
      </c>
      <c r="N224" s="1">
        <f>formatted_data[[#This Row],[Total_Revenue]]-(formatted_data[[#This Row],[Cost_Price]]*formatted_data[[#This Row],[Units]])</f>
        <v>551</v>
      </c>
      <c r="O224" s="1" t="s">
        <v>33</v>
      </c>
      <c r="P224"/>
    </row>
    <row r="225" spans="1:16" x14ac:dyDescent="0.35">
      <c r="A225" s="1" t="s">
        <v>65</v>
      </c>
      <c r="B225" s="1" t="s">
        <v>16</v>
      </c>
      <c r="C225" s="2">
        <v>45479</v>
      </c>
      <c r="D225" s="1" t="s">
        <v>17</v>
      </c>
      <c r="E225" s="1" t="s">
        <v>55</v>
      </c>
      <c r="F225" s="1" t="s">
        <v>19</v>
      </c>
      <c r="G225" s="1" t="s">
        <v>19</v>
      </c>
      <c r="H225" s="1">
        <v>5</v>
      </c>
      <c r="I225" s="1">
        <v>448</v>
      </c>
      <c r="J225" s="1">
        <v>799</v>
      </c>
      <c r="K225" s="1">
        <v>0</v>
      </c>
      <c r="L225" s="1">
        <f>ROUNDDOWN(formatted_data[[#This Row],[Selling_Price]]*formatted_data[[#This Row],[Discount_%]]/100,0)</f>
        <v>0</v>
      </c>
      <c r="M225" s="1">
        <f>(formatted_data[[#This Row],[Selling_Price]]-formatted_data[[#This Row],[Discount_Amount]])*formatted_data[[#This Row],[Units]]</f>
        <v>3995</v>
      </c>
      <c r="N225" s="1">
        <f>formatted_data[[#This Row],[Total_Revenue]]-(formatted_data[[#This Row],[Cost_Price]]*formatted_data[[#This Row],[Units]])</f>
        <v>1755</v>
      </c>
      <c r="O225" s="1" t="s">
        <v>21</v>
      </c>
      <c r="P225"/>
    </row>
    <row r="226" spans="1:16" x14ac:dyDescent="0.35">
      <c r="A226" s="1" t="s">
        <v>103</v>
      </c>
      <c r="B226" s="1" t="s">
        <v>16</v>
      </c>
      <c r="C226" s="2">
        <v>45584</v>
      </c>
      <c r="D226" s="1" t="s">
        <v>31</v>
      </c>
      <c r="E226" s="1" t="s">
        <v>32</v>
      </c>
      <c r="F226" s="1" t="s">
        <v>19</v>
      </c>
      <c r="G226" s="1" t="s">
        <v>19</v>
      </c>
      <c r="H226" s="1">
        <v>2</v>
      </c>
      <c r="I226" s="1">
        <v>872</v>
      </c>
      <c r="J226" s="1">
        <v>1499</v>
      </c>
      <c r="K226" s="1">
        <v>0</v>
      </c>
      <c r="L226" s="1">
        <f>ROUNDDOWN(formatted_data[[#This Row],[Selling_Price]]*formatted_data[[#This Row],[Discount_%]]/100,0)</f>
        <v>0</v>
      </c>
      <c r="M226" s="1">
        <f>(formatted_data[[#This Row],[Selling_Price]]-formatted_data[[#This Row],[Discount_Amount]])*formatted_data[[#This Row],[Units]]</f>
        <v>2998</v>
      </c>
      <c r="N226" s="1">
        <f>formatted_data[[#This Row],[Total_Revenue]]-(formatted_data[[#This Row],[Cost_Price]]*formatted_data[[#This Row],[Units]])</f>
        <v>1254</v>
      </c>
      <c r="O226" s="1" t="s">
        <v>33</v>
      </c>
      <c r="P226"/>
    </row>
    <row r="227" spans="1:16" x14ac:dyDescent="0.35">
      <c r="A227" s="1" t="s">
        <v>107</v>
      </c>
      <c r="B227" s="1" t="s">
        <v>27</v>
      </c>
      <c r="C227" s="2">
        <v>45579</v>
      </c>
      <c r="D227" s="1" t="s">
        <v>17</v>
      </c>
      <c r="E227" s="1" t="s">
        <v>18</v>
      </c>
      <c r="F227" s="1" t="s">
        <v>25</v>
      </c>
      <c r="G227" s="1" t="s">
        <v>19</v>
      </c>
      <c r="H227" s="1">
        <v>1</v>
      </c>
      <c r="I227" s="1">
        <v>273</v>
      </c>
      <c r="J227" s="1">
        <v>499</v>
      </c>
      <c r="K227" s="1">
        <v>0</v>
      </c>
      <c r="L227" s="1">
        <f>ROUNDDOWN(formatted_data[[#This Row],[Selling_Price]]*formatted_data[[#This Row],[Discount_%]]/100,0)</f>
        <v>0</v>
      </c>
      <c r="M227" s="1">
        <f>(formatted_data[[#This Row],[Selling_Price]]-formatted_data[[#This Row],[Discount_Amount]])*formatted_data[[#This Row],[Units]]</f>
        <v>499</v>
      </c>
      <c r="N227" s="1">
        <f>formatted_data[[#This Row],[Total_Revenue]]-(formatted_data[[#This Row],[Cost_Price]]*formatted_data[[#This Row],[Units]])</f>
        <v>226</v>
      </c>
      <c r="O227" s="1" t="s">
        <v>21</v>
      </c>
      <c r="P227"/>
    </row>
    <row r="228" spans="1:16" x14ac:dyDescent="0.35">
      <c r="A228" s="1" t="s">
        <v>88</v>
      </c>
      <c r="B228" s="1" t="s">
        <v>27</v>
      </c>
      <c r="C228" s="2">
        <v>45554</v>
      </c>
      <c r="D228" s="1" t="s">
        <v>23</v>
      </c>
      <c r="E228" s="1" t="s">
        <v>24</v>
      </c>
      <c r="F228" s="1" t="s">
        <v>37</v>
      </c>
      <c r="G228" s="1" t="s">
        <v>19</v>
      </c>
      <c r="H228" s="1">
        <v>4</v>
      </c>
      <c r="I228" s="1">
        <v>577</v>
      </c>
      <c r="J228" s="1">
        <v>899</v>
      </c>
      <c r="K228" s="1">
        <v>5</v>
      </c>
      <c r="L228" s="1">
        <f>ROUNDDOWN(formatted_data[[#This Row],[Selling_Price]]*formatted_data[[#This Row],[Discount_%]]/100,0)</f>
        <v>44</v>
      </c>
      <c r="M228" s="1">
        <f>(formatted_data[[#This Row],[Selling_Price]]-formatted_data[[#This Row],[Discount_Amount]])*formatted_data[[#This Row],[Units]]</f>
        <v>3420</v>
      </c>
      <c r="N228" s="1">
        <f>formatted_data[[#This Row],[Total_Revenue]]-(formatted_data[[#This Row],[Cost_Price]]*formatted_data[[#This Row],[Units]])</f>
        <v>1112</v>
      </c>
      <c r="O228" s="1" t="s">
        <v>33</v>
      </c>
      <c r="P228"/>
    </row>
    <row r="229" spans="1:16" x14ac:dyDescent="0.35">
      <c r="A229" s="1" t="s">
        <v>75</v>
      </c>
      <c r="B229" s="1" t="s">
        <v>27</v>
      </c>
      <c r="C229" s="2">
        <v>45620</v>
      </c>
      <c r="D229" s="1" t="s">
        <v>23</v>
      </c>
      <c r="E229" s="1" t="s">
        <v>43</v>
      </c>
      <c r="F229" s="1" t="s">
        <v>25</v>
      </c>
      <c r="G229" s="1" t="s">
        <v>19</v>
      </c>
      <c r="H229" s="1">
        <v>1</v>
      </c>
      <c r="I229" s="1">
        <v>2402</v>
      </c>
      <c r="J229" s="1">
        <v>3399</v>
      </c>
      <c r="K229" s="1">
        <v>10</v>
      </c>
      <c r="L229" s="1">
        <f>ROUNDDOWN(formatted_data[[#This Row],[Selling_Price]]*formatted_data[[#This Row],[Discount_%]]/100,0)</f>
        <v>339</v>
      </c>
      <c r="M229" s="1">
        <f>(formatted_data[[#This Row],[Selling_Price]]-formatted_data[[#This Row],[Discount_Amount]])*formatted_data[[#This Row],[Units]]</f>
        <v>3060</v>
      </c>
      <c r="N229" s="1">
        <f>formatted_data[[#This Row],[Total_Revenue]]-(formatted_data[[#This Row],[Cost_Price]]*formatted_data[[#This Row],[Units]])</f>
        <v>658</v>
      </c>
      <c r="O229" s="1" t="s">
        <v>21</v>
      </c>
      <c r="P229"/>
    </row>
    <row r="230" spans="1:16" x14ac:dyDescent="0.35">
      <c r="A230" s="1" t="s">
        <v>64</v>
      </c>
      <c r="B230" s="1" t="s">
        <v>16</v>
      </c>
      <c r="C230" s="2">
        <v>45514</v>
      </c>
      <c r="D230" s="1" t="s">
        <v>31</v>
      </c>
      <c r="E230" s="1" t="s">
        <v>76</v>
      </c>
      <c r="F230" s="1" t="s">
        <v>25</v>
      </c>
      <c r="G230" s="1" t="s">
        <v>20</v>
      </c>
      <c r="H230" s="1">
        <v>1</v>
      </c>
      <c r="I230" s="1">
        <v>1052</v>
      </c>
      <c r="J230" s="1">
        <v>1499</v>
      </c>
      <c r="K230" s="1">
        <v>0</v>
      </c>
      <c r="L230" s="1">
        <f>ROUNDDOWN(formatted_data[[#This Row],[Selling_Price]]*formatted_data[[#This Row],[Discount_%]]/100,0)</f>
        <v>0</v>
      </c>
      <c r="M230" s="1">
        <f>(formatted_data[[#This Row],[Selling_Price]]-formatted_data[[#This Row],[Discount_Amount]])*formatted_data[[#This Row],[Units]]</f>
        <v>1499</v>
      </c>
      <c r="N230" s="1">
        <f>formatted_data[[#This Row],[Total_Revenue]]-(formatted_data[[#This Row],[Cost_Price]]*formatted_data[[#This Row],[Units]])</f>
        <v>447</v>
      </c>
      <c r="O230" s="1" t="s">
        <v>21</v>
      </c>
      <c r="P230"/>
    </row>
    <row r="231" spans="1:16" x14ac:dyDescent="0.35">
      <c r="A231" s="1" t="s">
        <v>104</v>
      </c>
      <c r="B231" s="1" t="s">
        <v>27</v>
      </c>
      <c r="C231" s="2">
        <v>45539</v>
      </c>
      <c r="D231" s="1" t="s">
        <v>28</v>
      </c>
      <c r="E231" s="1" t="s">
        <v>45</v>
      </c>
      <c r="F231" s="1" t="s">
        <v>19</v>
      </c>
      <c r="G231" s="1" t="s">
        <v>19</v>
      </c>
      <c r="H231" s="1">
        <v>1</v>
      </c>
      <c r="I231" s="1">
        <v>384</v>
      </c>
      <c r="J231" s="1">
        <v>699</v>
      </c>
      <c r="K231" s="1">
        <v>10</v>
      </c>
      <c r="L231" s="1">
        <f>ROUNDDOWN(formatted_data[[#This Row],[Selling_Price]]*formatted_data[[#This Row],[Discount_%]]/100,0)</f>
        <v>69</v>
      </c>
      <c r="M231" s="1">
        <f>(formatted_data[[#This Row],[Selling_Price]]-formatted_data[[#This Row],[Discount_Amount]])*formatted_data[[#This Row],[Units]]</f>
        <v>630</v>
      </c>
      <c r="N231" s="1">
        <f>formatted_data[[#This Row],[Total_Revenue]]-(formatted_data[[#This Row],[Cost_Price]]*formatted_data[[#This Row],[Units]])</f>
        <v>246</v>
      </c>
      <c r="O231" s="1" t="s">
        <v>21</v>
      </c>
      <c r="P231"/>
    </row>
    <row r="232" spans="1:16" x14ac:dyDescent="0.35">
      <c r="A232" s="1" t="s">
        <v>67</v>
      </c>
      <c r="B232" s="1" t="s">
        <v>27</v>
      </c>
      <c r="C232" s="2">
        <v>45445</v>
      </c>
      <c r="D232" s="1" t="s">
        <v>23</v>
      </c>
      <c r="E232" s="1" t="s">
        <v>43</v>
      </c>
      <c r="F232" s="1" t="s">
        <v>37</v>
      </c>
      <c r="G232" s="1" t="s">
        <v>20</v>
      </c>
      <c r="H232" s="1">
        <v>1</v>
      </c>
      <c r="I232" s="1">
        <v>1382</v>
      </c>
      <c r="J232" s="1">
        <v>2299</v>
      </c>
      <c r="K232" s="1">
        <v>10</v>
      </c>
      <c r="L232" s="1">
        <f>ROUNDDOWN(formatted_data[[#This Row],[Selling_Price]]*formatted_data[[#This Row],[Discount_%]]/100,0)</f>
        <v>229</v>
      </c>
      <c r="M232" s="1">
        <f>(formatted_data[[#This Row],[Selling_Price]]-formatted_data[[#This Row],[Discount_Amount]])*formatted_data[[#This Row],[Units]]</f>
        <v>2070</v>
      </c>
      <c r="N232" s="1">
        <f>formatted_data[[#This Row],[Total_Revenue]]-(formatted_data[[#This Row],[Cost_Price]]*formatted_data[[#This Row],[Units]])</f>
        <v>688</v>
      </c>
      <c r="O232" s="1" t="s">
        <v>21</v>
      </c>
      <c r="P232"/>
    </row>
    <row r="233" spans="1:16" x14ac:dyDescent="0.35">
      <c r="A233" s="1" t="s">
        <v>68</v>
      </c>
      <c r="B233" s="1" t="s">
        <v>16</v>
      </c>
      <c r="C233" s="2">
        <v>45626</v>
      </c>
      <c r="D233" s="1" t="s">
        <v>31</v>
      </c>
      <c r="E233" s="1" t="s">
        <v>76</v>
      </c>
      <c r="F233" s="1" t="s">
        <v>25</v>
      </c>
      <c r="G233" s="1" t="s">
        <v>19</v>
      </c>
      <c r="H233" s="1">
        <v>1</v>
      </c>
      <c r="I233" s="1">
        <v>611</v>
      </c>
      <c r="J233" s="1">
        <v>999</v>
      </c>
      <c r="K233" s="1">
        <v>0</v>
      </c>
      <c r="L233" s="1">
        <f>ROUNDDOWN(formatted_data[[#This Row],[Selling_Price]]*formatted_data[[#This Row],[Discount_%]]/100,0)</f>
        <v>0</v>
      </c>
      <c r="M233" s="1">
        <f>(formatted_data[[#This Row],[Selling_Price]]-formatted_data[[#This Row],[Discount_Amount]])*formatted_data[[#This Row],[Units]]</f>
        <v>999</v>
      </c>
      <c r="N233" s="1">
        <f>formatted_data[[#This Row],[Total_Revenue]]-(formatted_data[[#This Row],[Cost_Price]]*formatted_data[[#This Row],[Units]])</f>
        <v>388</v>
      </c>
      <c r="O233" s="1" t="s">
        <v>21</v>
      </c>
      <c r="P233"/>
    </row>
    <row r="234" spans="1:16" x14ac:dyDescent="0.35">
      <c r="A234" s="1" t="s">
        <v>96</v>
      </c>
      <c r="B234" s="1" t="s">
        <v>16</v>
      </c>
      <c r="C234" s="2">
        <v>45481</v>
      </c>
      <c r="D234" s="1" t="s">
        <v>23</v>
      </c>
      <c r="E234" s="1" t="s">
        <v>24</v>
      </c>
      <c r="F234" s="1" t="s">
        <v>37</v>
      </c>
      <c r="G234" s="1" t="s">
        <v>19</v>
      </c>
      <c r="H234" s="1">
        <v>4</v>
      </c>
      <c r="I234" s="1">
        <v>1003</v>
      </c>
      <c r="J234" s="1">
        <v>1799</v>
      </c>
      <c r="K234" s="1">
        <v>15</v>
      </c>
      <c r="L234" s="1">
        <f>ROUNDDOWN(formatted_data[[#This Row],[Selling_Price]]*formatted_data[[#This Row],[Discount_%]]/100,0)</f>
        <v>269</v>
      </c>
      <c r="M234" s="1">
        <f>(formatted_data[[#This Row],[Selling_Price]]-formatted_data[[#This Row],[Discount_Amount]])*formatted_data[[#This Row],[Units]]</f>
        <v>6120</v>
      </c>
      <c r="N234" s="1">
        <f>formatted_data[[#This Row],[Total_Revenue]]-(formatted_data[[#This Row],[Cost_Price]]*formatted_data[[#This Row],[Units]])</f>
        <v>2108</v>
      </c>
      <c r="O234" s="1" t="s">
        <v>33</v>
      </c>
      <c r="P234"/>
    </row>
    <row r="235" spans="1:16" x14ac:dyDescent="0.35">
      <c r="A235" s="1" t="s">
        <v>46</v>
      </c>
      <c r="B235" s="1" t="s">
        <v>16</v>
      </c>
      <c r="C235" s="2">
        <v>45577</v>
      </c>
      <c r="D235" s="1" t="s">
        <v>17</v>
      </c>
      <c r="E235" s="1" t="s">
        <v>72</v>
      </c>
      <c r="F235" s="1" t="s">
        <v>37</v>
      </c>
      <c r="G235" s="1" t="s">
        <v>19</v>
      </c>
      <c r="H235" s="1">
        <v>2</v>
      </c>
      <c r="I235" s="1">
        <v>278</v>
      </c>
      <c r="J235" s="1">
        <v>499</v>
      </c>
      <c r="K235" s="1">
        <v>0</v>
      </c>
      <c r="L235" s="1">
        <f>ROUNDDOWN(formatted_data[[#This Row],[Selling_Price]]*formatted_data[[#This Row],[Discount_%]]/100,0)</f>
        <v>0</v>
      </c>
      <c r="M235" s="1">
        <f>(formatted_data[[#This Row],[Selling_Price]]-formatted_data[[#This Row],[Discount_Amount]])*formatted_data[[#This Row],[Units]]</f>
        <v>998</v>
      </c>
      <c r="N235" s="1">
        <f>formatted_data[[#This Row],[Total_Revenue]]-(formatted_data[[#This Row],[Cost_Price]]*formatted_data[[#This Row],[Units]])</f>
        <v>442</v>
      </c>
      <c r="O235" s="1" t="s">
        <v>21</v>
      </c>
      <c r="P235"/>
    </row>
    <row r="236" spans="1:16" x14ac:dyDescent="0.35">
      <c r="A236" s="1" t="s">
        <v>40</v>
      </c>
      <c r="B236" s="1" t="s">
        <v>27</v>
      </c>
      <c r="C236" s="2">
        <v>45599</v>
      </c>
      <c r="D236" s="1" t="s">
        <v>28</v>
      </c>
      <c r="E236" s="1" t="s">
        <v>45</v>
      </c>
      <c r="F236" s="1" t="s">
        <v>25</v>
      </c>
      <c r="G236" s="1" t="s">
        <v>20</v>
      </c>
      <c r="H236" s="1">
        <v>1</v>
      </c>
      <c r="I236" s="1">
        <v>812</v>
      </c>
      <c r="J236" s="1">
        <v>1199</v>
      </c>
      <c r="K236" s="1">
        <v>15</v>
      </c>
      <c r="L236" s="1">
        <f>ROUNDDOWN(formatted_data[[#This Row],[Selling_Price]]*formatted_data[[#This Row],[Discount_%]]/100,0)</f>
        <v>179</v>
      </c>
      <c r="M236" s="1">
        <f>(formatted_data[[#This Row],[Selling_Price]]-formatted_data[[#This Row],[Discount_Amount]])*formatted_data[[#This Row],[Units]]</f>
        <v>1020</v>
      </c>
      <c r="N236" s="1">
        <f>formatted_data[[#This Row],[Total_Revenue]]-(formatted_data[[#This Row],[Cost_Price]]*formatted_data[[#This Row],[Units]])</f>
        <v>208</v>
      </c>
      <c r="O236" s="1" t="s">
        <v>33</v>
      </c>
      <c r="P236"/>
    </row>
    <row r="237" spans="1:16" x14ac:dyDescent="0.35">
      <c r="A237" s="1" t="s">
        <v>54</v>
      </c>
      <c r="B237" s="1" t="s">
        <v>27</v>
      </c>
      <c r="C237" s="2">
        <v>45491</v>
      </c>
      <c r="D237" s="1" t="s">
        <v>28</v>
      </c>
      <c r="E237" s="1" t="s">
        <v>29</v>
      </c>
      <c r="F237" s="1" t="s">
        <v>25</v>
      </c>
      <c r="G237" s="1" t="s">
        <v>20</v>
      </c>
      <c r="H237" s="1">
        <v>3</v>
      </c>
      <c r="I237" s="1">
        <v>439</v>
      </c>
      <c r="J237" s="1">
        <v>599</v>
      </c>
      <c r="K237" s="1">
        <v>10</v>
      </c>
      <c r="L237" s="1">
        <f>ROUNDDOWN(formatted_data[[#This Row],[Selling_Price]]*formatted_data[[#This Row],[Discount_%]]/100,0)</f>
        <v>59</v>
      </c>
      <c r="M237" s="1">
        <f>(formatted_data[[#This Row],[Selling_Price]]-formatted_data[[#This Row],[Discount_Amount]])*formatted_data[[#This Row],[Units]]</f>
        <v>1620</v>
      </c>
      <c r="N237" s="1">
        <f>formatted_data[[#This Row],[Total_Revenue]]-(formatted_data[[#This Row],[Cost_Price]]*formatted_data[[#This Row],[Units]])</f>
        <v>303</v>
      </c>
      <c r="O237" s="1" t="s">
        <v>21</v>
      </c>
      <c r="P237"/>
    </row>
    <row r="238" spans="1:16" x14ac:dyDescent="0.35">
      <c r="A238" s="1" t="s">
        <v>83</v>
      </c>
      <c r="B238" s="1" t="s">
        <v>27</v>
      </c>
      <c r="C238" s="2">
        <v>45518</v>
      </c>
      <c r="D238" s="1" t="s">
        <v>23</v>
      </c>
      <c r="E238" s="1" t="s">
        <v>43</v>
      </c>
      <c r="F238" s="1" t="s">
        <v>37</v>
      </c>
      <c r="G238" s="1" t="s">
        <v>19</v>
      </c>
      <c r="H238" s="1">
        <v>1</v>
      </c>
      <c r="I238" s="1">
        <v>2234</v>
      </c>
      <c r="J238" s="1">
        <v>3199</v>
      </c>
      <c r="K238" s="1">
        <v>5</v>
      </c>
      <c r="L238" s="1">
        <f>ROUNDDOWN(formatted_data[[#This Row],[Selling_Price]]*formatted_data[[#This Row],[Discount_%]]/100,0)</f>
        <v>159</v>
      </c>
      <c r="M238" s="1">
        <f>(formatted_data[[#This Row],[Selling_Price]]-formatted_data[[#This Row],[Discount_Amount]])*formatted_data[[#This Row],[Units]]</f>
        <v>3040</v>
      </c>
      <c r="N238" s="1">
        <f>formatted_data[[#This Row],[Total_Revenue]]-(formatted_data[[#This Row],[Cost_Price]]*formatted_data[[#This Row],[Units]])</f>
        <v>806</v>
      </c>
      <c r="O238" s="1" t="s">
        <v>21</v>
      </c>
      <c r="P238"/>
    </row>
    <row r="239" spans="1:16" x14ac:dyDescent="0.35">
      <c r="A239" s="1" t="s">
        <v>53</v>
      </c>
      <c r="B239" s="1" t="s">
        <v>27</v>
      </c>
      <c r="C239" s="2">
        <v>45656</v>
      </c>
      <c r="D239" s="1" t="s">
        <v>31</v>
      </c>
      <c r="E239" s="1" t="s">
        <v>32</v>
      </c>
      <c r="F239" s="1" t="s">
        <v>37</v>
      </c>
      <c r="G239" s="1" t="s">
        <v>20</v>
      </c>
      <c r="H239" s="1">
        <v>1</v>
      </c>
      <c r="I239" s="1">
        <v>1010</v>
      </c>
      <c r="J239" s="1">
        <v>1499</v>
      </c>
      <c r="K239" s="1">
        <v>0</v>
      </c>
      <c r="L239" s="1">
        <f>ROUNDDOWN(formatted_data[[#This Row],[Selling_Price]]*formatted_data[[#This Row],[Discount_%]]/100,0)</f>
        <v>0</v>
      </c>
      <c r="M239" s="1">
        <f>(formatted_data[[#This Row],[Selling_Price]]-formatted_data[[#This Row],[Discount_Amount]])*formatted_data[[#This Row],[Units]]</f>
        <v>1499</v>
      </c>
      <c r="N239" s="1">
        <f>formatted_data[[#This Row],[Total_Revenue]]-(formatted_data[[#This Row],[Cost_Price]]*formatted_data[[#This Row],[Units]])</f>
        <v>489</v>
      </c>
      <c r="O239" s="1" t="s">
        <v>33</v>
      </c>
      <c r="P239"/>
    </row>
    <row r="240" spans="1:16" x14ac:dyDescent="0.35">
      <c r="A240" s="1" t="s">
        <v>53</v>
      </c>
      <c r="B240" s="1" t="s">
        <v>27</v>
      </c>
      <c r="C240" s="2">
        <v>45586</v>
      </c>
      <c r="D240" s="1" t="s">
        <v>23</v>
      </c>
      <c r="E240" s="1" t="s">
        <v>43</v>
      </c>
      <c r="F240" s="1" t="s">
        <v>37</v>
      </c>
      <c r="G240" s="1" t="s">
        <v>19</v>
      </c>
      <c r="H240" s="1">
        <v>3</v>
      </c>
      <c r="I240" s="1">
        <v>1030</v>
      </c>
      <c r="J240" s="1">
        <v>1999</v>
      </c>
      <c r="K240" s="1">
        <v>5</v>
      </c>
      <c r="L240" s="1">
        <f>ROUNDDOWN(formatted_data[[#This Row],[Selling_Price]]*formatted_data[[#This Row],[Discount_%]]/100,0)</f>
        <v>99</v>
      </c>
      <c r="M240" s="1">
        <f>(formatted_data[[#This Row],[Selling_Price]]-formatted_data[[#This Row],[Discount_Amount]])*formatted_data[[#This Row],[Units]]</f>
        <v>5700</v>
      </c>
      <c r="N240" s="1">
        <f>formatted_data[[#This Row],[Total_Revenue]]-(formatted_data[[#This Row],[Cost_Price]]*formatted_data[[#This Row],[Units]])</f>
        <v>2610</v>
      </c>
      <c r="O240" s="1" t="s">
        <v>21</v>
      </c>
      <c r="P240"/>
    </row>
    <row r="241" spans="1:16" x14ac:dyDescent="0.35">
      <c r="A241" s="1" t="s">
        <v>82</v>
      </c>
      <c r="B241" s="1" t="s">
        <v>27</v>
      </c>
      <c r="C241" s="2">
        <v>45537</v>
      </c>
      <c r="D241" s="1" t="s">
        <v>35</v>
      </c>
      <c r="E241" s="1" t="s">
        <v>50</v>
      </c>
      <c r="F241" s="1" t="s">
        <v>37</v>
      </c>
      <c r="G241" s="1" t="s">
        <v>19</v>
      </c>
      <c r="H241" s="1">
        <v>1</v>
      </c>
      <c r="I241" s="1">
        <v>702</v>
      </c>
      <c r="J241" s="1">
        <v>1199</v>
      </c>
      <c r="K241" s="1">
        <v>10</v>
      </c>
      <c r="L241" s="1">
        <f>ROUNDDOWN(formatted_data[[#This Row],[Selling_Price]]*formatted_data[[#This Row],[Discount_%]]/100,0)</f>
        <v>119</v>
      </c>
      <c r="M241" s="1">
        <f>(formatted_data[[#This Row],[Selling_Price]]-formatted_data[[#This Row],[Discount_Amount]])*formatted_data[[#This Row],[Units]]</f>
        <v>1080</v>
      </c>
      <c r="N241" s="1">
        <f>formatted_data[[#This Row],[Total_Revenue]]-(formatted_data[[#This Row],[Cost_Price]]*formatted_data[[#This Row],[Units]])</f>
        <v>378</v>
      </c>
      <c r="O241" s="1" t="s">
        <v>21</v>
      </c>
      <c r="P241"/>
    </row>
    <row r="242" spans="1:16" x14ac:dyDescent="0.35">
      <c r="A242" s="1" t="s">
        <v>52</v>
      </c>
      <c r="B242" s="1" t="s">
        <v>27</v>
      </c>
      <c r="C242" s="2">
        <v>45464</v>
      </c>
      <c r="D242" s="1" t="s">
        <v>35</v>
      </c>
      <c r="E242" s="1" t="s">
        <v>39</v>
      </c>
      <c r="F242" s="1" t="s">
        <v>25</v>
      </c>
      <c r="G242" s="1" t="s">
        <v>20</v>
      </c>
      <c r="H242" s="1">
        <v>4</v>
      </c>
      <c r="I242" s="1">
        <v>529</v>
      </c>
      <c r="J242" s="1">
        <v>799</v>
      </c>
      <c r="K242" s="1">
        <v>10</v>
      </c>
      <c r="L242" s="1">
        <f>ROUNDDOWN(formatted_data[[#This Row],[Selling_Price]]*formatted_data[[#This Row],[Discount_%]]/100,0)</f>
        <v>79</v>
      </c>
      <c r="M242" s="1">
        <f>(formatted_data[[#This Row],[Selling_Price]]-formatted_data[[#This Row],[Discount_Amount]])*formatted_data[[#This Row],[Units]]</f>
        <v>2880</v>
      </c>
      <c r="N242" s="1">
        <f>formatted_data[[#This Row],[Total_Revenue]]-(formatted_data[[#This Row],[Cost_Price]]*formatted_data[[#This Row],[Units]])</f>
        <v>764</v>
      </c>
      <c r="O242" s="1" t="s">
        <v>21</v>
      </c>
      <c r="P242"/>
    </row>
    <row r="243" spans="1:16" x14ac:dyDescent="0.35">
      <c r="A243" s="1" t="s">
        <v>71</v>
      </c>
      <c r="B243" s="1" t="s">
        <v>16</v>
      </c>
      <c r="C243" s="2">
        <v>45632</v>
      </c>
      <c r="D243" s="1" t="s">
        <v>17</v>
      </c>
      <c r="E243" s="1" t="s">
        <v>72</v>
      </c>
      <c r="F243" s="1" t="s">
        <v>37</v>
      </c>
      <c r="G243" s="1" t="s">
        <v>20</v>
      </c>
      <c r="H243" s="1">
        <v>1</v>
      </c>
      <c r="I243" s="1">
        <v>316</v>
      </c>
      <c r="J243" s="1">
        <v>499</v>
      </c>
      <c r="K243" s="1">
        <v>0</v>
      </c>
      <c r="L243" s="1">
        <f>ROUNDDOWN(formatted_data[[#This Row],[Selling_Price]]*formatted_data[[#This Row],[Discount_%]]/100,0)</f>
        <v>0</v>
      </c>
      <c r="M243" s="1">
        <f>(formatted_data[[#This Row],[Selling_Price]]-formatted_data[[#This Row],[Discount_Amount]])*formatted_data[[#This Row],[Units]]</f>
        <v>499</v>
      </c>
      <c r="N243" s="1">
        <f>formatted_data[[#This Row],[Total_Revenue]]-(formatted_data[[#This Row],[Cost_Price]]*formatted_data[[#This Row],[Units]])</f>
        <v>183</v>
      </c>
      <c r="O243" s="1" t="s">
        <v>21</v>
      </c>
      <c r="P243"/>
    </row>
    <row r="244" spans="1:16" x14ac:dyDescent="0.35">
      <c r="A244" s="1" t="s">
        <v>104</v>
      </c>
      <c r="B244" s="1" t="s">
        <v>27</v>
      </c>
      <c r="C244" s="2">
        <v>45503</v>
      </c>
      <c r="D244" s="1" t="s">
        <v>17</v>
      </c>
      <c r="E244" s="1" t="s">
        <v>48</v>
      </c>
      <c r="F244" s="1" t="s">
        <v>37</v>
      </c>
      <c r="G244" s="1" t="s">
        <v>20</v>
      </c>
      <c r="H244" s="1">
        <v>1</v>
      </c>
      <c r="I244" s="1">
        <v>258</v>
      </c>
      <c r="J244" s="1">
        <v>499</v>
      </c>
      <c r="K244" s="1">
        <v>0</v>
      </c>
      <c r="L244" s="1">
        <f>ROUNDDOWN(formatted_data[[#This Row],[Selling_Price]]*formatted_data[[#This Row],[Discount_%]]/100,0)</f>
        <v>0</v>
      </c>
      <c r="M244" s="1">
        <f>(formatted_data[[#This Row],[Selling_Price]]-formatted_data[[#This Row],[Discount_Amount]])*formatted_data[[#This Row],[Units]]</f>
        <v>499</v>
      </c>
      <c r="N244" s="1">
        <f>formatted_data[[#This Row],[Total_Revenue]]-(formatted_data[[#This Row],[Cost_Price]]*formatted_data[[#This Row],[Units]])</f>
        <v>241</v>
      </c>
      <c r="O244" s="1" t="s">
        <v>21</v>
      </c>
      <c r="P244"/>
    </row>
    <row r="245" spans="1:16" x14ac:dyDescent="0.35">
      <c r="A245" s="1" t="s">
        <v>38</v>
      </c>
      <c r="B245" s="1" t="s">
        <v>27</v>
      </c>
      <c r="C245" s="2">
        <v>45492</v>
      </c>
      <c r="D245" s="1" t="s">
        <v>35</v>
      </c>
      <c r="E245" s="1" t="s">
        <v>39</v>
      </c>
      <c r="F245" s="1" t="s">
        <v>37</v>
      </c>
      <c r="G245" s="1" t="s">
        <v>19</v>
      </c>
      <c r="H245" s="1">
        <v>4</v>
      </c>
      <c r="I245" s="1">
        <v>596</v>
      </c>
      <c r="J245" s="1">
        <v>899</v>
      </c>
      <c r="K245" s="1">
        <v>20</v>
      </c>
      <c r="L245" s="1">
        <f>ROUNDDOWN(formatted_data[[#This Row],[Selling_Price]]*formatted_data[[#This Row],[Discount_%]]/100,0)</f>
        <v>179</v>
      </c>
      <c r="M245" s="1">
        <f>(formatted_data[[#This Row],[Selling_Price]]-formatted_data[[#This Row],[Discount_Amount]])*formatted_data[[#This Row],[Units]]</f>
        <v>2880</v>
      </c>
      <c r="N245" s="1">
        <f>formatted_data[[#This Row],[Total_Revenue]]-(formatted_data[[#This Row],[Cost_Price]]*formatted_data[[#This Row],[Units]])</f>
        <v>496</v>
      </c>
      <c r="O245" s="1" t="s">
        <v>21</v>
      </c>
      <c r="P245"/>
    </row>
    <row r="246" spans="1:16" x14ac:dyDescent="0.35">
      <c r="A246" s="1" t="s">
        <v>84</v>
      </c>
      <c r="B246" s="1" t="s">
        <v>27</v>
      </c>
      <c r="C246" s="2">
        <v>45531</v>
      </c>
      <c r="D246" s="1" t="s">
        <v>31</v>
      </c>
      <c r="E246" s="1" t="s">
        <v>32</v>
      </c>
      <c r="F246" s="1" t="s">
        <v>19</v>
      </c>
      <c r="G246" s="1" t="s">
        <v>19</v>
      </c>
      <c r="H246" s="1">
        <v>3</v>
      </c>
      <c r="I246" s="1">
        <v>616</v>
      </c>
      <c r="J246" s="1">
        <v>1199</v>
      </c>
      <c r="K246" s="1">
        <v>0</v>
      </c>
      <c r="L246" s="1">
        <f>ROUNDDOWN(formatted_data[[#This Row],[Selling_Price]]*formatted_data[[#This Row],[Discount_%]]/100,0)</f>
        <v>0</v>
      </c>
      <c r="M246" s="1">
        <f>(formatted_data[[#This Row],[Selling_Price]]-formatted_data[[#This Row],[Discount_Amount]])*formatted_data[[#This Row],[Units]]</f>
        <v>3597</v>
      </c>
      <c r="N246" s="1">
        <f>formatted_data[[#This Row],[Total_Revenue]]-(formatted_data[[#This Row],[Cost_Price]]*formatted_data[[#This Row],[Units]])</f>
        <v>1749</v>
      </c>
      <c r="O246" s="1" t="s">
        <v>21</v>
      </c>
      <c r="P246"/>
    </row>
    <row r="247" spans="1:16" x14ac:dyDescent="0.35">
      <c r="A247" s="1" t="s">
        <v>79</v>
      </c>
      <c r="B247" s="1" t="s">
        <v>16</v>
      </c>
      <c r="C247" s="2">
        <v>45445</v>
      </c>
      <c r="D247" s="1" t="s">
        <v>31</v>
      </c>
      <c r="E247" s="1" t="s">
        <v>76</v>
      </c>
      <c r="F247" s="1" t="s">
        <v>25</v>
      </c>
      <c r="G247" s="1" t="s">
        <v>19</v>
      </c>
      <c r="H247" s="1">
        <v>1</v>
      </c>
      <c r="I247" s="1">
        <v>935</v>
      </c>
      <c r="J247" s="1">
        <v>1499</v>
      </c>
      <c r="K247" s="1">
        <v>0</v>
      </c>
      <c r="L247" s="1">
        <f>ROUNDDOWN(formatted_data[[#This Row],[Selling_Price]]*formatted_data[[#This Row],[Discount_%]]/100,0)</f>
        <v>0</v>
      </c>
      <c r="M247" s="1">
        <f>(formatted_data[[#This Row],[Selling_Price]]-formatted_data[[#This Row],[Discount_Amount]])*formatted_data[[#This Row],[Units]]</f>
        <v>1499</v>
      </c>
      <c r="N247" s="1">
        <f>formatted_data[[#This Row],[Total_Revenue]]-(formatted_data[[#This Row],[Cost_Price]]*formatted_data[[#This Row],[Units]])</f>
        <v>564</v>
      </c>
      <c r="O247" s="1" t="s">
        <v>21</v>
      </c>
      <c r="P247"/>
    </row>
    <row r="248" spans="1:16" x14ac:dyDescent="0.35">
      <c r="A248" s="1" t="s">
        <v>34</v>
      </c>
      <c r="B248" s="1" t="s">
        <v>27</v>
      </c>
      <c r="C248" s="2">
        <v>45644</v>
      </c>
      <c r="D248" s="1" t="s">
        <v>28</v>
      </c>
      <c r="E248" s="1" t="s">
        <v>45</v>
      </c>
      <c r="F248" s="1" t="s">
        <v>19</v>
      </c>
      <c r="G248" s="1" t="s">
        <v>20</v>
      </c>
      <c r="H248" s="1">
        <v>1</v>
      </c>
      <c r="I248" s="1">
        <v>512</v>
      </c>
      <c r="J248" s="1">
        <v>899</v>
      </c>
      <c r="K248" s="1">
        <v>10</v>
      </c>
      <c r="L248" s="1">
        <f>ROUNDDOWN(formatted_data[[#This Row],[Selling_Price]]*formatted_data[[#This Row],[Discount_%]]/100,0)</f>
        <v>89</v>
      </c>
      <c r="M248" s="1">
        <f>(formatted_data[[#This Row],[Selling_Price]]-formatted_data[[#This Row],[Discount_Amount]])*formatted_data[[#This Row],[Units]]</f>
        <v>810</v>
      </c>
      <c r="N248" s="1">
        <f>formatted_data[[#This Row],[Total_Revenue]]-(formatted_data[[#This Row],[Cost_Price]]*formatted_data[[#This Row],[Units]])</f>
        <v>298</v>
      </c>
      <c r="O248" s="1" t="s">
        <v>21</v>
      </c>
      <c r="P248"/>
    </row>
    <row r="249" spans="1:16" x14ac:dyDescent="0.35">
      <c r="A249" s="1" t="s">
        <v>104</v>
      </c>
      <c r="B249" s="1" t="s">
        <v>27</v>
      </c>
      <c r="C249" s="2">
        <v>45507</v>
      </c>
      <c r="D249" s="1" t="s">
        <v>17</v>
      </c>
      <c r="E249" s="1" t="s">
        <v>18</v>
      </c>
      <c r="F249" s="1" t="s">
        <v>19</v>
      </c>
      <c r="G249" s="1" t="s">
        <v>19</v>
      </c>
      <c r="H249" s="1">
        <v>1</v>
      </c>
      <c r="I249" s="1">
        <v>333</v>
      </c>
      <c r="J249" s="1">
        <v>599</v>
      </c>
      <c r="K249" s="1">
        <v>0</v>
      </c>
      <c r="L249" s="1">
        <f>ROUNDDOWN(formatted_data[[#This Row],[Selling_Price]]*formatted_data[[#This Row],[Discount_%]]/100,0)</f>
        <v>0</v>
      </c>
      <c r="M249" s="1">
        <f>(formatted_data[[#This Row],[Selling_Price]]-formatted_data[[#This Row],[Discount_Amount]])*formatted_data[[#This Row],[Units]]</f>
        <v>599</v>
      </c>
      <c r="N249" s="1">
        <f>formatted_data[[#This Row],[Total_Revenue]]-(formatted_data[[#This Row],[Cost_Price]]*formatted_data[[#This Row],[Units]])</f>
        <v>266</v>
      </c>
      <c r="O249" s="1" t="s">
        <v>33</v>
      </c>
      <c r="P249"/>
    </row>
    <row r="250" spans="1:16" x14ac:dyDescent="0.35">
      <c r="A250" s="1" t="s">
        <v>97</v>
      </c>
      <c r="B250" s="1" t="s">
        <v>16</v>
      </c>
      <c r="C250" s="2">
        <v>45494</v>
      </c>
      <c r="D250" s="1" t="s">
        <v>35</v>
      </c>
      <c r="E250" s="1" t="s">
        <v>39</v>
      </c>
      <c r="F250" s="1" t="s">
        <v>37</v>
      </c>
      <c r="G250" s="1" t="s">
        <v>20</v>
      </c>
      <c r="H250" s="1">
        <v>4</v>
      </c>
      <c r="I250" s="1">
        <v>496</v>
      </c>
      <c r="J250" s="1">
        <v>799</v>
      </c>
      <c r="K250" s="1">
        <v>10</v>
      </c>
      <c r="L250" s="1">
        <f>ROUNDDOWN(formatted_data[[#This Row],[Selling_Price]]*formatted_data[[#This Row],[Discount_%]]/100,0)</f>
        <v>79</v>
      </c>
      <c r="M250" s="1">
        <f>(formatted_data[[#This Row],[Selling_Price]]-formatted_data[[#This Row],[Discount_Amount]])*formatted_data[[#This Row],[Units]]</f>
        <v>2880</v>
      </c>
      <c r="N250" s="1">
        <f>formatted_data[[#This Row],[Total_Revenue]]-(formatted_data[[#This Row],[Cost_Price]]*formatted_data[[#This Row],[Units]])</f>
        <v>896</v>
      </c>
      <c r="O250" s="1" t="s">
        <v>21</v>
      </c>
      <c r="P250"/>
    </row>
    <row r="251" spans="1:16" x14ac:dyDescent="0.35">
      <c r="A251" s="1" t="s">
        <v>54</v>
      </c>
      <c r="B251" s="1" t="s">
        <v>27</v>
      </c>
      <c r="C251" s="2">
        <v>45445</v>
      </c>
      <c r="D251" s="1" t="s">
        <v>35</v>
      </c>
      <c r="E251" s="1" t="s">
        <v>36</v>
      </c>
      <c r="F251" s="1" t="s">
        <v>19</v>
      </c>
      <c r="G251" s="1" t="s">
        <v>20</v>
      </c>
      <c r="H251" s="1">
        <v>1</v>
      </c>
      <c r="I251" s="1">
        <v>201</v>
      </c>
      <c r="J251" s="1">
        <v>399</v>
      </c>
      <c r="K251" s="1">
        <v>15</v>
      </c>
      <c r="L251" s="1">
        <f>ROUNDDOWN(formatted_data[[#This Row],[Selling_Price]]*formatted_data[[#This Row],[Discount_%]]/100,0)</f>
        <v>59</v>
      </c>
      <c r="M251" s="1">
        <f>(formatted_data[[#This Row],[Selling_Price]]-formatted_data[[#This Row],[Discount_Amount]])*formatted_data[[#This Row],[Units]]</f>
        <v>340</v>
      </c>
      <c r="N251" s="1">
        <f>formatted_data[[#This Row],[Total_Revenue]]-(formatted_data[[#This Row],[Cost_Price]]*formatted_data[[#This Row],[Units]])</f>
        <v>139</v>
      </c>
      <c r="O251" s="1" t="s">
        <v>21</v>
      </c>
      <c r="P251"/>
    </row>
    <row r="252" spans="1:16" x14ac:dyDescent="0.35">
      <c r="A252" s="1" t="s">
        <v>46</v>
      </c>
      <c r="B252" s="1" t="s">
        <v>16</v>
      </c>
      <c r="C252" s="2">
        <v>45524</v>
      </c>
      <c r="D252" s="1" t="s">
        <v>28</v>
      </c>
      <c r="E252" s="1" t="s">
        <v>29</v>
      </c>
      <c r="F252" s="1" t="s">
        <v>25</v>
      </c>
      <c r="G252" s="1" t="s">
        <v>20</v>
      </c>
      <c r="H252" s="1">
        <v>1</v>
      </c>
      <c r="I252" s="1">
        <v>347</v>
      </c>
      <c r="J252" s="1">
        <v>599</v>
      </c>
      <c r="K252" s="1">
        <v>15</v>
      </c>
      <c r="L252" s="1">
        <f>ROUNDDOWN(formatted_data[[#This Row],[Selling_Price]]*formatted_data[[#This Row],[Discount_%]]/100,0)</f>
        <v>89</v>
      </c>
      <c r="M252" s="1">
        <f>(formatted_data[[#This Row],[Selling_Price]]-formatted_data[[#This Row],[Discount_Amount]])*formatted_data[[#This Row],[Units]]</f>
        <v>510</v>
      </c>
      <c r="N252" s="1">
        <f>formatted_data[[#This Row],[Total_Revenue]]-(formatted_data[[#This Row],[Cost_Price]]*formatted_data[[#This Row],[Units]])</f>
        <v>163</v>
      </c>
      <c r="O252" s="1" t="s">
        <v>33</v>
      </c>
      <c r="P252"/>
    </row>
    <row r="253" spans="1:16" x14ac:dyDescent="0.35">
      <c r="A253" s="1" t="s">
        <v>15</v>
      </c>
      <c r="B253" s="1" t="s">
        <v>16</v>
      </c>
      <c r="C253" s="2">
        <v>45541</v>
      </c>
      <c r="D253" s="1" t="s">
        <v>17</v>
      </c>
      <c r="E253" s="1" t="s">
        <v>72</v>
      </c>
      <c r="F253" s="1" t="s">
        <v>25</v>
      </c>
      <c r="G253" s="1" t="s">
        <v>19</v>
      </c>
      <c r="H253" s="1">
        <v>1</v>
      </c>
      <c r="I253" s="1">
        <v>255</v>
      </c>
      <c r="J253" s="1">
        <v>399</v>
      </c>
      <c r="K253" s="1">
        <v>0</v>
      </c>
      <c r="L253" s="1">
        <f>ROUNDDOWN(formatted_data[[#This Row],[Selling_Price]]*formatted_data[[#This Row],[Discount_%]]/100,0)</f>
        <v>0</v>
      </c>
      <c r="M253" s="1">
        <f>(formatted_data[[#This Row],[Selling_Price]]-formatted_data[[#This Row],[Discount_Amount]])*formatted_data[[#This Row],[Units]]</f>
        <v>399</v>
      </c>
      <c r="N253" s="1">
        <f>formatted_data[[#This Row],[Total_Revenue]]-(formatted_data[[#This Row],[Cost_Price]]*formatted_data[[#This Row],[Units]])</f>
        <v>144</v>
      </c>
      <c r="O253" s="1" t="s">
        <v>21</v>
      </c>
      <c r="P253"/>
    </row>
    <row r="254" spans="1:16" x14ac:dyDescent="0.35">
      <c r="A254" s="1" t="s">
        <v>47</v>
      </c>
      <c r="B254" s="1" t="s">
        <v>16</v>
      </c>
      <c r="C254" s="2">
        <v>45516</v>
      </c>
      <c r="D254" s="1" t="s">
        <v>28</v>
      </c>
      <c r="E254" s="1" t="s">
        <v>45</v>
      </c>
      <c r="F254" s="1" t="s">
        <v>37</v>
      </c>
      <c r="G254" s="1" t="s">
        <v>20</v>
      </c>
      <c r="H254" s="1">
        <v>2</v>
      </c>
      <c r="I254" s="1">
        <v>1046</v>
      </c>
      <c r="J254" s="1">
        <v>1599</v>
      </c>
      <c r="K254" s="1">
        <v>5</v>
      </c>
      <c r="L254" s="1">
        <f>ROUNDDOWN(formatted_data[[#This Row],[Selling_Price]]*formatted_data[[#This Row],[Discount_%]]/100,0)</f>
        <v>79</v>
      </c>
      <c r="M254" s="1">
        <f>(formatted_data[[#This Row],[Selling_Price]]-formatted_data[[#This Row],[Discount_Amount]])*formatted_data[[#This Row],[Units]]</f>
        <v>3040</v>
      </c>
      <c r="N254" s="1">
        <f>formatted_data[[#This Row],[Total_Revenue]]-(formatted_data[[#This Row],[Cost_Price]]*formatted_data[[#This Row],[Units]])</f>
        <v>948</v>
      </c>
      <c r="O254" s="1" t="s">
        <v>21</v>
      </c>
      <c r="P254"/>
    </row>
    <row r="255" spans="1:16" x14ac:dyDescent="0.35">
      <c r="A255" s="1" t="s">
        <v>84</v>
      </c>
      <c r="B255" s="1" t="s">
        <v>27</v>
      </c>
      <c r="C255" s="2">
        <v>45527</v>
      </c>
      <c r="D255" s="1" t="s">
        <v>28</v>
      </c>
      <c r="E255" s="1" t="s">
        <v>45</v>
      </c>
      <c r="F255" s="1" t="s">
        <v>19</v>
      </c>
      <c r="G255" s="1" t="s">
        <v>19</v>
      </c>
      <c r="H255" s="1">
        <v>5</v>
      </c>
      <c r="I255" s="1">
        <v>1019</v>
      </c>
      <c r="J255" s="1">
        <v>1899</v>
      </c>
      <c r="K255" s="1">
        <v>20</v>
      </c>
      <c r="L255" s="1">
        <f>ROUNDDOWN(formatted_data[[#This Row],[Selling_Price]]*formatted_data[[#This Row],[Discount_%]]/100,0)</f>
        <v>379</v>
      </c>
      <c r="M255" s="1">
        <f>(formatted_data[[#This Row],[Selling_Price]]-formatted_data[[#This Row],[Discount_Amount]])*formatted_data[[#This Row],[Units]]</f>
        <v>7600</v>
      </c>
      <c r="N255" s="1">
        <f>formatted_data[[#This Row],[Total_Revenue]]-(formatted_data[[#This Row],[Cost_Price]]*formatted_data[[#This Row],[Units]])</f>
        <v>2505</v>
      </c>
      <c r="O255" s="1" t="s">
        <v>33</v>
      </c>
      <c r="P255"/>
    </row>
    <row r="256" spans="1:16" x14ac:dyDescent="0.35">
      <c r="A256" s="1" t="s">
        <v>42</v>
      </c>
      <c r="B256" s="1" t="s">
        <v>27</v>
      </c>
      <c r="C256" s="2">
        <v>45515</v>
      </c>
      <c r="D256" s="1" t="s">
        <v>35</v>
      </c>
      <c r="E256" s="1" t="s">
        <v>41</v>
      </c>
      <c r="F256" s="1" t="s">
        <v>19</v>
      </c>
      <c r="G256" s="1" t="s">
        <v>20</v>
      </c>
      <c r="H256" s="1">
        <v>5</v>
      </c>
      <c r="I256" s="1">
        <v>814</v>
      </c>
      <c r="J256" s="1">
        <v>1199</v>
      </c>
      <c r="K256" s="1">
        <v>10</v>
      </c>
      <c r="L256" s="1">
        <f>ROUNDDOWN(formatted_data[[#This Row],[Selling_Price]]*formatted_data[[#This Row],[Discount_%]]/100,0)</f>
        <v>119</v>
      </c>
      <c r="M256" s="1">
        <f>(formatted_data[[#This Row],[Selling_Price]]-formatted_data[[#This Row],[Discount_Amount]])*formatted_data[[#This Row],[Units]]</f>
        <v>5400</v>
      </c>
      <c r="N256" s="1">
        <f>formatted_data[[#This Row],[Total_Revenue]]-(formatted_data[[#This Row],[Cost_Price]]*formatted_data[[#This Row],[Units]])</f>
        <v>1330</v>
      </c>
      <c r="O256" s="1" t="s">
        <v>33</v>
      </c>
      <c r="P256"/>
    </row>
    <row r="257" spans="1:16" x14ac:dyDescent="0.35">
      <c r="A257" s="1" t="s">
        <v>91</v>
      </c>
      <c r="B257" s="1" t="s">
        <v>16</v>
      </c>
      <c r="C257" s="2">
        <v>45615</v>
      </c>
      <c r="D257" s="1" t="s">
        <v>35</v>
      </c>
      <c r="E257" s="1" t="s">
        <v>36</v>
      </c>
      <c r="F257" s="1" t="s">
        <v>19</v>
      </c>
      <c r="G257" s="1" t="s">
        <v>19</v>
      </c>
      <c r="H257" s="1">
        <v>1</v>
      </c>
      <c r="I257" s="1">
        <v>354</v>
      </c>
      <c r="J257" s="1">
        <v>599</v>
      </c>
      <c r="K257" s="1">
        <v>15</v>
      </c>
      <c r="L257" s="1">
        <f>ROUNDDOWN(formatted_data[[#This Row],[Selling_Price]]*formatted_data[[#This Row],[Discount_%]]/100,0)</f>
        <v>89</v>
      </c>
      <c r="M257" s="1">
        <f>(formatted_data[[#This Row],[Selling_Price]]-formatted_data[[#This Row],[Discount_Amount]])*formatted_data[[#This Row],[Units]]</f>
        <v>510</v>
      </c>
      <c r="N257" s="1">
        <f>formatted_data[[#This Row],[Total_Revenue]]-(formatted_data[[#This Row],[Cost_Price]]*formatted_data[[#This Row],[Units]])</f>
        <v>156</v>
      </c>
      <c r="O257" s="1" t="s">
        <v>21</v>
      </c>
      <c r="P257"/>
    </row>
    <row r="258" spans="1:16" x14ac:dyDescent="0.35">
      <c r="A258" s="1" t="s">
        <v>22</v>
      </c>
      <c r="B258" s="1" t="s">
        <v>16</v>
      </c>
      <c r="C258" s="2">
        <v>45648</v>
      </c>
      <c r="D258" s="1" t="s">
        <v>23</v>
      </c>
      <c r="E258" s="1" t="s">
        <v>24</v>
      </c>
      <c r="F258" s="1" t="s">
        <v>25</v>
      </c>
      <c r="G258" s="1" t="s">
        <v>19</v>
      </c>
      <c r="H258" s="1">
        <v>2</v>
      </c>
      <c r="I258" s="1">
        <v>1032</v>
      </c>
      <c r="J258" s="1">
        <v>1499</v>
      </c>
      <c r="K258" s="1">
        <v>20</v>
      </c>
      <c r="L258" s="1">
        <f>ROUNDDOWN(formatted_data[[#This Row],[Selling_Price]]*formatted_data[[#This Row],[Discount_%]]/100,0)</f>
        <v>299</v>
      </c>
      <c r="M258" s="1">
        <f>(formatted_data[[#This Row],[Selling_Price]]-formatted_data[[#This Row],[Discount_Amount]])*formatted_data[[#This Row],[Units]]</f>
        <v>2400</v>
      </c>
      <c r="N258" s="1">
        <f>formatted_data[[#This Row],[Total_Revenue]]-(formatted_data[[#This Row],[Cost_Price]]*formatted_data[[#This Row],[Units]])</f>
        <v>336</v>
      </c>
      <c r="O258" s="1" t="s">
        <v>21</v>
      </c>
      <c r="P258"/>
    </row>
    <row r="259" spans="1:16" x14ac:dyDescent="0.35">
      <c r="A259" s="1" t="s">
        <v>91</v>
      </c>
      <c r="B259" s="1" t="s">
        <v>16</v>
      </c>
      <c r="C259" s="2">
        <v>45467</v>
      </c>
      <c r="D259" s="1" t="s">
        <v>17</v>
      </c>
      <c r="E259" s="1" t="s">
        <v>18</v>
      </c>
      <c r="F259" s="1" t="s">
        <v>25</v>
      </c>
      <c r="G259" s="1" t="s">
        <v>19</v>
      </c>
      <c r="H259" s="1">
        <v>1</v>
      </c>
      <c r="I259" s="1">
        <v>280</v>
      </c>
      <c r="J259" s="1">
        <v>399</v>
      </c>
      <c r="K259" s="1">
        <v>0</v>
      </c>
      <c r="L259" s="1">
        <f>ROUNDDOWN(formatted_data[[#This Row],[Selling_Price]]*formatted_data[[#This Row],[Discount_%]]/100,0)</f>
        <v>0</v>
      </c>
      <c r="M259" s="1">
        <f>(formatted_data[[#This Row],[Selling_Price]]-formatted_data[[#This Row],[Discount_Amount]])*formatted_data[[#This Row],[Units]]</f>
        <v>399</v>
      </c>
      <c r="N259" s="1">
        <f>formatted_data[[#This Row],[Total_Revenue]]-(formatted_data[[#This Row],[Cost_Price]]*formatted_data[[#This Row],[Units]])</f>
        <v>119</v>
      </c>
      <c r="O259" s="1" t="s">
        <v>21</v>
      </c>
      <c r="P259"/>
    </row>
    <row r="260" spans="1:16" x14ac:dyDescent="0.35">
      <c r="A260" s="1" t="s">
        <v>66</v>
      </c>
      <c r="B260" s="1" t="s">
        <v>27</v>
      </c>
      <c r="C260" s="2">
        <v>45468</v>
      </c>
      <c r="D260" s="1" t="s">
        <v>28</v>
      </c>
      <c r="E260" s="1" t="s">
        <v>29</v>
      </c>
      <c r="F260" s="1" t="s">
        <v>25</v>
      </c>
      <c r="G260" s="1" t="s">
        <v>19</v>
      </c>
      <c r="H260" s="1">
        <v>1</v>
      </c>
      <c r="I260" s="1">
        <v>335</v>
      </c>
      <c r="J260" s="1">
        <v>599</v>
      </c>
      <c r="K260" s="1">
        <v>15</v>
      </c>
      <c r="L260" s="1">
        <f>ROUNDDOWN(formatted_data[[#This Row],[Selling_Price]]*formatted_data[[#This Row],[Discount_%]]/100,0)</f>
        <v>89</v>
      </c>
      <c r="M260" s="1">
        <f>(formatted_data[[#This Row],[Selling_Price]]-formatted_data[[#This Row],[Discount_Amount]])*formatted_data[[#This Row],[Units]]</f>
        <v>510</v>
      </c>
      <c r="N260" s="1">
        <f>formatted_data[[#This Row],[Total_Revenue]]-(formatted_data[[#This Row],[Cost_Price]]*formatted_data[[#This Row],[Units]])</f>
        <v>175</v>
      </c>
      <c r="O260" s="1" t="s">
        <v>21</v>
      </c>
      <c r="P260"/>
    </row>
    <row r="261" spans="1:16" x14ac:dyDescent="0.35">
      <c r="A261" s="1" t="s">
        <v>67</v>
      </c>
      <c r="B261" s="1" t="s">
        <v>27</v>
      </c>
      <c r="C261" s="2">
        <v>45598</v>
      </c>
      <c r="D261" s="1" t="s">
        <v>23</v>
      </c>
      <c r="E261" s="1" t="s">
        <v>24</v>
      </c>
      <c r="F261" s="1" t="s">
        <v>19</v>
      </c>
      <c r="G261" s="1" t="s">
        <v>19</v>
      </c>
      <c r="H261" s="1">
        <v>1</v>
      </c>
      <c r="I261" s="1">
        <v>1223</v>
      </c>
      <c r="J261" s="1">
        <v>2299</v>
      </c>
      <c r="K261" s="1">
        <v>10</v>
      </c>
      <c r="L261" s="1">
        <f>ROUNDDOWN(formatted_data[[#This Row],[Selling_Price]]*formatted_data[[#This Row],[Discount_%]]/100,0)</f>
        <v>229</v>
      </c>
      <c r="M261" s="1">
        <f>(formatted_data[[#This Row],[Selling_Price]]-formatted_data[[#This Row],[Discount_Amount]])*formatted_data[[#This Row],[Units]]</f>
        <v>2070</v>
      </c>
      <c r="N261" s="1">
        <f>formatted_data[[#This Row],[Total_Revenue]]-(formatted_data[[#This Row],[Cost_Price]]*formatted_data[[#This Row],[Units]])</f>
        <v>847</v>
      </c>
      <c r="O261" s="1" t="s">
        <v>33</v>
      </c>
      <c r="P261"/>
    </row>
    <row r="262" spans="1:16" x14ac:dyDescent="0.35">
      <c r="A262" s="1" t="s">
        <v>85</v>
      </c>
      <c r="B262" s="1" t="s">
        <v>27</v>
      </c>
      <c r="C262" s="2">
        <v>45472</v>
      </c>
      <c r="D262" s="1" t="s">
        <v>35</v>
      </c>
      <c r="E262" s="1" t="s">
        <v>36</v>
      </c>
      <c r="F262" s="1" t="s">
        <v>19</v>
      </c>
      <c r="G262" s="1" t="s">
        <v>19</v>
      </c>
      <c r="H262" s="1">
        <v>2</v>
      </c>
      <c r="I262" s="1">
        <v>358</v>
      </c>
      <c r="J262" s="1">
        <v>599</v>
      </c>
      <c r="K262" s="1">
        <v>5</v>
      </c>
      <c r="L262" s="1">
        <f>ROUNDDOWN(formatted_data[[#This Row],[Selling_Price]]*formatted_data[[#This Row],[Discount_%]]/100,0)</f>
        <v>29</v>
      </c>
      <c r="M262" s="1">
        <f>(formatted_data[[#This Row],[Selling_Price]]-formatted_data[[#This Row],[Discount_Amount]])*formatted_data[[#This Row],[Units]]</f>
        <v>1140</v>
      </c>
      <c r="N262" s="1">
        <f>formatted_data[[#This Row],[Total_Revenue]]-(formatted_data[[#This Row],[Cost_Price]]*formatted_data[[#This Row],[Units]])</f>
        <v>424</v>
      </c>
      <c r="O262" s="1" t="s">
        <v>33</v>
      </c>
      <c r="P262"/>
    </row>
    <row r="263" spans="1:16" x14ac:dyDescent="0.35">
      <c r="A263" s="1" t="s">
        <v>57</v>
      </c>
      <c r="B263" s="1" t="s">
        <v>27</v>
      </c>
      <c r="C263" s="2">
        <v>45494</v>
      </c>
      <c r="D263" s="1" t="s">
        <v>28</v>
      </c>
      <c r="E263" s="1" t="s">
        <v>29</v>
      </c>
      <c r="F263" s="1" t="s">
        <v>19</v>
      </c>
      <c r="G263" s="1" t="s">
        <v>20</v>
      </c>
      <c r="H263" s="1">
        <v>1</v>
      </c>
      <c r="I263" s="1">
        <v>285</v>
      </c>
      <c r="J263" s="1">
        <v>499</v>
      </c>
      <c r="K263" s="1">
        <v>15</v>
      </c>
      <c r="L263" s="1">
        <f>ROUNDDOWN(formatted_data[[#This Row],[Selling_Price]]*formatted_data[[#This Row],[Discount_%]]/100,0)</f>
        <v>74</v>
      </c>
      <c r="M263" s="1">
        <f>(formatted_data[[#This Row],[Selling_Price]]-formatted_data[[#This Row],[Discount_Amount]])*formatted_data[[#This Row],[Units]]</f>
        <v>425</v>
      </c>
      <c r="N263" s="1">
        <f>formatted_data[[#This Row],[Total_Revenue]]-(formatted_data[[#This Row],[Cost_Price]]*formatted_data[[#This Row],[Units]])</f>
        <v>140</v>
      </c>
      <c r="O263" s="1" t="s">
        <v>21</v>
      </c>
      <c r="P263"/>
    </row>
    <row r="264" spans="1:16" x14ac:dyDescent="0.35">
      <c r="A264" s="1" t="s">
        <v>68</v>
      </c>
      <c r="B264" s="1" t="s">
        <v>16</v>
      </c>
      <c r="C264" s="2">
        <v>45610</v>
      </c>
      <c r="D264" s="1" t="s">
        <v>23</v>
      </c>
      <c r="E264" s="1" t="s">
        <v>43</v>
      </c>
      <c r="F264" s="1" t="s">
        <v>25</v>
      </c>
      <c r="G264" s="1" t="s">
        <v>20</v>
      </c>
      <c r="H264" s="1">
        <v>1</v>
      </c>
      <c r="I264" s="1">
        <v>1471</v>
      </c>
      <c r="J264" s="1">
        <v>2499</v>
      </c>
      <c r="K264" s="1">
        <v>10</v>
      </c>
      <c r="L264" s="1">
        <f>ROUNDDOWN(formatted_data[[#This Row],[Selling_Price]]*formatted_data[[#This Row],[Discount_%]]/100,0)</f>
        <v>249</v>
      </c>
      <c r="M264" s="1">
        <f>(formatted_data[[#This Row],[Selling_Price]]-formatted_data[[#This Row],[Discount_Amount]])*formatted_data[[#This Row],[Units]]</f>
        <v>2250</v>
      </c>
      <c r="N264" s="1">
        <f>formatted_data[[#This Row],[Total_Revenue]]-(formatted_data[[#This Row],[Cost_Price]]*formatted_data[[#This Row],[Units]])</f>
        <v>779</v>
      </c>
      <c r="O264" s="1" t="s">
        <v>21</v>
      </c>
      <c r="P264"/>
    </row>
    <row r="265" spans="1:16" x14ac:dyDescent="0.35">
      <c r="A265" s="1" t="s">
        <v>80</v>
      </c>
      <c r="B265" s="1" t="s">
        <v>27</v>
      </c>
      <c r="C265" s="2">
        <v>45482</v>
      </c>
      <c r="D265" s="1" t="s">
        <v>23</v>
      </c>
      <c r="E265" s="1" t="s">
        <v>43</v>
      </c>
      <c r="F265" s="1" t="s">
        <v>19</v>
      </c>
      <c r="G265" s="1" t="s">
        <v>19</v>
      </c>
      <c r="H265" s="1">
        <v>4</v>
      </c>
      <c r="I265" s="1">
        <v>2369</v>
      </c>
      <c r="J265" s="1">
        <v>3799</v>
      </c>
      <c r="K265" s="1">
        <v>20</v>
      </c>
      <c r="L265" s="1">
        <f>ROUNDDOWN(formatted_data[[#This Row],[Selling_Price]]*formatted_data[[#This Row],[Discount_%]]/100,0)</f>
        <v>759</v>
      </c>
      <c r="M265" s="1">
        <f>(formatted_data[[#This Row],[Selling_Price]]-formatted_data[[#This Row],[Discount_Amount]])*formatted_data[[#This Row],[Units]]</f>
        <v>12160</v>
      </c>
      <c r="N265" s="1">
        <f>formatted_data[[#This Row],[Total_Revenue]]-(formatted_data[[#This Row],[Cost_Price]]*formatted_data[[#This Row],[Units]])</f>
        <v>2684</v>
      </c>
      <c r="O265" s="1" t="s">
        <v>21</v>
      </c>
      <c r="P265"/>
    </row>
    <row r="266" spans="1:16" x14ac:dyDescent="0.35">
      <c r="A266" s="1" t="s">
        <v>73</v>
      </c>
      <c r="B266" s="1" t="s">
        <v>16</v>
      </c>
      <c r="C266" s="2">
        <v>45574</v>
      </c>
      <c r="D266" s="1" t="s">
        <v>35</v>
      </c>
      <c r="E266" s="1" t="s">
        <v>50</v>
      </c>
      <c r="F266" s="1" t="s">
        <v>19</v>
      </c>
      <c r="G266" s="1" t="s">
        <v>20</v>
      </c>
      <c r="H266" s="1">
        <v>1</v>
      </c>
      <c r="I266" s="1">
        <v>1090</v>
      </c>
      <c r="J266" s="1">
        <v>1599</v>
      </c>
      <c r="K266" s="1">
        <v>5</v>
      </c>
      <c r="L266" s="1">
        <f>ROUNDDOWN(formatted_data[[#This Row],[Selling_Price]]*formatted_data[[#This Row],[Discount_%]]/100,0)</f>
        <v>79</v>
      </c>
      <c r="M266" s="1">
        <f>(formatted_data[[#This Row],[Selling_Price]]-formatted_data[[#This Row],[Discount_Amount]])*formatted_data[[#This Row],[Units]]</f>
        <v>1520</v>
      </c>
      <c r="N266" s="1">
        <f>formatted_data[[#This Row],[Total_Revenue]]-(formatted_data[[#This Row],[Cost_Price]]*formatted_data[[#This Row],[Units]])</f>
        <v>430</v>
      </c>
      <c r="O266" s="1" t="s">
        <v>21</v>
      </c>
      <c r="P266"/>
    </row>
    <row r="267" spans="1:16" x14ac:dyDescent="0.35">
      <c r="A267" s="1" t="s">
        <v>95</v>
      </c>
      <c r="B267" s="1" t="s">
        <v>27</v>
      </c>
      <c r="C267" s="2">
        <v>45575</v>
      </c>
      <c r="D267" s="1" t="s">
        <v>31</v>
      </c>
      <c r="E267" s="1" t="s">
        <v>32</v>
      </c>
      <c r="F267" s="1" t="s">
        <v>19</v>
      </c>
      <c r="G267" s="1" t="s">
        <v>19</v>
      </c>
      <c r="H267" s="1">
        <v>1</v>
      </c>
      <c r="I267" s="1">
        <v>553</v>
      </c>
      <c r="J267" s="1">
        <v>999</v>
      </c>
      <c r="K267" s="1">
        <v>0</v>
      </c>
      <c r="L267" s="1">
        <f>ROUNDDOWN(formatted_data[[#This Row],[Selling_Price]]*formatted_data[[#This Row],[Discount_%]]/100,0)</f>
        <v>0</v>
      </c>
      <c r="M267" s="1">
        <f>(formatted_data[[#This Row],[Selling_Price]]-formatted_data[[#This Row],[Discount_Amount]])*formatted_data[[#This Row],[Units]]</f>
        <v>999</v>
      </c>
      <c r="N267" s="1">
        <f>formatted_data[[#This Row],[Total_Revenue]]-(formatted_data[[#This Row],[Cost_Price]]*formatted_data[[#This Row],[Units]])</f>
        <v>446</v>
      </c>
      <c r="O267" s="1" t="s">
        <v>33</v>
      </c>
      <c r="P267"/>
    </row>
    <row r="268" spans="1:16" x14ac:dyDescent="0.35">
      <c r="A268" s="1" t="s">
        <v>22</v>
      </c>
      <c r="B268" s="1" t="s">
        <v>16</v>
      </c>
      <c r="C268" s="2">
        <v>45641</v>
      </c>
      <c r="D268" s="1" t="s">
        <v>35</v>
      </c>
      <c r="E268" s="1" t="s">
        <v>58</v>
      </c>
      <c r="F268" s="1" t="s">
        <v>25</v>
      </c>
      <c r="G268" s="1" t="s">
        <v>20</v>
      </c>
      <c r="H268" s="1">
        <v>1</v>
      </c>
      <c r="I268" s="1">
        <v>961</v>
      </c>
      <c r="J268" s="1">
        <v>1299</v>
      </c>
      <c r="K268" s="1">
        <v>20</v>
      </c>
      <c r="L268" s="1">
        <f>ROUNDDOWN(formatted_data[[#This Row],[Selling_Price]]*formatted_data[[#This Row],[Discount_%]]/100,0)</f>
        <v>259</v>
      </c>
      <c r="M268" s="1">
        <f>(formatted_data[[#This Row],[Selling_Price]]-formatted_data[[#This Row],[Discount_Amount]])*formatted_data[[#This Row],[Units]]</f>
        <v>1040</v>
      </c>
      <c r="N268" s="1">
        <f>formatted_data[[#This Row],[Total_Revenue]]-(formatted_data[[#This Row],[Cost_Price]]*formatted_data[[#This Row],[Units]])</f>
        <v>79</v>
      </c>
      <c r="O268" s="1" t="s">
        <v>21</v>
      </c>
      <c r="P268"/>
    </row>
    <row r="269" spans="1:16" x14ac:dyDescent="0.35">
      <c r="A269" s="1" t="s">
        <v>47</v>
      </c>
      <c r="B269" s="1" t="s">
        <v>16</v>
      </c>
      <c r="C269" s="2">
        <v>45535</v>
      </c>
      <c r="D269" s="1" t="s">
        <v>35</v>
      </c>
      <c r="E269" s="1" t="s">
        <v>87</v>
      </c>
      <c r="F269" s="1" t="s">
        <v>19</v>
      </c>
      <c r="G269" s="1" t="s">
        <v>19</v>
      </c>
      <c r="H269" s="1">
        <v>2</v>
      </c>
      <c r="I269" s="1">
        <v>1648</v>
      </c>
      <c r="J269" s="1">
        <v>2499</v>
      </c>
      <c r="K269" s="1">
        <v>20</v>
      </c>
      <c r="L269" s="1">
        <f>ROUNDDOWN(formatted_data[[#This Row],[Selling_Price]]*formatted_data[[#This Row],[Discount_%]]/100,0)</f>
        <v>499</v>
      </c>
      <c r="M269" s="1">
        <f>(formatted_data[[#This Row],[Selling_Price]]-formatted_data[[#This Row],[Discount_Amount]])*formatted_data[[#This Row],[Units]]</f>
        <v>4000</v>
      </c>
      <c r="N269" s="1">
        <f>formatted_data[[#This Row],[Total_Revenue]]-(formatted_data[[#This Row],[Cost_Price]]*formatted_data[[#This Row],[Units]])</f>
        <v>704</v>
      </c>
      <c r="O269" s="1" t="s">
        <v>33</v>
      </c>
      <c r="P269"/>
    </row>
    <row r="270" spans="1:16" x14ac:dyDescent="0.35">
      <c r="A270" s="1" t="s">
        <v>107</v>
      </c>
      <c r="B270" s="1" t="s">
        <v>27</v>
      </c>
      <c r="C270" s="2">
        <v>45627</v>
      </c>
      <c r="D270" s="1" t="s">
        <v>17</v>
      </c>
      <c r="E270" s="1" t="s">
        <v>72</v>
      </c>
      <c r="F270" s="1" t="s">
        <v>37</v>
      </c>
      <c r="G270" s="1" t="s">
        <v>20</v>
      </c>
      <c r="H270" s="1">
        <v>1</v>
      </c>
      <c r="I270" s="1">
        <v>372</v>
      </c>
      <c r="J270" s="1">
        <v>499</v>
      </c>
      <c r="K270" s="1">
        <v>0</v>
      </c>
      <c r="L270" s="1">
        <f>ROUNDDOWN(formatted_data[[#This Row],[Selling_Price]]*formatted_data[[#This Row],[Discount_%]]/100,0)</f>
        <v>0</v>
      </c>
      <c r="M270" s="1">
        <f>(formatted_data[[#This Row],[Selling_Price]]-formatted_data[[#This Row],[Discount_Amount]])*formatted_data[[#This Row],[Units]]</f>
        <v>499</v>
      </c>
      <c r="N270" s="1">
        <f>formatted_data[[#This Row],[Total_Revenue]]-(formatted_data[[#This Row],[Cost_Price]]*formatted_data[[#This Row],[Units]])</f>
        <v>127</v>
      </c>
      <c r="O270" s="1" t="s">
        <v>21</v>
      </c>
      <c r="P270"/>
    </row>
    <row r="271" spans="1:16" x14ac:dyDescent="0.35">
      <c r="A271" s="1" t="s">
        <v>89</v>
      </c>
      <c r="B271" s="1" t="s">
        <v>16</v>
      </c>
      <c r="C271" s="2">
        <v>45529</v>
      </c>
      <c r="D271" s="1" t="s">
        <v>23</v>
      </c>
      <c r="E271" s="1" t="s">
        <v>24</v>
      </c>
      <c r="F271" s="1" t="s">
        <v>19</v>
      </c>
      <c r="G271" s="1" t="s">
        <v>20</v>
      </c>
      <c r="H271" s="1">
        <v>1</v>
      </c>
      <c r="I271" s="1">
        <v>945</v>
      </c>
      <c r="J271" s="1">
        <v>1799</v>
      </c>
      <c r="K271" s="1">
        <v>15</v>
      </c>
      <c r="L271" s="1">
        <f>ROUNDDOWN(formatted_data[[#This Row],[Selling_Price]]*formatted_data[[#This Row],[Discount_%]]/100,0)</f>
        <v>269</v>
      </c>
      <c r="M271" s="1">
        <f>(formatted_data[[#This Row],[Selling_Price]]-formatted_data[[#This Row],[Discount_Amount]])*formatted_data[[#This Row],[Units]]</f>
        <v>1530</v>
      </c>
      <c r="N271" s="1">
        <f>formatted_data[[#This Row],[Total_Revenue]]-(formatted_data[[#This Row],[Cost_Price]]*formatted_data[[#This Row],[Units]])</f>
        <v>585</v>
      </c>
      <c r="O271" s="1" t="s">
        <v>21</v>
      </c>
      <c r="P271"/>
    </row>
    <row r="272" spans="1:16" x14ac:dyDescent="0.35">
      <c r="A272" s="1" t="s">
        <v>52</v>
      </c>
      <c r="B272" s="1" t="s">
        <v>27</v>
      </c>
      <c r="C272" s="2">
        <v>45613</v>
      </c>
      <c r="D272" s="1" t="s">
        <v>17</v>
      </c>
      <c r="E272" s="1" t="s">
        <v>48</v>
      </c>
      <c r="F272" s="1" t="s">
        <v>37</v>
      </c>
      <c r="G272" s="1" t="s">
        <v>20</v>
      </c>
      <c r="H272" s="1">
        <v>4</v>
      </c>
      <c r="I272" s="1">
        <v>236</v>
      </c>
      <c r="J272" s="1">
        <v>399</v>
      </c>
      <c r="K272" s="1">
        <v>0</v>
      </c>
      <c r="L272" s="1">
        <f>ROUNDDOWN(formatted_data[[#This Row],[Selling_Price]]*formatted_data[[#This Row],[Discount_%]]/100,0)</f>
        <v>0</v>
      </c>
      <c r="M272" s="1">
        <f>(formatted_data[[#This Row],[Selling_Price]]-formatted_data[[#This Row],[Discount_Amount]])*formatted_data[[#This Row],[Units]]</f>
        <v>1596</v>
      </c>
      <c r="N272" s="1">
        <f>formatted_data[[#This Row],[Total_Revenue]]-(formatted_data[[#This Row],[Cost_Price]]*formatted_data[[#This Row],[Units]])</f>
        <v>652</v>
      </c>
      <c r="O272" s="1" t="s">
        <v>21</v>
      </c>
      <c r="P272"/>
    </row>
    <row r="273" spans="1:16" x14ac:dyDescent="0.35">
      <c r="A273" s="1" t="s">
        <v>53</v>
      </c>
      <c r="B273" s="1" t="s">
        <v>27</v>
      </c>
      <c r="C273" s="2">
        <v>45506</v>
      </c>
      <c r="D273" s="1" t="s">
        <v>31</v>
      </c>
      <c r="E273" s="1" t="s">
        <v>76</v>
      </c>
      <c r="F273" s="1" t="s">
        <v>19</v>
      </c>
      <c r="G273" s="1" t="s">
        <v>19</v>
      </c>
      <c r="H273" s="1">
        <v>1</v>
      </c>
      <c r="I273" s="1">
        <v>813</v>
      </c>
      <c r="J273" s="1">
        <v>1199</v>
      </c>
      <c r="K273" s="1">
        <v>0</v>
      </c>
      <c r="L273" s="1">
        <f>ROUNDDOWN(formatted_data[[#This Row],[Selling_Price]]*formatted_data[[#This Row],[Discount_%]]/100,0)</f>
        <v>0</v>
      </c>
      <c r="M273" s="1">
        <f>(formatted_data[[#This Row],[Selling_Price]]-formatted_data[[#This Row],[Discount_Amount]])*formatted_data[[#This Row],[Units]]</f>
        <v>1199</v>
      </c>
      <c r="N273" s="1">
        <f>formatted_data[[#This Row],[Total_Revenue]]-(formatted_data[[#This Row],[Cost_Price]]*formatted_data[[#This Row],[Units]])</f>
        <v>386</v>
      </c>
      <c r="O273" s="1" t="s">
        <v>21</v>
      </c>
      <c r="P273"/>
    </row>
    <row r="274" spans="1:16" x14ac:dyDescent="0.35">
      <c r="A274" s="1" t="s">
        <v>65</v>
      </c>
      <c r="B274" s="1" t="s">
        <v>16</v>
      </c>
      <c r="C274" s="2">
        <v>45483</v>
      </c>
      <c r="D274" s="1" t="s">
        <v>28</v>
      </c>
      <c r="E274" s="1" t="s">
        <v>45</v>
      </c>
      <c r="F274" s="1" t="s">
        <v>19</v>
      </c>
      <c r="G274" s="1" t="s">
        <v>19</v>
      </c>
      <c r="H274" s="1">
        <v>1</v>
      </c>
      <c r="I274" s="1">
        <v>843</v>
      </c>
      <c r="J274" s="1">
        <v>1599</v>
      </c>
      <c r="K274" s="1">
        <v>5</v>
      </c>
      <c r="L274" s="1">
        <f>ROUNDDOWN(formatted_data[[#This Row],[Selling_Price]]*formatted_data[[#This Row],[Discount_%]]/100,0)</f>
        <v>79</v>
      </c>
      <c r="M274" s="1">
        <f>(formatted_data[[#This Row],[Selling_Price]]-formatted_data[[#This Row],[Discount_Amount]])*formatted_data[[#This Row],[Units]]</f>
        <v>1520</v>
      </c>
      <c r="N274" s="1">
        <f>formatted_data[[#This Row],[Total_Revenue]]-(formatted_data[[#This Row],[Cost_Price]]*formatted_data[[#This Row],[Units]])</f>
        <v>677</v>
      </c>
      <c r="O274" s="1" t="s">
        <v>21</v>
      </c>
      <c r="P274"/>
    </row>
    <row r="275" spans="1:16" x14ac:dyDescent="0.35">
      <c r="A275" s="1" t="s">
        <v>54</v>
      </c>
      <c r="B275" s="1" t="s">
        <v>27</v>
      </c>
      <c r="C275" s="2">
        <v>45594</v>
      </c>
      <c r="D275" s="1" t="s">
        <v>35</v>
      </c>
      <c r="E275" s="1" t="s">
        <v>50</v>
      </c>
      <c r="F275" s="1" t="s">
        <v>19</v>
      </c>
      <c r="G275" s="1" t="s">
        <v>19</v>
      </c>
      <c r="H275" s="1">
        <v>3</v>
      </c>
      <c r="I275" s="1">
        <v>479</v>
      </c>
      <c r="J275" s="1">
        <v>899</v>
      </c>
      <c r="K275" s="1">
        <v>10</v>
      </c>
      <c r="L275" s="1">
        <f>ROUNDDOWN(formatted_data[[#This Row],[Selling_Price]]*formatted_data[[#This Row],[Discount_%]]/100,0)</f>
        <v>89</v>
      </c>
      <c r="M275" s="1">
        <f>(formatted_data[[#This Row],[Selling_Price]]-formatted_data[[#This Row],[Discount_Amount]])*formatted_data[[#This Row],[Units]]</f>
        <v>2430</v>
      </c>
      <c r="N275" s="1">
        <f>formatted_data[[#This Row],[Total_Revenue]]-(formatted_data[[#This Row],[Cost_Price]]*formatted_data[[#This Row],[Units]])</f>
        <v>993</v>
      </c>
      <c r="O275" s="1" t="s">
        <v>21</v>
      </c>
      <c r="P275"/>
    </row>
    <row r="276" spans="1:16" x14ac:dyDescent="0.35">
      <c r="A276" s="1" t="s">
        <v>22</v>
      </c>
      <c r="B276" s="1" t="s">
        <v>16</v>
      </c>
      <c r="C276" s="2">
        <v>45528</v>
      </c>
      <c r="D276" s="1" t="s">
        <v>23</v>
      </c>
      <c r="E276" s="1" t="s">
        <v>43</v>
      </c>
      <c r="F276" s="1" t="s">
        <v>19</v>
      </c>
      <c r="G276" s="1" t="s">
        <v>19</v>
      </c>
      <c r="H276" s="1">
        <v>2</v>
      </c>
      <c r="I276" s="1">
        <v>1469</v>
      </c>
      <c r="J276" s="1">
        <v>2699</v>
      </c>
      <c r="K276" s="1">
        <v>5</v>
      </c>
      <c r="L276" s="1">
        <f>ROUNDDOWN(formatted_data[[#This Row],[Selling_Price]]*formatted_data[[#This Row],[Discount_%]]/100,0)</f>
        <v>134</v>
      </c>
      <c r="M276" s="1">
        <f>(formatted_data[[#This Row],[Selling_Price]]-formatted_data[[#This Row],[Discount_Amount]])*formatted_data[[#This Row],[Units]]</f>
        <v>5130</v>
      </c>
      <c r="N276" s="1">
        <f>formatted_data[[#This Row],[Total_Revenue]]-(formatted_data[[#This Row],[Cost_Price]]*formatted_data[[#This Row],[Units]])</f>
        <v>2192</v>
      </c>
      <c r="O276" s="1" t="s">
        <v>33</v>
      </c>
      <c r="P276"/>
    </row>
    <row r="277" spans="1:16" x14ac:dyDescent="0.35">
      <c r="A277" s="1" t="s">
        <v>44</v>
      </c>
      <c r="B277" s="1" t="s">
        <v>16</v>
      </c>
      <c r="C277" s="2">
        <v>45648</v>
      </c>
      <c r="D277" s="1" t="s">
        <v>17</v>
      </c>
      <c r="E277" s="1" t="s">
        <v>18</v>
      </c>
      <c r="F277" s="1" t="s">
        <v>37</v>
      </c>
      <c r="G277" s="1" t="s">
        <v>19</v>
      </c>
      <c r="H277" s="1">
        <v>1</v>
      </c>
      <c r="I277" s="1">
        <v>345</v>
      </c>
      <c r="J277" s="1">
        <v>599</v>
      </c>
      <c r="K277" s="1">
        <v>0</v>
      </c>
      <c r="L277" s="1">
        <f>ROUNDDOWN(formatted_data[[#This Row],[Selling_Price]]*formatted_data[[#This Row],[Discount_%]]/100,0)</f>
        <v>0</v>
      </c>
      <c r="M277" s="1">
        <f>(formatted_data[[#This Row],[Selling_Price]]-formatted_data[[#This Row],[Discount_Amount]])*formatted_data[[#This Row],[Units]]</f>
        <v>599</v>
      </c>
      <c r="N277" s="1">
        <f>formatted_data[[#This Row],[Total_Revenue]]-(formatted_data[[#This Row],[Cost_Price]]*formatted_data[[#This Row],[Units]])</f>
        <v>254</v>
      </c>
      <c r="O277" s="1" t="s">
        <v>33</v>
      </c>
      <c r="P277"/>
    </row>
    <row r="278" spans="1:16" x14ac:dyDescent="0.35">
      <c r="A278" s="1" t="s">
        <v>71</v>
      </c>
      <c r="B278" s="1" t="s">
        <v>16</v>
      </c>
      <c r="C278" s="2">
        <v>45460</v>
      </c>
      <c r="D278" s="1" t="s">
        <v>31</v>
      </c>
      <c r="E278" s="1" t="s">
        <v>32</v>
      </c>
      <c r="F278" s="1" t="s">
        <v>37</v>
      </c>
      <c r="G278" s="1" t="s">
        <v>20</v>
      </c>
      <c r="H278" s="1">
        <v>1</v>
      </c>
      <c r="I278" s="1">
        <v>553</v>
      </c>
      <c r="J278" s="1">
        <v>999</v>
      </c>
      <c r="K278" s="1">
        <v>0</v>
      </c>
      <c r="L278" s="1">
        <f>ROUNDDOWN(formatted_data[[#This Row],[Selling_Price]]*formatted_data[[#This Row],[Discount_%]]/100,0)</f>
        <v>0</v>
      </c>
      <c r="M278" s="1">
        <f>(formatted_data[[#This Row],[Selling_Price]]-formatted_data[[#This Row],[Discount_Amount]])*formatted_data[[#This Row],[Units]]</f>
        <v>999</v>
      </c>
      <c r="N278" s="1">
        <f>formatted_data[[#This Row],[Total_Revenue]]-(formatted_data[[#This Row],[Cost_Price]]*formatted_data[[#This Row],[Units]])</f>
        <v>446</v>
      </c>
      <c r="O278" s="1" t="s">
        <v>33</v>
      </c>
      <c r="P278"/>
    </row>
    <row r="279" spans="1:16" x14ac:dyDescent="0.35">
      <c r="A279" s="1" t="s">
        <v>98</v>
      </c>
      <c r="B279" s="1" t="s">
        <v>16</v>
      </c>
      <c r="C279" s="2">
        <v>45606</v>
      </c>
      <c r="D279" s="1" t="s">
        <v>35</v>
      </c>
      <c r="E279" s="1" t="s">
        <v>39</v>
      </c>
      <c r="F279" s="1" t="s">
        <v>25</v>
      </c>
      <c r="G279" s="1" t="s">
        <v>20</v>
      </c>
      <c r="H279" s="1">
        <v>1</v>
      </c>
      <c r="I279" s="1">
        <v>975</v>
      </c>
      <c r="J279" s="1">
        <v>1399</v>
      </c>
      <c r="K279" s="1">
        <v>5</v>
      </c>
      <c r="L279" s="1">
        <f>ROUNDDOWN(formatted_data[[#This Row],[Selling_Price]]*formatted_data[[#This Row],[Discount_%]]/100,0)</f>
        <v>69</v>
      </c>
      <c r="M279" s="1">
        <f>(formatted_data[[#This Row],[Selling_Price]]-formatted_data[[#This Row],[Discount_Amount]])*formatted_data[[#This Row],[Units]]</f>
        <v>1330</v>
      </c>
      <c r="N279" s="1">
        <f>formatted_data[[#This Row],[Total_Revenue]]-(formatted_data[[#This Row],[Cost_Price]]*formatted_data[[#This Row],[Units]])</f>
        <v>355</v>
      </c>
      <c r="O279" s="1" t="s">
        <v>33</v>
      </c>
      <c r="P279"/>
    </row>
    <row r="280" spans="1:16" x14ac:dyDescent="0.35">
      <c r="A280" s="1" t="s">
        <v>93</v>
      </c>
      <c r="B280" s="1" t="s">
        <v>16</v>
      </c>
      <c r="C280" s="2">
        <v>45477</v>
      </c>
      <c r="D280" s="1" t="s">
        <v>35</v>
      </c>
      <c r="E280" s="1" t="s">
        <v>58</v>
      </c>
      <c r="F280" s="1" t="s">
        <v>25</v>
      </c>
      <c r="G280" s="1" t="s">
        <v>19</v>
      </c>
      <c r="H280" s="1">
        <v>2</v>
      </c>
      <c r="I280" s="1">
        <v>759</v>
      </c>
      <c r="J280" s="1">
        <v>1299</v>
      </c>
      <c r="K280" s="1">
        <v>20</v>
      </c>
      <c r="L280" s="1">
        <f>ROUNDDOWN(formatted_data[[#This Row],[Selling_Price]]*formatted_data[[#This Row],[Discount_%]]/100,0)</f>
        <v>259</v>
      </c>
      <c r="M280" s="1">
        <f>(formatted_data[[#This Row],[Selling_Price]]-formatted_data[[#This Row],[Discount_Amount]])*formatted_data[[#This Row],[Units]]</f>
        <v>2080</v>
      </c>
      <c r="N280" s="1">
        <f>formatted_data[[#This Row],[Total_Revenue]]-(formatted_data[[#This Row],[Cost_Price]]*formatted_data[[#This Row],[Units]])</f>
        <v>562</v>
      </c>
      <c r="O280" s="1" t="s">
        <v>21</v>
      </c>
      <c r="P280"/>
    </row>
    <row r="281" spans="1:16" x14ac:dyDescent="0.35">
      <c r="A281" s="1" t="s">
        <v>70</v>
      </c>
      <c r="B281" s="1" t="s">
        <v>27</v>
      </c>
      <c r="C281" s="2">
        <v>45508</v>
      </c>
      <c r="D281" s="1" t="s">
        <v>28</v>
      </c>
      <c r="E281" s="1" t="s">
        <v>29</v>
      </c>
      <c r="F281" s="1" t="s">
        <v>25</v>
      </c>
      <c r="G281" s="1" t="s">
        <v>20</v>
      </c>
      <c r="H281" s="1">
        <v>5</v>
      </c>
      <c r="I281" s="1">
        <v>312</v>
      </c>
      <c r="J281" s="1">
        <v>499</v>
      </c>
      <c r="K281" s="1">
        <v>15</v>
      </c>
      <c r="L281" s="1">
        <f>ROUNDDOWN(formatted_data[[#This Row],[Selling_Price]]*formatted_data[[#This Row],[Discount_%]]/100,0)</f>
        <v>74</v>
      </c>
      <c r="M281" s="1">
        <f>(formatted_data[[#This Row],[Selling_Price]]-formatted_data[[#This Row],[Discount_Amount]])*formatted_data[[#This Row],[Units]]</f>
        <v>2125</v>
      </c>
      <c r="N281" s="1">
        <f>formatted_data[[#This Row],[Total_Revenue]]-(formatted_data[[#This Row],[Cost_Price]]*formatted_data[[#This Row],[Units]])</f>
        <v>565</v>
      </c>
      <c r="O281" s="1" t="s">
        <v>21</v>
      </c>
      <c r="P281"/>
    </row>
    <row r="282" spans="1:16" x14ac:dyDescent="0.35">
      <c r="A282" s="1" t="s">
        <v>71</v>
      </c>
      <c r="B282" s="1" t="s">
        <v>16</v>
      </c>
      <c r="C282" s="2">
        <v>45523</v>
      </c>
      <c r="D282" s="1" t="s">
        <v>35</v>
      </c>
      <c r="E282" s="1" t="s">
        <v>39</v>
      </c>
      <c r="F282" s="1" t="s">
        <v>19</v>
      </c>
      <c r="G282" s="1" t="s">
        <v>20</v>
      </c>
      <c r="H282" s="1">
        <v>3</v>
      </c>
      <c r="I282" s="1">
        <v>624</v>
      </c>
      <c r="J282" s="1">
        <v>899</v>
      </c>
      <c r="K282" s="1">
        <v>20</v>
      </c>
      <c r="L282" s="1">
        <f>ROUNDDOWN(formatted_data[[#This Row],[Selling_Price]]*formatted_data[[#This Row],[Discount_%]]/100,0)</f>
        <v>179</v>
      </c>
      <c r="M282" s="1">
        <f>(formatted_data[[#This Row],[Selling_Price]]-formatted_data[[#This Row],[Discount_Amount]])*formatted_data[[#This Row],[Units]]</f>
        <v>2160</v>
      </c>
      <c r="N282" s="1">
        <f>formatted_data[[#This Row],[Total_Revenue]]-(formatted_data[[#This Row],[Cost_Price]]*formatted_data[[#This Row],[Units]])</f>
        <v>288</v>
      </c>
      <c r="O282" s="1" t="s">
        <v>21</v>
      </c>
      <c r="P282"/>
    </row>
    <row r="283" spans="1:16" x14ac:dyDescent="0.35">
      <c r="A283" s="1" t="s">
        <v>73</v>
      </c>
      <c r="B283" s="1" t="s">
        <v>16</v>
      </c>
      <c r="C283" s="2">
        <v>45549</v>
      </c>
      <c r="D283" s="1" t="s">
        <v>31</v>
      </c>
      <c r="E283" s="1" t="s">
        <v>76</v>
      </c>
      <c r="F283" s="1" t="s">
        <v>25</v>
      </c>
      <c r="G283" s="1" t="s">
        <v>19</v>
      </c>
      <c r="H283" s="1">
        <v>1</v>
      </c>
      <c r="I283" s="1">
        <v>639</v>
      </c>
      <c r="J283" s="1">
        <v>999</v>
      </c>
      <c r="K283" s="1">
        <v>0</v>
      </c>
      <c r="L283" s="1">
        <f>ROUNDDOWN(formatted_data[[#This Row],[Selling_Price]]*formatted_data[[#This Row],[Discount_%]]/100,0)</f>
        <v>0</v>
      </c>
      <c r="M283" s="1">
        <f>(formatted_data[[#This Row],[Selling_Price]]-formatted_data[[#This Row],[Discount_Amount]])*formatted_data[[#This Row],[Units]]</f>
        <v>999</v>
      </c>
      <c r="N283" s="1">
        <f>formatted_data[[#This Row],[Total_Revenue]]-(formatted_data[[#This Row],[Cost_Price]]*formatted_data[[#This Row],[Units]])</f>
        <v>360</v>
      </c>
      <c r="O283" s="1" t="s">
        <v>21</v>
      </c>
      <c r="P283"/>
    </row>
    <row r="284" spans="1:16" x14ac:dyDescent="0.35">
      <c r="A284" s="1" t="s">
        <v>79</v>
      </c>
      <c r="B284" s="1" t="s">
        <v>16</v>
      </c>
      <c r="C284" s="2">
        <v>45620</v>
      </c>
      <c r="D284" s="1" t="s">
        <v>28</v>
      </c>
      <c r="E284" s="1" t="s">
        <v>29</v>
      </c>
      <c r="F284" s="1" t="s">
        <v>37</v>
      </c>
      <c r="G284" s="1" t="s">
        <v>20</v>
      </c>
      <c r="H284" s="1">
        <v>1</v>
      </c>
      <c r="I284" s="1">
        <v>431</v>
      </c>
      <c r="J284" s="1">
        <v>699</v>
      </c>
      <c r="K284" s="1">
        <v>10</v>
      </c>
      <c r="L284" s="1">
        <f>ROUNDDOWN(formatted_data[[#This Row],[Selling_Price]]*formatted_data[[#This Row],[Discount_%]]/100,0)</f>
        <v>69</v>
      </c>
      <c r="M284" s="1">
        <f>(formatted_data[[#This Row],[Selling_Price]]-formatted_data[[#This Row],[Discount_Amount]])*formatted_data[[#This Row],[Units]]</f>
        <v>630</v>
      </c>
      <c r="N284" s="1">
        <f>formatted_data[[#This Row],[Total_Revenue]]-(formatted_data[[#This Row],[Cost_Price]]*formatted_data[[#This Row],[Units]])</f>
        <v>199</v>
      </c>
      <c r="O284" s="1" t="s">
        <v>33</v>
      </c>
      <c r="P284"/>
    </row>
    <row r="285" spans="1:16" x14ac:dyDescent="0.35">
      <c r="A285" s="1" t="s">
        <v>85</v>
      </c>
      <c r="B285" s="1" t="s">
        <v>27</v>
      </c>
      <c r="C285" s="2">
        <v>45637</v>
      </c>
      <c r="D285" s="1" t="s">
        <v>35</v>
      </c>
      <c r="E285" s="1" t="s">
        <v>41</v>
      </c>
      <c r="F285" s="1" t="s">
        <v>37</v>
      </c>
      <c r="G285" s="1" t="s">
        <v>20</v>
      </c>
      <c r="H285" s="1">
        <v>4</v>
      </c>
      <c r="I285" s="1">
        <v>374</v>
      </c>
      <c r="J285" s="1">
        <v>699</v>
      </c>
      <c r="K285" s="1">
        <v>20</v>
      </c>
      <c r="L285" s="1">
        <f>ROUNDDOWN(formatted_data[[#This Row],[Selling_Price]]*formatted_data[[#This Row],[Discount_%]]/100,0)</f>
        <v>139</v>
      </c>
      <c r="M285" s="1">
        <f>(formatted_data[[#This Row],[Selling_Price]]-formatted_data[[#This Row],[Discount_Amount]])*formatted_data[[#This Row],[Units]]</f>
        <v>2240</v>
      </c>
      <c r="N285" s="1">
        <f>formatted_data[[#This Row],[Total_Revenue]]-(formatted_data[[#This Row],[Cost_Price]]*formatted_data[[#This Row],[Units]])</f>
        <v>744</v>
      </c>
      <c r="O285" s="1" t="s">
        <v>21</v>
      </c>
      <c r="P285"/>
    </row>
    <row r="286" spans="1:16" x14ac:dyDescent="0.35">
      <c r="A286" s="1" t="s">
        <v>85</v>
      </c>
      <c r="B286" s="1" t="s">
        <v>27</v>
      </c>
      <c r="C286" s="2">
        <v>45490</v>
      </c>
      <c r="D286" s="1" t="s">
        <v>23</v>
      </c>
      <c r="E286" s="1" t="s">
        <v>43</v>
      </c>
      <c r="F286" s="1" t="s">
        <v>19</v>
      </c>
      <c r="G286" s="1" t="s">
        <v>19</v>
      </c>
      <c r="H286" s="1">
        <v>1</v>
      </c>
      <c r="I286" s="1">
        <v>1465</v>
      </c>
      <c r="J286" s="1">
        <v>2599</v>
      </c>
      <c r="K286" s="1">
        <v>15</v>
      </c>
      <c r="L286" s="1">
        <f>ROUNDDOWN(formatted_data[[#This Row],[Selling_Price]]*formatted_data[[#This Row],[Discount_%]]/100,0)</f>
        <v>389</v>
      </c>
      <c r="M286" s="1">
        <f>(formatted_data[[#This Row],[Selling_Price]]-formatted_data[[#This Row],[Discount_Amount]])*formatted_data[[#This Row],[Units]]</f>
        <v>2210</v>
      </c>
      <c r="N286" s="1">
        <f>formatted_data[[#This Row],[Total_Revenue]]-(formatted_data[[#This Row],[Cost_Price]]*formatted_data[[#This Row],[Units]])</f>
        <v>745</v>
      </c>
      <c r="O286" s="1" t="s">
        <v>33</v>
      </c>
      <c r="P286"/>
    </row>
    <row r="287" spans="1:16" x14ac:dyDescent="0.35">
      <c r="A287" s="1" t="s">
        <v>68</v>
      </c>
      <c r="B287" s="1" t="s">
        <v>16</v>
      </c>
      <c r="C287" s="2">
        <v>45527</v>
      </c>
      <c r="D287" s="1" t="s">
        <v>35</v>
      </c>
      <c r="E287" s="1" t="s">
        <v>41</v>
      </c>
      <c r="F287" s="1" t="s">
        <v>25</v>
      </c>
      <c r="G287" s="1" t="s">
        <v>20</v>
      </c>
      <c r="H287" s="1">
        <v>1</v>
      </c>
      <c r="I287" s="1">
        <v>813</v>
      </c>
      <c r="J287" s="1">
        <v>1099</v>
      </c>
      <c r="K287" s="1">
        <v>5</v>
      </c>
      <c r="L287" s="1">
        <f>ROUNDDOWN(formatted_data[[#This Row],[Selling_Price]]*formatted_data[[#This Row],[Discount_%]]/100,0)</f>
        <v>54</v>
      </c>
      <c r="M287" s="1">
        <f>(formatted_data[[#This Row],[Selling_Price]]-formatted_data[[#This Row],[Discount_Amount]])*formatted_data[[#This Row],[Units]]</f>
        <v>1045</v>
      </c>
      <c r="N287" s="1">
        <f>formatted_data[[#This Row],[Total_Revenue]]-(formatted_data[[#This Row],[Cost_Price]]*formatted_data[[#This Row],[Units]])</f>
        <v>232</v>
      </c>
      <c r="O287" s="1" t="s">
        <v>21</v>
      </c>
      <c r="P287"/>
    </row>
    <row r="288" spans="1:16" x14ac:dyDescent="0.35">
      <c r="A288" s="1" t="s">
        <v>108</v>
      </c>
      <c r="B288" s="1" t="s">
        <v>27</v>
      </c>
      <c r="C288" s="2">
        <v>45622</v>
      </c>
      <c r="D288" s="1" t="s">
        <v>31</v>
      </c>
      <c r="E288" s="1" t="s">
        <v>32</v>
      </c>
      <c r="F288" s="1" t="s">
        <v>25</v>
      </c>
      <c r="G288" s="1" t="s">
        <v>19</v>
      </c>
      <c r="H288" s="1">
        <v>2</v>
      </c>
      <c r="I288" s="1">
        <v>721</v>
      </c>
      <c r="J288" s="1">
        <v>1199</v>
      </c>
      <c r="K288" s="1">
        <v>0</v>
      </c>
      <c r="L288" s="1">
        <f>ROUNDDOWN(formatted_data[[#This Row],[Selling_Price]]*formatted_data[[#This Row],[Discount_%]]/100,0)</f>
        <v>0</v>
      </c>
      <c r="M288" s="1">
        <f>(formatted_data[[#This Row],[Selling_Price]]-formatted_data[[#This Row],[Discount_Amount]])*formatted_data[[#This Row],[Units]]</f>
        <v>2398</v>
      </c>
      <c r="N288" s="1">
        <f>formatted_data[[#This Row],[Total_Revenue]]-(formatted_data[[#This Row],[Cost_Price]]*formatted_data[[#This Row],[Units]])</f>
        <v>956</v>
      </c>
      <c r="O288" s="1" t="s">
        <v>21</v>
      </c>
      <c r="P288"/>
    </row>
    <row r="289" spans="1:16" x14ac:dyDescent="0.35">
      <c r="A289" s="1" t="s">
        <v>54</v>
      </c>
      <c r="B289" s="1" t="s">
        <v>27</v>
      </c>
      <c r="C289" s="2">
        <v>45649</v>
      </c>
      <c r="D289" s="1" t="s">
        <v>31</v>
      </c>
      <c r="E289" s="1" t="s">
        <v>76</v>
      </c>
      <c r="F289" s="1" t="s">
        <v>25</v>
      </c>
      <c r="G289" s="1" t="s">
        <v>20</v>
      </c>
      <c r="H289" s="1">
        <v>1</v>
      </c>
      <c r="I289" s="1">
        <v>391</v>
      </c>
      <c r="J289" s="1">
        <v>699</v>
      </c>
      <c r="K289" s="1">
        <v>0</v>
      </c>
      <c r="L289" s="1">
        <f>ROUNDDOWN(formatted_data[[#This Row],[Selling_Price]]*formatted_data[[#This Row],[Discount_%]]/100,0)</f>
        <v>0</v>
      </c>
      <c r="M289" s="1">
        <f>(formatted_data[[#This Row],[Selling_Price]]-formatted_data[[#This Row],[Discount_Amount]])*formatted_data[[#This Row],[Units]]</f>
        <v>699</v>
      </c>
      <c r="N289" s="1">
        <f>formatted_data[[#This Row],[Total_Revenue]]-(formatted_data[[#This Row],[Cost_Price]]*formatted_data[[#This Row],[Units]])</f>
        <v>308</v>
      </c>
      <c r="O289" s="1" t="s">
        <v>33</v>
      </c>
      <c r="P289"/>
    </row>
    <row r="290" spans="1:16" x14ac:dyDescent="0.35">
      <c r="A290" s="1" t="s">
        <v>47</v>
      </c>
      <c r="B290" s="1" t="s">
        <v>16</v>
      </c>
      <c r="C290" s="2">
        <v>45655</v>
      </c>
      <c r="D290" s="1" t="s">
        <v>35</v>
      </c>
      <c r="E290" s="1" t="s">
        <v>41</v>
      </c>
      <c r="F290" s="1" t="s">
        <v>37</v>
      </c>
      <c r="G290" s="1" t="s">
        <v>20</v>
      </c>
      <c r="H290" s="1">
        <v>1</v>
      </c>
      <c r="I290" s="1">
        <v>563</v>
      </c>
      <c r="J290" s="1">
        <v>999</v>
      </c>
      <c r="K290" s="1">
        <v>20</v>
      </c>
      <c r="L290" s="1">
        <f>ROUNDDOWN(formatted_data[[#This Row],[Selling_Price]]*formatted_data[[#This Row],[Discount_%]]/100,0)</f>
        <v>199</v>
      </c>
      <c r="M290" s="1">
        <f>(formatted_data[[#This Row],[Selling_Price]]-formatted_data[[#This Row],[Discount_Amount]])*formatted_data[[#This Row],[Units]]</f>
        <v>800</v>
      </c>
      <c r="N290" s="1">
        <f>formatted_data[[#This Row],[Total_Revenue]]-(formatted_data[[#This Row],[Cost_Price]]*formatted_data[[#This Row],[Units]])</f>
        <v>237</v>
      </c>
      <c r="O290" s="1" t="s">
        <v>21</v>
      </c>
      <c r="P290"/>
    </row>
    <row r="291" spans="1:16" x14ac:dyDescent="0.35">
      <c r="A291" s="1" t="s">
        <v>22</v>
      </c>
      <c r="B291" s="1" t="s">
        <v>16</v>
      </c>
      <c r="C291" s="2">
        <v>45585</v>
      </c>
      <c r="D291" s="1" t="s">
        <v>28</v>
      </c>
      <c r="E291" s="1" t="s">
        <v>45</v>
      </c>
      <c r="F291" s="1" t="s">
        <v>19</v>
      </c>
      <c r="G291" s="1" t="s">
        <v>20</v>
      </c>
      <c r="H291" s="1">
        <v>1</v>
      </c>
      <c r="I291" s="1">
        <v>353</v>
      </c>
      <c r="J291" s="1">
        <v>699</v>
      </c>
      <c r="K291" s="1">
        <v>5</v>
      </c>
      <c r="L291" s="1">
        <f>ROUNDDOWN(formatted_data[[#This Row],[Selling_Price]]*formatted_data[[#This Row],[Discount_%]]/100,0)</f>
        <v>34</v>
      </c>
      <c r="M291" s="1">
        <f>(formatted_data[[#This Row],[Selling_Price]]-formatted_data[[#This Row],[Discount_Amount]])*formatted_data[[#This Row],[Units]]</f>
        <v>665</v>
      </c>
      <c r="N291" s="1">
        <f>formatted_data[[#This Row],[Total_Revenue]]-(formatted_data[[#This Row],[Cost_Price]]*formatted_data[[#This Row],[Units]])</f>
        <v>312</v>
      </c>
      <c r="O291" s="1" t="s">
        <v>33</v>
      </c>
      <c r="P291"/>
    </row>
    <row r="292" spans="1:16" x14ac:dyDescent="0.35">
      <c r="A292" s="1" t="s">
        <v>91</v>
      </c>
      <c r="B292" s="1" t="s">
        <v>16</v>
      </c>
      <c r="C292" s="2">
        <v>45540</v>
      </c>
      <c r="D292" s="1" t="s">
        <v>28</v>
      </c>
      <c r="E292" s="1" t="s">
        <v>45</v>
      </c>
      <c r="F292" s="1" t="s">
        <v>25</v>
      </c>
      <c r="G292" s="1" t="s">
        <v>19</v>
      </c>
      <c r="H292" s="1">
        <v>4</v>
      </c>
      <c r="I292" s="1">
        <v>892</v>
      </c>
      <c r="J292" s="1">
        <v>1299</v>
      </c>
      <c r="K292" s="1">
        <v>20</v>
      </c>
      <c r="L292" s="1">
        <f>ROUNDDOWN(formatted_data[[#This Row],[Selling_Price]]*formatted_data[[#This Row],[Discount_%]]/100,0)</f>
        <v>259</v>
      </c>
      <c r="M292" s="1">
        <f>(formatted_data[[#This Row],[Selling_Price]]-formatted_data[[#This Row],[Discount_Amount]])*formatted_data[[#This Row],[Units]]</f>
        <v>4160</v>
      </c>
      <c r="N292" s="1">
        <f>formatted_data[[#This Row],[Total_Revenue]]-(formatted_data[[#This Row],[Cost_Price]]*formatted_data[[#This Row],[Units]])</f>
        <v>592</v>
      </c>
      <c r="O292" s="1" t="s">
        <v>21</v>
      </c>
      <c r="P292"/>
    </row>
    <row r="293" spans="1:16" x14ac:dyDescent="0.35">
      <c r="A293" s="1" t="s">
        <v>83</v>
      </c>
      <c r="B293" s="1" t="s">
        <v>27</v>
      </c>
      <c r="C293" s="2">
        <v>45512</v>
      </c>
      <c r="D293" s="1" t="s">
        <v>35</v>
      </c>
      <c r="E293" s="1" t="s">
        <v>39</v>
      </c>
      <c r="F293" s="1" t="s">
        <v>19</v>
      </c>
      <c r="G293" s="1" t="s">
        <v>20</v>
      </c>
      <c r="H293" s="1">
        <v>1</v>
      </c>
      <c r="I293" s="1">
        <v>968</v>
      </c>
      <c r="J293" s="1">
        <v>1599</v>
      </c>
      <c r="K293" s="1">
        <v>15</v>
      </c>
      <c r="L293" s="1">
        <f>ROUNDDOWN(formatted_data[[#This Row],[Selling_Price]]*formatted_data[[#This Row],[Discount_%]]/100,0)</f>
        <v>239</v>
      </c>
      <c r="M293" s="1">
        <f>(formatted_data[[#This Row],[Selling_Price]]-formatted_data[[#This Row],[Discount_Amount]])*formatted_data[[#This Row],[Units]]</f>
        <v>1360</v>
      </c>
      <c r="N293" s="1">
        <f>formatted_data[[#This Row],[Total_Revenue]]-(formatted_data[[#This Row],[Cost_Price]]*formatted_data[[#This Row],[Units]])</f>
        <v>392</v>
      </c>
      <c r="O293" s="1" t="s">
        <v>21</v>
      </c>
      <c r="P293"/>
    </row>
    <row r="294" spans="1:16" x14ac:dyDescent="0.35">
      <c r="A294" s="1" t="s">
        <v>73</v>
      </c>
      <c r="B294" s="1" t="s">
        <v>16</v>
      </c>
      <c r="C294" s="2">
        <v>45549</v>
      </c>
      <c r="D294" s="1" t="s">
        <v>35</v>
      </c>
      <c r="E294" s="1" t="s">
        <v>87</v>
      </c>
      <c r="F294" s="1" t="s">
        <v>19</v>
      </c>
      <c r="G294" s="1" t="s">
        <v>19</v>
      </c>
      <c r="H294" s="1">
        <v>1</v>
      </c>
      <c r="I294" s="1">
        <v>1961</v>
      </c>
      <c r="J294" s="1">
        <v>3199</v>
      </c>
      <c r="K294" s="1">
        <v>5</v>
      </c>
      <c r="L294" s="1">
        <f>ROUNDDOWN(formatted_data[[#This Row],[Selling_Price]]*formatted_data[[#This Row],[Discount_%]]/100,0)</f>
        <v>159</v>
      </c>
      <c r="M294" s="1">
        <f>(formatted_data[[#This Row],[Selling_Price]]-formatted_data[[#This Row],[Discount_Amount]])*formatted_data[[#This Row],[Units]]</f>
        <v>3040</v>
      </c>
      <c r="N294" s="1">
        <f>formatted_data[[#This Row],[Total_Revenue]]-(formatted_data[[#This Row],[Cost_Price]]*formatted_data[[#This Row],[Units]])</f>
        <v>1079</v>
      </c>
      <c r="O294" s="1" t="s">
        <v>33</v>
      </c>
      <c r="P294"/>
    </row>
    <row r="295" spans="1:16" x14ac:dyDescent="0.35">
      <c r="A295" s="1" t="s">
        <v>73</v>
      </c>
      <c r="B295" s="1" t="s">
        <v>16</v>
      </c>
      <c r="C295" s="2">
        <v>45529</v>
      </c>
      <c r="D295" s="1" t="s">
        <v>28</v>
      </c>
      <c r="E295" s="1" t="s">
        <v>45</v>
      </c>
      <c r="F295" s="1" t="s">
        <v>37</v>
      </c>
      <c r="G295" s="1" t="s">
        <v>19</v>
      </c>
      <c r="H295" s="1">
        <v>1</v>
      </c>
      <c r="I295" s="1">
        <v>624</v>
      </c>
      <c r="J295" s="1">
        <v>999</v>
      </c>
      <c r="K295" s="1">
        <v>20</v>
      </c>
      <c r="L295" s="1">
        <f>ROUNDDOWN(formatted_data[[#This Row],[Selling_Price]]*formatted_data[[#This Row],[Discount_%]]/100,0)</f>
        <v>199</v>
      </c>
      <c r="M295" s="1">
        <f>(formatted_data[[#This Row],[Selling_Price]]-formatted_data[[#This Row],[Discount_Amount]])*formatted_data[[#This Row],[Units]]</f>
        <v>800</v>
      </c>
      <c r="N295" s="1">
        <f>formatted_data[[#This Row],[Total_Revenue]]-(formatted_data[[#This Row],[Cost_Price]]*formatted_data[[#This Row],[Units]])</f>
        <v>176</v>
      </c>
      <c r="O295" s="1" t="s">
        <v>33</v>
      </c>
      <c r="P295"/>
    </row>
    <row r="296" spans="1:16" x14ac:dyDescent="0.35">
      <c r="A296" s="1" t="s">
        <v>80</v>
      </c>
      <c r="B296" s="1" t="s">
        <v>27</v>
      </c>
      <c r="C296" s="2">
        <v>45520</v>
      </c>
      <c r="D296" s="1" t="s">
        <v>17</v>
      </c>
      <c r="E296" s="1" t="s">
        <v>18</v>
      </c>
      <c r="F296" s="1" t="s">
        <v>19</v>
      </c>
      <c r="G296" s="1" t="s">
        <v>20</v>
      </c>
      <c r="H296" s="1">
        <v>1</v>
      </c>
      <c r="I296" s="1">
        <v>296</v>
      </c>
      <c r="J296" s="1">
        <v>399</v>
      </c>
      <c r="K296" s="1">
        <v>0</v>
      </c>
      <c r="L296" s="1">
        <f>ROUNDDOWN(formatted_data[[#This Row],[Selling_Price]]*formatted_data[[#This Row],[Discount_%]]/100,0)</f>
        <v>0</v>
      </c>
      <c r="M296" s="1">
        <f>(formatted_data[[#This Row],[Selling_Price]]-formatted_data[[#This Row],[Discount_Amount]])*formatted_data[[#This Row],[Units]]</f>
        <v>399</v>
      </c>
      <c r="N296" s="1">
        <f>formatted_data[[#This Row],[Total_Revenue]]-(formatted_data[[#This Row],[Cost_Price]]*formatted_data[[#This Row],[Units]])</f>
        <v>103</v>
      </c>
      <c r="O296" s="1" t="s">
        <v>21</v>
      </c>
      <c r="P296"/>
    </row>
    <row r="297" spans="1:16" x14ac:dyDescent="0.35">
      <c r="A297" s="1" t="s">
        <v>15</v>
      </c>
      <c r="B297" s="1" t="s">
        <v>16</v>
      </c>
      <c r="C297" s="2">
        <v>45458</v>
      </c>
      <c r="D297" s="1" t="s">
        <v>35</v>
      </c>
      <c r="E297" s="1" t="s">
        <v>39</v>
      </c>
      <c r="F297" s="1" t="s">
        <v>19</v>
      </c>
      <c r="G297" s="1" t="s">
        <v>20</v>
      </c>
      <c r="H297" s="1">
        <v>3</v>
      </c>
      <c r="I297" s="1">
        <v>873</v>
      </c>
      <c r="J297" s="1">
        <v>1699</v>
      </c>
      <c r="K297" s="1">
        <v>20</v>
      </c>
      <c r="L297" s="1">
        <f>ROUNDDOWN(formatted_data[[#This Row],[Selling_Price]]*formatted_data[[#This Row],[Discount_%]]/100,0)</f>
        <v>339</v>
      </c>
      <c r="M297" s="1">
        <f>(formatted_data[[#This Row],[Selling_Price]]-formatted_data[[#This Row],[Discount_Amount]])*formatted_data[[#This Row],[Units]]</f>
        <v>4080</v>
      </c>
      <c r="N297" s="1">
        <f>formatted_data[[#This Row],[Total_Revenue]]-(formatted_data[[#This Row],[Cost_Price]]*formatted_data[[#This Row],[Units]])</f>
        <v>1461</v>
      </c>
      <c r="O297" s="1" t="s">
        <v>21</v>
      </c>
      <c r="P297"/>
    </row>
    <row r="298" spans="1:16" x14ac:dyDescent="0.35">
      <c r="A298" s="1" t="s">
        <v>94</v>
      </c>
      <c r="B298" s="1" t="s">
        <v>16</v>
      </c>
      <c r="C298" s="2">
        <v>45657</v>
      </c>
      <c r="D298" s="1" t="s">
        <v>31</v>
      </c>
      <c r="E298" s="1" t="s">
        <v>76</v>
      </c>
      <c r="F298" s="1" t="s">
        <v>19</v>
      </c>
      <c r="G298" s="1" t="s">
        <v>20</v>
      </c>
      <c r="H298" s="1">
        <v>4</v>
      </c>
      <c r="I298" s="1">
        <v>399</v>
      </c>
      <c r="J298" s="1">
        <v>699</v>
      </c>
      <c r="K298" s="1">
        <v>0</v>
      </c>
      <c r="L298" s="1">
        <f>ROUNDDOWN(formatted_data[[#This Row],[Selling_Price]]*formatted_data[[#This Row],[Discount_%]]/100,0)</f>
        <v>0</v>
      </c>
      <c r="M298" s="1">
        <f>(formatted_data[[#This Row],[Selling_Price]]-formatted_data[[#This Row],[Discount_Amount]])*formatted_data[[#This Row],[Units]]</f>
        <v>2796</v>
      </c>
      <c r="N298" s="1">
        <f>formatted_data[[#This Row],[Total_Revenue]]-(formatted_data[[#This Row],[Cost_Price]]*formatted_data[[#This Row],[Units]])</f>
        <v>1200</v>
      </c>
      <c r="O298" s="1" t="s">
        <v>21</v>
      </c>
      <c r="P298"/>
    </row>
    <row r="299" spans="1:16" x14ac:dyDescent="0.35">
      <c r="A299" s="1" t="s">
        <v>89</v>
      </c>
      <c r="B299" s="1" t="s">
        <v>16</v>
      </c>
      <c r="C299" s="2">
        <v>45614</v>
      </c>
      <c r="D299" s="1" t="s">
        <v>31</v>
      </c>
      <c r="E299" s="1" t="s">
        <v>32</v>
      </c>
      <c r="F299" s="1" t="s">
        <v>37</v>
      </c>
      <c r="G299" s="1" t="s">
        <v>19</v>
      </c>
      <c r="H299" s="1">
        <v>2</v>
      </c>
      <c r="I299" s="1">
        <v>590</v>
      </c>
      <c r="J299" s="1">
        <v>999</v>
      </c>
      <c r="K299" s="1">
        <v>0</v>
      </c>
      <c r="L299" s="1">
        <f>ROUNDDOWN(formatted_data[[#This Row],[Selling_Price]]*formatted_data[[#This Row],[Discount_%]]/100,0)</f>
        <v>0</v>
      </c>
      <c r="M299" s="1">
        <f>(formatted_data[[#This Row],[Selling_Price]]-formatted_data[[#This Row],[Discount_Amount]])*formatted_data[[#This Row],[Units]]</f>
        <v>1998</v>
      </c>
      <c r="N299" s="1">
        <f>formatted_data[[#This Row],[Total_Revenue]]-(formatted_data[[#This Row],[Cost_Price]]*formatted_data[[#This Row],[Units]])</f>
        <v>818</v>
      </c>
      <c r="O299" s="1" t="s">
        <v>21</v>
      </c>
      <c r="P299"/>
    </row>
    <row r="300" spans="1:16" x14ac:dyDescent="0.35">
      <c r="A300" s="1" t="s">
        <v>34</v>
      </c>
      <c r="B300" s="1" t="s">
        <v>27</v>
      </c>
      <c r="C300" s="2">
        <v>45550</v>
      </c>
      <c r="D300" s="1" t="s">
        <v>17</v>
      </c>
      <c r="E300" s="1" t="s">
        <v>18</v>
      </c>
      <c r="F300" s="1" t="s">
        <v>37</v>
      </c>
      <c r="G300" s="1" t="s">
        <v>19</v>
      </c>
      <c r="H300" s="1">
        <v>1</v>
      </c>
      <c r="I300" s="1">
        <v>315</v>
      </c>
      <c r="J300" s="1">
        <v>499</v>
      </c>
      <c r="K300" s="1">
        <v>0</v>
      </c>
      <c r="L300" s="1">
        <f>ROUNDDOWN(formatted_data[[#This Row],[Selling_Price]]*formatted_data[[#This Row],[Discount_%]]/100,0)</f>
        <v>0</v>
      </c>
      <c r="M300" s="1">
        <f>(formatted_data[[#This Row],[Selling_Price]]-formatted_data[[#This Row],[Discount_Amount]])*formatted_data[[#This Row],[Units]]</f>
        <v>499</v>
      </c>
      <c r="N300" s="1">
        <f>formatted_data[[#This Row],[Total_Revenue]]-(formatted_data[[#This Row],[Cost_Price]]*formatted_data[[#This Row],[Units]])</f>
        <v>184</v>
      </c>
      <c r="O300" s="1" t="s">
        <v>21</v>
      </c>
      <c r="P300"/>
    </row>
    <row r="301" spans="1:16" x14ac:dyDescent="0.35">
      <c r="A301" s="1" t="s">
        <v>85</v>
      </c>
      <c r="B301" s="1" t="s">
        <v>27</v>
      </c>
      <c r="C301" s="2">
        <v>45540</v>
      </c>
      <c r="D301" s="1" t="s">
        <v>31</v>
      </c>
      <c r="E301" s="1" t="s">
        <v>76</v>
      </c>
      <c r="F301" s="1" t="s">
        <v>19</v>
      </c>
      <c r="G301" s="1" t="s">
        <v>20</v>
      </c>
      <c r="H301" s="1">
        <v>1</v>
      </c>
      <c r="I301" s="1">
        <v>1043</v>
      </c>
      <c r="J301" s="1">
        <v>1499</v>
      </c>
      <c r="K301" s="1">
        <v>0</v>
      </c>
      <c r="L301" s="1">
        <f>ROUNDDOWN(formatted_data[[#This Row],[Selling_Price]]*formatted_data[[#This Row],[Discount_%]]/100,0)</f>
        <v>0</v>
      </c>
      <c r="M301" s="1">
        <f>(formatted_data[[#This Row],[Selling_Price]]-formatted_data[[#This Row],[Discount_Amount]])*formatted_data[[#This Row],[Units]]</f>
        <v>1499</v>
      </c>
      <c r="N301" s="1">
        <f>formatted_data[[#This Row],[Total_Revenue]]-(formatted_data[[#This Row],[Cost_Price]]*formatted_data[[#This Row],[Units]])</f>
        <v>456</v>
      </c>
      <c r="O301" s="1" t="s">
        <v>33</v>
      </c>
      <c r="P301"/>
    </row>
    <row r="302" spans="1:16" x14ac:dyDescent="0.35">
      <c r="A302" s="1" t="s">
        <v>85</v>
      </c>
      <c r="B302" s="1" t="s">
        <v>27</v>
      </c>
      <c r="C302" s="2">
        <v>45640</v>
      </c>
      <c r="D302" s="1" t="s">
        <v>31</v>
      </c>
      <c r="E302" s="1" t="s">
        <v>76</v>
      </c>
      <c r="F302" s="1" t="s">
        <v>25</v>
      </c>
      <c r="G302" s="1" t="s">
        <v>20</v>
      </c>
      <c r="H302" s="1">
        <v>1</v>
      </c>
      <c r="I302" s="1">
        <v>884</v>
      </c>
      <c r="J302" s="1">
        <v>1499</v>
      </c>
      <c r="K302" s="1">
        <v>0</v>
      </c>
      <c r="L302" s="1">
        <f>ROUNDDOWN(formatted_data[[#This Row],[Selling_Price]]*formatted_data[[#This Row],[Discount_%]]/100,0)</f>
        <v>0</v>
      </c>
      <c r="M302" s="1">
        <f>(formatted_data[[#This Row],[Selling_Price]]-formatted_data[[#This Row],[Discount_Amount]])*formatted_data[[#This Row],[Units]]</f>
        <v>1499</v>
      </c>
      <c r="N302" s="1">
        <f>formatted_data[[#This Row],[Total_Revenue]]-(formatted_data[[#This Row],[Cost_Price]]*formatted_data[[#This Row],[Units]])</f>
        <v>615</v>
      </c>
      <c r="O302" s="1" t="s">
        <v>21</v>
      </c>
      <c r="P302"/>
    </row>
    <row r="303" spans="1:16" x14ac:dyDescent="0.35">
      <c r="A303" s="1" t="s">
        <v>51</v>
      </c>
      <c r="B303" s="1" t="s">
        <v>16</v>
      </c>
      <c r="C303" s="2">
        <v>45530</v>
      </c>
      <c r="D303" s="1" t="s">
        <v>23</v>
      </c>
      <c r="E303" s="1" t="s">
        <v>24</v>
      </c>
      <c r="F303" s="1" t="s">
        <v>19</v>
      </c>
      <c r="G303" s="1" t="s">
        <v>20</v>
      </c>
      <c r="H303" s="1">
        <v>2</v>
      </c>
      <c r="I303" s="1">
        <v>647</v>
      </c>
      <c r="J303" s="1">
        <v>1199</v>
      </c>
      <c r="K303" s="1">
        <v>10</v>
      </c>
      <c r="L303" s="1">
        <f>ROUNDDOWN(formatted_data[[#This Row],[Selling_Price]]*formatted_data[[#This Row],[Discount_%]]/100,0)</f>
        <v>119</v>
      </c>
      <c r="M303" s="1">
        <f>(formatted_data[[#This Row],[Selling_Price]]-formatted_data[[#This Row],[Discount_Amount]])*formatted_data[[#This Row],[Units]]</f>
        <v>2160</v>
      </c>
      <c r="N303" s="1">
        <f>formatted_data[[#This Row],[Total_Revenue]]-(formatted_data[[#This Row],[Cost_Price]]*formatted_data[[#This Row],[Units]])</f>
        <v>866</v>
      </c>
      <c r="O303" s="1" t="s">
        <v>33</v>
      </c>
      <c r="P303"/>
    </row>
    <row r="304" spans="1:16" x14ac:dyDescent="0.35">
      <c r="A304" s="1" t="s">
        <v>47</v>
      </c>
      <c r="B304" s="1" t="s">
        <v>16</v>
      </c>
      <c r="C304" s="2">
        <v>45502</v>
      </c>
      <c r="D304" s="1" t="s">
        <v>35</v>
      </c>
      <c r="E304" s="1" t="s">
        <v>36</v>
      </c>
      <c r="F304" s="1" t="s">
        <v>19</v>
      </c>
      <c r="G304" s="1" t="s">
        <v>20</v>
      </c>
      <c r="H304" s="1">
        <v>1</v>
      </c>
      <c r="I304" s="1">
        <v>351</v>
      </c>
      <c r="J304" s="1">
        <v>599</v>
      </c>
      <c r="K304" s="1">
        <v>10</v>
      </c>
      <c r="L304" s="1">
        <f>ROUNDDOWN(formatted_data[[#This Row],[Selling_Price]]*formatted_data[[#This Row],[Discount_%]]/100,0)</f>
        <v>59</v>
      </c>
      <c r="M304" s="1">
        <f>(formatted_data[[#This Row],[Selling_Price]]-formatted_data[[#This Row],[Discount_Amount]])*formatted_data[[#This Row],[Units]]</f>
        <v>540</v>
      </c>
      <c r="N304" s="1">
        <f>formatted_data[[#This Row],[Total_Revenue]]-(formatted_data[[#This Row],[Cost_Price]]*formatted_data[[#This Row],[Units]])</f>
        <v>189</v>
      </c>
      <c r="O304" s="1" t="s">
        <v>33</v>
      </c>
      <c r="P304"/>
    </row>
    <row r="305" spans="1:16" x14ac:dyDescent="0.35">
      <c r="A305" s="1" t="s">
        <v>93</v>
      </c>
      <c r="B305" s="1" t="s">
        <v>16</v>
      </c>
      <c r="C305" s="2">
        <v>45487</v>
      </c>
      <c r="D305" s="1" t="s">
        <v>35</v>
      </c>
      <c r="E305" s="1" t="s">
        <v>39</v>
      </c>
      <c r="F305" s="1" t="s">
        <v>19</v>
      </c>
      <c r="G305" s="1" t="s">
        <v>19</v>
      </c>
      <c r="H305" s="1">
        <v>3</v>
      </c>
      <c r="I305" s="1">
        <v>680</v>
      </c>
      <c r="J305" s="1">
        <v>1199</v>
      </c>
      <c r="K305" s="1">
        <v>10</v>
      </c>
      <c r="L305" s="1">
        <f>ROUNDDOWN(formatted_data[[#This Row],[Selling_Price]]*formatted_data[[#This Row],[Discount_%]]/100,0)</f>
        <v>119</v>
      </c>
      <c r="M305" s="1">
        <f>(formatted_data[[#This Row],[Selling_Price]]-formatted_data[[#This Row],[Discount_Amount]])*formatted_data[[#This Row],[Units]]</f>
        <v>3240</v>
      </c>
      <c r="N305" s="1">
        <f>formatted_data[[#This Row],[Total_Revenue]]-(formatted_data[[#This Row],[Cost_Price]]*formatted_data[[#This Row],[Units]])</f>
        <v>1200</v>
      </c>
      <c r="O305" s="1" t="s">
        <v>33</v>
      </c>
      <c r="P305"/>
    </row>
    <row r="306" spans="1:16" x14ac:dyDescent="0.35">
      <c r="A306" s="1" t="s">
        <v>73</v>
      </c>
      <c r="B306" s="1" t="s">
        <v>16</v>
      </c>
      <c r="C306" s="2">
        <v>45598</v>
      </c>
      <c r="D306" s="1" t="s">
        <v>23</v>
      </c>
      <c r="E306" s="1" t="s">
        <v>24</v>
      </c>
      <c r="F306" s="1" t="s">
        <v>19</v>
      </c>
      <c r="G306" s="1" t="s">
        <v>20</v>
      </c>
      <c r="H306" s="1">
        <v>1</v>
      </c>
      <c r="I306" s="1">
        <v>782</v>
      </c>
      <c r="J306" s="1">
        <v>1399</v>
      </c>
      <c r="K306" s="1">
        <v>10</v>
      </c>
      <c r="L306" s="1">
        <f>ROUNDDOWN(formatted_data[[#This Row],[Selling_Price]]*formatted_data[[#This Row],[Discount_%]]/100,0)</f>
        <v>139</v>
      </c>
      <c r="M306" s="1">
        <f>(formatted_data[[#This Row],[Selling_Price]]-formatted_data[[#This Row],[Discount_Amount]])*formatted_data[[#This Row],[Units]]</f>
        <v>1260</v>
      </c>
      <c r="N306" s="1">
        <f>formatted_data[[#This Row],[Total_Revenue]]-(formatted_data[[#This Row],[Cost_Price]]*formatted_data[[#This Row],[Units]])</f>
        <v>478</v>
      </c>
      <c r="O306" s="1" t="s">
        <v>21</v>
      </c>
      <c r="P306"/>
    </row>
    <row r="307" spans="1:16" x14ac:dyDescent="0.35">
      <c r="A307" s="1" t="s">
        <v>105</v>
      </c>
      <c r="B307" s="1" t="s">
        <v>16</v>
      </c>
      <c r="C307" s="2">
        <v>45585</v>
      </c>
      <c r="D307" s="1" t="s">
        <v>31</v>
      </c>
      <c r="E307" s="1" t="s">
        <v>32</v>
      </c>
      <c r="F307" s="1" t="s">
        <v>19</v>
      </c>
      <c r="G307" s="1" t="s">
        <v>20</v>
      </c>
      <c r="H307" s="1">
        <v>1</v>
      </c>
      <c r="I307" s="1">
        <v>668</v>
      </c>
      <c r="J307" s="1">
        <v>999</v>
      </c>
      <c r="K307" s="1">
        <v>0</v>
      </c>
      <c r="L307" s="1">
        <f>ROUNDDOWN(formatted_data[[#This Row],[Selling_Price]]*formatted_data[[#This Row],[Discount_%]]/100,0)</f>
        <v>0</v>
      </c>
      <c r="M307" s="1">
        <f>(formatted_data[[#This Row],[Selling_Price]]-formatted_data[[#This Row],[Discount_Amount]])*formatted_data[[#This Row],[Units]]</f>
        <v>999</v>
      </c>
      <c r="N307" s="1">
        <f>formatted_data[[#This Row],[Total_Revenue]]-(formatted_data[[#This Row],[Cost_Price]]*formatted_data[[#This Row],[Units]])</f>
        <v>331</v>
      </c>
      <c r="O307" s="1" t="s">
        <v>21</v>
      </c>
      <c r="P307"/>
    </row>
    <row r="308" spans="1:16" x14ac:dyDescent="0.35">
      <c r="A308" s="1" t="s">
        <v>109</v>
      </c>
      <c r="B308" s="1" t="s">
        <v>16</v>
      </c>
      <c r="C308" s="2">
        <v>45621</v>
      </c>
      <c r="D308" s="1" t="s">
        <v>23</v>
      </c>
      <c r="E308" s="1" t="s">
        <v>43</v>
      </c>
      <c r="F308" s="1" t="s">
        <v>19</v>
      </c>
      <c r="G308" s="1" t="s">
        <v>20</v>
      </c>
      <c r="H308" s="1">
        <v>4</v>
      </c>
      <c r="I308" s="1">
        <v>1355</v>
      </c>
      <c r="J308" s="1">
        <v>2499</v>
      </c>
      <c r="K308" s="1">
        <v>10</v>
      </c>
      <c r="L308" s="1">
        <f>ROUNDDOWN(formatted_data[[#This Row],[Selling_Price]]*formatted_data[[#This Row],[Discount_%]]/100,0)</f>
        <v>249</v>
      </c>
      <c r="M308" s="1">
        <f>(formatted_data[[#This Row],[Selling_Price]]-formatted_data[[#This Row],[Discount_Amount]])*formatted_data[[#This Row],[Units]]</f>
        <v>9000</v>
      </c>
      <c r="N308" s="1">
        <f>formatted_data[[#This Row],[Total_Revenue]]-(formatted_data[[#This Row],[Cost_Price]]*formatted_data[[#This Row],[Units]])</f>
        <v>3580</v>
      </c>
      <c r="O308" s="1" t="s">
        <v>21</v>
      </c>
      <c r="P308"/>
    </row>
    <row r="309" spans="1:16" x14ac:dyDescent="0.35">
      <c r="A309" s="1" t="s">
        <v>69</v>
      </c>
      <c r="B309" s="1" t="s">
        <v>16</v>
      </c>
      <c r="C309" s="2">
        <v>45653</v>
      </c>
      <c r="D309" s="1" t="s">
        <v>23</v>
      </c>
      <c r="E309" s="1" t="s">
        <v>24</v>
      </c>
      <c r="F309" s="1" t="s">
        <v>25</v>
      </c>
      <c r="G309" s="1" t="s">
        <v>19</v>
      </c>
      <c r="H309" s="1">
        <v>1</v>
      </c>
      <c r="I309" s="1">
        <v>594</v>
      </c>
      <c r="J309" s="1">
        <v>1099</v>
      </c>
      <c r="K309" s="1">
        <v>5</v>
      </c>
      <c r="L309" s="1">
        <f>ROUNDDOWN(formatted_data[[#This Row],[Selling_Price]]*formatted_data[[#This Row],[Discount_%]]/100,0)</f>
        <v>54</v>
      </c>
      <c r="M309" s="1">
        <f>(formatted_data[[#This Row],[Selling_Price]]-formatted_data[[#This Row],[Discount_Amount]])*formatted_data[[#This Row],[Units]]</f>
        <v>1045</v>
      </c>
      <c r="N309" s="1">
        <f>formatted_data[[#This Row],[Total_Revenue]]-(formatted_data[[#This Row],[Cost_Price]]*formatted_data[[#This Row],[Units]])</f>
        <v>451</v>
      </c>
      <c r="O309" s="1" t="s">
        <v>33</v>
      </c>
      <c r="P309"/>
    </row>
    <row r="310" spans="1:16" x14ac:dyDescent="0.35">
      <c r="A310" s="1" t="s">
        <v>106</v>
      </c>
      <c r="B310" s="1" t="s">
        <v>27</v>
      </c>
      <c r="C310" s="2">
        <v>45655</v>
      </c>
      <c r="D310" s="1" t="s">
        <v>28</v>
      </c>
      <c r="E310" s="1" t="s">
        <v>29</v>
      </c>
      <c r="F310" s="1" t="s">
        <v>37</v>
      </c>
      <c r="G310" s="1" t="s">
        <v>20</v>
      </c>
      <c r="H310" s="1">
        <v>1</v>
      </c>
      <c r="I310" s="1">
        <v>444</v>
      </c>
      <c r="J310" s="1">
        <v>599</v>
      </c>
      <c r="K310" s="1">
        <v>5</v>
      </c>
      <c r="L310" s="1">
        <f>ROUNDDOWN(formatted_data[[#This Row],[Selling_Price]]*formatted_data[[#This Row],[Discount_%]]/100,0)</f>
        <v>29</v>
      </c>
      <c r="M310" s="1">
        <f>(formatted_data[[#This Row],[Selling_Price]]-formatted_data[[#This Row],[Discount_Amount]])*formatted_data[[#This Row],[Units]]</f>
        <v>570</v>
      </c>
      <c r="N310" s="1">
        <f>formatted_data[[#This Row],[Total_Revenue]]-(formatted_data[[#This Row],[Cost_Price]]*formatted_data[[#This Row],[Units]])</f>
        <v>126</v>
      </c>
      <c r="O310" s="1" t="s">
        <v>21</v>
      </c>
      <c r="P310"/>
    </row>
    <row r="311" spans="1:16" x14ac:dyDescent="0.35">
      <c r="A311" s="1" t="s">
        <v>92</v>
      </c>
      <c r="B311" s="1" t="s">
        <v>27</v>
      </c>
      <c r="C311" s="2">
        <v>45525</v>
      </c>
      <c r="D311" s="1" t="s">
        <v>23</v>
      </c>
      <c r="E311" s="1" t="s">
        <v>24</v>
      </c>
      <c r="F311" s="1" t="s">
        <v>19</v>
      </c>
      <c r="G311" s="1" t="s">
        <v>19</v>
      </c>
      <c r="H311" s="1">
        <v>2</v>
      </c>
      <c r="I311" s="1">
        <v>709</v>
      </c>
      <c r="J311" s="1">
        <v>1199</v>
      </c>
      <c r="K311" s="1">
        <v>10</v>
      </c>
      <c r="L311" s="1">
        <f>ROUNDDOWN(formatted_data[[#This Row],[Selling_Price]]*formatted_data[[#This Row],[Discount_%]]/100,0)</f>
        <v>119</v>
      </c>
      <c r="M311" s="1">
        <f>(formatted_data[[#This Row],[Selling_Price]]-formatted_data[[#This Row],[Discount_Amount]])*formatted_data[[#This Row],[Units]]</f>
        <v>2160</v>
      </c>
      <c r="N311" s="1">
        <f>formatted_data[[#This Row],[Total_Revenue]]-(formatted_data[[#This Row],[Cost_Price]]*formatted_data[[#This Row],[Units]])</f>
        <v>742</v>
      </c>
      <c r="O311" s="1" t="s">
        <v>21</v>
      </c>
      <c r="P311"/>
    </row>
    <row r="312" spans="1:16" x14ac:dyDescent="0.35">
      <c r="A312" s="1" t="s">
        <v>97</v>
      </c>
      <c r="B312" s="1" t="s">
        <v>16</v>
      </c>
      <c r="C312" s="2">
        <v>45507</v>
      </c>
      <c r="D312" s="1" t="s">
        <v>28</v>
      </c>
      <c r="E312" s="1" t="s">
        <v>29</v>
      </c>
      <c r="F312" s="1" t="s">
        <v>25</v>
      </c>
      <c r="G312" s="1" t="s">
        <v>20</v>
      </c>
      <c r="H312" s="1">
        <v>1</v>
      </c>
      <c r="I312" s="1">
        <v>415</v>
      </c>
      <c r="J312" s="1">
        <v>699</v>
      </c>
      <c r="K312" s="1">
        <v>10</v>
      </c>
      <c r="L312" s="1">
        <f>ROUNDDOWN(formatted_data[[#This Row],[Selling_Price]]*formatted_data[[#This Row],[Discount_%]]/100,0)</f>
        <v>69</v>
      </c>
      <c r="M312" s="1">
        <f>(formatted_data[[#This Row],[Selling_Price]]-formatted_data[[#This Row],[Discount_Amount]])*formatted_data[[#This Row],[Units]]</f>
        <v>630</v>
      </c>
      <c r="N312" s="1">
        <f>formatted_data[[#This Row],[Total_Revenue]]-(formatted_data[[#This Row],[Cost_Price]]*formatted_data[[#This Row],[Units]])</f>
        <v>215</v>
      </c>
      <c r="O312" s="1" t="s">
        <v>21</v>
      </c>
      <c r="P312"/>
    </row>
    <row r="313" spans="1:16" x14ac:dyDescent="0.35">
      <c r="A313" s="1" t="s">
        <v>56</v>
      </c>
      <c r="B313" s="1" t="s">
        <v>27</v>
      </c>
      <c r="C313" s="2">
        <v>45571</v>
      </c>
      <c r="D313" s="1" t="s">
        <v>28</v>
      </c>
      <c r="E313" s="1" t="s">
        <v>29</v>
      </c>
      <c r="F313" s="1" t="s">
        <v>25</v>
      </c>
      <c r="G313" s="1" t="s">
        <v>19</v>
      </c>
      <c r="H313" s="1">
        <v>1</v>
      </c>
      <c r="I313" s="1">
        <v>294</v>
      </c>
      <c r="J313" s="1">
        <v>499</v>
      </c>
      <c r="K313" s="1">
        <v>15</v>
      </c>
      <c r="L313" s="1">
        <f>ROUNDDOWN(formatted_data[[#This Row],[Selling_Price]]*formatted_data[[#This Row],[Discount_%]]/100,0)</f>
        <v>74</v>
      </c>
      <c r="M313" s="1">
        <f>(formatted_data[[#This Row],[Selling_Price]]-formatted_data[[#This Row],[Discount_Amount]])*formatted_data[[#This Row],[Units]]</f>
        <v>425</v>
      </c>
      <c r="N313" s="1">
        <f>formatted_data[[#This Row],[Total_Revenue]]-(formatted_data[[#This Row],[Cost_Price]]*formatted_data[[#This Row],[Units]])</f>
        <v>131</v>
      </c>
      <c r="O313" s="1" t="s">
        <v>21</v>
      </c>
      <c r="P313"/>
    </row>
    <row r="314" spans="1:16" x14ac:dyDescent="0.35">
      <c r="A314" s="1" t="s">
        <v>52</v>
      </c>
      <c r="B314" s="1" t="s">
        <v>27</v>
      </c>
      <c r="C314" s="2">
        <v>45558</v>
      </c>
      <c r="D314" s="1" t="s">
        <v>35</v>
      </c>
      <c r="E314" s="1" t="s">
        <v>41</v>
      </c>
      <c r="F314" s="1" t="s">
        <v>37</v>
      </c>
      <c r="G314" s="1" t="s">
        <v>19</v>
      </c>
      <c r="H314" s="1">
        <v>1</v>
      </c>
      <c r="I314" s="1">
        <v>346</v>
      </c>
      <c r="J314" s="1">
        <v>599</v>
      </c>
      <c r="K314" s="1">
        <v>15</v>
      </c>
      <c r="L314" s="1">
        <f>ROUNDDOWN(formatted_data[[#This Row],[Selling_Price]]*formatted_data[[#This Row],[Discount_%]]/100,0)</f>
        <v>89</v>
      </c>
      <c r="M314" s="1">
        <f>(formatted_data[[#This Row],[Selling_Price]]-formatted_data[[#This Row],[Discount_Amount]])*formatted_data[[#This Row],[Units]]</f>
        <v>510</v>
      </c>
      <c r="N314" s="1">
        <f>formatted_data[[#This Row],[Total_Revenue]]-(formatted_data[[#This Row],[Cost_Price]]*formatted_data[[#This Row],[Units]])</f>
        <v>164</v>
      </c>
      <c r="O314" s="1" t="s">
        <v>21</v>
      </c>
      <c r="P314"/>
    </row>
    <row r="315" spans="1:16" x14ac:dyDescent="0.35">
      <c r="A315" s="1" t="s">
        <v>88</v>
      </c>
      <c r="B315" s="1" t="s">
        <v>27</v>
      </c>
      <c r="C315" s="2">
        <v>45556</v>
      </c>
      <c r="D315" s="1" t="s">
        <v>23</v>
      </c>
      <c r="E315" s="1" t="s">
        <v>24</v>
      </c>
      <c r="F315" s="1" t="s">
        <v>25</v>
      </c>
      <c r="G315" s="1" t="s">
        <v>20</v>
      </c>
      <c r="H315" s="1">
        <v>3</v>
      </c>
      <c r="I315" s="1">
        <v>1028</v>
      </c>
      <c r="J315" s="1">
        <v>1699</v>
      </c>
      <c r="K315" s="1">
        <v>10</v>
      </c>
      <c r="L315" s="1">
        <f>ROUNDDOWN(formatted_data[[#This Row],[Selling_Price]]*formatted_data[[#This Row],[Discount_%]]/100,0)</f>
        <v>169</v>
      </c>
      <c r="M315" s="1">
        <f>(formatted_data[[#This Row],[Selling_Price]]-formatted_data[[#This Row],[Discount_Amount]])*formatted_data[[#This Row],[Units]]</f>
        <v>4590</v>
      </c>
      <c r="N315" s="1">
        <f>formatted_data[[#This Row],[Total_Revenue]]-(formatted_data[[#This Row],[Cost_Price]]*formatted_data[[#This Row],[Units]])</f>
        <v>1506</v>
      </c>
      <c r="O315" s="1" t="s">
        <v>33</v>
      </c>
      <c r="P315"/>
    </row>
    <row r="316" spans="1:16" x14ac:dyDescent="0.35">
      <c r="A316" s="1" t="s">
        <v>106</v>
      </c>
      <c r="B316" s="1" t="s">
        <v>27</v>
      </c>
      <c r="C316" s="2">
        <v>45563</v>
      </c>
      <c r="D316" s="1" t="s">
        <v>17</v>
      </c>
      <c r="E316" s="1" t="s">
        <v>55</v>
      </c>
      <c r="F316" s="1" t="s">
        <v>25</v>
      </c>
      <c r="G316" s="1" t="s">
        <v>20</v>
      </c>
      <c r="H316" s="1">
        <v>1</v>
      </c>
      <c r="I316" s="1">
        <v>517</v>
      </c>
      <c r="J316" s="1">
        <v>799</v>
      </c>
      <c r="K316" s="1">
        <v>0</v>
      </c>
      <c r="L316" s="1">
        <f>ROUNDDOWN(formatted_data[[#This Row],[Selling_Price]]*formatted_data[[#This Row],[Discount_%]]/100,0)</f>
        <v>0</v>
      </c>
      <c r="M316" s="1">
        <f>(formatted_data[[#This Row],[Selling_Price]]-formatted_data[[#This Row],[Discount_Amount]])*formatted_data[[#This Row],[Units]]</f>
        <v>799</v>
      </c>
      <c r="N316" s="1">
        <f>formatted_data[[#This Row],[Total_Revenue]]-(formatted_data[[#This Row],[Cost_Price]]*formatted_data[[#This Row],[Units]])</f>
        <v>282</v>
      </c>
      <c r="O316" s="1" t="s">
        <v>33</v>
      </c>
      <c r="P316"/>
    </row>
    <row r="317" spans="1:16" x14ac:dyDescent="0.35">
      <c r="A317" s="1" t="s">
        <v>98</v>
      </c>
      <c r="B317" s="1" t="s">
        <v>16</v>
      </c>
      <c r="C317" s="2">
        <v>45471</v>
      </c>
      <c r="D317" s="1" t="s">
        <v>31</v>
      </c>
      <c r="E317" s="1" t="s">
        <v>32</v>
      </c>
      <c r="F317" s="1" t="s">
        <v>25</v>
      </c>
      <c r="G317" s="1" t="s">
        <v>19</v>
      </c>
      <c r="H317" s="1">
        <v>1</v>
      </c>
      <c r="I317" s="1">
        <v>566</v>
      </c>
      <c r="J317" s="1">
        <v>999</v>
      </c>
      <c r="K317" s="1">
        <v>0</v>
      </c>
      <c r="L317" s="1">
        <f>ROUNDDOWN(formatted_data[[#This Row],[Selling_Price]]*formatted_data[[#This Row],[Discount_%]]/100,0)</f>
        <v>0</v>
      </c>
      <c r="M317" s="1">
        <f>(formatted_data[[#This Row],[Selling_Price]]-formatted_data[[#This Row],[Discount_Amount]])*formatted_data[[#This Row],[Units]]</f>
        <v>999</v>
      </c>
      <c r="N317" s="1">
        <f>formatted_data[[#This Row],[Total_Revenue]]-(formatted_data[[#This Row],[Cost_Price]]*formatted_data[[#This Row],[Units]])</f>
        <v>433</v>
      </c>
      <c r="O317" s="1" t="s">
        <v>21</v>
      </c>
      <c r="P317"/>
    </row>
    <row r="318" spans="1:16" x14ac:dyDescent="0.35">
      <c r="A318" s="1" t="s">
        <v>15</v>
      </c>
      <c r="B318" s="1" t="s">
        <v>16</v>
      </c>
      <c r="C318" s="2">
        <v>45574</v>
      </c>
      <c r="D318" s="1" t="s">
        <v>23</v>
      </c>
      <c r="E318" s="1" t="s">
        <v>43</v>
      </c>
      <c r="F318" s="1" t="s">
        <v>19</v>
      </c>
      <c r="G318" s="1" t="s">
        <v>20</v>
      </c>
      <c r="H318" s="1">
        <v>1</v>
      </c>
      <c r="I318" s="1">
        <v>1753</v>
      </c>
      <c r="J318" s="1">
        <v>2499</v>
      </c>
      <c r="K318" s="1">
        <v>20</v>
      </c>
      <c r="L318" s="1">
        <f>ROUNDDOWN(formatted_data[[#This Row],[Selling_Price]]*formatted_data[[#This Row],[Discount_%]]/100,0)</f>
        <v>499</v>
      </c>
      <c r="M318" s="1">
        <f>(formatted_data[[#This Row],[Selling_Price]]-formatted_data[[#This Row],[Discount_Amount]])*formatted_data[[#This Row],[Units]]</f>
        <v>2000</v>
      </c>
      <c r="N318" s="1">
        <f>formatted_data[[#This Row],[Total_Revenue]]-(formatted_data[[#This Row],[Cost_Price]]*formatted_data[[#This Row],[Units]])</f>
        <v>247</v>
      </c>
      <c r="O318" s="1" t="s">
        <v>33</v>
      </c>
      <c r="P318"/>
    </row>
    <row r="319" spans="1:16" x14ac:dyDescent="0.35">
      <c r="A319" s="1" t="s">
        <v>78</v>
      </c>
      <c r="B319" s="1" t="s">
        <v>16</v>
      </c>
      <c r="C319" s="2">
        <v>45470</v>
      </c>
      <c r="D319" s="1" t="s">
        <v>28</v>
      </c>
      <c r="E319" s="1" t="s">
        <v>29</v>
      </c>
      <c r="F319" s="1" t="s">
        <v>37</v>
      </c>
      <c r="G319" s="1" t="s">
        <v>20</v>
      </c>
      <c r="H319" s="1">
        <v>2</v>
      </c>
      <c r="I319" s="1">
        <v>370</v>
      </c>
      <c r="J319" s="1">
        <v>499</v>
      </c>
      <c r="K319" s="1">
        <v>15</v>
      </c>
      <c r="L319" s="1">
        <f>ROUNDDOWN(formatted_data[[#This Row],[Selling_Price]]*formatted_data[[#This Row],[Discount_%]]/100,0)</f>
        <v>74</v>
      </c>
      <c r="M319" s="1">
        <f>(formatted_data[[#This Row],[Selling_Price]]-formatted_data[[#This Row],[Discount_Amount]])*formatted_data[[#This Row],[Units]]</f>
        <v>850</v>
      </c>
      <c r="N319" s="1">
        <f>formatted_data[[#This Row],[Total_Revenue]]-(formatted_data[[#This Row],[Cost_Price]]*formatted_data[[#This Row],[Units]])</f>
        <v>110</v>
      </c>
      <c r="O319" s="1" t="s">
        <v>21</v>
      </c>
      <c r="P319"/>
    </row>
    <row r="320" spans="1:16" x14ac:dyDescent="0.35">
      <c r="A320" s="1" t="s">
        <v>78</v>
      </c>
      <c r="B320" s="1" t="s">
        <v>16</v>
      </c>
      <c r="C320" s="2">
        <v>45493</v>
      </c>
      <c r="D320" s="1" t="s">
        <v>17</v>
      </c>
      <c r="E320" s="1" t="s">
        <v>55</v>
      </c>
      <c r="F320" s="1" t="s">
        <v>19</v>
      </c>
      <c r="G320" s="1" t="s">
        <v>19</v>
      </c>
      <c r="H320" s="1">
        <v>1</v>
      </c>
      <c r="I320" s="1">
        <v>166</v>
      </c>
      <c r="J320" s="1">
        <v>299</v>
      </c>
      <c r="K320" s="1">
        <v>0</v>
      </c>
      <c r="L320" s="1">
        <f>ROUNDDOWN(formatted_data[[#This Row],[Selling_Price]]*formatted_data[[#This Row],[Discount_%]]/100,0)</f>
        <v>0</v>
      </c>
      <c r="M320" s="1">
        <f>(formatted_data[[#This Row],[Selling_Price]]-formatted_data[[#This Row],[Discount_Amount]])*formatted_data[[#This Row],[Units]]</f>
        <v>299</v>
      </c>
      <c r="N320" s="1">
        <f>formatted_data[[#This Row],[Total_Revenue]]-(formatted_data[[#This Row],[Cost_Price]]*formatted_data[[#This Row],[Units]])</f>
        <v>133</v>
      </c>
      <c r="O320" s="1" t="s">
        <v>21</v>
      </c>
      <c r="P320"/>
    </row>
    <row r="321" spans="1:16" x14ac:dyDescent="0.35">
      <c r="A321" s="1" t="s">
        <v>51</v>
      </c>
      <c r="B321" s="1" t="s">
        <v>16</v>
      </c>
      <c r="C321" s="2">
        <v>45578</v>
      </c>
      <c r="D321" s="1" t="s">
        <v>35</v>
      </c>
      <c r="E321" s="1" t="s">
        <v>50</v>
      </c>
      <c r="F321" s="1" t="s">
        <v>25</v>
      </c>
      <c r="G321" s="1" t="s">
        <v>20</v>
      </c>
      <c r="H321" s="1">
        <v>2</v>
      </c>
      <c r="I321" s="1">
        <v>1099</v>
      </c>
      <c r="J321" s="1">
        <v>1799</v>
      </c>
      <c r="K321" s="1">
        <v>15</v>
      </c>
      <c r="L321" s="1">
        <f>ROUNDDOWN(formatted_data[[#This Row],[Selling_Price]]*formatted_data[[#This Row],[Discount_%]]/100,0)</f>
        <v>269</v>
      </c>
      <c r="M321" s="1">
        <f>(formatted_data[[#This Row],[Selling_Price]]-formatted_data[[#This Row],[Discount_Amount]])*formatted_data[[#This Row],[Units]]</f>
        <v>3060</v>
      </c>
      <c r="N321" s="1">
        <f>formatted_data[[#This Row],[Total_Revenue]]-(formatted_data[[#This Row],[Cost_Price]]*formatted_data[[#This Row],[Units]])</f>
        <v>862</v>
      </c>
      <c r="O321" s="1" t="s">
        <v>21</v>
      </c>
      <c r="P321"/>
    </row>
    <row r="322" spans="1:16" x14ac:dyDescent="0.35">
      <c r="A322" s="1" t="s">
        <v>107</v>
      </c>
      <c r="B322" s="1" t="s">
        <v>27</v>
      </c>
      <c r="C322" s="2">
        <v>45458</v>
      </c>
      <c r="D322" s="1" t="s">
        <v>28</v>
      </c>
      <c r="E322" s="1" t="s">
        <v>29</v>
      </c>
      <c r="F322" s="1" t="s">
        <v>25</v>
      </c>
      <c r="G322" s="1" t="s">
        <v>20</v>
      </c>
      <c r="H322" s="1">
        <v>4</v>
      </c>
      <c r="I322" s="1">
        <v>400</v>
      </c>
      <c r="J322" s="1">
        <v>599</v>
      </c>
      <c r="K322" s="1">
        <v>20</v>
      </c>
      <c r="L322" s="1">
        <f>ROUNDDOWN(formatted_data[[#This Row],[Selling_Price]]*formatted_data[[#This Row],[Discount_%]]/100,0)</f>
        <v>119</v>
      </c>
      <c r="M322" s="1">
        <f>(formatted_data[[#This Row],[Selling_Price]]-formatted_data[[#This Row],[Discount_Amount]])*formatted_data[[#This Row],[Units]]</f>
        <v>1920</v>
      </c>
      <c r="N322" s="1">
        <f>formatted_data[[#This Row],[Total_Revenue]]-(formatted_data[[#This Row],[Cost_Price]]*formatted_data[[#This Row],[Units]])</f>
        <v>320</v>
      </c>
      <c r="O322" s="1" t="s">
        <v>33</v>
      </c>
      <c r="P322"/>
    </row>
    <row r="323" spans="1:16" x14ac:dyDescent="0.35">
      <c r="A323" s="1" t="s">
        <v>69</v>
      </c>
      <c r="B323" s="1" t="s">
        <v>16</v>
      </c>
      <c r="C323" s="2">
        <v>45637</v>
      </c>
      <c r="D323" s="1" t="s">
        <v>23</v>
      </c>
      <c r="E323" s="1" t="s">
        <v>43</v>
      </c>
      <c r="F323" s="1" t="s">
        <v>19</v>
      </c>
      <c r="G323" s="1" t="s">
        <v>19</v>
      </c>
      <c r="H323" s="1">
        <v>2</v>
      </c>
      <c r="I323" s="1">
        <v>1503</v>
      </c>
      <c r="J323" s="1">
        <v>2299</v>
      </c>
      <c r="K323" s="1">
        <v>15</v>
      </c>
      <c r="L323" s="1">
        <f>ROUNDDOWN(formatted_data[[#This Row],[Selling_Price]]*formatted_data[[#This Row],[Discount_%]]/100,0)</f>
        <v>344</v>
      </c>
      <c r="M323" s="1">
        <f>(formatted_data[[#This Row],[Selling_Price]]-formatted_data[[#This Row],[Discount_Amount]])*formatted_data[[#This Row],[Units]]</f>
        <v>3910</v>
      </c>
      <c r="N323" s="1">
        <f>formatted_data[[#This Row],[Total_Revenue]]-(formatted_data[[#This Row],[Cost_Price]]*formatted_data[[#This Row],[Units]])</f>
        <v>904</v>
      </c>
      <c r="O323" s="1" t="s">
        <v>21</v>
      </c>
      <c r="P323"/>
    </row>
    <row r="324" spans="1:16" x14ac:dyDescent="0.35">
      <c r="A324" s="1" t="s">
        <v>15</v>
      </c>
      <c r="B324" s="1" t="s">
        <v>16</v>
      </c>
      <c r="C324" s="2">
        <v>45611</v>
      </c>
      <c r="D324" s="1" t="s">
        <v>35</v>
      </c>
      <c r="E324" s="1" t="s">
        <v>39</v>
      </c>
      <c r="F324" s="1" t="s">
        <v>25</v>
      </c>
      <c r="G324" s="1" t="s">
        <v>20</v>
      </c>
      <c r="H324" s="1">
        <v>1</v>
      </c>
      <c r="I324" s="1">
        <v>1060</v>
      </c>
      <c r="J324" s="1">
        <v>1699</v>
      </c>
      <c r="K324" s="1">
        <v>20</v>
      </c>
      <c r="L324" s="1">
        <f>ROUNDDOWN(formatted_data[[#This Row],[Selling_Price]]*formatted_data[[#This Row],[Discount_%]]/100,0)</f>
        <v>339</v>
      </c>
      <c r="M324" s="1">
        <f>(formatted_data[[#This Row],[Selling_Price]]-formatted_data[[#This Row],[Discount_Amount]])*formatted_data[[#This Row],[Units]]</f>
        <v>1360</v>
      </c>
      <c r="N324" s="1">
        <f>formatted_data[[#This Row],[Total_Revenue]]-(formatted_data[[#This Row],[Cost_Price]]*formatted_data[[#This Row],[Units]])</f>
        <v>300</v>
      </c>
      <c r="O324" s="1" t="s">
        <v>21</v>
      </c>
      <c r="P324"/>
    </row>
    <row r="325" spans="1:16" x14ac:dyDescent="0.35">
      <c r="A325" s="1" t="s">
        <v>15</v>
      </c>
      <c r="B325" s="1" t="s">
        <v>16</v>
      </c>
      <c r="C325" s="2">
        <v>45654</v>
      </c>
      <c r="D325" s="1" t="s">
        <v>35</v>
      </c>
      <c r="E325" s="1" t="s">
        <v>36</v>
      </c>
      <c r="F325" s="1" t="s">
        <v>37</v>
      </c>
      <c r="G325" s="1" t="s">
        <v>19</v>
      </c>
      <c r="H325" s="1">
        <v>5</v>
      </c>
      <c r="I325" s="1">
        <v>324</v>
      </c>
      <c r="J325" s="1">
        <v>599</v>
      </c>
      <c r="K325" s="1">
        <v>5</v>
      </c>
      <c r="L325" s="1">
        <f>ROUNDDOWN(formatted_data[[#This Row],[Selling_Price]]*formatted_data[[#This Row],[Discount_%]]/100,0)</f>
        <v>29</v>
      </c>
      <c r="M325" s="1">
        <f>(formatted_data[[#This Row],[Selling_Price]]-formatted_data[[#This Row],[Discount_Amount]])*formatted_data[[#This Row],[Units]]</f>
        <v>2850</v>
      </c>
      <c r="N325" s="1">
        <f>formatted_data[[#This Row],[Total_Revenue]]-(formatted_data[[#This Row],[Cost_Price]]*formatted_data[[#This Row],[Units]])</f>
        <v>1230</v>
      </c>
      <c r="O325" s="1" t="s">
        <v>33</v>
      </c>
      <c r="P325"/>
    </row>
    <row r="326" spans="1:16" x14ac:dyDescent="0.35">
      <c r="A326" s="1" t="s">
        <v>56</v>
      </c>
      <c r="B326" s="1" t="s">
        <v>27</v>
      </c>
      <c r="C326" s="2">
        <v>45478</v>
      </c>
      <c r="D326" s="1" t="s">
        <v>35</v>
      </c>
      <c r="E326" s="1" t="s">
        <v>87</v>
      </c>
      <c r="F326" s="1" t="s">
        <v>19</v>
      </c>
      <c r="G326" s="1" t="s">
        <v>19</v>
      </c>
      <c r="H326" s="1">
        <v>1</v>
      </c>
      <c r="I326" s="1">
        <v>2810</v>
      </c>
      <c r="J326" s="1">
        <v>3799</v>
      </c>
      <c r="K326" s="1">
        <v>20</v>
      </c>
      <c r="L326" s="1">
        <f>ROUNDDOWN(formatted_data[[#This Row],[Selling_Price]]*formatted_data[[#This Row],[Discount_%]]/100,0)</f>
        <v>759</v>
      </c>
      <c r="M326" s="1">
        <f>(formatted_data[[#This Row],[Selling_Price]]-formatted_data[[#This Row],[Discount_Amount]])*formatted_data[[#This Row],[Units]]</f>
        <v>3040</v>
      </c>
      <c r="N326" s="1">
        <f>formatted_data[[#This Row],[Total_Revenue]]-(formatted_data[[#This Row],[Cost_Price]]*formatted_data[[#This Row],[Units]])</f>
        <v>230</v>
      </c>
      <c r="O326" s="1" t="s">
        <v>33</v>
      </c>
      <c r="P326"/>
    </row>
    <row r="327" spans="1:16" x14ac:dyDescent="0.35">
      <c r="A327" s="1" t="s">
        <v>44</v>
      </c>
      <c r="B327" s="1" t="s">
        <v>16</v>
      </c>
      <c r="C327" s="2">
        <v>45589</v>
      </c>
      <c r="D327" s="1" t="s">
        <v>23</v>
      </c>
      <c r="E327" s="1" t="s">
        <v>43</v>
      </c>
      <c r="F327" s="1" t="s">
        <v>37</v>
      </c>
      <c r="G327" s="1" t="s">
        <v>20</v>
      </c>
      <c r="H327" s="1">
        <v>2</v>
      </c>
      <c r="I327" s="1">
        <v>1028</v>
      </c>
      <c r="J327" s="1">
        <v>1999</v>
      </c>
      <c r="K327" s="1">
        <v>5</v>
      </c>
      <c r="L327" s="1">
        <f>ROUNDDOWN(formatted_data[[#This Row],[Selling_Price]]*formatted_data[[#This Row],[Discount_%]]/100,0)</f>
        <v>99</v>
      </c>
      <c r="M327" s="1">
        <f>(formatted_data[[#This Row],[Selling_Price]]-formatted_data[[#This Row],[Discount_Amount]])*formatted_data[[#This Row],[Units]]</f>
        <v>3800</v>
      </c>
      <c r="N327" s="1">
        <f>formatted_data[[#This Row],[Total_Revenue]]-(formatted_data[[#This Row],[Cost_Price]]*formatted_data[[#This Row],[Units]])</f>
        <v>1744</v>
      </c>
      <c r="O327" s="1" t="s">
        <v>21</v>
      </c>
      <c r="P327"/>
    </row>
    <row r="328" spans="1:16" x14ac:dyDescent="0.35">
      <c r="A328" s="1" t="s">
        <v>53</v>
      </c>
      <c r="B328" s="1" t="s">
        <v>27</v>
      </c>
      <c r="C328" s="2">
        <v>45563</v>
      </c>
      <c r="D328" s="1" t="s">
        <v>28</v>
      </c>
      <c r="E328" s="1" t="s">
        <v>29</v>
      </c>
      <c r="F328" s="1" t="s">
        <v>25</v>
      </c>
      <c r="G328" s="1" t="s">
        <v>20</v>
      </c>
      <c r="H328" s="1">
        <v>1</v>
      </c>
      <c r="I328" s="1">
        <v>494</v>
      </c>
      <c r="J328" s="1">
        <v>699</v>
      </c>
      <c r="K328" s="1">
        <v>10</v>
      </c>
      <c r="L328" s="1">
        <f>ROUNDDOWN(formatted_data[[#This Row],[Selling_Price]]*formatted_data[[#This Row],[Discount_%]]/100,0)</f>
        <v>69</v>
      </c>
      <c r="M328" s="1">
        <f>(formatted_data[[#This Row],[Selling_Price]]-formatted_data[[#This Row],[Discount_Amount]])*formatted_data[[#This Row],[Units]]</f>
        <v>630</v>
      </c>
      <c r="N328" s="1">
        <f>formatted_data[[#This Row],[Total_Revenue]]-(formatted_data[[#This Row],[Cost_Price]]*formatted_data[[#This Row],[Units]])</f>
        <v>136</v>
      </c>
      <c r="O328" s="1" t="s">
        <v>33</v>
      </c>
      <c r="P328"/>
    </row>
    <row r="329" spans="1:16" x14ac:dyDescent="0.35">
      <c r="A329" s="1" t="s">
        <v>54</v>
      </c>
      <c r="B329" s="1" t="s">
        <v>27</v>
      </c>
      <c r="C329" s="2">
        <v>45452</v>
      </c>
      <c r="D329" s="1" t="s">
        <v>17</v>
      </c>
      <c r="E329" s="1" t="s">
        <v>48</v>
      </c>
      <c r="F329" s="1" t="s">
        <v>19</v>
      </c>
      <c r="G329" s="1" t="s">
        <v>19</v>
      </c>
      <c r="H329" s="1">
        <v>3</v>
      </c>
      <c r="I329" s="1">
        <v>409</v>
      </c>
      <c r="J329" s="1">
        <v>599</v>
      </c>
      <c r="K329" s="1">
        <v>0</v>
      </c>
      <c r="L329" s="1">
        <f>ROUNDDOWN(formatted_data[[#This Row],[Selling_Price]]*formatted_data[[#This Row],[Discount_%]]/100,0)</f>
        <v>0</v>
      </c>
      <c r="M329" s="1">
        <f>(formatted_data[[#This Row],[Selling_Price]]-formatted_data[[#This Row],[Discount_Amount]])*formatted_data[[#This Row],[Units]]</f>
        <v>1797</v>
      </c>
      <c r="N329" s="1">
        <f>formatted_data[[#This Row],[Total_Revenue]]-(formatted_data[[#This Row],[Cost_Price]]*formatted_data[[#This Row],[Units]])</f>
        <v>570</v>
      </c>
      <c r="O329" s="1" t="s">
        <v>21</v>
      </c>
      <c r="P329"/>
    </row>
    <row r="330" spans="1:16" x14ac:dyDescent="0.35">
      <c r="A330" s="1" t="s">
        <v>104</v>
      </c>
      <c r="B330" s="1" t="s">
        <v>27</v>
      </c>
      <c r="C330" s="2">
        <v>45617</v>
      </c>
      <c r="D330" s="1" t="s">
        <v>28</v>
      </c>
      <c r="E330" s="1" t="s">
        <v>29</v>
      </c>
      <c r="F330" s="1" t="s">
        <v>37</v>
      </c>
      <c r="G330" s="1" t="s">
        <v>20</v>
      </c>
      <c r="H330" s="1">
        <v>1</v>
      </c>
      <c r="I330" s="1">
        <v>270</v>
      </c>
      <c r="J330" s="1">
        <v>499</v>
      </c>
      <c r="K330" s="1">
        <v>5</v>
      </c>
      <c r="L330" s="1">
        <f>ROUNDDOWN(formatted_data[[#This Row],[Selling_Price]]*formatted_data[[#This Row],[Discount_%]]/100,0)</f>
        <v>24</v>
      </c>
      <c r="M330" s="1">
        <f>(formatted_data[[#This Row],[Selling_Price]]-formatted_data[[#This Row],[Discount_Amount]])*formatted_data[[#This Row],[Units]]</f>
        <v>475</v>
      </c>
      <c r="N330" s="1">
        <f>formatted_data[[#This Row],[Total_Revenue]]-(formatted_data[[#This Row],[Cost_Price]]*formatted_data[[#This Row],[Units]])</f>
        <v>205</v>
      </c>
      <c r="O330" s="1" t="s">
        <v>21</v>
      </c>
      <c r="P330"/>
    </row>
    <row r="331" spans="1:16" x14ac:dyDescent="0.35">
      <c r="A331" s="1" t="s">
        <v>79</v>
      </c>
      <c r="B331" s="1" t="s">
        <v>16</v>
      </c>
      <c r="C331" s="2">
        <v>45635</v>
      </c>
      <c r="D331" s="1" t="s">
        <v>17</v>
      </c>
      <c r="E331" s="1" t="s">
        <v>55</v>
      </c>
      <c r="F331" s="1" t="s">
        <v>25</v>
      </c>
      <c r="G331" s="1" t="s">
        <v>19</v>
      </c>
      <c r="H331" s="1">
        <v>1</v>
      </c>
      <c r="I331" s="1">
        <v>265</v>
      </c>
      <c r="J331" s="1">
        <v>499</v>
      </c>
      <c r="K331" s="1">
        <v>0</v>
      </c>
      <c r="L331" s="1">
        <f>ROUNDDOWN(formatted_data[[#This Row],[Selling_Price]]*formatted_data[[#This Row],[Discount_%]]/100,0)</f>
        <v>0</v>
      </c>
      <c r="M331" s="1">
        <f>(formatted_data[[#This Row],[Selling_Price]]-formatted_data[[#This Row],[Discount_Amount]])*formatted_data[[#This Row],[Units]]</f>
        <v>499</v>
      </c>
      <c r="N331" s="1">
        <f>formatted_data[[#This Row],[Total_Revenue]]-(formatted_data[[#This Row],[Cost_Price]]*formatted_data[[#This Row],[Units]])</f>
        <v>234</v>
      </c>
      <c r="O331" s="1" t="s">
        <v>21</v>
      </c>
      <c r="P331"/>
    </row>
    <row r="332" spans="1:16" x14ac:dyDescent="0.35">
      <c r="A332" s="1" t="s">
        <v>67</v>
      </c>
      <c r="B332" s="1" t="s">
        <v>27</v>
      </c>
      <c r="C332" s="2">
        <v>45572</v>
      </c>
      <c r="D332" s="1" t="s">
        <v>23</v>
      </c>
      <c r="E332" s="1" t="s">
        <v>43</v>
      </c>
      <c r="F332" s="1" t="s">
        <v>19</v>
      </c>
      <c r="G332" s="1" t="s">
        <v>20</v>
      </c>
      <c r="H332" s="1">
        <v>1</v>
      </c>
      <c r="I332" s="1">
        <v>1907</v>
      </c>
      <c r="J332" s="1">
        <v>2999</v>
      </c>
      <c r="K332" s="1">
        <v>15</v>
      </c>
      <c r="L332" s="1">
        <f>ROUNDDOWN(formatted_data[[#This Row],[Selling_Price]]*formatted_data[[#This Row],[Discount_%]]/100,0)</f>
        <v>449</v>
      </c>
      <c r="M332" s="1">
        <f>(formatted_data[[#This Row],[Selling_Price]]-formatted_data[[#This Row],[Discount_Amount]])*formatted_data[[#This Row],[Units]]</f>
        <v>2550</v>
      </c>
      <c r="N332" s="1">
        <f>formatted_data[[#This Row],[Total_Revenue]]-(formatted_data[[#This Row],[Cost_Price]]*formatted_data[[#This Row],[Units]])</f>
        <v>643</v>
      </c>
      <c r="O332" s="1" t="s">
        <v>21</v>
      </c>
      <c r="P332"/>
    </row>
    <row r="333" spans="1:16" x14ac:dyDescent="0.35">
      <c r="A333" s="1" t="s">
        <v>96</v>
      </c>
      <c r="B333" s="1" t="s">
        <v>16</v>
      </c>
      <c r="C333" s="2">
        <v>45496</v>
      </c>
      <c r="D333" s="1" t="s">
        <v>17</v>
      </c>
      <c r="E333" s="1" t="s">
        <v>48</v>
      </c>
      <c r="F333" s="1" t="s">
        <v>19</v>
      </c>
      <c r="G333" s="1" t="s">
        <v>19</v>
      </c>
      <c r="H333" s="1">
        <v>2</v>
      </c>
      <c r="I333" s="1">
        <v>215</v>
      </c>
      <c r="J333" s="1">
        <v>299</v>
      </c>
      <c r="K333" s="1">
        <v>0</v>
      </c>
      <c r="L333" s="1">
        <f>ROUNDDOWN(formatted_data[[#This Row],[Selling_Price]]*formatted_data[[#This Row],[Discount_%]]/100,0)</f>
        <v>0</v>
      </c>
      <c r="M333" s="1">
        <f>(formatted_data[[#This Row],[Selling_Price]]-formatted_data[[#This Row],[Discount_Amount]])*formatted_data[[#This Row],[Units]]</f>
        <v>598</v>
      </c>
      <c r="N333" s="1">
        <f>formatted_data[[#This Row],[Total_Revenue]]-(formatted_data[[#This Row],[Cost_Price]]*formatted_data[[#This Row],[Units]])</f>
        <v>168</v>
      </c>
      <c r="O333" s="1" t="s">
        <v>21</v>
      </c>
      <c r="P333"/>
    </row>
    <row r="334" spans="1:16" x14ac:dyDescent="0.35">
      <c r="A334" s="1" t="s">
        <v>49</v>
      </c>
      <c r="B334" s="1" t="s">
        <v>27</v>
      </c>
      <c r="C334" s="2">
        <v>45583</v>
      </c>
      <c r="D334" s="1" t="s">
        <v>35</v>
      </c>
      <c r="E334" s="1" t="s">
        <v>39</v>
      </c>
      <c r="F334" s="1" t="s">
        <v>37</v>
      </c>
      <c r="G334" s="1" t="s">
        <v>20</v>
      </c>
      <c r="H334" s="1">
        <v>1</v>
      </c>
      <c r="I334" s="1">
        <v>756</v>
      </c>
      <c r="J334" s="1">
        <v>1399</v>
      </c>
      <c r="K334" s="1">
        <v>5</v>
      </c>
      <c r="L334" s="1">
        <f>ROUNDDOWN(formatted_data[[#This Row],[Selling_Price]]*formatted_data[[#This Row],[Discount_%]]/100,0)</f>
        <v>69</v>
      </c>
      <c r="M334" s="1">
        <f>(formatted_data[[#This Row],[Selling_Price]]-formatted_data[[#This Row],[Discount_Amount]])*formatted_data[[#This Row],[Units]]</f>
        <v>1330</v>
      </c>
      <c r="N334" s="1">
        <f>formatted_data[[#This Row],[Total_Revenue]]-(formatted_data[[#This Row],[Cost_Price]]*formatted_data[[#This Row],[Units]])</f>
        <v>574</v>
      </c>
      <c r="O334" s="1" t="s">
        <v>21</v>
      </c>
      <c r="P334"/>
    </row>
    <row r="335" spans="1:16" x14ac:dyDescent="0.35">
      <c r="A335" s="1" t="s">
        <v>46</v>
      </c>
      <c r="B335" s="1" t="s">
        <v>16</v>
      </c>
      <c r="C335" s="2">
        <v>45506</v>
      </c>
      <c r="D335" s="1" t="s">
        <v>17</v>
      </c>
      <c r="E335" s="1" t="s">
        <v>72</v>
      </c>
      <c r="F335" s="1" t="s">
        <v>19</v>
      </c>
      <c r="G335" s="1" t="s">
        <v>20</v>
      </c>
      <c r="H335" s="1">
        <v>2</v>
      </c>
      <c r="I335" s="1">
        <v>353</v>
      </c>
      <c r="J335" s="1">
        <v>499</v>
      </c>
      <c r="K335" s="1">
        <v>0</v>
      </c>
      <c r="L335" s="1">
        <f>ROUNDDOWN(formatted_data[[#This Row],[Selling_Price]]*formatted_data[[#This Row],[Discount_%]]/100,0)</f>
        <v>0</v>
      </c>
      <c r="M335" s="1">
        <f>(formatted_data[[#This Row],[Selling_Price]]-formatted_data[[#This Row],[Discount_Amount]])*formatted_data[[#This Row],[Units]]</f>
        <v>998</v>
      </c>
      <c r="N335" s="1">
        <f>formatted_data[[#This Row],[Total_Revenue]]-(formatted_data[[#This Row],[Cost_Price]]*formatted_data[[#This Row],[Units]])</f>
        <v>292</v>
      </c>
      <c r="O335" s="1" t="s">
        <v>21</v>
      </c>
      <c r="P335"/>
    </row>
    <row r="336" spans="1:16" x14ac:dyDescent="0.35">
      <c r="A336" s="1" t="s">
        <v>82</v>
      </c>
      <c r="B336" s="1" t="s">
        <v>27</v>
      </c>
      <c r="C336" s="2">
        <v>45538</v>
      </c>
      <c r="D336" s="1" t="s">
        <v>31</v>
      </c>
      <c r="E336" s="1" t="s">
        <v>32</v>
      </c>
      <c r="F336" s="1" t="s">
        <v>25</v>
      </c>
      <c r="G336" s="1" t="s">
        <v>19</v>
      </c>
      <c r="H336" s="1">
        <v>3</v>
      </c>
      <c r="I336" s="1">
        <v>740</v>
      </c>
      <c r="J336" s="1">
        <v>999</v>
      </c>
      <c r="K336" s="1">
        <v>0</v>
      </c>
      <c r="L336" s="1">
        <f>ROUNDDOWN(formatted_data[[#This Row],[Selling_Price]]*formatted_data[[#This Row],[Discount_%]]/100,0)</f>
        <v>0</v>
      </c>
      <c r="M336" s="1">
        <f>(formatted_data[[#This Row],[Selling_Price]]-formatted_data[[#This Row],[Discount_Amount]])*formatted_data[[#This Row],[Units]]</f>
        <v>2997</v>
      </c>
      <c r="N336" s="1">
        <f>formatted_data[[#This Row],[Total_Revenue]]-(formatted_data[[#This Row],[Cost_Price]]*formatted_data[[#This Row],[Units]])</f>
        <v>777</v>
      </c>
      <c r="O336" s="1" t="s">
        <v>33</v>
      </c>
      <c r="P336"/>
    </row>
    <row r="337" spans="1:16" x14ac:dyDescent="0.35">
      <c r="A337" s="1" t="s">
        <v>40</v>
      </c>
      <c r="B337" s="1" t="s">
        <v>27</v>
      </c>
      <c r="C337" s="2">
        <v>45512</v>
      </c>
      <c r="D337" s="1" t="s">
        <v>28</v>
      </c>
      <c r="E337" s="1" t="s">
        <v>45</v>
      </c>
      <c r="F337" s="1" t="s">
        <v>37</v>
      </c>
      <c r="G337" s="1" t="s">
        <v>20</v>
      </c>
      <c r="H337" s="1">
        <v>1</v>
      </c>
      <c r="I337" s="1">
        <v>896</v>
      </c>
      <c r="J337" s="1">
        <v>1599</v>
      </c>
      <c r="K337" s="1">
        <v>5</v>
      </c>
      <c r="L337" s="1">
        <f>ROUNDDOWN(formatted_data[[#This Row],[Selling_Price]]*formatted_data[[#This Row],[Discount_%]]/100,0)</f>
        <v>79</v>
      </c>
      <c r="M337" s="1">
        <f>(formatted_data[[#This Row],[Selling_Price]]-formatted_data[[#This Row],[Discount_Amount]])*formatted_data[[#This Row],[Units]]</f>
        <v>1520</v>
      </c>
      <c r="N337" s="1">
        <f>formatted_data[[#This Row],[Total_Revenue]]-(formatted_data[[#This Row],[Cost_Price]]*formatted_data[[#This Row],[Units]])</f>
        <v>624</v>
      </c>
      <c r="O337" s="1" t="s">
        <v>21</v>
      </c>
      <c r="P337"/>
    </row>
    <row r="338" spans="1:16" x14ac:dyDescent="0.35">
      <c r="A338" s="1" t="s">
        <v>88</v>
      </c>
      <c r="B338" s="1" t="s">
        <v>27</v>
      </c>
      <c r="C338" s="2">
        <v>45579</v>
      </c>
      <c r="D338" s="1" t="s">
        <v>28</v>
      </c>
      <c r="E338" s="1" t="s">
        <v>45</v>
      </c>
      <c r="F338" s="1" t="s">
        <v>19</v>
      </c>
      <c r="G338" s="1" t="s">
        <v>19</v>
      </c>
      <c r="H338" s="1">
        <v>1</v>
      </c>
      <c r="I338" s="1">
        <v>889</v>
      </c>
      <c r="J338" s="1">
        <v>1699</v>
      </c>
      <c r="K338" s="1">
        <v>10</v>
      </c>
      <c r="L338" s="1">
        <f>ROUNDDOWN(formatted_data[[#This Row],[Selling_Price]]*formatted_data[[#This Row],[Discount_%]]/100,0)</f>
        <v>169</v>
      </c>
      <c r="M338" s="1">
        <f>(formatted_data[[#This Row],[Selling_Price]]-formatted_data[[#This Row],[Discount_Amount]])*formatted_data[[#This Row],[Units]]</f>
        <v>1530</v>
      </c>
      <c r="N338" s="1">
        <f>formatted_data[[#This Row],[Total_Revenue]]-(formatted_data[[#This Row],[Cost_Price]]*formatted_data[[#This Row],[Units]])</f>
        <v>641</v>
      </c>
      <c r="O338" s="1" t="s">
        <v>21</v>
      </c>
      <c r="P338"/>
    </row>
    <row r="339" spans="1:16" x14ac:dyDescent="0.35">
      <c r="A339" s="1" t="s">
        <v>57</v>
      </c>
      <c r="B339" s="1" t="s">
        <v>27</v>
      </c>
      <c r="C339" s="2">
        <v>45536</v>
      </c>
      <c r="D339" s="1" t="s">
        <v>23</v>
      </c>
      <c r="E339" s="1" t="s">
        <v>24</v>
      </c>
      <c r="F339" s="1" t="s">
        <v>19</v>
      </c>
      <c r="G339" s="1" t="s">
        <v>19</v>
      </c>
      <c r="H339" s="1">
        <v>2</v>
      </c>
      <c r="I339" s="1">
        <v>1661</v>
      </c>
      <c r="J339" s="1">
        <v>2399</v>
      </c>
      <c r="K339" s="1">
        <v>15</v>
      </c>
      <c r="L339" s="1">
        <f>ROUNDDOWN(formatted_data[[#This Row],[Selling_Price]]*formatted_data[[#This Row],[Discount_%]]/100,0)</f>
        <v>359</v>
      </c>
      <c r="M339" s="1">
        <f>(formatted_data[[#This Row],[Selling_Price]]-formatted_data[[#This Row],[Discount_Amount]])*formatted_data[[#This Row],[Units]]</f>
        <v>4080</v>
      </c>
      <c r="N339" s="1">
        <f>formatted_data[[#This Row],[Total_Revenue]]-(formatted_data[[#This Row],[Cost_Price]]*formatted_data[[#This Row],[Units]])</f>
        <v>758</v>
      </c>
      <c r="O339" s="1" t="s">
        <v>21</v>
      </c>
      <c r="P339"/>
    </row>
    <row r="340" spans="1:16" x14ac:dyDescent="0.35">
      <c r="A340" s="1" t="s">
        <v>63</v>
      </c>
      <c r="B340" s="1" t="s">
        <v>27</v>
      </c>
      <c r="C340" s="2">
        <v>45619</v>
      </c>
      <c r="D340" s="1" t="s">
        <v>31</v>
      </c>
      <c r="E340" s="1" t="s">
        <v>32</v>
      </c>
      <c r="F340" s="1" t="s">
        <v>25</v>
      </c>
      <c r="G340" s="1" t="s">
        <v>19</v>
      </c>
      <c r="H340" s="1">
        <v>1</v>
      </c>
      <c r="I340" s="1">
        <v>541</v>
      </c>
      <c r="J340" s="1">
        <v>899</v>
      </c>
      <c r="K340" s="1">
        <v>0</v>
      </c>
      <c r="L340" s="1">
        <f>ROUNDDOWN(formatted_data[[#This Row],[Selling_Price]]*formatted_data[[#This Row],[Discount_%]]/100,0)</f>
        <v>0</v>
      </c>
      <c r="M340" s="1">
        <f>(formatted_data[[#This Row],[Selling_Price]]-formatted_data[[#This Row],[Discount_Amount]])*formatted_data[[#This Row],[Units]]</f>
        <v>899</v>
      </c>
      <c r="N340" s="1">
        <f>formatted_data[[#This Row],[Total_Revenue]]-(formatted_data[[#This Row],[Cost_Price]]*formatted_data[[#This Row],[Units]])</f>
        <v>358</v>
      </c>
      <c r="O340" s="1" t="s">
        <v>33</v>
      </c>
      <c r="P340"/>
    </row>
    <row r="341" spans="1:16" x14ac:dyDescent="0.35">
      <c r="A341" s="1" t="s">
        <v>67</v>
      </c>
      <c r="B341" s="1" t="s">
        <v>27</v>
      </c>
      <c r="C341" s="2">
        <v>45584</v>
      </c>
      <c r="D341" s="1" t="s">
        <v>23</v>
      </c>
      <c r="E341" s="1" t="s">
        <v>43</v>
      </c>
      <c r="F341" s="1" t="s">
        <v>25</v>
      </c>
      <c r="G341" s="1" t="s">
        <v>19</v>
      </c>
      <c r="H341" s="1">
        <v>1</v>
      </c>
      <c r="I341" s="1">
        <v>2601</v>
      </c>
      <c r="J341" s="1">
        <v>3799</v>
      </c>
      <c r="K341" s="1">
        <v>20</v>
      </c>
      <c r="L341" s="1">
        <f>ROUNDDOWN(formatted_data[[#This Row],[Selling_Price]]*formatted_data[[#This Row],[Discount_%]]/100,0)</f>
        <v>759</v>
      </c>
      <c r="M341" s="1">
        <f>(formatted_data[[#This Row],[Selling_Price]]-formatted_data[[#This Row],[Discount_Amount]])*formatted_data[[#This Row],[Units]]</f>
        <v>3040</v>
      </c>
      <c r="N341" s="1">
        <f>formatted_data[[#This Row],[Total_Revenue]]-(formatted_data[[#This Row],[Cost_Price]]*formatted_data[[#This Row],[Units]])</f>
        <v>439</v>
      </c>
      <c r="O341" s="1" t="s">
        <v>21</v>
      </c>
      <c r="P341"/>
    </row>
    <row r="342" spans="1:16" x14ac:dyDescent="0.35">
      <c r="A342" s="1" t="s">
        <v>63</v>
      </c>
      <c r="B342" s="1" t="s">
        <v>27</v>
      </c>
      <c r="C342" s="2">
        <v>45586</v>
      </c>
      <c r="D342" s="1" t="s">
        <v>35</v>
      </c>
      <c r="E342" s="1" t="s">
        <v>50</v>
      </c>
      <c r="F342" s="1" t="s">
        <v>19</v>
      </c>
      <c r="G342" s="1" t="s">
        <v>20</v>
      </c>
      <c r="H342" s="1">
        <v>4</v>
      </c>
      <c r="I342" s="1">
        <v>493</v>
      </c>
      <c r="J342" s="1">
        <v>899</v>
      </c>
      <c r="K342" s="1">
        <v>5</v>
      </c>
      <c r="L342" s="1">
        <f>ROUNDDOWN(formatted_data[[#This Row],[Selling_Price]]*formatted_data[[#This Row],[Discount_%]]/100,0)</f>
        <v>44</v>
      </c>
      <c r="M342" s="1">
        <f>(formatted_data[[#This Row],[Selling_Price]]-formatted_data[[#This Row],[Discount_Amount]])*formatted_data[[#This Row],[Units]]</f>
        <v>3420</v>
      </c>
      <c r="N342" s="1">
        <f>formatted_data[[#This Row],[Total_Revenue]]-(formatted_data[[#This Row],[Cost_Price]]*formatted_data[[#This Row],[Units]])</f>
        <v>1448</v>
      </c>
      <c r="O342" s="1" t="s">
        <v>21</v>
      </c>
      <c r="P342"/>
    </row>
    <row r="343" spans="1:16" x14ac:dyDescent="0.35">
      <c r="A343" s="1" t="s">
        <v>106</v>
      </c>
      <c r="B343" s="1" t="s">
        <v>27</v>
      </c>
      <c r="C343" s="2">
        <v>45657</v>
      </c>
      <c r="D343" s="1" t="s">
        <v>31</v>
      </c>
      <c r="E343" s="1" t="s">
        <v>32</v>
      </c>
      <c r="F343" s="1" t="s">
        <v>25</v>
      </c>
      <c r="G343" s="1" t="s">
        <v>19</v>
      </c>
      <c r="H343" s="1">
        <v>1</v>
      </c>
      <c r="I343" s="1">
        <v>654</v>
      </c>
      <c r="J343" s="1">
        <v>899</v>
      </c>
      <c r="K343" s="1">
        <v>0</v>
      </c>
      <c r="L343" s="1">
        <f>ROUNDDOWN(formatted_data[[#This Row],[Selling_Price]]*formatted_data[[#This Row],[Discount_%]]/100,0)</f>
        <v>0</v>
      </c>
      <c r="M343" s="1">
        <f>(formatted_data[[#This Row],[Selling_Price]]-formatted_data[[#This Row],[Discount_Amount]])*formatted_data[[#This Row],[Units]]</f>
        <v>899</v>
      </c>
      <c r="N343" s="1">
        <f>formatted_data[[#This Row],[Total_Revenue]]-(formatted_data[[#This Row],[Cost_Price]]*formatted_data[[#This Row],[Units]])</f>
        <v>245</v>
      </c>
      <c r="O343" s="1" t="s">
        <v>21</v>
      </c>
      <c r="P343"/>
    </row>
    <row r="344" spans="1:16" x14ac:dyDescent="0.35">
      <c r="A344" s="1" t="s">
        <v>66</v>
      </c>
      <c r="B344" s="1" t="s">
        <v>27</v>
      </c>
      <c r="C344" s="2">
        <v>45606</v>
      </c>
      <c r="D344" s="1" t="s">
        <v>17</v>
      </c>
      <c r="E344" s="1" t="s">
        <v>72</v>
      </c>
      <c r="F344" s="1" t="s">
        <v>25</v>
      </c>
      <c r="G344" s="1" t="s">
        <v>20</v>
      </c>
      <c r="H344" s="1">
        <v>3</v>
      </c>
      <c r="I344" s="1">
        <v>276</v>
      </c>
      <c r="J344" s="1">
        <v>399</v>
      </c>
      <c r="K344" s="1">
        <v>0</v>
      </c>
      <c r="L344" s="1">
        <f>ROUNDDOWN(formatted_data[[#This Row],[Selling_Price]]*formatted_data[[#This Row],[Discount_%]]/100,0)</f>
        <v>0</v>
      </c>
      <c r="M344" s="1">
        <f>(formatted_data[[#This Row],[Selling_Price]]-formatted_data[[#This Row],[Discount_Amount]])*formatted_data[[#This Row],[Units]]</f>
        <v>1197</v>
      </c>
      <c r="N344" s="1">
        <f>formatted_data[[#This Row],[Total_Revenue]]-(formatted_data[[#This Row],[Cost_Price]]*formatted_data[[#This Row],[Units]])</f>
        <v>369</v>
      </c>
      <c r="O344" s="1" t="s">
        <v>21</v>
      </c>
      <c r="P344"/>
    </row>
    <row r="345" spans="1:16" x14ac:dyDescent="0.35">
      <c r="A345" s="1" t="s">
        <v>42</v>
      </c>
      <c r="B345" s="1" t="s">
        <v>27</v>
      </c>
      <c r="C345" s="2">
        <v>45561</v>
      </c>
      <c r="D345" s="1" t="s">
        <v>23</v>
      </c>
      <c r="E345" s="1" t="s">
        <v>43</v>
      </c>
      <c r="F345" s="1" t="s">
        <v>25</v>
      </c>
      <c r="G345" s="1" t="s">
        <v>20</v>
      </c>
      <c r="H345" s="1">
        <v>1</v>
      </c>
      <c r="I345" s="1">
        <v>1380</v>
      </c>
      <c r="J345" s="1">
        <v>1999</v>
      </c>
      <c r="K345" s="1">
        <v>5</v>
      </c>
      <c r="L345" s="1">
        <f>ROUNDDOWN(formatted_data[[#This Row],[Selling_Price]]*formatted_data[[#This Row],[Discount_%]]/100,0)</f>
        <v>99</v>
      </c>
      <c r="M345" s="1">
        <f>(formatted_data[[#This Row],[Selling_Price]]-formatted_data[[#This Row],[Discount_Amount]])*formatted_data[[#This Row],[Units]]</f>
        <v>1900</v>
      </c>
      <c r="N345" s="1">
        <f>formatted_data[[#This Row],[Total_Revenue]]-(formatted_data[[#This Row],[Cost_Price]]*formatted_data[[#This Row],[Units]])</f>
        <v>520</v>
      </c>
      <c r="O345" s="1" t="s">
        <v>21</v>
      </c>
      <c r="P345"/>
    </row>
    <row r="346" spans="1:16" x14ac:dyDescent="0.35">
      <c r="A346" s="1" t="s">
        <v>102</v>
      </c>
      <c r="B346" s="1" t="s">
        <v>27</v>
      </c>
      <c r="C346" s="2">
        <v>45536</v>
      </c>
      <c r="D346" s="1" t="s">
        <v>31</v>
      </c>
      <c r="E346" s="1" t="s">
        <v>76</v>
      </c>
      <c r="F346" s="1" t="s">
        <v>25</v>
      </c>
      <c r="G346" s="1" t="s">
        <v>20</v>
      </c>
      <c r="H346" s="1">
        <v>5</v>
      </c>
      <c r="I346" s="1">
        <v>586</v>
      </c>
      <c r="J346" s="1">
        <v>799</v>
      </c>
      <c r="K346" s="1">
        <v>0</v>
      </c>
      <c r="L346" s="1">
        <f>ROUNDDOWN(formatted_data[[#This Row],[Selling_Price]]*formatted_data[[#This Row],[Discount_%]]/100,0)</f>
        <v>0</v>
      </c>
      <c r="M346" s="1">
        <f>(formatted_data[[#This Row],[Selling_Price]]-formatted_data[[#This Row],[Discount_Amount]])*formatted_data[[#This Row],[Units]]</f>
        <v>3995</v>
      </c>
      <c r="N346" s="1">
        <f>formatted_data[[#This Row],[Total_Revenue]]-(formatted_data[[#This Row],[Cost_Price]]*formatted_data[[#This Row],[Units]])</f>
        <v>1065</v>
      </c>
      <c r="O346" s="1" t="s">
        <v>33</v>
      </c>
      <c r="P346"/>
    </row>
    <row r="347" spans="1:16" x14ac:dyDescent="0.35">
      <c r="A347" s="1" t="s">
        <v>78</v>
      </c>
      <c r="B347" s="1" t="s">
        <v>16</v>
      </c>
      <c r="C347" s="2">
        <v>45635</v>
      </c>
      <c r="D347" s="1" t="s">
        <v>23</v>
      </c>
      <c r="E347" s="1" t="s">
        <v>43</v>
      </c>
      <c r="F347" s="1" t="s">
        <v>25</v>
      </c>
      <c r="G347" s="1" t="s">
        <v>19</v>
      </c>
      <c r="H347" s="1">
        <v>1</v>
      </c>
      <c r="I347" s="1">
        <v>1872</v>
      </c>
      <c r="J347" s="1">
        <v>3199</v>
      </c>
      <c r="K347" s="1">
        <v>20</v>
      </c>
      <c r="L347" s="1">
        <f>ROUNDDOWN(formatted_data[[#This Row],[Selling_Price]]*formatted_data[[#This Row],[Discount_%]]/100,0)</f>
        <v>639</v>
      </c>
      <c r="M347" s="1">
        <f>(formatted_data[[#This Row],[Selling_Price]]-formatted_data[[#This Row],[Discount_Amount]])*formatted_data[[#This Row],[Units]]</f>
        <v>2560</v>
      </c>
      <c r="N347" s="1">
        <f>formatted_data[[#This Row],[Total_Revenue]]-(formatted_data[[#This Row],[Cost_Price]]*formatted_data[[#This Row],[Units]])</f>
        <v>688</v>
      </c>
      <c r="O347" s="1" t="s">
        <v>33</v>
      </c>
      <c r="P347"/>
    </row>
    <row r="348" spans="1:16" x14ac:dyDescent="0.35">
      <c r="A348" s="1" t="s">
        <v>85</v>
      </c>
      <c r="B348" s="1" t="s">
        <v>27</v>
      </c>
      <c r="C348" s="2">
        <v>45650</v>
      </c>
      <c r="D348" s="1" t="s">
        <v>31</v>
      </c>
      <c r="E348" s="1" t="s">
        <v>76</v>
      </c>
      <c r="F348" s="1" t="s">
        <v>37</v>
      </c>
      <c r="G348" s="1" t="s">
        <v>19</v>
      </c>
      <c r="H348" s="1">
        <v>1</v>
      </c>
      <c r="I348" s="1">
        <v>637</v>
      </c>
      <c r="J348" s="1">
        <v>999</v>
      </c>
      <c r="K348" s="1">
        <v>0</v>
      </c>
      <c r="L348" s="1">
        <f>ROUNDDOWN(formatted_data[[#This Row],[Selling_Price]]*formatted_data[[#This Row],[Discount_%]]/100,0)</f>
        <v>0</v>
      </c>
      <c r="M348" s="1">
        <f>(formatted_data[[#This Row],[Selling_Price]]-formatted_data[[#This Row],[Discount_Amount]])*formatted_data[[#This Row],[Units]]</f>
        <v>999</v>
      </c>
      <c r="N348" s="1">
        <f>formatted_data[[#This Row],[Total_Revenue]]-(formatted_data[[#This Row],[Cost_Price]]*formatted_data[[#This Row],[Units]])</f>
        <v>362</v>
      </c>
      <c r="O348" s="1" t="s">
        <v>21</v>
      </c>
      <c r="P348"/>
    </row>
    <row r="349" spans="1:16" x14ac:dyDescent="0.35">
      <c r="A349" s="1" t="s">
        <v>94</v>
      </c>
      <c r="B349" s="1" t="s">
        <v>16</v>
      </c>
      <c r="C349" s="2">
        <v>45512</v>
      </c>
      <c r="D349" s="1" t="s">
        <v>23</v>
      </c>
      <c r="E349" s="1" t="s">
        <v>24</v>
      </c>
      <c r="F349" s="1" t="s">
        <v>37</v>
      </c>
      <c r="G349" s="1" t="s">
        <v>19</v>
      </c>
      <c r="H349" s="1">
        <v>4</v>
      </c>
      <c r="I349" s="1">
        <v>626</v>
      </c>
      <c r="J349" s="1">
        <v>899</v>
      </c>
      <c r="K349" s="1">
        <v>10</v>
      </c>
      <c r="L349" s="1">
        <f>ROUNDDOWN(formatted_data[[#This Row],[Selling_Price]]*formatted_data[[#This Row],[Discount_%]]/100,0)</f>
        <v>89</v>
      </c>
      <c r="M349" s="1">
        <f>(formatted_data[[#This Row],[Selling_Price]]-formatted_data[[#This Row],[Discount_Amount]])*formatted_data[[#This Row],[Units]]</f>
        <v>3240</v>
      </c>
      <c r="N349" s="1">
        <f>formatted_data[[#This Row],[Total_Revenue]]-(formatted_data[[#This Row],[Cost_Price]]*formatted_data[[#This Row],[Units]])</f>
        <v>736</v>
      </c>
      <c r="O349" s="1" t="s">
        <v>33</v>
      </c>
      <c r="P349"/>
    </row>
    <row r="350" spans="1:16" x14ac:dyDescent="0.35">
      <c r="A350" s="1" t="s">
        <v>61</v>
      </c>
      <c r="B350" s="1" t="s">
        <v>27</v>
      </c>
      <c r="C350" s="2">
        <v>45645</v>
      </c>
      <c r="D350" s="1" t="s">
        <v>23</v>
      </c>
      <c r="E350" s="1" t="s">
        <v>24</v>
      </c>
      <c r="F350" s="1" t="s">
        <v>37</v>
      </c>
      <c r="G350" s="1" t="s">
        <v>20</v>
      </c>
      <c r="H350" s="1">
        <v>1</v>
      </c>
      <c r="I350" s="1">
        <v>599</v>
      </c>
      <c r="J350" s="1">
        <v>1099</v>
      </c>
      <c r="K350" s="1">
        <v>5</v>
      </c>
      <c r="L350" s="1">
        <f>ROUNDDOWN(formatted_data[[#This Row],[Selling_Price]]*formatted_data[[#This Row],[Discount_%]]/100,0)</f>
        <v>54</v>
      </c>
      <c r="M350" s="1">
        <f>(formatted_data[[#This Row],[Selling_Price]]-formatted_data[[#This Row],[Discount_Amount]])*formatted_data[[#This Row],[Units]]</f>
        <v>1045</v>
      </c>
      <c r="N350" s="1">
        <f>formatted_data[[#This Row],[Total_Revenue]]-(formatted_data[[#This Row],[Cost_Price]]*formatted_data[[#This Row],[Units]])</f>
        <v>446</v>
      </c>
      <c r="O350" s="1" t="s">
        <v>21</v>
      </c>
      <c r="P350"/>
    </row>
    <row r="351" spans="1:16" x14ac:dyDescent="0.35">
      <c r="A351" s="1" t="s">
        <v>83</v>
      </c>
      <c r="B351" s="1" t="s">
        <v>27</v>
      </c>
      <c r="C351" s="2">
        <v>45554</v>
      </c>
      <c r="D351" s="1" t="s">
        <v>23</v>
      </c>
      <c r="E351" s="1" t="s">
        <v>43</v>
      </c>
      <c r="F351" s="1" t="s">
        <v>19</v>
      </c>
      <c r="G351" s="1" t="s">
        <v>19</v>
      </c>
      <c r="H351" s="1">
        <v>3</v>
      </c>
      <c r="I351" s="1">
        <v>1432</v>
      </c>
      <c r="J351" s="1">
        <v>2599</v>
      </c>
      <c r="K351" s="1">
        <v>15</v>
      </c>
      <c r="L351" s="1">
        <f>ROUNDDOWN(formatted_data[[#This Row],[Selling_Price]]*formatted_data[[#This Row],[Discount_%]]/100,0)</f>
        <v>389</v>
      </c>
      <c r="M351" s="1">
        <f>(formatted_data[[#This Row],[Selling_Price]]-formatted_data[[#This Row],[Discount_Amount]])*formatted_data[[#This Row],[Units]]</f>
        <v>6630</v>
      </c>
      <c r="N351" s="1">
        <f>formatted_data[[#This Row],[Total_Revenue]]-(formatted_data[[#This Row],[Cost_Price]]*formatted_data[[#This Row],[Units]])</f>
        <v>2334</v>
      </c>
      <c r="O351" s="1" t="s">
        <v>21</v>
      </c>
      <c r="P351"/>
    </row>
    <row r="352" spans="1:16" x14ac:dyDescent="0.35">
      <c r="A352" s="1" t="s">
        <v>47</v>
      </c>
      <c r="B352" s="1" t="s">
        <v>16</v>
      </c>
      <c r="C352" s="2">
        <v>45563</v>
      </c>
      <c r="D352" s="1" t="s">
        <v>28</v>
      </c>
      <c r="E352" s="1" t="s">
        <v>29</v>
      </c>
      <c r="F352" s="1" t="s">
        <v>25</v>
      </c>
      <c r="G352" s="1" t="s">
        <v>20</v>
      </c>
      <c r="H352" s="1">
        <v>1</v>
      </c>
      <c r="I352" s="1">
        <v>448</v>
      </c>
      <c r="J352" s="1">
        <v>599</v>
      </c>
      <c r="K352" s="1">
        <v>10</v>
      </c>
      <c r="L352" s="1">
        <f>ROUNDDOWN(formatted_data[[#This Row],[Selling_Price]]*formatted_data[[#This Row],[Discount_%]]/100,0)</f>
        <v>59</v>
      </c>
      <c r="M352" s="1">
        <f>(formatted_data[[#This Row],[Selling_Price]]-formatted_data[[#This Row],[Discount_Amount]])*formatted_data[[#This Row],[Units]]</f>
        <v>540</v>
      </c>
      <c r="N352" s="1">
        <f>formatted_data[[#This Row],[Total_Revenue]]-(formatted_data[[#This Row],[Cost_Price]]*formatted_data[[#This Row],[Units]])</f>
        <v>92</v>
      </c>
      <c r="O352" s="1" t="s">
        <v>21</v>
      </c>
      <c r="P352"/>
    </row>
    <row r="353" spans="1:16" x14ac:dyDescent="0.35">
      <c r="A353" s="1" t="s">
        <v>96</v>
      </c>
      <c r="B353" s="1" t="s">
        <v>16</v>
      </c>
      <c r="C353" s="2">
        <v>45541</v>
      </c>
      <c r="D353" s="1" t="s">
        <v>35</v>
      </c>
      <c r="E353" s="1" t="s">
        <v>100</v>
      </c>
      <c r="F353" s="1" t="s">
        <v>19</v>
      </c>
      <c r="G353" s="1" t="s">
        <v>19</v>
      </c>
      <c r="H353" s="1">
        <v>3</v>
      </c>
      <c r="I353" s="1">
        <v>766</v>
      </c>
      <c r="J353" s="1">
        <v>1299</v>
      </c>
      <c r="K353" s="1">
        <v>20</v>
      </c>
      <c r="L353" s="1">
        <f>ROUNDDOWN(formatted_data[[#This Row],[Selling_Price]]*formatted_data[[#This Row],[Discount_%]]/100,0)</f>
        <v>259</v>
      </c>
      <c r="M353" s="1">
        <f>(formatted_data[[#This Row],[Selling_Price]]-formatted_data[[#This Row],[Discount_Amount]])*formatted_data[[#This Row],[Units]]</f>
        <v>3120</v>
      </c>
      <c r="N353" s="1">
        <f>formatted_data[[#This Row],[Total_Revenue]]-(formatted_data[[#This Row],[Cost_Price]]*formatted_data[[#This Row],[Units]])</f>
        <v>822</v>
      </c>
      <c r="O353" s="1" t="s">
        <v>21</v>
      </c>
      <c r="P353"/>
    </row>
    <row r="354" spans="1:16" x14ac:dyDescent="0.35">
      <c r="A354" s="1" t="s">
        <v>54</v>
      </c>
      <c r="B354" s="1" t="s">
        <v>27</v>
      </c>
      <c r="C354" s="2">
        <v>45480</v>
      </c>
      <c r="D354" s="1" t="s">
        <v>35</v>
      </c>
      <c r="E354" s="1" t="s">
        <v>50</v>
      </c>
      <c r="F354" s="1" t="s">
        <v>25</v>
      </c>
      <c r="G354" s="1" t="s">
        <v>20</v>
      </c>
      <c r="H354" s="1">
        <v>1</v>
      </c>
      <c r="I354" s="1">
        <v>917</v>
      </c>
      <c r="J354" s="1">
        <v>1799</v>
      </c>
      <c r="K354" s="1">
        <v>15</v>
      </c>
      <c r="L354" s="1">
        <f>ROUNDDOWN(formatted_data[[#This Row],[Selling_Price]]*formatted_data[[#This Row],[Discount_%]]/100,0)</f>
        <v>269</v>
      </c>
      <c r="M354" s="1">
        <f>(formatted_data[[#This Row],[Selling_Price]]-formatted_data[[#This Row],[Discount_Amount]])*formatted_data[[#This Row],[Units]]</f>
        <v>1530</v>
      </c>
      <c r="N354" s="1">
        <f>formatted_data[[#This Row],[Total_Revenue]]-(formatted_data[[#This Row],[Cost_Price]]*formatted_data[[#This Row],[Units]])</f>
        <v>613</v>
      </c>
      <c r="O354" s="1" t="s">
        <v>33</v>
      </c>
      <c r="P354"/>
    </row>
    <row r="355" spans="1:16" x14ac:dyDescent="0.35">
      <c r="A355" s="1" t="s">
        <v>69</v>
      </c>
      <c r="B355" s="1" t="s">
        <v>16</v>
      </c>
      <c r="C355" s="2">
        <v>45541</v>
      </c>
      <c r="D355" s="1" t="s">
        <v>31</v>
      </c>
      <c r="E355" s="1" t="s">
        <v>76</v>
      </c>
      <c r="F355" s="1" t="s">
        <v>37</v>
      </c>
      <c r="G355" s="1" t="s">
        <v>20</v>
      </c>
      <c r="H355" s="1">
        <v>1</v>
      </c>
      <c r="I355" s="1">
        <v>679</v>
      </c>
      <c r="J355" s="1">
        <v>1199</v>
      </c>
      <c r="K355" s="1">
        <v>0</v>
      </c>
      <c r="L355" s="1">
        <f>ROUNDDOWN(formatted_data[[#This Row],[Selling_Price]]*formatted_data[[#This Row],[Discount_%]]/100,0)</f>
        <v>0</v>
      </c>
      <c r="M355" s="1">
        <f>(formatted_data[[#This Row],[Selling_Price]]-formatted_data[[#This Row],[Discount_Amount]])*formatted_data[[#This Row],[Units]]</f>
        <v>1199</v>
      </c>
      <c r="N355" s="1">
        <f>formatted_data[[#This Row],[Total_Revenue]]-(formatted_data[[#This Row],[Cost_Price]]*formatted_data[[#This Row],[Units]])</f>
        <v>520</v>
      </c>
      <c r="O355" s="1" t="s">
        <v>21</v>
      </c>
      <c r="P355"/>
    </row>
    <row r="356" spans="1:16" x14ac:dyDescent="0.35">
      <c r="A356" s="1" t="s">
        <v>81</v>
      </c>
      <c r="B356" s="1" t="s">
        <v>27</v>
      </c>
      <c r="C356" s="2">
        <v>45535</v>
      </c>
      <c r="D356" s="1" t="s">
        <v>17</v>
      </c>
      <c r="E356" s="1" t="s">
        <v>18</v>
      </c>
      <c r="F356" s="1" t="s">
        <v>25</v>
      </c>
      <c r="G356" s="1" t="s">
        <v>19</v>
      </c>
      <c r="H356" s="1">
        <v>1</v>
      </c>
      <c r="I356" s="1">
        <v>447</v>
      </c>
      <c r="J356" s="1">
        <v>599</v>
      </c>
      <c r="K356" s="1">
        <v>0</v>
      </c>
      <c r="L356" s="1">
        <f>ROUNDDOWN(formatted_data[[#This Row],[Selling_Price]]*formatted_data[[#This Row],[Discount_%]]/100,0)</f>
        <v>0</v>
      </c>
      <c r="M356" s="1">
        <f>(formatted_data[[#This Row],[Selling_Price]]-formatted_data[[#This Row],[Discount_Amount]])*formatted_data[[#This Row],[Units]]</f>
        <v>599</v>
      </c>
      <c r="N356" s="1">
        <f>formatted_data[[#This Row],[Total_Revenue]]-(formatted_data[[#This Row],[Cost_Price]]*formatted_data[[#This Row],[Units]])</f>
        <v>152</v>
      </c>
      <c r="O356" s="1" t="s">
        <v>33</v>
      </c>
      <c r="P356"/>
    </row>
    <row r="357" spans="1:16" x14ac:dyDescent="0.35">
      <c r="A357" s="1" t="s">
        <v>52</v>
      </c>
      <c r="B357" s="1" t="s">
        <v>27</v>
      </c>
      <c r="C357" s="2">
        <v>45532</v>
      </c>
      <c r="D357" s="1" t="s">
        <v>31</v>
      </c>
      <c r="E357" s="1" t="s">
        <v>32</v>
      </c>
      <c r="F357" s="1" t="s">
        <v>25</v>
      </c>
      <c r="G357" s="1" t="s">
        <v>19</v>
      </c>
      <c r="H357" s="1">
        <v>1</v>
      </c>
      <c r="I357" s="1">
        <v>709</v>
      </c>
      <c r="J357" s="1">
        <v>999</v>
      </c>
      <c r="K357" s="1">
        <v>0</v>
      </c>
      <c r="L357" s="1">
        <f>ROUNDDOWN(formatted_data[[#This Row],[Selling_Price]]*formatted_data[[#This Row],[Discount_%]]/100,0)</f>
        <v>0</v>
      </c>
      <c r="M357" s="1">
        <f>(formatted_data[[#This Row],[Selling_Price]]-formatted_data[[#This Row],[Discount_Amount]])*formatted_data[[#This Row],[Units]]</f>
        <v>999</v>
      </c>
      <c r="N357" s="1">
        <f>formatted_data[[#This Row],[Total_Revenue]]-(formatted_data[[#This Row],[Cost_Price]]*formatted_data[[#This Row],[Units]])</f>
        <v>290</v>
      </c>
      <c r="O357" s="1" t="s">
        <v>33</v>
      </c>
      <c r="P357"/>
    </row>
    <row r="358" spans="1:16" x14ac:dyDescent="0.35">
      <c r="A358" s="1" t="s">
        <v>63</v>
      </c>
      <c r="B358" s="1" t="s">
        <v>27</v>
      </c>
      <c r="C358" s="2">
        <v>45623</v>
      </c>
      <c r="D358" s="1" t="s">
        <v>35</v>
      </c>
      <c r="E358" s="1" t="s">
        <v>87</v>
      </c>
      <c r="F358" s="1" t="s">
        <v>25</v>
      </c>
      <c r="G358" s="1" t="s">
        <v>20</v>
      </c>
      <c r="H358" s="1">
        <v>3</v>
      </c>
      <c r="I358" s="1">
        <v>1283</v>
      </c>
      <c r="J358" s="1">
        <v>2299</v>
      </c>
      <c r="K358" s="1">
        <v>10</v>
      </c>
      <c r="L358" s="1">
        <f>ROUNDDOWN(formatted_data[[#This Row],[Selling_Price]]*formatted_data[[#This Row],[Discount_%]]/100,0)</f>
        <v>229</v>
      </c>
      <c r="M358" s="1">
        <f>(formatted_data[[#This Row],[Selling_Price]]-formatted_data[[#This Row],[Discount_Amount]])*formatted_data[[#This Row],[Units]]</f>
        <v>6210</v>
      </c>
      <c r="N358" s="1">
        <f>formatted_data[[#This Row],[Total_Revenue]]-(formatted_data[[#This Row],[Cost_Price]]*formatted_data[[#This Row],[Units]])</f>
        <v>2361</v>
      </c>
      <c r="O358" s="1" t="s">
        <v>21</v>
      </c>
      <c r="P358"/>
    </row>
    <row r="359" spans="1:16" x14ac:dyDescent="0.35">
      <c r="A359" s="1" t="s">
        <v>88</v>
      </c>
      <c r="B359" s="1" t="s">
        <v>27</v>
      </c>
      <c r="C359" s="2">
        <v>45461</v>
      </c>
      <c r="D359" s="1" t="s">
        <v>17</v>
      </c>
      <c r="E359" s="1" t="s">
        <v>55</v>
      </c>
      <c r="F359" s="1" t="s">
        <v>37</v>
      </c>
      <c r="G359" s="1" t="s">
        <v>19</v>
      </c>
      <c r="H359" s="1">
        <v>3</v>
      </c>
      <c r="I359" s="1">
        <v>410</v>
      </c>
      <c r="J359" s="1">
        <v>799</v>
      </c>
      <c r="K359" s="1">
        <v>0</v>
      </c>
      <c r="L359" s="1">
        <f>ROUNDDOWN(formatted_data[[#This Row],[Selling_Price]]*formatted_data[[#This Row],[Discount_%]]/100,0)</f>
        <v>0</v>
      </c>
      <c r="M359" s="1">
        <f>(formatted_data[[#This Row],[Selling_Price]]-formatted_data[[#This Row],[Discount_Amount]])*formatted_data[[#This Row],[Units]]</f>
        <v>2397</v>
      </c>
      <c r="N359" s="1">
        <f>formatted_data[[#This Row],[Total_Revenue]]-(formatted_data[[#This Row],[Cost_Price]]*formatted_data[[#This Row],[Units]])</f>
        <v>1167</v>
      </c>
      <c r="O359" s="1" t="s">
        <v>21</v>
      </c>
      <c r="P359"/>
    </row>
    <row r="360" spans="1:16" x14ac:dyDescent="0.35">
      <c r="A360" s="1" t="s">
        <v>106</v>
      </c>
      <c r="B360" s="1" t="s">
        <v>27</v>
      </c>
      <c r="C360" s="2">
        <v>45525</v>
      </c>
      <c r="D360" s="1" t="s">
        <v>35</v>
      </c>
      <c r="E360" s="1" t="s">
        <v>39</v>
      </c>
      <c r="F360" s="1" t="s">
        <v>19</v>
      </c>
      <c r="G360" s="1" t="s">
        <v>20</v>
      </c>
      <c r="H360" s="1">
        <v>2</v>
      </c>
      <c r="I360" s="1">
        <v>914</v>
      </c>
      <c r="J360" s="1">
        <v>1299</v>
      </c>
      <c r="K360" s="1">
        <v>20</v>
      </c>
      <c r="L360" s="1">
        <f>ROUNDDOWN(formatted_data[[#This Row],[Selling_Price]]*formatted_data[[#This Row],[Discount_%]]/100,0)</f>
        <v>259</v>
      </c>
      <c r="M360" s="1">
        <f>(formatted_data[[#This Row],[Selling_Price]]-formatted_data[[#This Row],[Discount_Amount]])*formatted_data[[#This Row],[Units]]</f>
        <v>2080</v>
      </c>
      <c r="N360" s="1">
        <f>formatted_data[[#This Row],[Total_Revenue]]-(formatted_data[[#This Row],[Cost_Price]]*formatted_data[[#This Row],[Units]])</f>
        <v>252</v>
      </c>
      <c r="O360" s="1" t="s">
        <v>33</v>
      </c>
      <c r="P360"/>
    </row>
    <row r="361" spans="1:16" x14ac:dyDescent="0.35">
      <c r="A361" s="1" t="s">
        <v>90</v>
      </c>
      <c r="B361" s="1" t="s">
        <v>27</v>
      </c>
      <c r="C361" s="2">
        <v>45573</v>
      </c>
      <c r="D361" s="1" t="s">
        <v>23</v>
      </c>
      <c r="E361" s="1" t="s">
        <v>43</v>
      </c>
      <c r="F361" s="1" t="s">
        <v>25</v>
      </c>
      <c r="G361" s="1" t="s">
        <v>19</v>
      </c>
      <c r="H361" s="1">
        <v>1</v>
      </c>
      <c r="I361" s="1">
        <v>2317</v>
      </c>
      <c r="J361" s="1">
        <v>3399</v>
      </c>
      <c r="K361" s="1">
        <v>10</v>
      </c>
      <c r="L361" s="1">
        <f>ROUNDDOWN(formatted_data[[#This Row],[Selling_Price]]*formatted_data[[#This Row],[Discount_%]]/100,0)</f>
        <v>339</v>
      </c>
      <c r="M361" s="1">
        <f>(formatted_data[[#This Row],[Selling_Price]]-formatted_data[[#This Row],[Discount_Amount]])*formatted_data[[#This Row],[Units]]</f>
        <v>3060</v>
      </c>
      <c r="N361" s="1">
        <f>formatted_data[[#This Row],[Total_Revenue]]-(formatted_data[[#This Row],[Cost_Price]]*formatted_data[[#This Row],[Units]])</f>
        <v>743</v>
      </c>
      <c r="O361" s="1" t="s">
        <v>21</v>
      </c>
      <c r="P361"/>
    </row>
    <row r="362" spans="1:16" x14ac:dyDescent="0.35">
      <c r="A362" s="1" t="s">
        <v>67</v>
      </c>
      <c r="B362" s="1" t="s">
        <v>27</v>
      </c>
      <c r="C362" s="2">
        <v>45527</v>
      </c>
      <c r="D362" s="1" t="s">
        <v>35</v>
      </c>
      <c r="E362" s="1" t="s">
        <v>87</v>
      </c>
      <c r="F362" s="1" t="s">
        <v>25</v>
      </c>
      <c r="G362" s="1" t="s">
        <v>20</v>
      </c>
      <c r="H362" s="1">
        <v>2</v>
      </c>
      <c r="I362" s="1">
        <v>2120</v>
      </c>
      <c r="J362" s="1">
        <v>3799</v>
      </c>
      <c r="K362" s="1">
        <v>20</v>
      </c>
      <c r="L362" s="1">
        <f>ROUNDDOWN(formatted_data[[#This Row],[Selling_Price]]*formatted_data[[#This Row],[Discount_%]]/100,0)</f>
        <v>759</v>
      </c>
      <c r="M362" s="1">
        <f>(formatted_data[[#This Row],[Selling_Price]]-formatted_data[[#This Row],[Discount_Amount]])*formatted_data[[#This Row],[Units]]</f>
        <v>6080</v>
      </c>
      <c r="N362" s="1">
        <f>formatted_data[[#This Row],[Total_Revenue]]-(formatted_data[[#This Row],[Cost_Price]]*formatted_data[[#This Row],[Units]])</f>
        <v>1840</v>
      </c>
      <c r="O362" s="1" t="s">
        <v>21</v>
      </c>
      <c r="P362"/>
    </row>
    <row r="363" spans="1:16" x14ac:dyDescent="0.35">
      <c r="A363" s="1" t="s">
        <v>95</v>
      </c>
      <c r="B363" s="1" t="s">
        <v>27</v>
      </c>
      <c r="C363" s="2">
        <v>45444</v>
      </c>
      <c r="D363" s="1" t="s">
        <v>28</v>
      </c>
      <c r="E363" s="1" t="s">
        <v>45</v>
      </c>
      <c r="F363" s="1" t="s">
        <v>19</v>
      </c>
      <c r="G363" s="1" t="s">
        <v>19</v>
      </c>
      <c r="H363" s="1">
        <v>5</v>
      </c>
      <c r="I363" s="1">
        <v>794</v>
      </c>
      <c r="J363" s="1">
        <v>1099</v>
      </c>
      <c r="K363" s="1">
        <v>5</v>
      </c>
      <c r="L363" s="1">
        <f>ROUNDDOWN(formatted_data[[#This Row],[Selling_Price]]*formatted_data[[#This Row],[Discount_%]]/100,0)</f>
        <v>54</v>
      </c>
      <c r="M363" s="1">
        <f>(formatted_data[[#This Row],[Selling_Price]]-formatted_data[[#This Row],[Discount_Amount]])*formatted_data[[#This Row],[Units]]</f>
        <v>5225</v>
      </c>
      <c r="N363" s="1">
        <f>formatted_data[[#This Row],[Total_Revenue]]-(formatted_data[[#This Row],[Cost_Price]]*formatted_data[[#This Row],[Units]])</f>
        <v>1255</v>
      </c>
      <c r="O363" s="1" t="s">
        <v>21</v>
      </c>
      <c r="P363"/>
    </row>
    <row r="364" spans="1:16" x14ac:dyDescent="0.35">
      <c r="A364" s="1" t="s">
        <v>54</v>
      </c>
      <c r="B364" s="1" t="s">
        <v>27</v>
      </c>
      <c r="C364" s="2">
        <v>45468</v>
      </c>
      <c r="D364" s="1" t="s">
        <v>35</v>
      </c>
      <c r="E364" s="1" t="s">
        <v>100</v>
      </c>
      <c r="F364" s="1" t="s">
        <v>19</v>
      </c>
      <c r="G364" s="1" t="s">
        <v>20</v>
      </c>
      <c r="H364" s="1">
        <v>1</v>
      </c>
      <c r="I364" s="1">
        <v>1303</v>
      </c>
      <c r="J364" s="1">
        <v>1799</v>
      </c>
      <c r="K364" s="1">
        <v>15</v>
      </c>
      <c r="L364" s="1">
        <f>ROUNDDOWN(formatted_data[[#This Row],[Selling_Price]]*formatted_data[[#This Row],[Discount_%]]/100,0)</f>
        <v>269</v>
      </c>
      <c r="M364" s="1">
        <f>(formatted_data[[#This Row],[Selling_Price]]-formatted_data[[#This Row],[Discount_Amount]])*formatted_data[[#This Row],[Units]]</f>
        <v>1530</v>
      </c>
      <c r="N364" s="1">
        <f>formatted_data[[#This Row],[Total_Revenue]]-(formatted_data[[#This Row],[Cost_Price]]*formatted_data[[#This Row],[Units]])</f>
        <v>227</v>
      </c>
      <c r="O364" s="1" t="s">
        <v>21</v>
      </c>
      <c r="P364"/>
    </row>
    <row r="365" spans="1:16" x14ac:dyDescent="0.35">
      <c r="A365" s="1" t="s">
        <v>104</v>
      </c>
      <c r="B365" s="1" t="s">
        <v>27</v>
      </c>
      <c r="C365" s="2">
        <v>45522</v>
      </c>
      <c r="D365" s="1" t="s">
        <v>28</v>
      </c>
      <c r="E365" s="1" t="s">
        <v>29</v>
      </c>
      <c r="F365" s="1" t="s">
        <v>19</v>
      </c>
      <c r="G365" s="1" t="s">
        <v>19</v>
      </c>
      <c r="H365" s="1">
        <v>2</v>
      </c>
      <c r="I365" s="1">
        <v>524</v>
      </c>
      <c r="J365" s="1">
        <v>799</v>
      </c>
      <c r="K365" s="1">
        <v>15</v>
      </c>
      <c r="L365" s="1">
        <f>ROUNDDOWN(formatted_data[[#This Row],[Selling_Price]]*formatted_data[[#This Row],[Discount_%]]/100,0)</f>
        <v>119</v>
      </c>
      <c r="M365" s="1">
        <f>(formatted_data[[#This Row],[Selling_Price]]-formatted_data[[#This Row],[Discount_Amount]])*formatted_data[[#This Row],[Units]]</f>
        <v>1360</v>
      </c>
      <c r="N365" s="1">
        <f>formatted_data[[#This Row],[Total_Revenue]]-(formatted_data[[#This Row],[Cost_Price]]*formatted_data[[#This Row],[Units]])</f>
        <v>312</v>
      </c>
      <c r="O365" s="1" t="s">
        <v>33</v>
      </c>
      <c r="P365"/>
    </row>
    <row r="366" spans="1:16" x14ac:dyDescent="0.35">
      <c r="A366" s="1" t="s">
        <v>63</v>
      </c>
      <c r="B366" s="1" t="s">
        <v>27</v>
      </c>
      <c r="C366" s="2">
        <v>45588</v>
      </c>
      <c r="D366" s="1" t="s">
        <v>23</v>
      </c>
      <c r="E366" s="1" t="s">
        <v>24</v>
      </c>
      <c r="F366" s="1" t="s">
        <v>19</v>
      </c>
      <c r="G366" s="1" t="s">
        <v>19</v>
      </c>
      <c r="H366" s="1">
        <v>2</v>
      </c>
      <c r="I366" s="1">
        <v>1016</v>
      </c>
      <c r="J366" s="1">
        <v>1399</v>
      </c>
      <c r="K366" s="1">
        <v>10</v>
      </c>
      <c r="L366" s="1">
        <f>ROUNDDOWN(formatted_data[[#This Row],[Selling_Price]]*formatted_data[[#This Row],[Discount_%]]/100,0)</f>
        <v>139</v>
      </c>
      <c r="M366" s="1">
        <f>(formatted_data[[#This Row],[Selling_Price]]-formatted_data[[#This Row],[Discount_Amount]])*formatted_data[[#This Row],[Units]]</f>
        <v>2520</v>
      </c>
      <c r="N366" s="1">
        <f>formatted_data[[#This Row],[Total_Revenue]]-(formatted_data[[#This Row],[Cost_Price]]*formatted_data[[#This Row],[Units]])</f>
        <v>488</v>
      </c>
      <c r="O366" s="1" t="s">
        <v>21</v>
      </c>
      <c r="P366"/>
    </row>
    <row r="367" spans="1:16" x14ac:dyDescent="0.35">
      <c r="A367" s="1" t="s">
        <v>52</v>
      </c>
      <c r="B367" s="1" t="s">
        <v>27</v>
      </c>
      <c r="C367" s="2">
        <v>45498</v>
      </c>
      <c r="D367" s="1" t="s">
        <v>28</v>
      </c>
      <c r="E367" s="1" t="s">
        <v>29</v>
      </c>
      <c r="F367" s="1" t="s">
        <v>25</v>
      </c>
      <c r="G367" s="1" t="s">
        <v>19</v>
      </c>
      <c r="H367" s="1">
        <v>4</v>
      </c>
      <c r="I367" s="1">
        <v>361</v>
      </c>
      <c r="J367" s="1">
        <v>499</v>
      </c>
      <c r="K367" s="1">
        <v>5</v>
      </c>
      <c r="L367" s="1">
        <f>ROUNDDOWN(formatted_data[[#This Row],[Selling_Price]]*formatted_data[[#This Row],[Discount_%]]/100,0)</f>
        <v>24</v>
      </c>
      <c r="M367" s="1">
        <f>(formatted_data[[#This Row],[Selling_Price]]-formatted_data[[#This Row],[Discount_Amount]])*formatted_data[[#This Row],[Units]]</f>
        <v>1900</v>
      </c>
      <c r="N367" s="1">
        <f>formatted_data[[#This Row],[Total_Revenue]]-(formatted_data[[#This Row],[Cost_Price]]*formatted_data[[#This Row],[Units]])</f>
        <v>456</v>
      </c>
      <c r="O367" s="1" t="s">
        <v>21</v>
      </c>
      <c r="P367"/>
    </row>
    <row r="368" spans="1:16" x14ac:dyDescent="0.35">
      <c r="A368" s="1" t="s">
        <v>34</v>
      </c>
      <c r="B368" s="1" t="s">
        <v>27</v>
      </c>
      <c r="C368" s="2">
        <v>45603</v>
      </c>
      <c r="D368" s="1" t="s">
        <v>31</v>
      </c>
      <c r="E368" s="1" t="s">
        <v>32</v>
      </c>
      <c r="F368" s="1" t="s">
        <v>25</v>
      </c>
      <c r="G368" s="1" t="s">
        <v>20</v>
      </c>
      <c r="H368" s="1">
        <v>3</v>
      </c>
      <c r="I368" s="1">
        <v>565</v>
      </c>
      <c r="J368" s="1">
        <v>899</v>
      </c>
      <c r="K368" s="1">
        <v>0</v>
      </c>
      <c r="L368" s="1">
        <f>ROUNDDOWN(formatted_data[[#This Row],[Selling_Price]]*formatted_data[[#This Row],[Discount_%]]/100,0)</f>
        <v>0</v>
      </c>
      <c r="M368" s="1">
        <f>(formatted_data[[#This Row],[Selling_Price]]-formatted_data[[#This Row],[Discount_Amount]])*formatted_data[[#This Row],[Units]]</f>
        <v>2697</v>
      </c>
      <c r="N368" s="1">
        <f>formatted_data[[#This Row],[Total_Revenue]]-(formatted_data[[#This Row],[Cost_Price]]*formatted_data[[#This Row],[Units]])</f>
        <v>1002</v>
      </c>
      <c r="O368" s="1" t="s">
        <v>33</v>
      </c>
      <c r="P368"/>
    </row>
    <row r="369" spans="1:16" x14ac:dyDescent="0.35">
      <c r="A369" s="1" t="s">
        <v>71</v>
      </c>
      <c r="B369" s="1" t="s">
        <v>16</v>
      </c>
      <c r="C369" s="2">
        <v>45584</v>
      </c>
      <c r="D369" s="1" t="s">
        <v>17</v>
      </c>
      <c r="E369" s="1" t="s">
        <v>55</v>
      </c>
      <c r="F369" s="1" t="s">
        <v>37</v>
      </c>
      <c r="G369" s="1" t="s">
        <v>19</v>
      </c>
      <c r="H369" s="1">
        <v>4</v>
      </c>
      <c r="I369" s="1">
        <v>403</v>
      </c>
      <c r="J369" s="1">
        <v>699</v>
      </c>
      <c r="K369" s="1">
        <v>0</v>
      </c>
      <c r="L369" s="1">
        <f>ROUNDDOWN(formatted_data[[#This Row],[Selling_Price]]*formatted_data[[#This Row],[Discount_%]]/100,0)</f>
        <v>0</v>
      </c>
      <c r="M369" s="1">
        <f>(formatted_data[[#This Row],[Selling_Price]]-formatted_data[[#This Row],[Discount_Amount]])*formatted_data[[#This Row],[Units]]</f>
        <v>2796</v>
      </c>
      <c r="N369" s="1">
        <f>formatted_data[[#This Row],[Total_Revenue]]-(formatted_data[[#This Row],[Cost_Price]]*formatted_data[[#This Row],[Units]])</f>
        <v>1184</v>
      </c>
      <c r="O369" s="1" t="s">
        <v>33</v>
      </c>
      <c r="P369"/>
    </row>
    <row r="370" spans="1:16" x14ac:dyDescent="0.35">
      <c r="A370" s="1" t="s">
        <v>42</v>
      </c>
      <c r="B370" s="1" t="s">
        <v>27</v>
      </c>
      <c r="C370" s="2">
        <v>45601</v>
      </c>
      <c r="D370" s="1" t="s">
        <v>35</v>
      </c>
      <c r="E370" s="1" t="s">
        <v>39</v>
      </c>
      <c r="F370" s="1" t="s">
        <v>37</v>
      </c>
      <c r="G370" s="1" t="s">
        <v>19</v>
      </c>
      <c r="H370" s="1">
        <v>2</v>
      </c>
      <c r="I370" s="1">
        <v>847</v>
      </c>
      <c r="J370" s="1">
        <v>1199</v>
      </c>
      <c r="K370" s="1">
        <v>10</v>
      </c>
      <c r="L370" s="1">
        <f>ROUNDDOWN(formatted_data[[#This Row],[Selling_Price]]*formatted_data[[#This Row],[Discount_%]]/100,0)</f>
        <v>119</v>
      </c>
      <c r="M370" s="1">
        <f>(formatted_data[[#This Row],[Selling_Price]]-formatted_data[[#This Row],[Discount_Amount]])*formatted_data[[#This Row],[Units]]</f>
        <v>2160</v>
      </c>
      <c r="N370" s="1">
        <f>formatted_data[[#This Row],[Total_Revenue]]-(formatted_data[[#This Row],[Cost_Price]]*formatted_data[[#This Row],[Units]])</f>
        <v>466</v>
      </c>
      <c r="O370" s="1" t="s">
        <v>33</v>
      </c>
      <c r="P370"/>
    </row>
    <row r="371" spans="1:16" x14ac:dyDescent="0.35">
      <c r="A371" s="1" t="s">
        <v>82</v>
      </c>
      <c r="B371" s="1" t="s">
        <v>27</v>
      </c>
      <c r="C371" s="2">
        <v>45456</v>
      </c>
      <c r="D371" s="1" t="s">
        <v>17</v>
      </c>
      <c r="E371" s="1" t="s">
        <v>55</v>
      </c>
      <c r="F371" s="1" t="s">
        <v>19</v>
      </c>
      <c r="G371" s="1" t="s">
        <v>19</v>
      </c>
      <c r="H371" s="1">
        <v>1</v>
      </c>
      <c r="I371" s="1">
        <v>267</v>
      </c>
      <c r="J371" s="1">
        <v>399</v>
      </c>
      <c r="K371" s="1">
        <v>0</v>
      </c>
      <c r="L371" s="1">
        <f>ROUNDDOWN(formatted_data[[#This Row],[Selling_Price]]*formatted_data[[#This Row],[Discount_%]]/100,0)</f>
        <v>0</v>
      </c>
      <c r="M371" s="1">
        <f>(formatted_data[[#This Row],[Selling_Price]]-formatted_data[[#This Row],[Discount_Amount]])*formatted_data[[#This Row],[Units]]</f>
        <v>399</v>
      </c>
      <c r="N371" s="1">
        <f>formatted_data[[#This Row],[Total_Revenue]]-(formatted_data[[#This Row],[Cost_Price]]*formatted_data[[#This Row],[Units]])</f>
        <v>132</v>
      </c>
      <c r="O371" s="1" t="s">
        <v>33</v>
      </c>
      <c r="P371"/>
    </row>
    <row r="372" spans="1:16" x14ac:dyDescent="0.35">
      <c r="A372" s="1" t="s">
        <v>54</v>
      </c>
      <c r="B372" s="1" t="s">
        <v>27</v>
      </c>
      <c r="C372" s="2">
        <v>45620</v>
      </c>
      <c r="D372" s="1" t="s">
        <v>28</v>
      </c>
      <c r="E372" s="1" t="s">
        <v>29</v>
      </c>
      <c r="F372" s="1" t="s">
        <v>37</v>
      </c>
      <c r="G372" s="1" t="s">
        <v>19</v>
      </c>
      <c r="H372" s="1">
        <v>1</v>
      </c>
      <c r="I372" s="1">
        <v>330</v>
      </c>
      <c r="J372" s="1">
        <v>499</v>
      </c>
      <c r="K372" s="1">
        <v>15</v>
      </c>
      <c r="L372" s="1">
        <f>ROUNDDOWN(formatted_data[[#This Row],[Selling_Price]]*formatted_data[[#This Row],[Discount_%]]/100,0)</f>
        <v>74</v>
      </c>
      <c r="M372" s="1">
        <f>(formatted_data[[#This Row],[Selling_Price]]-formatted_data[[#This Row],[Discount_Amount]])*formatted_data[[#This Row],[Units]]</f>
        <v>425</v>
      </c>
      <c r="N372" s="1">
        <f>formatted_data[[#This Row],[Total_Revenue]]-(formatted_data[[#This Row],[Cost_Price]]*formatted_data[[#This Row],[Units]])</f>
        <v>95</v>
      </c>
      <c r="O372" s="1" t="s">
        <v>33</v>
      </c>
      <c r="P372"/>
    </row>
    <row r="373" spans="1:16" x14ac:dyDescent="0.35">
      <c r="A373" s="1" t="s">
        <v>69</v>
      </c>
      <c r="B373" s="1" t="s">
        <v>16</v>
      </c>
      <c r="C373" s="2">
        <v>45598</v>
      </c>
      <c r="D373" s="1" t="s">
        <v>31</v>
      </c>
      <c r="E373" s="1" t="s">
        <v>32</v>
      </c>
      <c r="F373" s="1" t="s">
        <v>19</v>
      </c>
      <c r="G373" s="1" t="s">
        <v>20</v>
      </c>
      <c r="H373" s="1">
        <v>4</v>
      </c>
      <c r="I373" s="1">
        <v>801</v>
      </c>
      <c r="J373" s="1">
        <v>1199</v>
      </c>
      <c r="K373" s="1">
        <v>0</v>
      </c>
      <c r="L373" s="1">
        <f>ROUNDDOWN(formatted_data[[#This Row],[Selling_Price]]*formatted_data[[#This Row],[Discount_%]]/100,0)</f>
        <v>0</v>
      </c>
      <c r="M373" s="1">
        <f>(formatted_data[[#This Row],[Selling_Price]]-formatted_data[[#This Row],[Discount_Amount]])*formatted_data[[#This Row],[Units]]</f>
        <v>4796</v>
      </c>
      <c r="N373" s="1">
        <f>formatted_data[[#This Row],[Total_Revenue]]-(formatted_data[[#This Row],[Cost_Price]]*formatted_data[[#This Row],[Units]])</f>
        <v>1592</v>
      </c>
      <c r="O373" s="1" t="s">
        <v>21</v>
      </c>
      <c r="P373"/>
    </row>
    <row r="374" spans="1:16" x14ac:dyDescent="0.35">
      <c r="A374" s="1" t="s">
        <v>51</v>
      </c>
      <c r="B374" s="1" t="s">
        <v>16</v>
      </c>
      <c r="C374" s="2">
        <v>45646</v>
      </c>
      <c r="D374" s="1" t="s">
        <v>17</v>
      </c>
      <c r="E374" s="1" t="s">
        <v>18</v>
      </c>
      <c r="F374" s="1" t="s">
        <v>19</v>
      </c>
      <c r="G374" s="1" t="s">
        <v>19</v>
      </c>
      <c r="H374" s="1">
        <v>5</v>
      </c>
      <c r="I374" s="1">
        <v>298</v>
      </c>
      <c r="J374" s="1">
        <v>399</v>
      </c>
      <c r="K374" s="1">
        <v>0</v>
      </c>
      <c r="L374" s="1">
        <f>ROUNDDOWN(formatted_data[[#This Row],[Selling_Price]]*formatted_data[[#This Row],[Discount_%]]/100,0)</f>
        <v>0</v>
      </c>
      <c r="M374" s="1">
        <f>(formatted_data[[#This Row],[Selling_Price]]-formatted_data[[#This Row],[Discount_Amount]])*formatted_data[[#This Row],[Units]]</f>
        <v>1995</v>
      </c>
      <c r="N374" s="1">
        <f>formatted_data[[#This Row],[Total_Revenue]]-(formatted_data[[#This Row],[Cost_Price]]*formatted_data[[#This Row],[Units]])</f>
        <v>505</v>
      </c>
      <c r="O374" s="1" t="s">
        <v>21</v>
      </c>
      <c r="P374"/>
    </row>
    <row r="375" spans="1:16" x14ac:dyDescent="0.35">
      <c r="A375" s="1" t="s">
        <v>88</v>
      </c>
      <c r="B375" s="1" t="s">
        <v>27</v>
      </c>
      <c r="C375" s="2">
        <v>45632</v>
      </c>
      <c r="D375" s="1" t="s">
        <v>23</v>
      </c>
      <c r="E375" s="1" t="s">
        <v>43</v>
      </c>
      <c r="F375" s="1" t="s">
        <v>25</v>
      </c>
      <c r="G375" s="1" t="s">
        <v>19</v>
      </c>
      <c r="H375" s="1">
        <v>2</v>
      </c>
      <c r="I375" s="1">
        <v>1440</v>
      </c>
      <c r="J375" s="1">
        <v>2199</v>
      </c>
      <c r="K375" s="1">
        <v>10</v>
      </c>
      <c r="L375" s="1">
        <f>ROUNDDOWN(formatted_data[[#This Row],[Selling_Price]]*formatted_data[[#This Row],[Discount_%]]/100,0)</f>
        <v>219</v>
      </c>
      <c r="M375" s="1">
        <f>(formatted_data[[#This Row],[Selling_Price]]-formatted_data[[#This Row],[Discount_Amount]])*formatted_data[[#This Row],[Units]]</f>
        <v>3960</v>
      </c>
      <c r="N375" s="1">
        <f>formatted_data[[#This Row],[Total_Revenue]]-(formatted_data[[#This Row],[Cost_Price]]*formatted_data[[#This Row],[Units]])</f>
        <v>1080</v>
      </c>
      <c r="O375" s="1" t="s">
        <v>21</v>
      </c>
      <c r="P375"/>
    </row>
    <row r="376" spans="1:16" x14ac:dyDescent="0.35">
      <c r="A376" s="1" t="s">
        <v>80</v>
      </c>
      <c r="B376" s="1" t="s">
        <v>27</v>
      </c>
      <c r="C376" s="2">
        <v>45544</v>
      </c>
      <c r="D376" s="1" t="s">
        <v>31</v>
      </c>
      <c r="E376" s="1" t="s">
        <v>76</v>
      </c>
      <c r="F376" s="1" t="s">
        <v>25</v>
      </c>
      <c r="G376" s="1" t="s">
        <v>20</v>
      </c>
      <c r="H376" s="1">
        <v>5</v>
      </c>
      <c r="I376" s="1">
        <v>580</v>
      </c>
      <c r="J376" s="1">
        <v>999</v>
      </c>
      <c r="K376" s="1">
        <v>0</v>
      </c>
      <c r="L376" s="1">
        <f>ROUNDDOWN(formatted_data[[#This Row],[Selling_Price]]*formatted_data[[#This Row],[Discount_%]]/100,0)</f>
        <v>0</v>
      </c>
      <c r="M376" s="1">
        <f>(formatted_data[[#This Row],[Selling_Price]]-formatted_data[[#This Row],[Discount_Amount]])*formatted_data[[#This Row],[Units]]</f>
        <v>4995</v>
      </c>
      <c r="N376" s="1">
        <f>formatted_data[[#This Row],[Total_Revenue]]-(formatted_data[[#This Row],[Cost_Price]]*formatted_data[[#This Row],[Units]])</f>
        <v>2095</v>
      </c>
      <c r="O376" s="1" t="s">
        <v>33</v>
      </c>
      <c r="P376"/>
    </row>
    <row r="377" spans="1:16" x14ac:dyDescent="0.35">
      <c r="A377" s="1" t="s">
        <v>75</v>
      </c>
      <c r="B377" s="1" t="s">
        <v>27</v>
      </c>
      <c r="C377" s="2">
        <v>45517</v>
      </c>
      <c r="D377" s="1" t="s">
        <v>31</v>
      </c>
      <c r="E377" s="1" t="s">
        <v>32</v>
      </c>
      <c r="F377" s="1" t="s">
        <v>19</v>
      </c>
      <c r="G377" s="1" t="s">
        <v>19</v>
      </c>
      <c r="H377" s="1">
        <v>2</v>
      </c>
      <c r="I377" s="1">
        <v>553</v>
      </c>
      <c r="J377" s="1">
        <v>899</v>
      </c>
      <c r="K377" s="1">
        <v>0</v>
      </c>
      <c r="L377" s="1">
        <f>ROUNDDOWN(formatted_data[[#This Row],[Selling_Price]]*formatted_data[[#This Row],[Discount_%]]/100,0)</f>
        <v>0</v>
      </c>
      <c r="M377" s="1">
        <f>(formatted_data[[#This Row],[Selling_Price]]-formatted_data[[#This Row],[Discount_Amount]])*formatted_data[[#This Row],[Units]]</f>
        <v>1798</v>
      </c>
      <c r="N377" s="1">
        <f>formatted_data[[#This Row],[Total_Revenue]]-(formatted_data[[#This Row],[Cost_Price]]*formatted_data[[#This Row],[Units]])</f>
        <v>692</v>
      </c>
      <c r="O377" s="1" t="s">
        <v>33</v>
      </c>
      <c r="P377"/>
    </row>
    <row r="378" spans="1:16" x14ac:dyDescent="0.35">
      <c r="A378" s="1" t="s">
        <v>94</v>
      </c>
      <c r="B378" s="1" t="s">
        <v>16</v>
      </c>
      <c r="C378" s="2">
        <v>45574</v>
      </c>
      <c r="D378" s="1" t="s">
        <v>31</v>
      </c>
      <c r="E378" s="1" t="s">
        <v>32</v>
      </c>
      <c r="F378" s="1" t="s">
        <v>19</v>
      </c>
      <c r="G378" s="1" t="s">
        <v>20</v>
      </c>
      <c r="H378" s="1">
        <v>2</v>
      </c>
      <c r="I378" s="1">
        <v>515</v>
      </c>
      <c r="J378" s="1">
        <v>999</v>
      </c>
      <c r="K378" s="1">
        <v>0</v>
      </c>
      <c r="L378" s="1">
        <f>ROUNDDOWN(formatted_data[[#This Row],[Selling_Price]]*formatted_data[[#This Row],[Discount_%]]/100,0)</f>
        <v>0</v>
      </c>
      <c r="M378" s="1">
        <f>(formatted_data[[#This Row],[Selling_Price]]-formatted_data[[#This Row],[Discount_Amount]])*formatted_data[[#This Row],[Units]]</f>
        <v>1998</v>
      </c>
      <c r="N378" s="1">
        <f>formatted_data[[#This Row],[Total_Revenue]]-(formatted_data[[#This Row],[Cost_Price]]*formatted_data[[#This Row],[Units]])</f>
        <v>968</v>
      </c>
      <c r="O378" s="1" t="s">
        <v>21</v>
      </c>
      <c r="P378"/>
    </row>
    <row r="379" spans="1:16" x14ac:dyDescent="0.35">
      <c r="A379" s="1" t="s">
        <v>40</v>
      </c>
      <c r="B379" s="1" t="s">
        <v>27</v>
      </c>
      <c r="C379" s="2">
        <v>45507</v>
      </c>
      <c r="D379" s="1" t="s">
        <v>31</v>
      </c>
      <c r="E379" s="1" t="s">
        <v>76</v>
      </c>
      <c r="F379" s="1" t="s">
        <v>25</v>
      </c>
      <c r="G379" s="1" t="s">
        <v>20</v>
      </c>
      <c r="H379" s="1">
        <v>5</v>
      </c>
      <c r="I379" s="1">
        <v>553</v>
      </c>
      <c r="J379" s="1">
        <v>999</v>
      </c>
      <c r="K379" s="1">
        <v>0</v>
      </c>
      <c r="L379" s="1">
        <f>ROUNDDOWN(formatted_data[[#This Row],[Selling_Price]]*formatted_data[[#This Row],[Discount_%]]/100,0)</f>
        <v>0</v>
      </c>
      <c r="M379" s="1">
        <f>(formatted_data[[#This Row],[Selling_Price]]-formatted_data[[#This Row],[Discount_Amount]])*formatted_data[[#This Row],[Units]]</f>
        <v>4995</v>
      </c>
      <c r="N379" s="1">
        <f>formatted_data[[#This Row],[Total_Revenue]]-(formatted_data[[#This Row],[Cost_Price]]*formatted_data[[#This Row],[Units]])</f>
        <v>2230</v>
      </c>
      <c r="O379" s="1" t="s">
        <v>33</v>
      </c>
      <c r="P379"/>
    </row>
    <row r="380" spans="1:16" x14ac:dyDescent="0.35">
      <c r="A380" s="1" t="s">
        <v>68</v>
      </c>
      <c r="B380" s="1" t="s">
        <v>16</v>
      </c>
      <c r="C380" s="2">
        <v>45542</v>
      </c>
      <c r="D380" s="1" t="s">
        <v>17</v>
      </c>
      <c r="E380" s="1" t="s">
        <v>72</v>
      </c>
      <c r="F380" s="1" t="s">
        <v>19</v>
      </c>
      <c r="G380" s="1" t="s">
        <v>19</v>
      </c>
      <c r="H380" s="1">
        <v>1</v>
      </c>
      <c r="I380" s="1">
        <v>205</v>
      </c>
      <c r="J380" s="1">
        <v>399</v>
      </c>
      <c r="K380" s="1">
        <v>0</v>
      </c>
      <c r="L380" s="1">
        <f>ROUNDDOWN(formatted_data[[#This Row],[Selling_Price]]*formatted_data[[#This Row],[Discount_%]]/100,0)</f>
        <v>0</v>
      </c>
      <c r="M380" s="1">
        <f>(formatted_data[[#This Row],[Selling_Price]]-formatted_data[[#This Row],[Discount_Amount]])*formatted_data[[#This Row],[Units]]</f>
        <v>399</v>
      </c>
      <c r="N380" s="1">
        <f>formatted_data[[#This Row],[Total_Revenue]]-(formatted_data[[#This Row],[Cost_Price]]*formatted_data[[#This Row],[Units]])</f>
        <v>194</v>
      </c>
      <c r="O380" s="1" t="s">
        <v>21</v>
      </c>
      <c r="P380"/>
    </row>
    <row r="381" spans="1:16" x14ac:dyDescent="0.35">
      <c r="A381" s="1" t="s">
        <v>73</v>
      </c>
      <c r="B381" s="1" t="s">
        <v>16</v>
      </c>
      <c r="C381" s="2">
        <v>45614</v>
      </c>
      <c r="D381" s="1" t="s">
        <v>31</v>
      </c>
      <c r="E381" s="1" t="s">
        <v>76</v>
      </c>
      <c r="F381" s="1" t="s">
        <v>37</v>
      </c>
      <c r="G381" s="1" t="s">
        <v>19</v>
      </c>
      <c r="H381" s="1">
        <v>1</v>
      </c>
      <c r="I381" s="1">
        <v>703</v>
      </c>
      <c r="J381" s="1">
        <v>1199</v>
      </c>
      <c r="K381" s="1">
        <v>0</v>
      </c>
      <c r="L381" s="1">
        <f>ROUNDDOWN(formatted_data[[#This Row],[Selling_Price]]*formatted_data[[#This Row],[Discount_%]]/100,0)</f>
        <v>0</v>
      </c>
      <c r="M381" s="1">
        <f>(formatted_data[[#This Row],[Selling_Price]]-formatted_data[[#This Row],[Discount_Amount]])*formatted_data[[#This Row],[Units]]</f>
        <v>1199</v>
      </c>
      <c r="N381" s="1">
        <f>formatted_data[[#This Row],[Total_Revenue]]-(formatted_data[[#This Row],[Cost_Price]]*formatted_data[[#This Row],[Units]])</f>
        <v>496</v>
      </c>
      <c r="O381" s="1" t="s">
        <v>33</v>
      </c>
      <c r="P381"/>
    </row>
    <row r="382" spans="1:16" x14ac:dyDescent="0.35">
      <c r="A382" s="1" t="s">
        <v>93</v>
      </c>
      <c r="B382" s="1" t="s">
        <v>16</v>
      </c>
      <c r="C382" s="2">
        <v>45565</v>
      </c>
      <c r="D382" s="1" t="s">
        <v>31</v>
      </c>
      <c r="E382" s="1" t="s">
        <v>32</v>
      </c>
      <c r="F382" s="1" t="s">
        <v>37</v>
      </c>
      <c r="G382" s="1" t="s">
        <v>19</v>
      </c>
      <c r="H382" s="1">
        <v>1</v>
      </c>
      <c r="I382" s="1">
        <v>780</v>
      </c>
      <c r="J382" s="1">
        <v>1199</v>
      </c>
      <c r="K382" s="1">
        <v>0</v>
      </c>
      <c r="L382" s="1">
        <f>ROUNDDOWN(formatted_data[[#This Row],[Selling_Price]]*formatted_data[[#This Row],[Discount_%]]/100,0)</f>
        <v>0</v>
      </c>
      <c r="M382" s="1">
        <f>(formatted_data[[#This Row],[Selling_Price]]-formatted_data[[#This Row],[Discount_Amount]])*formatted_data[[#This Row],[Units]]</f>
        <v>1199</v>
      </c>
      <c r="N382" s="1">
        <f>formatted_data[[#This Row],[Total_Revenue]]-(formatted_data[[#This Row],[Cost_Price]]*formatted_data[[#This Row],[Units]])</f>
        <v>419</v>
      </c>
      <c r="O382" s="1" t="s">
        <v>21</v>
      </c>
      <c r="P382"/>
    </row>
    <row r="383" spans="1:16" x14ac:dyDescent="0.35">
      <c r="A383" s="1" t="s">
        <v>63</v>
      </c>
      <c r="B383" s="1" t="s">
        <v>27</v>
      </c>
      <c r="C383" s="2">
        <v>45445</v>
      </c>
      <c r="D383" s="1" t="s">
        <v>28</v>
      </c>
      <c r="E383" s="1" t="s">
        <v>45</v>
      </c>
      <c r="F383" s="1" t="s">
        <v>25</v>
      </c>
      <c r="G383" s="1" t="s">
        <v>20</v>
      </c>
      <c r="H383" s="1">
        <v>4</v>
      </c>
      <c r="I383" s="1">
        <v>505</v>
      </c>
      <c r="J383" s="1">
        <v>699</v>
      </c>
      <c r="K383" s="1">
        <v>10</v>
      </c>
      <c r="L383" s="1">
        <f>ROUNDDOWN(formatted_data[[#This Row],[Selling_Price]]*formatted_data[[#This Row],[Discount_%]]/100,0)</f>
        <v>69</v>
      </c>
      <c r="M383" s="1">
        <f>(formatted_data[[#This Row],[Selling_Price]]-formatted_data[[#This Row],[Discount_Amount]])*formatted_data[[#This Row],[Units]]</f>
        <v>2520</v>
      </c>
      <c r="N383" s="1">
        <f>formatted_data[[#This Row],[Total_Revenue]]-(formatted_data[[#This Row],[Cost_Price]]*formatted_data[[#This Row],[Units]])</f>
        <v>500</v>
      </c>
      <c r="O383" s="1" t="s">
        <v>21</v>
      </c>
      <c r="P383"/>
    </row>
    <row r="384" spans="1:16" x14ac:dyDescent="0.35">
      <c r="A384" s="1" t="s">
        <v>109</v>
      </c>
      <c r="B384" s="1" t="s">
        <v>16</v>
      </c>
      <c r="C384" s="2">
        <v>45459</v>
      </c>
      <c r="D384" s="1" t="s">
        <v>35</v>
      </c>
      <c r="E384" s="1" t="s">
        <v>39</v>
      </c>
      <c r="F384" s="1" t="s">
        <v>37</v>
      </c>
      <c r="G384" s="1" t="s">
        <v>20</v>
      </c>
      <c r="H384" s="1">
        <v>1</v>
      </c>
      <c r="I384" s="1">
        <v>527</v>
      </c>
      <c r="J384" s="1">
        <v>899</v>
      </c>
      <c r="K384" s="1">
        <v>15</v>
      </c>
      <c r="L384" s="1">
        <f>ROUNDDOWN(formatted_data[[#This Row],[Selling_Price]]*formatted_data[[#This Row],[Discount_%]]/100,0)</f>
        <v>134</v>
      </c>
      <c r="M384" s="1">
        <f>(formatted_data[[#This Row],[Selling_Price]]-formatted_data[[#This Row],[Discount_Amount]])*formatted_data[[#This Row],[Units]]</f>
        <v>765</v>
      </c>
      <c r="N384" s="1">
        <f>formatted_data[[#This Row],[Total_Revenue]]-(formatted_data[[#This Row],[Cost_Price]]*formatted_data[[#This Row],[Units]])</f>
        <v>238</v>
      </c>
      <c r="O384" s="1" t="s">
        <v>33</v>
      </c>
      <c r="P384"/>
    </row>
    <row r="385" spans="1:16" x14ac:dyDescent="0.35">
      <c r="A385" s="1" t="s">
        <v>15</v>
      </c>
      <c r="B385" s="1" t="s">
        <v>16</v>
      </c>
      <c r="C385" s="2">
        <v>45567</v>
      </c>
      <c r="D385" s="1" t="s">
        <v>23</v>
      </c>
      <c r="E385" s="1" t="s">
        <v>43</v>
      </c>
      <c r="F385" s="1" t="s">
        <v>25</v>
      </c>
      <c r="G385" s="1" t="s">
        <v>20</v>
      </c>
      <c r="H385" s="1">
        <v>1</v>
      </c>
      <c r="I385" s="1">
        <v>1354</v>
      </c>
      <c r="J385" s="1">
        <v>2299</v>
      </c>
      <c r="K385" s="1">
        <v>15</v>
      </c>
      <c r="L385" s="1">
        <f>ROUNDDOWN(formatted_data[[#This Row],[Selling_Price]]*formatted_data[[#This Row],[Discount_%]]/100,0)</f>
        <v>344</v>
      </c>
      <c r="M385" s="1">
        <f>(formatted_data[[#This Row],[Selling_Price]]-formatted_data[[#This Row],[Discount_Amount]])*formatted_data[[#This Row],[Units]]</f>
        <v>1955</v>
      </c>
      <c r="N385" s="1">
        <f>formatted_data[[#This Row],[Total_Revenue]]-(formatted_data[[#This Row],[Cost_Price]]*formatted_data[[#This Row],[Units]])</f>
        <v>601</v>
      </c>
      <c r="O385" s="1" t="s">
        <v>21</v>
      </c>
      <c r="P385"/>
    </row>
    <row r="386" spans="1:16" x14ac:dyDescent="0.35">
      <c r="A386" s="1" t="s">
        <v>107</v>
      </c>
      <c r="B386" s="1" t="s">
        <v>27</v>
      </c>
      <c r="C386" s="2">
        <v>45553</v>
      </c>
      <c r="D386" s="1" t="s">
        <v>28</v>
      </c>
      <c r="E386" s="1" t="s">
        <v>29</v>
      </c>
      <c r="F386" s="1" t="s">
        <v>19</v>
      </c>
      <c r="G386" s="1" t="s">
        <v>19</v>
      </c>
      <c r="H386" s="1">
        <v>2</v>
      </c>
      <c r="I386" s="1">
        <v>356</v>
      </c>
      <c r="J386" s="1">
        <v>599</v>
      </c>
      <c r="K386" s="1">
        <v>15</v>
      </c>
      <c r="L386" s="1">
        <f>ROUNDDOWN(formatted_data[[#This Row],[Selling_Price]]*formatted_data[[#This Row],[Discount_%]]/100,0)</f>
        <v>89</v>
      </c>
      <c r="M386" s="1">
        <f>(formatted_data[[#This Row],[Selling_Price]]-formatted_data[[#This Row],[Discount_Amount]])*formatted_data[[#This Row],[Units]]</f>
        <v>1020</v>
      </c>
      <c r="N386" s="1">
        <f>formatted_data[[#This Row],[Total_Revenue]]-(formatted_data[[#This Row],[Cost_Price]]*formatted_data[[#This Row],[Units]])</f>
        <v>308</v>
      </c>
      <c r="O386" s="1" t="s">
        <v>21</v>
      </c>
      <c r="P386"/>
    </row>
    <row r="387" spans="1:16" x14ac:dyDescent="0.35">
      <c r="A387" s="1" t="s">
        <v>47</v>
      </c>
      <c r="B387" s="1" t="s">
        <v>16</v>
      </c>
      <c r="C387" s="2">
        <v>45556</v>
      </c>
      <c r="D387" s="1" t="s">
        <v>17</v>
      </c>
      <c r="E387" s="1" t="s">
        <v>48</v>
      </c>
      <c r="F387" s="1" t="s">
        <v>19</v>
      </c>
      <c r="G387" s="1" t="s">
        <v>20</v>
      </c>
      <c r="H387" s="1">
        <v>3</v>
      </c>
      <c r="I387" s="1">
        <v>178</v>
      </c>
      <c r="J387" s="1">
        <v>299</v>
      </c>
      <c r="K387" s="1">
        <v>0</v>
      </c>
      <c r="L387" s="1">
        <f>ROUNDDOWN(formatted_data[[#This Row],[Selling_Price]]*formatted_data[[#This Row],[Discount_%]]/100,0)</f>
        <v>0</v>
      </c>
      <c r="M387" s="1">
        <f>(formatted_data[[#This Row],[Selling_Price]]-formatted_data[[#This Row],[Discount_Amount]])*formatted_data[[#This Row],[Units]]</f>
        <v>897</v>
      </c>
      <c r="N387" s="1">
        <f>formatted_data[[#This Row],[Total_Revenue]]-(formatted_data[[#This Row],[Cost_Price]]*formatted_data[[#This Row],[Units]])</f>
        <v>363</v>
      </c>
      <c r="O387" s="1" t="s">
        <v>33</v>
      </c>
      <c r="P387"/>
    </row>
    <row r="388" spans="1:16" x14ac:dyDescent="0.35">
      <c r="A388" s="1" t="s">
        <v>78</v>
      </c>
      <c r="B388" s="1" t="s">
        <v>16</v>
      </c>
      <c r="C388" s="2">
        <v>45648</v>
      </c>
      <c r="D388" s="1" t="s">
        <v>17</v>
      </c>
      <c r="E388" s="1" t="s">
        <v>48</v>
      </c>
      <c r="F388" s="1" t="s">
        <v>19</v>
      </c>
      <c r="G388" s="1" t="s">
        <v>20</v>
      </c>
      <c r="H388" s="1">
        <v>2</v>
      </c>
      <c r="I388" s="1">
        <v>150</v>
      </c>
      <c r="J388" s="1">
        <v>299</v>
      </c>
      <c r="K388" s="1">
        <v>0</v>
      </c>
      <c r="L388" s="1">
        <f>ROUNDDOWN(formatted_data[[#This Row],[Selling_Price]]*formatted_data[[#This Row],[Discount_%]]/100,0)</f>
        <v>0</v>
      </c>
      <c r="M388" s="1">
        <f>(formatted_data[[#This Row],[Selling_Price]]-formatted_data[[#This Row],[Discount_Amount]])*formatted_data[[#This Row],[Units]]</f>
        <v>598</v>
      </c>
      <c r="N388" s="1">
        <f>formatted_data[[#This Row],[Total_Revenue]]-(formatted_data[[#This Row],[Cost_Price]]*formatted_data[[#This Row],[Units]])</f>
        <v>298</v>
      </c>
      <c r="O388" s="1" t="s">
        <v>21</v>
      </c>
      <c r="P388"/>
    </row>
    <row r="389" spans="1:16" x14ac:dyDescent="0.35">
      <c r="A389" s="1" t="s">
        <v>56</v>
      </c>
      <c r="B389" s="1" t="s">
        <v>27</v>
      </c>
      <c r="C389" s="2">
        <v>45499</v>
      </c>
      <c r="D389" s="1" t="s">
        <v>23</v>
      </c>
      <c r="E389" s="1" t="s">
        <v>43</v>
      </c>
      <c r="F389" s="1" t="s">
        <v>25</v>
      </c>
      <c r="G389" s="1" t="s">
        <v>20</v>
      </c>
      <c r="H389" s="1">
        <v>2</v>
      </c>
      <c r="I389" s="1">
        <v>1168</v>
      </c>
      <c r="J389" s="1">
        <v>1999</v>
      </c>
      <c r="K389" s="1">
        <v>5</v>
      </c>
      <c r="L389" s="1">
        <f>ROUNDDOWN(formatted_data[[#This Row],[Selling_Price]]*formatted_data[[#This Row],[Discount_%]]/100,0)</f>
        <v>99</v>
      </c>
      <c r="M389" s="1">
        <f>(formatted_data[[#This Row],[Selling_Price]]-formatted_data[[#This Row],[Discount_Amount]])*formatted_data[[#This Row],[Units]]</f>
        <v>3800</v>
      </c>
      <c r="N389" s="1">
        <f>formatted_data[[#This Row],[Total_Revenue]]-(formatted_data[[#This Row],[Cost_Price]]*formatted_data[[#This Row],[Units]])</f>
        <v>1464</v>
      </c>
      <c r="O389" s="1" t="s">
        <v>33</v>
      </c>
      <c r="P389"/>
    </row>
    <row r="390" spans="1:16" x14ac:dyDescent="0.35">
      <c r="A390" s="1" t="s">
        <v>60</v>
      </c>
      <c r="B390" s="1" t="s">
        <v>27</v>
      </c>
      <c r="C390" s="2">
        <v>45482</v>
      </c>
      <c r="D390" s="1" t="s">
        <v>23</v>
      </c>
      <c r="E390" s="1" t="s">
        <v>24</v>
      </c>
      <c r="F390" s="1" t="s">
        <v>37</v>
      </c>
      <c r="G390" s="1" t="s">
        <v>19</v>
      </c>
      <c r="H390" s="1">
        <v>4</v>
      </c>
      <c r="I390" s="1">
        <v>568</v>
      </c>
      <c r="J390" s="1">
        <v>899</v>
      </c>
      <c r="K390" s="1">
        <v>10</v>
      </c>
      <c r="L390" s="1">
        <f>ROUNDDOWN(formatted_data[[#This Row],[Selling_Price]]*formatted_data[[#This Row],[Discount_%]]/100,0)</f>
        <v>89</v>
      </c>
      <c r="M390" s="1">
        <f>(formatted_data[[#This Row],[Selling_Price]]-formatted_data[[#This Row],[Discount_Amount]])*formatted_data[[#This Row],[Units]]</f>
        <v>3240</v>
      </c>
      <c r="N390" s="1">
        <f>formatted_data[[#This Row],[Total_Revenue]]-(formatted_data[[#This Row],[Cost_Price]]*formatted_data[[#This Row],[Units]])</f>
        <v>968</v>
      </c>
      <c r="O390" s="1" t="s">
        <v>21</v>
      </c>
      <c r="P390"/>
    </row>
    <row r="391" spans="1:16" x14ac:dyDescent="0.35">
      <c r="A391" s="1" t="s">
        <v>93</v>
      </c>
      <c r="B391" s="1" t="s">
        <v>16</v>
      </c>
      <c r="C391" s="2">
        <v>45535</v>
      </c>
      <c r="D391" s="1" t="s">
        <v>17</v>
      </c>
      <c r="E391" s="1" t="s">
        <v>48</v>
      </c>
      <c r="F391" s="1" t="s">
        <v>25</v>
      </c>
      <c r="G391" s="1" t="s">
        <v>19</v>
      </c>
      <c r="H391" s="1">
        <v>1</v>
      </c>
      <c r="I391" s="1">
        <v>307</v>
      </c>
      <c r="J391" s="1">
        <v>599</v>
      </c>
      <c r="K391" s="1">
        <v>0</v>
      </c>
      <c r="L391" s="1">
        <f>ROUNDDOWN(formatted_data[[#This Row],[Selling_Price]]*formatted_data[[#This Row],[Discount_%]]/100,0)</f>
        <v>0</v>
      </c>
      <c r="M391" s="1">
        <f>(formatted_data[[#This Row],[Selling_Price]]-formatted_data[[#This Row],[Discount_Amount]])*formatted_data[[#This Row],[Units]]</f>
        <v>599</v>
      </c>
      <c r="N391" s="1">
        <f>formatted_data[[#This Row],[Total_Revenue]]-(formatted_data[[#This Row],[Cost_Price]]*formatted_data[[#This Row],[Units]])</f>
        <v>292</v>
      </c>
      <c r="O391" s="1" t="s">
        <v>33</v>
      </c>
      <c r="P391"/>
    </row>
    <row r="392" spans="1:16" x14ac:dyDescent="0.35">
      <c r="A392" s="1" t="s">
        <v>57</v>
      </c>
      <c r="B392" s="1" t="s">
        <v>27</v>
      </c>
      <c r="C392" s="2">
        <v>45584</v>
      </c>
      <c r="D392" s="1" t="s">
        <v>17</v>
      </c>
      <c r="E392" s="1" t="s">
        <v>55</v>
      </c>
      <c r="F392" s="1" t="s">
        <v>37</v>
      </c>
      <c r="G392" s="1" t="s">
        <v>20</v>
      </c>
      <c r="H392" s="1">
        <v>2</v>
      </c>
      <c r="I392" s="1">
        <v>294</v>
      </c>
      <c r="J392" s="1">
        <v>399</v>
      </c>
      <c r="K392" s="1">
        <v>0</v>
      </c>
      <c r="L392" s="1">
        <f>ROUNDDOWN(formatted_data[[#This Row],[Selling_Price]]*formatted_data[[#This Row],[Discount_%]]/100,0)</f>
        <v>0</v>
      </c>
      <c r="M392" s="1">
        <f>(formatted_data[[#This Row],[Selling_Price]]-formatted_data[[#This Row],[Discount_Amount]])*formatted_data[[#This Row],[Units]]</f>
        <v>798</v>
      </c>
      <c r="N392" s="1">
        <f>formatted_data[[#This Row],[Total_Revenue]]-(formatted_data[[#This Row],[Cost_Price]]*formatted_data[[#This Row],[Units]])</f>
        <v>210</v>
      </c>
      <c r="O392" s="1" t="s">
        <v>21</v>
      </c>
      <c r="P392"/>
    </row>
    <row r="393" spans="1:16" x14ac:dyDescent="0.35">
      <c r="A393" s="1" t="s">
        <v>97</v>
      </c>
      <c r="B393" s="1" t="s">
        <v>16</v>
      </c>
      <c r="C393" s="2">
        <v>45473</v>
      </c>
      <c r="D393" s="1" t="s">
        <v>17</v>
      </c>
      <c r="E393" s="1" t="s">
        <v>72</v>
      </c>
      <c r="F393" s="1" t="s">
        <v>37</v>
      </c>
      <c r="G393" s="1" t="s">
        <v>20</v>
      </c>
      <c r="H393" s="1">
        <v>5</v>
      </c>
      <c r="I393" s="1">
        <v>253</v>
      </c>
      <c r="J393" s="1">
        <v>399</v>
      </c>
      <c r="K393" s="1">
        <v>0</v>
      </c>
      <c r="L393" s="1">
        <f>ROUNDDOWN(formatted_data[[#This Row],[Selling_Price]]*formatted_data[[#This Row],[Discount_%]]/100,0)</f>
        <v>0</v>
      </c>
      <c r="M393" s="1">
        <f>(formatted_data[[#This Row],[Selling_Price]]-formatted_data[[#This Row],[Discount_Amount]])*formatted_data[[#This Row],[Units]]</f>
        <v>1995</v>
      </c>
      <c r="N393" s="1">
        <f>formatted_data[[#This Row],[Total_Revenue]]-(formatted_data[[#This Row],[Cost_Price]]*formatted_data[[#This Row],[Units]])</f>
        <v>730</v>
      </c>
      <c r="O393" s="1" t="s">
        <v>21</v>
      </c>
      <c r="P393"/>
    </row>
    <row r="394" spans="1:16" x14ac:dyDescent="0.35">
      <c r="A394" s="1" t="s">
        <v>109</v>
      </c>
      <c r="B394" s="1" t="s">
        <v>16</v>
      </c>
      <c r="C394" s="2">
        <v>45465</v>
      </c>
      <c r="D394" s="1" t="s">
        <v>31</v>
      </c>
      <c r="E394" s="1" t="s">
        <v>32</v>
      </c>
      <c r="F394" s="1" t="s">
        <v>19</v>
      </c>
      <c r="G394" s="1" t="s">
        <v>20</v>
      </c>
      <c r="H394" s="1">
        <v>5</v>
      </c>
      <c r="I394" s="1">
        <v>867</v>
      </c>
      <c r="J394" s="1">
        <v>1399</v>
      </c>
      <c r="K394" s="1">
        <v>0</v>
      </c>
      <c r="L394" s="1">
        <f>ROUNDDOWN(formatted_data[[#This Row],[Selling_Price]]*formatted_data[[#This Row],[Discount_%]]/100,0)</f>
        <v>0</v>
      </c>
      <c r="M394" s="1">
        <f>(formatted_data[[#This Row],[Selling_Price]]-formatted_data[[#This Row],[Discount_Amount]])*formatted_data[[#This Row],[Units]]</f>
        <v>6995</v>
      </c>
      <c r="N394" s="1">
        <f>formatted_data[[#This Row],[Total_Revenue]]-(formatted_data[[#This Row],[Cost_Price]]*formatted_data[[#This Row],[Units]])</f>
        <v>2660</v>
      </c>
      <c r="O394" s="1" t="s">
        <v>21</v>
      </c>
      <c r="P394"/>
    </row>
    <row r="395" spans="1:16" x14ac:dyDescent="0.35">
      <c r="A395" s="1" t="s">
        <v>40</v>
      </c>
      <c r="B395" s="1" t="s">
        <v>27</v>
      </c>
      <c r="C395" s="2">
        <v>45454</v>
      </c>
      <c r="D395" s="1" t="s">
        <v>35</v>
      </c>
      <c r="E395" s="1" t="s">
        <v>41</v>
      </c>
      <c r="F395" s="1" t="s">
        <v>19</v>
      </c>
      <c r="G395" s="1" t="s">
        <v>19</v>
      </c>
      <c r="H395" s="1">
        <v>1</v>
      </c>
      <c r="I395" s="1">
        <v>611</v>
      </c>
      <c r="J395" s="1">
        <v>999</v>
      </c>
      <c r="K395" s="1">
        <v>15</v>
      </c>
      <c r="L395" s="1">
        <f>ROUNDDOWN(formatted_data[[#This Row],[Selling_Price]]*formatted_data[[#This Row],[Discount_%]]/100,0)</f>
        <v>149</v>
      </c>
      <c r="M395" s="1">
        <f>(formatted_data[[#This Row],[Selling_Price]]-formatted_data[[#This Row],[Discount_Amount]])*formatted_data[[#This Row],[Units]]</f>
        <v>850</v>
      </c>
      <c r="N395" s="1">
        <f>formatted_data[[#This Row],[Total_Revenue]]-(formatted_data[[#This Row],[Cost_Price]]*formatted_data[[#This Row],[Units]])</f>
        <v>239</v>
      </c>
      <c r="O395" s="1" t="s">
        <v>21</v>
      </c>
      <c r="P395"/>
    </row>
    <row r="396" spans="1:16" x14ac:dyDescent="0.35">
      <c r="A396" s="1" t="s">
        <v>51</v>
      </c>
      <c r="B396" s="1" t="s">
        <v>16</v>
      </c>
      <c r="C396" s="2">
        <v>45593</v>
      </c>
      <c r="D396" s="1" t="s">
        <v>31</v>
      </c>
      <c r="E396" s="1" t="s">
        <v>76</v>
      </c>
      <c r="F396" s="1" t="s">
        <v>25</v>
      </c>
      <c r="G396" s="1" t="s">
        <v>19</v>
      </c>
      <c r="H396" s="1">
        <v>2</v>
      </c>
      <c r="I396" s="1">
        <v>470</v>
      </c>
      <c r="J396" s="1">
        <v>799</v>
      </c>
      <c r="K396" s="1">
        <v>0</v>
      </c>
      <c r="L396" s="1">
        <f>ROUNDDOWN(formatted_data[[#This Row],[Selling_Price]]*formatted_data[[#This Row],[Discount_%]]/100,0)</f>
        <v>0</v>
      </c>
      <c r="M396" s="1">
        <f>(formatted_data[[#This Row],[Selling_Price]]-formatted_data[[#This Row],[Discount_Amount]])*formatted_data[[#This Row],[Units]]</f>
        <v>1598</v>
      </c>
      <c r="N396" s="1">
        <f>formatted_data[[#This Row],[Total_Revenue]]-(formatted_data[[#This Row],[Cost_Price]]*formatted_data[[#This Row],[Units]])</f>
        <v>658</v>
      </c>
      <c r="O396" s="1" t="s">
        <v>21</v>
      </c>
      <c r="P396"/>
    </row>
    <row r="397" spans="1:16" x14ac:dyDescent="0.35">
      <c r="A397" s="1" t="s">
        <v>71</v>
      </c>
      <c r="B397" s="1" t="s">
        <v>16</v>
      </c>
      <c r="C397" s="2">
        <v>45455</v>
      </c>
      <c r="D397" s="1" t="s">
        <v>17</v>
      </c>
      <c r="E397" s="1" t="s">
        <v>72</v>
      </c>
      <c r="F397" s="1" t="s">
        <v>25</v>
      </c>
      <c r="G397" s="1" t="s">
        <v>20</v>
      </c>
      <c r="H397" s="1">
        <v>1</v>
      </c>
      <c r="I397" s="1">
        <v>296</v>
      </c>
      <c r="J397" s="1">
        <v>499</v>
      </c>
      <c r="K397" s="1">
        <v>0</v>
      </c>
      <c r="L397" s="1">
        <f>ROUNDDOWN(formatted_data[[#This Row],[Selling_Price]]*formatted_data[[#This Row],[Discount_%]]/100,0)</f>
        <v>0</v>
      </c>
      <c r="M397" s="1">
        <f>(formatted_data[[#This Row],[Selling_Price]]-formatted_data[[#This Row],[Discount_Amount]])*formatted_data[[#This Row],[Units]]</f>
        <v>499</v>
      </c>
      <c r="N397" s="1">
        <f>formatted_data[[#This Row],[Total_Revenue]]-(formatted_data[[#This Row],[Cost_Price]]*formatted_data[[#This Row],[Units]])</f>
        <v>203</v>
      </c>
      <c r="O397" s="1" t="s">
        <v>21</v>
      </c>
      <c r="P397"/>
    </row>
    <row r="398" spans="1:16" x14ac:dyDescent="0.35">
      <c r="A398" s="1" t="s">
        <v>94</v>
      </c>
      <c r="B398" s="1" t="s">
        <v>16</v>
      </c>
      <c r="C398" s="2">
        <v>45530</v>
      </c>
      <c r="D398" s="1" t="s">
        <v>23</v>
      </c>
      <c r="E398" s="1" t="s">
        <v>24</v>
      </c>
      <c r="F398" s="1" t="s">
        <v>37</v>
      </c>
      <c r="G398" s="1" t="s">
        <v>19</v>
      </c>
      <c r="H398" s="1">
        <v>1</v>
      </c>
      <c r="I398" s="1">
        <v>1073</v>
      </c>
      <c r="J398" s="1">
        <v>1899</v>
      </c>
      <c r="K398" s="1">
        <v>20</v>
      </c>
      <c r="L398" s="1">
        <f>ROUNDDOWN(formatted_data[[#This Row],[Selling_Price]]*formatted_data[[#This Row],[Discount_%]]/100,0)</f>
        <v>379</v>
      </c>
      <c r="M398" s="1">
        <f>(formatted_data[[#This Row],[Selling_Price]]-formatted_data[[#This Row],[Discount_Amount]])*formatted_data[[#This Row],[Units]]</f>
        <v>1520</v>
      </c>
      <c r="N398" s="1">
        <f>formatted_data[[#This Row],[Total_Revenue]]-(formatted_data[[#This Row],[Cost_Price]]*formatted_data[[#This Row],[Units]])</f>
        <v>447</v>
      </c>
      <c r="O398" s="1" t="s">
        <v>33</v>
      </c>
      <c r="P398"/>
    </row>
    <row r="399" spans="1:16" x14ac:dyDescent="0.35">
      <c r="A399" s="1" t="s">
        <v>103</v>
      </c>
      <c r="B399" s="1" t="s">
        <v>16</v>
      </c>
      <c r="C399" s="2">
        <v>45569</v>
      </c>
      <c r="D399" s="1" t="s">
        <v>35</v>
      </c>
      <c r="E399" s="1" t="s">
        <v>50</v>
      </c>
      <c r="F399" s="1" t="s">
        <v>25</v>
      </c>
      <c r="G399" s="1" t="s">
        <v>20</v>
      </c>
      <c r="H399" s="1">
        <v>1</v>
      </c>
      <c r="I399" s="1">
        <v>517</v>
      </c>
      <c r="J399" s="1">
        <v>999</v>
      </c>
      <c r="K399" s="1">
        <v>15</v>
      </c>
      <c r="L399" s="1">
        <f>ROUNDDOWN(formatted_data[[#This Row],[Selling_Price]]*formatted_data[[#This Row],[Discount_%]]/100,0)</f>
        <v>149</v>
      </c>
      <c r="M399" s="1">
        <f>(formatted_data[[#This Row],[Selling_Price]]-formatted_data[[#This Row],[Discount_Amount]])*formatted_data[[#This Row],[Units]]</f>
        <v>850</v>
      </c>
      <c r="N399" s="1">
        <f>formatted_data[[#This Row],[Total_Revenue]]-(formatted_data[[#This Row],[Cost_Price]]*formatted_data[[#This Row],[Units]])</f>
        <v>333</v>
      </c>
      <c r="O399" s="1" t="s">
        <v>21</v>
      </c>
      <c r="P399"/>
    </row>
    <row r="400" spans="1:16" x14ac:dyDescent="0.35">
      <c r="A400" s="1" t="s">
        <v>56</v>
      </c>
      <c r="B400" s="1" t="s">
        <v>27</v>
      </c>
      <c r="C400" s="2">
        <v>45498</v>
      </c>
      <c r="D400" s="1" t="s">
        <v>28</v>
      </c>
      <c r="E400" s="1" t="s">
        <v>45</v>
      </c>
      <c r="F400" s="1" t="s">
        <v>25</v>
      </c>
      <c r="G400" s="1" t="s">
        <v>19</v>
      </c>
      <c r="H400" s="1">
        <v>1</v>
      </c>
      <c r="I400" s="1">
        <v>846</v>
      </c>
      <c r="J400" s="1">
        <v>1199</v>
      </c>
      <c r="K400" s="1">
        <v>10</v>
      </c>
      <c r="L400" s="1">
        <f>ROUNDDOWN(formatted_data[[#This Row],[Selling_Price]]*formatted_data[[#This Row],[Discount_%]]/100,0)</f>
        <v>119</v>
      </c>
      <c r="M400" s="1">
        <f>(formatted_data[[#This Row],[Selling_Price]]-formatted_data[[#This Row],[Discount_Amount]])*formatted_data[[#This Row],[Units]]</f>
        <v>1080</v>
      </c>
      <c r="N400" s="1">
        <f>formatted_data[[#This Row],[Total_Revenue]]-(formatted_data[[#This Row],[Cost_Price]]*formatted_data[[#This Row],[Units]])</f>
        <v>234</v>
      </c>
      <c r="O400" s="1" t="s">
        <v>21</v>
      </c>
      <c r="P400"/>
    </row>
    <row r="401" spans="1:16" x14ac:dyDescent="0.35">
      <c r="A401" s="1" t="s">
        <v>34</v>
      </c>
      <c r="B401" s="1" t="s">
        <v>27</v>
      </c>
      <c r="C401" s="2">
        <v>45481</v>
      </c>
      <c r="D401" s="1" t="s">
        <v>23</v>
      </c>
      <c r="E401" s="1" t="s">
        <v>43</v>
      </c>
      <c r="F401" s="1" t="s">
        <v>37</v>
      </c>
      <c r="G401" s="1" t="s">
        <v>20</v>
      </c>
      <c r="H401" s="1">
        <v>3</v>
      </c>
      <c r="I401" s="1">
        <v>2937</v>
      </c>
      <c r="J401" s="1">
        <v>4199</v>
      </c>
      <c r="K401" s="1">
        <v>15</v>
      </c>
      <c r="L401" s="1">
        <f>ROUNDDOWN(formatted_data[[#This Row],[Selling_Price]]*formatted_data[[#This Row],[Discount_%]]/100,0)</f>
        <v>629</v>
      </c>
      <c r="M401" s="1">
        <f>(formatted_data[[#This Row],[Selling_Price]]-formatted_data[[#This Row],[Discount_Amount]])*formatted_data[[#This Row],[Units]]</f>
        <v>10710</v>
      </c>
      <c r="N401" s="1">
        <f>formatted_data[[#This Row],[Total_Revenue]]-(formatted_data[[#This Row],[Cost_Price]]*formatted_data[[#This Row],[Units]])</f>
        <v>1899</v>
      </c>
      <c r="O401" s="1" t="s">
        <v>21</v>
      </c>
      <c r="P401"/>
    </row>
    <row r="402" spans="1:16" x14ac:dyDescent="0.35">
      <c r="A402" s="1" t="s">
        <v>82</v>
      </c>
      <c r="B402" s="1" t="s">
        <v>27</v>
      </c>
      <c r="C402" s="2">
        <v>45576</v>
      </c>
      <c r="D402" s="1" t="s">
        <v>17</v>
      </c>
      <c r="E402" s="1" t="s">
        <v>48</v>
      </c>
      <c r="F402" s="1" t="s">
        <v>37</v>
      </c>
      <c r="G402" s="1" t="s">
        <v>19</v>
      </c>
      <c r="H402" s="1">
        <v>1</v>
      </c>
      <c r="I402" s="1">
        <v>261</v>
      </c>
      <c r="J402" s="1">
        <v>499</v>
      </c>
      <c r="K402" s="1">
        <v>0</v>
      </c>
      <c r="L402" s="1">
        <f>ROUNDDOWN(formatted_data[[#This Row],[Selling_Price]]*formatted_data[[#This Row],[Discount_%]]/100,0)</f>
        <v>0</v>
      </c>
      <c r="M402" s="1">
        <f>(formatted_data[[#This Row],[Selling_Price]]-formatted_data[[#This Row],[Discount_Amount]])*formatted_data[[#This Row],[Units]]</f>
        <v>499</v>
      </c>
      <c r="N402" s="1">
        <f>formatted_data[[#This Row],[Total_Revenue]]-(formatted_data[[#This Row],[Cost_Price]]*formatted_data[[#This Row],[Units]])</f>
        <v>238</v>
      </c>
      <c r="O402" s="1" t="s">
        <v>21</v>
      </c>
      <c r="P402"/>
    </row>
    <row r="403" spans="1:16" x14ac:dyDescent="0.35">
      <c r="A403" s="1" t="s">
        <v>85</v>
      </c>
      <c r="B403" s="1" t="s">
        <v>27</v>
      </c>
      <c r="C403" s="2">
        <v>45609</v>
      </c>
      <c r="D403" s="1" t="s">
        <v>17</v>
      </c>
      <c r="E403" s="1" t="s">
        <v>18</v>
      </c>
      <c r="F403" s="1" t="s">
        <v>25</v>
      </c>
      <c r="G403" s="1" t="s">
        <v>20</v>
      </c>
      <c r="H403" s="1">
        <v>1</v>
      </c>
      <c r="I403" s="1">
        <v>380</v>
      </c>
      <c r="J403" s="1">
        <v>599</v>
      </c>
      <c r="K403" s="1">
        <v>0</v>
      </c>
      <c r="L403" s="1">
        <f>ROUNDDOWN(formatted_data[[#This Row],[Selling_Price]]*formatted_data[[#This Row],[Discount_%]]/100,0)</f>
        <v>0</v>
      </c>
      <c r="M403" s="1">
        <f>(formatted_data[[#This Row],[Selling_Price]]-formatted_data[[#This Row],[Discount_Amount]])*formatted_data[[#This Row],[Units]]</f>
        <v>599</v>
      </c>
      <c r="N403" s="1">
        <f>formatted_data[[#This Row],[Total_Revenue]]-(formatted_data[[#This Row],[Cost_Price]]*formatted_data[[#This Row],[Units]])</f>
        <v>219</v>
      </c>
      <c r="O403" s="1" t="s">
        <v>33</v>
      </c>
      <c r="P403"/>
    </row>
    <row r="404" spans="1:16" x14ac:dyDescent="0.35">
      <c r="A404" s="1" t="s">
        <v>81</v>
      </c>
      <c r="B404" s="1" t="s">
        <v>27</v>
      </c>
      <c r="C404" s="2">
        <v>45546</v>
      </c>
      <c r="D404" s="1" t="s">
        <v>31</v>
      </c>
      <c r="E404" s="1" t="s">
        <v>76</v>
      </c>
      <c r="F404" s="1" t="s">
        <v>37</v>
      </c>
      <c r="G404" s="1" t="s">
        <v>20</v>
      </c>
      <c r="H404" s="1">
        <v>1</v>
      </c>
      <c r="I404" s="1">
        <v>872</v>
      </c>
      <c r="J404" s="1">
        <v>1499</v>
      </c>
      <c r="K404" s="1">
        <v>0</v>
      </c>
      <c r="L404" s="1">
        <f>ROUNDDOWN(formatted_data[[#This Row],[Selling_Price]]*formatted_data[[#This Row],[Discount_%]]/100,0)</f>
        <v>0</v>
      </c>
      <c r="M404" s="1">
        <f>(formatted_data[[#This Row],[Selling_Price]]-formatted_data[[#This Row],[Discount_Amount]])*formatted_data[[#This Row],[Units]]</f>
        <v>1499</v>
      </c>
      <c r="N404" s="1">
        <f>formatted_data[[#This Row],[Total_Revenue]]-(formatted_data[[#This Row],[Cost_Price]]*formatted_data[[#This Row],[Units]])</f>
        <v>627</v>
      </c>
      <c r="O404" s="1" t="s">
        <v>21</v>
      </c>
      <c r="P404"/>
    </row>
    <row r="405" spans="1:16" x14ac:dyDescent="0.35">
      <c r="A405" s="1" t="s">
        <v>68</v>
      </c>
      <c r="B405" s="1" t="s">
        <v>16</v>
      </c>
      <c r="C405" s="2">
        <v>45610</v>
      </c>
      <c r="D405" s="1" t="s">
        <v>35</v>
      </c>
      <c r="E405" s="1" t="s">
        <v>58</v>
      </c>
      <c r="F405" s="1" t="s">
        <v>37</v>
      </c>
      <c r="G405" s="1" t="s">
        <v>20</v>
      </c>
      <c r="H405" s="1">
        <v>5</v>
      </c>
      <c r="I405" s="1">
        <v>1531</v>
      </c>
      <c r="J405" s="1">
        <v>2499</v>
      </c>
      <c r="K405" s="1">
        <v>20</v>
      </c>
      <c r="L405" s="1">
        <f>ROUNDDOWN(formatted_data[[#This Row],[Selling_Price]]*formatted_data[[#This Row],[Discount_%]]/100,0)</f>
        <v>499</v>
      </c>
      <c r="M405" s="1">
        <f>(formatted_data[[#This Row],[Selling_Price]]-formatted_data[[#This Row],[Discount_Amount]])*formatted_data[[#This Row],[Units]]</f>
        <v>10000</v>
      </c>
      <c r="N405" s="1">
        <f>formatted_data[[#This Row],[Total_Revenue]]-(formatted_data[[#This Row],[Cost_Price]]*formatted_data[[#This Row],[Units]])</f>
        <v>2345</v>
      </c>
      <c r="O405" s="1" t="s">
        <v>33</v>
      </c>
      <c r="P405"/>
    </row>
    <row r="406" spans="1:16" x14ac:dyDescent="0.35">
      <c r="A406" s="1" t="s">
        <v>98</v>
      </c>
      <c r="B406" s="1" t="s">
        <v>16</v>
      </c>
      <c r="C406" s="2">
        <v>45579</v>
      </c>
      <c r="D406" s="1" t="s">
        <v>31</v>
      </c>
      <c r="E406" s="1" t="s">
        <v>32</v>
      </c>
      <c r="F406" s="1" t="s">
        <v>37</v>
      </c>
      <c r="G406" s="1" t="s">
        <v>19</v>
      </c>
      <c r="H406" s="1">
        <v>1</v>
      </c>
      <c r="I406" s="1">
        <v>1066</v>
      </c>
      <c r="J406" s="1">
        <v>1499</v>
      </c>
      <c r="K406" s="1">
        <v>0</v>
      </c>
      <c r="L406" s="1">
        <f>ROUNDDOWN(formatted_data[[#This Row],[Selling_Price]]*formatted_data[[#This Row],[Discount_%]]/100,0)</f>
        <v>0</v>
      </c>
      <c r="M406" s="1">
        <f>(formatted_data[[#This Row],[Selling_Price]]-formatted_data[[#This Row],[Discount_Amount]])*formatted_data[[#This Row],[Units]]</f>
        <v>1499</v>
      </c>
      <c r="N406" s="1">
        <f>formatted_data[[#This Row],[Total_Revenue]]-(formatted_data[[#This Row],[Cost_Price]]*formatted_data[[#This Row],[Units]])</f>
        <v>433</v>
      </c>
      <c r="O406" s="1" t="s">
        <v>33</v>
      </c>
      <c r="P406"/>
    </row>
    <row r="407" spans="1:16" x14ac:dyDescent="0.35">
      <c r="A407" s="1" t="s">
        <v>77</v>
      </c>
      <c r="B407" s="1" t="s">
        <v>27</v>
      </c>
      <c r="C407" s="2">
        <v>45606</v>
      </c>
      <c r="D407" s="1" t="s">
        <v>31</v>
      </c>
      <c r="E407" s="1" t="s">
        <v>76</v>
      </c>
      <c r="F407" s="1" t="s">
        <v>19</v>
      </c>
      <c r="G407" s="1" t="s">
        <v>19</v>
      </c>
      <c r="H407" s="1">
        <v>1</v>
      </c>
      <c r="I407" s="1">
        <v>689</v>
      </c>
      <c r="J407" s="1">
        <v>1199</v>
      </c>
      <c r="K407" s="1">
        <v>0</v>
      </c>
      <c r="L407" s="1">
        <f>ROUNDDOWN(formatted_data[[#This Row],[Selling_Price]]*formatted_data[[#This Row],[Discount_%]]/100,0)</f>
        <v>0</v>
      </c>
      <c r="M407" s="1">
        <f>(formatted_data[[#This Row],[Selling_Price]]-formatted_data[[#This Row],[Discount_Amount]])*formatted_data[[#This Row],[Units]]</f>
        <v>1199</v>
      </c>
      <c r="N407" s="1">
        <f>formatted_data[[#This Row],[Total_Revenue]]-(formatted_data[[#This Row],[Cost_Price]]*formatted_data[[#This Row],[Units]])</f>
        <v>510</v>
      </c>
      <c r="O407" s="1" t="s">
        <v>33</v>
      </c>
      <c r="P407"/>
    </row>
    <row r="408" spans="1:16" x14ac:dyDescent="0.35">
      <c r="A408" s="1" t="s">
        <v>84</v>
      </c>
      <c r="B408" s="1" t="s">
        <v>27</v>
      </c>
      <c r="C408" s="2">
        <v>45563</v>
      </c>
      <c r="D408" s="1" t="s">
        <v>17</v>
      </c>
      <c r="E408" s="1" t="s">
        <v>18</v>
      </c>
      <c r="F408" s="1" t="s">
        <v>25</v>
      </c>
      <c r="G408" s="1" t="s">
        <v>20</v>
      </c>
      <c r="H408" s="1">
        <v>2</v>
      </c>
      <c r="I408" s="1">
        <v>210</v>
      </c>
      <c r="J408" s="1">
        <v>399</v>
      </c>
      <c r="K408" s="1">
        <v>0</v>
      </c>
      <c r="L408" s="1">
        <f>ROUNDDOWN(formatted_data[[#This Row],[Selling_Price]]*formatted_data[[#This Row],[Discount_%]]/100,0)</f>
        <v>0</v>
      </c>
      <c r="M408" s="1">
        <f>(formatted_data[[#This Row],[Selling_Price]]-formatted_data[[#This Row],[Discount_Amount]])*formatted_data[[#This Row],[Units]]</f>
        <v>798</v>
      </c>
      <c r="N408" s="1">
        <f>formatted_data[[#This Row],[Total_Revenue]]-(formatted_data[[#This Row],[Cost_Price]]*formatted_data[[#This Row],[Units]])</f>
        <v>378</v>
      </c>
      <c r="O408" s="1" t="s">
        <v>21</v>
      </c>
      <c r="P408"/>
    </row>
    <row r="409" spans="1:16" x14ac:dyDescent="0.35">
      <c r="A409" s="1" t="s">
        <v>88</v>
      </c>
      <c r="B409" s="1" t="s">
        <v>27</v>
      </c>
      <c r="C409" s="2">
        <v>45651</v>
      </c>
      <c r="D409" s="1" t="s">
        <v>28</v>
      </c>
      <c r="E409" s="1" t="s">
        <v>29</v>
      </c>
      <c r="F409" s="1" t="s">
        <v>19</v>
      </c>
      <c r="G409" s="1" t="s">
        <v>19</v>
      </c>
      <c r="H409" s="1">
        <v>1</v>
      </c>
      <c r="I409" s="1">
        <v>312</v>
      </c>
      <c r="J409" s="1">
        <v>499</v>
      </c>
      <c r="K409" s="1">
        <v>15</v>
      </c>
      <c r="L409" s="1">
        <f>ROUNDDOWN(formatted_data[[#This Row],[Selling_Price]]*formatted_data[[#This Row],[Discount_%]]/100,0)</f>
        <v>74</v>
      </c>
      <c r="M409" s="1">
        <f>(formatted_data[[#This Row],[Selling_Price]]-formatted_data[[#This Row],[Discount_Amount]])*formatted_data[[#This Row],[Units]]</f>
        <v>425</v>
      </c>
      <c r="N409" s="1">
        <f>formatted_data[[#This Row],[Total_Revenue]]-(formatted_data[[#This Row],[Cost_Price]]*formatted_data[[#This Row],[Units]])</f>
        <v>113</v>
      </c>
      <c r="O409" s="1" t="s">
        <v>33</v>
      </c>
      <c r="P409"/>
    </row>
    <row r="410" spans="1:16" x14ac:dyDescent="0.35">
      <c r="A410" s="1" t="s">
        <v>42</v>
      </c>
      <c r="B410" s="1" t="s">
        <v>27</v>
      </c>
      <c r="C410" s="2">
        <v>45452</v>
      </c>
      <c r="D410" s="1" t="s">
        <v>28</v>
      </c>
      <c r="E410" s="1" t="s">
        <v>29</v>
      </c>
      <c r="F410" s="1" t="s">
        <v>19</v>
      </c>
      <c r="G410" s="1" t="s">
        <v>19</v>
      </c>
      <c r="H410" s="1">
        <v>1</v>
      </c>
      <c r="I410" s="1">
        <v>523</v>
      </c>
      <c r="J410" s="1">
        <v>699</v>
      </c>
      <c r="K410" s="1">
        <v>10</v>
      </c>
      <c r="L410" s="1">
        <f>ROUNDDOWN(formatted_data[[#This Row],[Selling_Price]]*formatted_data[[#This Row],[Discount_%]]/100,0)</f>
        <v>69</v>
      </c>
      <c r="M410" s="1">
        <f>(formatted_data[[#This Row],[Selling_Price]]-formatted_data[[#This Row],[Discount_Amount]])*formatted_data[[#This Row],[Units]]</f>
        <v>630</v>
      </c>
      <c r="N410" s="1">
        <f>formatted_data[[#This Row],[Total_Revenue]]-(formatted_data[[#This Row],[Cost_Price]]*formatted_data[[#This Row],[Units]])</f>
        <v>107</v>
      </c>
      <c r="O410" s="1" t="s">
        <v>21</v>
      </c>
      <c r="P410"/>
    </row>
    <row r="411" spans="1:16" x14ac:dyDescent="0.35">
      <c r="A411" s="1" t="s">
        <v>15</v>
      </c>
      <c r="B411" s="1" t="s">
        <v>16</v>
      </c>
      <c r="C411" s="2">
        <v>45553</v>
      </c>
      <c r="D411" s="1" t="s">
        <v>23</v>
      </c>
      <c r="E411" s="1" t="s">
        <v>24</v>
      </c>
      <c r="F411" s="1" t="s">
        <v>19</v>
      </c>
      <c r="G411" s="1" t="s">
        <v>20</v>
      </c>
      <c r="H411" s="1">
        <v>1</v>
      </c>
      <c r="I411" s="1">
        <v>730</v>
      </c>
      <c r="J411" s="1">
        <v>1199</v>
      </c>
      <c r="K411" s="1">
        <v>15</v>
      </c>
      <c r="L411" s="1">
        <f>ROUNDDOWN(formatted_data[[#This Row],[Selling_Price]]*formatted_data[[#This Row],[Discount_%]]/100,0)</f>
        <v>179</v>
      </c>
      <c r="M411" s="1">
        <f>(formatted_data[[#This Row],[Selling_Price]]-formatted_data[[#This Row],[Discount_Amount]])*formatted_data[[#This Row],[Units]]</f>
        <v>1020</v>
      </c>
      <c r="N411" s="1">
        <f>formatted_data[[#This Row],[Total_Revenue]]-(formatted_data[[#This Row],[Cost_Price]]*formatted_data[[#This Row],[Units]])</f>
        <v>290</v>
      </c>
      <c r="O411" s="1" t="s">
        <v>21</v>
      </c>
      <c r="P411"/>
    </row>
    <row r="412" spans="1:16" x14ac:dyDescent="0.35">
      <c r="A412" s="1" t="s">
        <v>53</v>
      </c>
      <c r="B412" s="1" t="s">
        <v>27</v>
      </c>
      <c r="C412" s="2">
        <v>45550</v>
      </c>
      <c r="D412" s="1" t="s">
        <v>28</v>
      </c>
      <c r="E412" s="1" t="s">
        <v>29</v>
      </c>
      <c r="F412" s="1" t="s">
        <v>25</v>
      </c>
      <c r="G412" s="1" t="s">
        <v>19</v>
      </c>
      <c r="H412" s="1">
        <v>2</v>
      </c>
      <c r="I412" s="1">
        <v>438</v>
      </c>
      <c r="J412" s="1">
        <v>599</v>
      </c>
      <c r="K412" s="1">
        <v>15</v>
      </c>
      <c r="L412" s="1">
        <f>ROUNDDOWN(formatted_data[[#This Row],[Selling_Price]]*formatted_data[[#This Row],[Discount_%]]/100,0)</f>
        <v>89</v>
      </c>
      <c r="M412" s="1">
        <f>(formatted_data[[#This Row],[Selling_Price]]-formatted_data[[#This Row],[Discount_Amount]])*formatted_data[[#This Row],[Units]]</f>
        <v>1020</v>
      </c>
      <c r="N412" s="1">
        <f>formatted_data[[#This Row],[Total_Revenue]]-(formatted_data[[#This Row],[Cost_Price]]*formatted_data[[#This Row],[Units]])</f>
        <v>144</v>
      </c>
      <c r="O412" s="1" t="s">
        <v>21</v>
      </c>
      <c r="P412"/>
    </row>
    <row r="413" spans="1:16" x14ac:dyDescent="0.35">
      <c r="A413" s="1" t="s">
        <v>98</v>
      </c>
      <c r="B413" s="1" t="s">
        <v>16</v>
      </c>
      <c r="C413" s="2">
        <v>45509</v>
      </c>
      <c r="D413" s="1" t="s">
        <v>35</v>
      </c>
      <c r="E413" s="1" t="s">
        <v>36</v>
      </c>
      <c r="F413" s="1" t="s">
        <v>37</v>
      </c>
      <c r="G413" s="1" t="s">
        <v>19</v>
      </c>
      <c r="H413" s="1">
        <v>3</v>
      </c>
      <c r="I413" s="1">
        <v>372</v>
      </c>
      <c r="J413" s="1">
        <v>499</v>
      </c>
      <c r="K413" s="1">
        <v>20</v>
      </c>
      <c r="L413" s="1">
        <f>ROUNDDOWN(formatted_data[[#This Row],[Selling_Price]]*formatted_data[[#This Row],[Discount_%]]/100,0)</f>
        <v>99</v>
      </c>
      <c r="M413" s="1">
        <f>(formatted_data[[#This Row],[Selling_Price]]-formatted_data[[#This Row],[Discount_Amount]])*formatted_data[[#This Row],[Units]]</f>
        <v>1200</v>
      </c>
      <c r="N413" s="1">
        <f>formatted_data[[#This Row],[Total_Revenue]]-(formatted_data[[#This Row],[Cost_Price]]*formatted_data[[#This Row],[Units]])</f>
        <v>84</v>
      </c>
      <c r="O413" s="1" t="s">
        <v>21</v>
      </c>
      <c r="P413"/>
    </row>
    <row r="414" spans="1:16" x14ac:dyDescent="0.35">
      <c r="A414" s="1" t="s">
        <v>108</v>
      </c>
      <c r="B414" s="1" t="s">
        <v>27</v>
      </c>
      <c r="C414" s="2">
        <v>45444</v>
      </c>
      <c r="D414" s="1" t="s">
        <v>35</v>
      </c>
      <c r="E414" s="1" t="s">
        <v>58</v>
      </c>
      <c r="F414" s="1" t="s">
        <v>25</v>
      </c>
      <c r="G414" s="1" t="s">
        <v>20</v>
      </c>
      <c r="H414" s="1">
        <v>1</v>
      </c>
      <c r="I414" s="1">
        <v>1278</v>
      </c>
      <c r="J414" s="1">
        <v>2499</v>
      </c>
      <c r="K414" s="1">
        <v>20</v>
      </c>
      <c r="L414" s="1">
        <f>ROUNDDOWN(formatted_data[[#This Row],[Selling_Price]]*formatted_data[[#This Row],[Discount_%]]/100,0)</f>
        <v>499</v>
      </c>
      <c r="M414" s="1">
        <f>(formatted_data[[#This Row],[Selling_Price]]-formatted_data[[#This Row],[Discount_Amount]])*formatted_data[[#This Row],[Units]]</f>
        <v>2000</v>
      </c>
      <c r="N414" s="1">
        <f>formatted_data[[#This Row],[Total_Revenue]]-(formatted_data[[#This Row],[Cost_Price]]*formatted_data[[#This Row],[Units]])</f>
        <v>722</v>
      </c>
      <c r="O414" s="1" t="s">
        <v>21</v>
      </c>
      <c r="P414"/>
    </row>
    <row r="415" spans="1:16" x14ac:dyDescent="0.35">
      <c r="A415" s="1" t="s">
        <v>30</v>
      </c>
      <c r="B415" s="1" t="s">
        <v>16</v>
      </c>
      <c r="C415" s="2">
        <v>45517</v>
      </c>
      <c r="D415" s="1" t="s">
        <v>31</v>
      </c>
      <c r="E415" s="1" t="s">
        <v>76</v>
      </c>
      <c r="F415" s="1" t="s">
        <v>25</v>
      </c>
      <c r="G415" s="1" t="s">
        <v>19</v>
      </c>
      <c r="H415" s="1">
        <v>1</v>
      </c>
      <c r="I415" s="1">
        <v>512</v>
      </c>
      <c r="J415" s="1">
        <v>999</v>
      </c>
      <c r="K415" s="1">
        <v>0</v>
      </c>
      <c r="L415" s="1">
        <f>ROUNDDOWN(formatted_data[[#This Row],[Selling_Price]]*formatted_data[[#This Row],[Discount_%]]/100,0)</f>
        <v>0</v>
      </c>
      <c r="M415" s="1">
        <f>(formatted_data[[#This Row],[Selling_Price]]-formatted_data[[#This Row],[Discount_Amount]])*formatted_data[[#This Row],[Units]]</f>
        <v>999</v>
      </c>
      <c r="N415" s="1">
        <f>formatted_data[[#This Row],[Total_Revenue]]-(formatted_data[[#This Row],[Cost_Price]]*formatted_data[[#This Row],[Units]])</f>
        <v>487</v>
      </c>
      <c r="O415" s="1" t="s">
        <v>21</v>
      </c>
      <c r="P415"/>
    </row>
    <row r="416" spans="1:16" x14ac:dyDescent="0.35">
      <c r="A416" s="1" t="s">
        <v>92</v>
      </c>
      <c r="B416" s="1" t="s">
        <v>27</v>
      </c>
      <c r="C416" s="2">
        <v>45554</v>
      </c>
      <c r="D416" s="1" t="s">
        <v>35</v>
      </c>
      <c r="E416" s="1" t="s">
        <v>39</v>
      </c>
      <c r="F416" s="1" t="s">
        <v>19</v>
      </c>
      <c r="G416" s="1" t="s">
        <v>19</v>
      </c>
      <c r="H416" s="1">
        <v>5</v>
      </c>
      <c r="I416" s="1">
        <v>854</v>
      </c>
      <c r="J416" s="1">
        <v>1699</v>
      </c>
      <c r="K416" s="1">
        <v>20</v>
      </c>
      <c r="L416" s="1">
        <f>ROUNDDOWN(formatted_data[[#This Row],[Selling_Price]]*formatted_data[[#This Row],[Discount_%]]/100,0)</f>
        <v>339</v>
      </c>
      <c r="M416" s="1">
        <f>(formatted_data[[#This Row],[Selling_Price]]-formatted_data[[#This Row],[Discount_Amount]])*formatted_data[[#This Row],[Units]]</f>
        <v>6800</v>
      </c>
      <c r="N416" s="1">
        <f>formatted_data[[#This Row],[Total_Revenue]]-(formatted_data[[#This Row],[Cost_Price]]*formatted_data[[#This Row],[Units]])</f>
        <v>2530</v>
      </c>
      <c r="O416" s="1" t="s">
        <v>33</v>
      </c>
      <c r="P416"/>
    </row>
    <row r="417" spans="1:16" x14ac:dyDescent="0.35">
      <c r="A417" s="1" t="s">
        <v>82</v>
      </c>
      <c r="B417" s="1" t="s">
        <v>27</v>
      </c>
      <c r="C417" s="2">
        <v>45545</v>
      </c>
      <c r="D417" s="1" t="s">
        <v>23</v>
      </c>
      <c r="E417" s="1" t="s">
        <v>43</v>
      </c>
      <c r="F417" s="1" t="s">
        <v>37</v>
      </c>
      <c r="G417" s="1" t="s">
        <v>20</v>
      </c>
      <c r="H417" s="1">
        <v>5</v>
      </c>
      <c r="I417" s="1">
        <v>2006</v>
      </c>
      <c r="J417" s="1">
        <v>3199</v>
      </c>
      <c r="K417" s="1">
        <v>5</v>
      </c>
      <c r="L417" s="1">
        <f>ROUNDDOWN(formatted_data[[#This Row],[Selling_Price]]*formatted_data[[#This Row],[Discount_%]]/100,0)</f>
        <v>159</v>
      </c>
      <c r="M417" s="1">
        <f>(formatted_data[[#This Row],[Selling_Price]]-formatted_data[[#This Row],[Discount_Amount]])*formatted_data[[#This Row],[Units]]</f>
        <v>15200</v>
      </c>
      <c r="N417" s="1">
        <f>formatted_data[[#This Row],[Total_Revenue]]-(formatted_data[[#This Row],[Cost_Price]]*formatted_data[[#This Row],[Units]])</f>
        <v>5170</v>
      </c>
      <c r="O417" s="1" t="s">
        <v>21</v>
      </c>
      <c r="P417"/>
    </row>
    <row r="418" spans="1:16" x14ac:dyDescent="0.35">
      <c r="A418" s="1" t="s">
        <v>65</v>
      </c>
      <c r="B418" s="1" t="s">
        <v>16</v>
      </c>
      <c r="C418" s="2">
        <v>45528</v>
      </c>
      <c r="D418" s="1" t="s">
        <v>35</v>
      </c>
      <c r="E418" s="1" t="s">
        <v>58</v>
      </c>
      <c r="F418" s="1" t="s">
        <v>19</v>
      </c>
      <c r="G418" s="1" t="s">
        <v>20</v>
      </c>
      <c r="H418" s="1">
        <v>3</v>
      </c>
      <c r="I418" s="1">
        <v>612</v>
      </c>
      <c r="J418" s="1">
        <v>1099</v>
      </c>
      <c r="K418" s="1">
        <v>5</v>
      </c>
      <c r="L418" s="1">
        <f>ROUNDDOWN(formatted_data[[#This Row],[Selling_Price]]*formatted_data[[#This Row],[Discount_%]]/100,0)</f>
        <v>54</v>
      </c>
      <c r="M418" s="1">
        <f>(formatted_data[[#This Row],[Selling_Price]]-formatted_data[[#This Row],[Discount_Amount]])*formatted_data[[#This Row],[Units]]</f>
        <v>3135</v>
      </c>
      <c r="N418" s="1">
        <f>formatted_data[[#This Row],[Total_Revenue]]-(formatted_data[[#This Row],[Cost_Price]]*formatted_data[[#This Row],[Units]])</f>
        <v>1299</v>
      </c>
      <c r="O418" s="1" t="s">
        <v>21</v>
      </c>
      <c r="P418"/>
    </row>
    <row r="419" spans="1:16" x14ac:dyDescent="0.35">
      <c r="A419" s="1" t="s">
        <v>74</v>
      </c>
      <c r="B419" s="1" t="s">
        <v>16</v>
      </c>
      <c r="C419" s="2">
        <v>45600</v>
      </c>
      <c r="D419" s="1" t="s">
        <v>31</v>
      </c>
      <c r="E419" s="1" t="s">
        <v>32</v>
      </c>
      <c r="F419" s="1" t="s">
        <v>19</v>
      </c>
      <c r="G419" s="1" t="s">
        <v>20</v>
      </c>
      <c r="H419" s="1">
        <v>1</v>
      </c>
      <c r="I419" s="1">
        <v>945</v>
      </c>
      <c r="J419" s="1">
        <v>1499</v>
      </c>
      <c r="K419" s="1">
        <v>0</v>
      </c>
      <c r="L419" s="1">
        <f>ROUNDDOWN(formatted_data[[#This Row],[Selling_Price]]*formatted_data[[#This Row],[Discount_%]]/100,0)</f>
        <v>0</v>
      </c>
      <c r="M419" s="1">
        <f>(formatted_data[[#This Row],[Selling_Price]]-formatted_data[[#This Row],[Discount_Amount]])*formatted_data[[#This Row],[Units]]</f>
        <v>1499</v>
      </c>
      <c r="N419" s="1">
        <f>formatted_data[[#This Row],[Total_Revenue]]-(formatted_data[[#This Row],[Cost_Price]]*formatted_data[[#This Row],[Units]])</f>
        <v>554</v>
      </c>
      <c r="O419" s="1" t="s">
        <v>21</v>
      </c>
      <c r="P419"/>
    </row>
    <row r="420" spans="1:16" x14ac:dyDescent="0.35">
      <c r="A420" s="1" t="s">
        <v>42</v>
      </c>
      <c r="B420" s="1" t="s">
        <v>27</v>
      </c>
      <c r="C420" s="2">
        <v>45600</v>
      </c>
      <c r="D420" s="1" t="s">
        <v>31</v>
      </c>
      <c r="E420" s="1" t="s">
        <v>32</v>
      </c>
      <c r="F420" s="1" t="s">
        <v>19</v>
      </c>
      <c r="G420" s="1" t="s">
        <v>19</v>
      </c>
      <c r="H420" s="1">
        <v>5</v>
      </c>
      <c r="I420" s="1">
        <v>874</v>
      </c>
      <c r="J420" s="1">
        <v>1199</v>
      </c>
      <c r="K420" s="1">
        <v>0</v>
      </c>
      <c r="L420" s="1">
        <f>ROUNDDOWN(formatted_data[[#This Row],[Selling_Price]]*formatted_data[[#This Row],[Discount_%]]/100,0)</f>
        <v>0</v>
      </c>
      <c r="M420" s="1">
        <f>(formatted_data[[#This Row],[Selling_Price]]-formatted_data[[#This Row],[Discount_Amount]])*formatted_data[[#This Row],[Units]]</f>
        <v>5995</v>
      </c>
      <c r="N420" s="1">
        <f>formatted_data[[#This Row],[Total_Revenue]]-(formatted_data[[#This Row],[Cost_Price]]*formatted_data[[#This Row],[Units]])</f>
        <v>1625</v>
      </c>
      <c r="O420" s="1" t="s">
        <v>21</v>
      </c>
      <c r="P420"/>
    </row>
    <row r="421" spans="1:16" x14ac:dyDescent="0.35">
      <c r="A421" s="1" t="s">
        <v>95</v>
      </c>
      <c r="B421" s="1" t="s">
        <v>27</v>
      </c>
      <c r="C421" s="2">
        <v>45591</v>
      </c>
      <c r="D421" s="1" t="s">
        <v>31</v>
      </c>
      <c r="E421" s="1" t="s">
        <v>32</v>
      </c>
      <c r="F421" s="1" t="s">
        <v>19</v>
      </c>
      <c r="G421" s="1" t="s">
        <v>20</v>
      </c>
      <c r="H421" s="1">
        <v>1</v>
      </c>
      <c r="I421" s="1">
        <v>758</v>
      </c>
      <c r="J421" s="1">
        <v>1499</v>
      </c>
      <c r="K421" s="1">
        <v>0</v>
      </c>
      <c r="L421" s="1">
        <f>ROUNDDOWN(formatted_data[[#This Row],[Selling_Price]]*formatted_data[[#This Row],[Discount_%]]/100,0)</f>
        <v>0</v>
      </c>
      <c r="M421" s="1">
        <f>(formatted_data[[#This Row],[Selling_Price]]-formatted_data[[#This Row],[Discount_Amount]])*formatted_data[[#This Row],[Units]]</f>
        <v>1499</v>
      </c>
      <c r="N421" s="1">
        <f>formatted_data[[#This Row],[Total_Revenue]]-(formatted_data[[#This Row],[Cost_Price]]*formatted_data[[#This Row],[Units]])</f>
        <v>741</v>
      </c>
      <c r="O421" s="1" t="s">
        <v>21</v>
      </c>
      <c r="P421"/>
    </row>
    <row r="422" spans="1:16" x14ac:dyDescent="0.35">
      <c r="A422" s="1" t="s">
        <v>107</v>
      </c>
      <c r="B422" s="1" t="s">
        <v>27</v>
      </c>
      <c r="C422" s="2">
        <v>45522</v>
      </c>
      <c r="D422" s="1" t="s">
        <v>31</v>
      </c>
      <c r="E422" s="1" t="s">
        <v>76</v>
      </c>
      <c r="F422" s="1" t="s">
        <v>19</v>
      </c>
      <c r="G422" s="1" t="s">
        <v>19</v>
      </c>
      <c r="H422" s="1">
        <v>2</v>
      </c>
      <c r="I422" s="1">
        <v>716</v>
      </c>
      <c r="J422" s="1">
        <v>999</v>
      </c>
      <c r="K422" s="1">
        <v>0</v>
      </c>
      <c r="L422" s="1">
        <f>ROUNDDOWN(formatted_data[[#This Row],[Selling_Price]]*formatted_data[[#This Row],[Discount_%]]/100,0)</f>
        <v>0</v>
      </c>
      <c r="M422" s="1">
        <f>(formatted_data[[#This Row],[Selling_Price]]-formatted_data[[#This Row],[Discount_Amount]])*formatted_data[[#This Row],[Units]]</f>
        <v>1998</v>
      </c>
      <c r="N422" s="1">
        <f>formatted_data[[#This Row],[Total_Revenue]]-(formatted_data[[#This Row],[Cost_Price]]*formatted_data[[#This Row],[Units]])</f>
        <v>566</v>
      </c>
      <c r="O422" s="1" t="s">
        <v>33</v>
      </c>
      <c r="P422"/>
    </row>
    <row r="423" spans="1:16" x14ac:dyDescent="0.35">
      <c r="A423" s="1" t="s">
        <v>92</v>
      </c>
      <c r="B423" s="1" t="s">
        <v>27</v>
      </c>
      <c r="C423" s="2">
        <v>45484</v>
      </c>
      <c r="D423" s="1" t="s">
        <v>23</v>
      </c>
      <c r="E423" s="1" t="s">
        <v>43</v>
      </c>
      <c r="F423" s="1" t="s">
        <v>25</v>
      </c>
      <c r="G423" s="1" t="s">
        <v>20</v>
      </c>
      <c r="H423" s="1">
        <v>1</v>
      </c>
      <c r="I423" s="1">
        <v>1842</v>
      </c>
      <c r="J423" s="1">
        <v>2699</v>
      </c>
      <c r="K423" s="1">
        <v>5</v>
      </c>
      <c r="L423" s="1">
        <f>ROUNDDOWN(formatted_data[[#This Row],[Selling_Price]]*formatted_data[[#This Row],[Discount_%]]/100,0)</f>
        <v>134</v>
      </c>
      <c r="M423" s="1">
        <f>(formatted_data[[#This Row],[Selling_Price]]-formatted_data[[#This Row],[Discount_Amount]])*formatted_data[[#This Row],[Units]]</f>
        <v>2565</v>
      </c>
      <c r="N423" s="1">
        <f>formatted_data[[#This Row],[Total_Revenue]]-(formatted_data[[#This Row],[Cost_Price]]*formatted_data[[#This Row],[Units]])</f>
        <v>723</v>
      </c>
      <c r="O423" s="1" t="s">
        <v>21</v>
      </c>
      <c r="P423"/>
    </row>
    <row r="424" spans="1:16" x14ac:dyDescent="0.35">
      <c r="A424" s="1" t="s">
        <v>105</v>
      </c>
      <c r="B424" s="1" t="s">
        <v>16</v>
      </c>
      <c r="C424" s="2">
        <v>45615</v>
      </c>
      <c r="D424" s="1" t="s">
        <v>17</v>
      </c>
      <c r="E424" s="1" t="s">
        <v>72</v>
      </c>
      <c r="F424" s="1" t="s">
        <v>25</v>
      </c>
      <c r="G424" s="1" t="s">
        <v>20</v>
      </c>
      <c r="H424" s="1">
        <v>3</v>
      </c>
      <c r="I424" s="1">
        <v>214</v>
      </c>
      <c r="J424" s="1">
        <v>399</v>
      </c>
      <c r="K424" s="1">
        <v>0</v>
      </c>
      <c r="L424" s="1">
        <f>ROUNDDOWN(formatted_data[[#This Row],[Selling_Price]]*formatted_data[[#This Row],[Discount_%]]/100,0)</f>
        <v>0</v>
      </c>
      <c r="M424" s="1">
        <f>(formatted_data[[#This Row],[Selling_Price]]-formatted_data[[#This Row],[Discount_Amount]])*formatted_data[[#This Row],[Units]]</f>
        <v>1197</v>
      </c>
      <c r="N424" s="1">
        <f>formatted_data[[#This Row],[Total_Revenue]]-(formatted_data[[#This Row],[Cost_Price]]*formatted_data[[#This Row],[Units]])</f>
        <v>555</v>
      </c>
      <c r="O424" s="1" t="s">
        <v>21</v>
      </c>
      <c r="P424"/>
    </row>
    <row r="425" spans="1:16" x14ac:dyDescent="0.35">
      <c r="A425" s="1" t="s">
        <v>53</v>
      </c>
      <c r="B425" s="1" t="s">
        <v>27</v>
      </c>
      <c r="C425" s="2">
        <v>45449</v>
      </c>
      <c r="D425" s="1" t="s">
        <v>23</v>
      </c>
      <c r="E425" s="1" t="s">
        <v>24</v>
      </c>
      <c r="F425" s="1" t="s">
        <v>25</v>
      </c>
      <c r="G425" s="1" t="s">
        <v>19</v>
      </c>
      <c r="H425" s="1">
        <v>2</v>
      </c>
      <c r="I425" s="1">
        <v>1415</v>
      </c>
      <c r="J425" s="1">
        <v>2399</v>
      </c>
      <c r="K425" s="1">
        <v>15</v>
      </c>
      <c r="L425" s="1">
        <f>ROUNDDOWN(formatted_data[[#This Row],[Selling_Price]]*formatted_data[[#This Row],[Discount_%]]/100,0)</f>
        <v>359</v>
      </c>
      <c r="M425" s="1">
        <f>(formatted_data[[#This Row],[Selling_Price]]-formatted_data[[#This Row],[Discount_Amount]])*formatted_data[[#This Row],[Units]]</f>
        <v>4080</v>
      </c>
      <c r="N425" s="1">
        <f>formatted_data[[#This Row],[Total_Revenue]]-(formatted_data[[#This Row],[Cost_Price]]*formatted_data[[#This Row],[Units]])</f>
        <v>1250</v>
      </c>
      <c r="O425" s="1" t="s">
        <v>33</v>
      </c>
      <c r="P425"/>
    </row>
    <row r="426" spans="1:16" x14ac:dyDescent="0.35">
      <c r="A426" s="1" t="s">
        <v>77</v>
      </c>
      <c r="B426" s="1" t="s">
        <v>27</v>
      </c>
      <c r="C426" s="2">
        <v>45561</v>
      </c>
      <c r="D426" s="1" t="s">
        <v>35</v>
      </c>
      <c r="E426" s="1" t="s">
        <v>50</v>
      </c>
      <c r="F426" s="1" t="s">
        <v>25</v>
      </c>
      <c r="G426" s="1" t="s">
        <v>19</v>
      </c>
      <c r="H426" s="1">
        <v>3</v>
      </c>
      <c r="I426" s="1">
        <v>1017</v>
      </c>
      <c r="J426" s="1">
        <v>1599</v>
      </c>
      <c r="K426" s="1">
        <v>5</v>
      </c>
      <c r="L426" s="1">
        <f>ROUNDDOWN(formatted_data[[#This Row],[Selling_Price]]*formatted_data[[#This Row],[Discount_%]]/100,0)</f>
        <v>79</v>
      </c>
      <c r="M426" s="1">
        <f>(formatted_data[[#This Row],[Selling_Price]]-formatted_data[[#This Row],[Discount_Amount]])*formatted_data[[#This Row],[Units]]</f>
        <v>4560</v>
      </c>
      <c r="N426" s="1">
        <f>formatted_data[[#This Row],[Total_Revenue]]-(formatted_data[[#This Row],[Cost_Price]]*formatted_data[[#This Row],[Units]])</f>
        <v>1509</v>
      </c>
      <c r="O426" s="1" t="s">
        <v>21</v>
      </c>
      <c r="P426"/>
    </row>
    <row r="427" spans="1:16" x14ac:dyDescent="0.35">
      <c r="A427" s="1" t="s">
        <v>26</v>
      </c>
      <c r="B427" s="1" t="s">
        <v>27</v>
      </c>
      <c r="C427" s="2">
        <v>45505</v>
      </c>
      <c r="D427" s="1" t="s">
        <v>31</v>
      </c>
      <c r="E427" s="1" t="s">
        <v>32</v>
      </c>
      <c r="F427" s="1" t="s">
        <v>25</v>
      </c>
      <c r="G427" s="1" t="s">
        <v>19</v>
      </c>
      <c r="H427" s="1">
        <v>1</v>
      </c>
      <c r="I427" s="1">
        <v>984</v>
      </c>
      <c r="J427" s="1">
        <v>1499</v>
      </c>
      <c r="K427" s="1">
        <v>0</v>
      </c>
      <c r="L427" s="1">
        <f>ROUNDDOWN(formatted_data[[#This Row],[Selling_Price]]*formatted_data[[#This Row],[Discount_%]]/100,0)</f>
        <v>0</v>
      </c>
      <c r="M427" s="1">
        <f>(formatted_data[[#This Row],[Selling_Price]]-formatted_data[[#This Row],[Discount_Amount]])*formatted_data[[#This Row],[Units]]</f>
        <v>1499</v>
      </c>
      <c r="N427" s="1">
        <f>formatted_data[[#This Row],[Total_Revenue]]-(formatted_data[[#This Row],[Cost_Price]]*formatted_data[[#This Row],[Units]])</f>
        <v>515</v>
      </c>
      <c r="O427" s="1" t="s">
        <v>21</v>
      </c>
      <c r="P427"/>
    </row>
    <row r="428" spans="1:16" x14ac:dyDescent="0.35">
      <c r="A428" s="1" t="s">
        <v>80</v>
      </c>
      <c r="B428" s="1" t="s">
        <v>27</v>
      </c>
      <c r="C428" s="2">
        <v>45541</v>
      </c>
      <c r="D428" s="1" t="s">
        <v>17</v>
      </c>
      <c r="E428" s="1" t="s">
        <v>55</v>
      </c>
      <c r="F428" s="1" t="s">
        <v>25</v>
      </c>
      <c r="G428" s="1" t="s">
        <v>20</v>
      </c>
      <c r="H428" s="1">
        <v>4</v>
      </c>
      <c r="I428" s="1">
        <v>158</v>
      </c>
      <c r="J428" s="1">
        <v>299</v>
      </c>
      <c r="K428" s="1">
        <v>0</v>
      </c>
      <c r="L428" s="1">
        <f>ROUNDDOWN(formatted_data[[#This Row],[Selling_Price]]*formatted_data[[#This Row],[Discount_%]]/100,0)</f>
        <v>0</v>
      </c>
      <c r="M428" s="1">
        <f>(formatted_data[[#This Row],[Selling_Price]]-formatted_data[[#This Row],[Discount_Amount]])*formatted_data[[#This Row],[Units]]</f>
        <v>1196</v>
      </c>
      <c r="N428" s="1">
        <f>formatted_data[[#This Row],[Total_Revenue]]-(formatted_data[[#This Row],[Cost_Price]]*formatted_data[[#This Row],[Units]])</f>
        <v>564</v>
      </c>
      <c r="O428" s="1" t="s">
        <v>21</v>
      </c>
      <c r="P428"/>
    </row>
    <row r="429" spans="1:16" x14ac:dyDescent="0.35">
      <c r="A429" s="1" t="s">
        <v>95</v>
      </c>
      <c r="B429" s="1" t="s">
        <v>27</v>
      </c>
      <c r="C429" s="2">
        <v>45539</v>
      </c>
      <c r="D429" s="1" t="s">
        <v>28</v>
      </c>
      <c r="E429" s="1" t="s">
        <v>29</v>
      </c>
      <c r="F429" s="1" t="s">
        <v>19</v>
      </c>
      <c r="G429" s="1" t="s">
        <v>19</v>
      </c>
      <c r="H429" s="1">
        <v>4</v>
      </c>
      <c r="I429" s="1">
        <v>263</v>
      </c>
      <c r="J429" s="1">
        <v>499</v>
      </c>
      <c r="K429" s="1">
        <v>20</v>
      </c>
      <c r="L429" s="1">
        <f>ROUNDDOWN(formatted_data[[#This Row],[Selling_Price]]*formatted_data[[#This Row],[Discount_%]]/100,0)</f>
        <v>99</v>
      </c>
      <c r="M429" s="1">
        <f>(formatted_data[[#This Row],[Selling_Price]]-formatted_data[[#This Row],[Discount_Amount]])*formatted_data[[#This Row],[Units]]</f>
        <v>1600</v>
      </c>
      <c r="N429" s="1">
        <f>formatted_data[[#This Row],[Total_Revenue]]-(formatted_data[[#This Row],[Cost_Price]]*formatted_data[[#This Row],[Units]])</f>
        <v>548</v>
      </c>
      <c r="O429" s="1" t="s">
        <v>21</v>
      </c>
      <c r="P429"/>
    </row>
    <row r="430" spans="1:16" x14ac:dyDescent="0.35">
      <c r="A430" s="1" t="s">
        <v>109</v>
      </c>
      <c r="B430" s="1" t="s">
        <v>16</v>
      </c>
      <c r="C430" s="2">
        <v>45605</v>
      </c>
      <c r="D430" s="1" t="s">
        <v>35</v>
      </c>
      <c r="E430" s="1" t="s">
        <v>36</v>
      </c>
      <c r="F430" s="1" t="s">
        <v>25</v>
      </c>
      <c r="G430" s="1" t="s">
        <v>20</v>
      </c>
      <c r="H430" s="1">
        <v>1</v>
      </c>
      <c r="I430" s="1">
        <v>273</v>
      </c>
      <c r="J430" s="1">
        <v>399</v>
      </c>
      <c r="K430" s="1">
        <v>10</v>
      </c>
      <c r="L430" s="1">
        <f>ROUNDDOWN(formatted_data[[#This Row],[Selling_Price]]*formatted_data[[#This Row],[Discount_%]]/100,0)</f>
        <v>39</v>
      </c>
      <c r="M430" s="1">
        <f>(formatted_data[[#This Row],[Selling_Price]]-formatted_data[[#This Row],[Discount_Amount]])*formatted_data[[#This Row],[Units]]</f>
        <v>360</v>
      </c>
      <c r="N430" s="1">
        <f>formatted_data[[#This Row],[Total_Revenue]]-(formatted_data[[#This Row],[Cost_Price]]*formatted_data[[#This Row],[Units]])</f>
        <v>87</v>
      </c>
      <c r="O430" s="1" t="s">
        <v>21</v>
      </c>
      <c r="P430"/>
    </row>
    <row r="431" spans="1:16" x14ac:dyDescent="0.35">
      <c r="A431" s="1" t="s">
        <v>78</v>
      </c>
      <c r="B431" s="1" t="s">
        <v>16</v>
      </c>
      <c r="C431" s="2">
        <v>45544</v>
      </c>
      <c r="D431" s="1" t="s">
        <v>28</v>
      </c>
      <c r="E431" s="1" t="s">
        <v>29</v>
      </c>
      <c r="F431" s="1" t="s">
        <v>19</v>
      </c>
      <c r="G431" s="1" t="s">
        <v>19</v>
      </c>
      <c r="H431" s="1">
        <v>1</v>
      </c>
      <c r="I431" s="1">
        <v>420</v>
      </c>
      <c r="J431" s="1">
        <v>599</v>
      </c>
      <c r="K431" s="1">
        <v>15</v>
      </c>
      <c r="L431" s="1">
        <f>ROUNDDOWN(formatted_data[[#This Row],[Selling_Price]]*formatted_data[[#This Row],[Discount_%]]/100,0)</f>
        <v>89</v>
      </c>
      <c r="M431" s="1">
        <f>(formatted_data[[#This Row],[Selling_Price]]-formatted_data[[#This Row],[Discount_Amount]])*formatted_data[[#This Row],[Units]]</f>
        <v>510</v>
      </c>
      <c r="N431" s="1">
        <f>formatted_data[[#This Row],[Total_Revenue]]-(formatted_data[[#This Row],[Cost_Price]]*formatted_data[[#This Row],[Units]])</f>
        <v>90</v>
      </c>
      <c r="O431" s="1" t="s">
        <v>21</v>
      </c>
      <c r="P431"/>
    </row>
    <row r="432" spans="1:16" x14ac:dyDescent="0.35">
      <c r="A432" s="1" t="s">
        <v>51</v>
      </c>
      <c r="B432" s="1" t="s">
        <v>16</v>
      </c>
      <c r="C432" s="2">
        <v>45627</v>
      </c>
      <c r="D432" s="1" t="s">
        <v>28</v>
      </c>
      <c r="E432" s="1" t="s">
        <v>45</v>
      </c>
      <c r="F432" s="1" t="s">
        <v>19</v>
      </c>
      <c r="G432" s="1" t="s">
        <v>20</v>
      </c>
      <c r="H432" s="1">
        <v>1</v>
      </c>
      <c r="I432" s="1">
        <v>492</v>
      </c>
      <c r="J432" s="1">
        <v>699</v>
      </c>
      <c r="K432" s="1">
        <v>5</v>
      </c>
      <c r="L432" s="1">
        <f>ROUNDDOWN(formatted_data[[#This Row],[Selling_Price]]*formatted_data[[#This Row],[Discount_%]]/100,0)</f>
        <v>34</v>
      </c>
      <c r="M432" s="1">
        <f>(formatted_data[[#This Row],[Selling_Price]]-formatted_data[[#This Row],[Discount_Amount]])*formatted_data[[#This Row],[Units]]</f>
        <v>665</v>
      </c>
      <c r="N432" s="1">
        <f>formatted_data[[#This Row],[Total_Revenue]]-(formatted_data[[#This Row],[Cost_Price]]*formatted_data[[#This Row],[Units]])</f>
        <v>173</v>
      </c>
      <c r="O432" s="1" t="s">
        <v>21</v>
      </c>
      <c r="P432"/>
    </row>
    <row r="433" spans="1:16" x14ac:dyDescent="0.35">
      <c r="A433" s="1" t="s">
        <v>86</v>
      </c>
      <c r="B433" s="1" t="s">
        <v>27</v>
      </c>
      <c r="C433" s="2">
        <v>45644</v>
      </c>
      <c r="D433" s="1" t="s">
        <v>28</v>
      </c>
      <c r="E433" s="1" t="s">
        <v>45</v>
      </c>
      <c r="F433" s="1" t="s">
        <v>25</v>
      </c>
      <c r="G433" s="1" t="s">
        <v>19</v>
      </c>
      <c r="H433" s="1">
        <v>2</v>
      </c>
      <c r="I433" s="1">
        <v>783</v>
      </c>
      <c r="J433" s="1">
        <v>1299</v>
      </c>
      <c r="K433" s="1">
        <v>20</v>
      </c>
      <c r="L433" s="1">
        <f>ROUNDDOWN(formatted_data[[#This Row],[Selling_Price]]*formatted_data[[#This Row],[Discount_%]]/100,0)</f>
        <v>259</v>
      </c>
      <c r="M433" s="1">
        <f>(formatted_data[[#This Row],[Selling_Price]]-formatted_data[[#This Row],[Discount_Amount]])*formatted_data[[#This Row],[Units]]</f>
        <v>2080</v>
      </c>
      <c r="N433" s="1">
        <f>formatted_data[[#This Row],[Total_Revenue]]-(formatted_data[[#This Row],[Cost_Price]]*formatted_data[[#This Row],[Units]])</f>
        <v>514</v>
      </c>
      <c r="O433" s="1" t="s">
        <v>21</v>
      </c>
      <c r="P433"/>
    </row>
    <row r="434" spans="1:16" x14ac:dyDescent="0.35">
      <c r="A434" s="1" t="s">
        <v>91</v>
      </c>
      <c r="B434" s="1" t="s">
        <v>16</v>
      </c>
      <c r="C434" s="2">
        <v>45639</v>
      </c>
      <c r="D434" s="1" t="s">
        <v>17</v>
      </c>
      <c r="E434" s="1" t="s">
        <v>48</v>
      </c>
      <c r="F434" s="1" t="s">
        <v>25</v>
      </c>
      <c r="G434" s="1" t="s">
        <v>19</v>
      </c>
      <c r="H434" s="1">
        <v>1</v>
      </c>
      <c r="I434" s="1">
        <v>338</v>
      </c>
      <c r="J434" s="1">
        <v>599</v>
      </c>
      <c r="K434" s="1">
        <v>0</v>
      </c>
      <c r="L434" s="1">
        <f>ROUNDDOWN(formatted_data[[#This Row],[Selling_Price]]*formatted_data[[#This Row],[Discount_%]]/100,0)</f>
        <v>0</v>
      </c>
      <c r="M434" s="1">
        <f>(formatted_data[[#This Row],[Selling_Price]]-formatted_data[[#This Row],[Discount_Amount]])*formatted_data[[#This Row],[Units]]</f>
        <v>599</v>
      </c>
      <c r="N434" s="1">
        <f>formatted_data[[#This Row],[Total_Revenue]]-(formatted_data[[#This Row],[Cost_Price]]*formatted_data[[#This Row],[Units]])</f>
        <v>261</v>
      </c>
      <c r="O434" s="1" t="s">
        <v>33</v>
      </c>
      <c r="P434"/>
    </row>
    <row r="435" spans="1:16" x14ac:dyDescent="0.35">
      <c r="A435" s="1" t="s">
        <v>53</v>
      </c>
      <c r="B435" s="1" t="s">
        <v>27</v>
      </c>
      <c r="C435" s="2">
        <v>45476</v>
      </c>
      <c r="D435" s="1" t="s">
        <v>17</v>
      </c>
      <c r="E435" s="1" t="s">
        <v>18</v>
      </c>
      <c r="F435" s="1" t="s">
        <v>25</v>
      </c>
      <c r="G435" s="1" t="s">
        <v>19</v>
      </c>
      <c r="H435" s="1">
        <v>3</v>
      </c>
      <c r="I435" s="1">
        <v>252</v>
      </c>
      <c r="J435" s="1">
        <v>499</v>
      </c>
      <c r="K435" s="1">
        <v>0</v>
      </c>
      <c r="L435" s="1">
        <f>ROUNDDOWN(formatted_data[[#This Row],[Selling_Price]]*formatted_data[[#This Row],[Discount_%]]/100,0)</f>
        <v>0</v>
      </c>
      <c r="M435" s="1">
        <f>(formatted_data[[#This Row],[Selling_Price]]-formatted_data[[#This Row],[Discount_Amount]])*formatted_data[[#This Row],[Units]]</f>
        <v>1497</v>
      </c>
      <c r="N435" s="1">
        <f>formatted_data[[#This Row],[Total_Revenue]]-(formatted_data[[#This Row],[Cost_Price]]*formatted_data[[#This Row],[Units]])</f>
        <v>741</v>
      </c>
      <c r="O435" s="1" t="s">
        <v>33</v>
      </c>
      <c r="P435"/>
    </row>
    <row r="436" spans="1:16" x14ac:dyDescent="0.35">
      <c r="A436" s="1" t="s">
        <v>26</v>
      </c>
      <c r="B436" s="1" t="s">
        <v>27</v>
      </c>
      <c r="C436" s="2">
        <v>45648</v>
      </c>
      <c r="D436" s="1" t="s">
        <v>28</v>
      </c>
      <c r="E436" s="1" t="s">
        <v>29</v>
      </c>
      <c r="F436" s="1" t="s">
        <v>25</v>
      </c>
      <c r="G436" s="1" t="s">
        <v>19</v>
      </c>
      <c r="H436" s="1">
        <v>1</v>
      </c>
      <c r="I436" s="1">
        <v>273</v>
      </c>
      <c r="J436" s="1">
        <v>499</v>
      </c>
      <c r="K436" s="1">
        <v>10</v>
      </c>
      <c r="L436" s="1">
        <f>ROUNDDOWN(formatted_data[[#This Row],[Selling_Price]]*formatted_data[[#This Row],[Discount_%]]/100,0)</f>
        <v>49</v>
      </c>
      <c r="M436" s="1">
        <f>(formatted_data[[#This Row],[Selling_Price]]-formatted_data[[#This Row],[Discount_Amount]])*formatted_data[[#This Row],[Units]]</f>
        <v>450</v>
      </c>
      <c r="N436" s="1">
        <f>formatted_data[[#This Row],[Total_Revenue]]-(formatted_data[[#This Row],[Cost_Price]]*formatted_data[[#This Row],[Units]])</f>
        <v>177</v>
      </c>
      <c r="O436" s="1" t="s">
        <v>33</v>
      </c>
      <c r="P436"/>
    </row>
    <row r="437" spans="1:16" x14ac:dyDescent="0.35">
      <c r="A437" s="1" t="s">
        <v>93</v>
      </c>
      <c r="B437" s="1" t="s">
        <v>16</v>
      </c>
      <c r="C437" s="2">
        <v>45544</v>
      </c>
      <c r="D437" s="1" t="s">
        <v>31</v>
      </c>
      <c r="E437" s="1" t="s">
        <v>32</v>
      </c>
      <c r="F437" s="1" t="s">
        <v>19</v>
      </c>
      <c r="G437" s="1" t="s">
        <v>19</v>
      </c>
      <c r="H437" s="1">
        <v>4</v>
      </c>
      <c r="I437" s="1">
        <v>840</v>
      </c>
      <c r="J437" s="1">
        <v>1499</v>
      </c>
      <c r="K437" s="1">
        <v>0</v>
      </c>
      <c r="L437" s="1">
        <f>ROUNDDOWN(formatted_data[[#This Row],[Selling_Price]]*formatted_data[[#This Row],[Discount_%]]/100,0)</f>
        <v>0</v>
      </c>
      <c r="M437" s="1">
        <f>(formatted_data[[#This Row],[Selling_Price]]-formatted_data[[#This Row],[Discount_Amount]])*formatted_data[[#This Row],[Units]]</f>
        <v>5996</v>
      </c>
      <c r="N437" s="1">
        <f>formatted_data[[#This Row],[Total_Revenue]]-(formatted_data[[#This Row],[Cost_Price]]*formatted_data[[#This Row],[Units]])</f>
        <v>2636</v>
      </c>
      <c r="O437" s="1" t="s">
        <v>21</v>
      </c>
      <c r="P437"/>
    </row>
    <row r="438" spans="1:16" x14ac:dyDescent="0.35">
      <c r="A438" s="1" t="s">
        <v>57</v>
      </c>
      <c r="B438" s="1" t="s">
        <v>27</v>
      </c>
      <c r="C438" s="2">
        <v>45506</v>
      </c>
      <c r="D438" s="1" t="s">
        <v>23</v>
      </c>
      <c r="E438" s="1" t="s">
        <v>24</v>
      </c>
      <c r="F438" s="1" t="s">
        <v>19</v>
      </c>
      <c r="G438" s="1" t="s">
        <v>20</v>
      </c>
      <c r="H438" s="1">
        <v>2</v>
      </c>
      <c r="I438" s="1">
        <v>453</v>
      </c>
      <c r="J438" s="1">
        <v>899</v>
      </c>
      <c r="K438" s="1">
        <v>5</v>
      </c>
      <c r="L438" s="1">
        <f>ROUNDDOWN(formatted_data[[#This Row],[Selling_Price]]*formatted_data[[#This Row],[Discount_%]]/100,0)</f>
        <v>44</v>
      </c>
      <c r="M438" s="1">
        <f>(formatted_data[[#This Row],[Selling_Price]]-formatted_data[[#This Row],[Discount_Amount]])*formatted_data[[#This Row],[Units]]</f>
        <v>1710</v>
      </c>
      <c r="N438" s="1">
        <f>formatted_data[[#This Row],[Total_Revenue]]-(formatted_data[[#This Row],[Cost_Price]]*formatted_data[[#This Row],[Units]])</f>
        <v>804</v>
      </c>
      <c r="O438" s="1" t="s">
        <v>21</v>
      </c>
      <c r="P438"/>
    </row>
    <row r="439" spans="1:16" x14ac:dyDescent="0.35">
      <c r="A439" s="1" t="s">
        <v>78</v>
      </c>
      <c r="B439" s="1" t="s">
        <v>16</v>
      </c>
      <c r="C439" s="2">
        <v>45573</v>
      </c>
      <c r="D439" s="1" t="s">
        <v>31</v>
      </c>
      <c r="E439" s="1" t="s">
        <v>32</v>
      </c>
      <c r="F439" s="1" t="s">
        <v>19</v>
      </c>
      <c r="G439" s="1" t="s">
        <v>19</v>
      </c>
      <c r="H439" s="1">
        <v>4</v>
      </c>
      <c r="I439" s="1">
        <v>1057</v>
      </c>
      <c r="J439" s="1">
        <v>1499</v>
      </c>
      <c r="K439" s="1">
        <v>0</v>
      </c>
      <c r="L439" s="1">
        <f>ROUNDDOWN(formatted_data[[#This Row],[Selling_Price]]*formatted_data[[#This Row],[Discount_%]]/100,0)</f>
        <v>0</v>
      </c>
      <c r="M439" s="1">
        <f>(formatted_data[[#This Row],[Selling_Price]]-formatted_data[[#This Row],[Discount_Amount]])*formatted_data[[#This Row],[Units]]</f>
        <v>5996</v>
      </c>
      <c r="N439" s="1">
        <f>formatted_data[[#This Row],[Total_Revenue]]-(formatted_data[[#This Row],[Cost_Price]]*formatted_data[[#This Row],[Units]])</f>
        <v>1768</v>
      </c>
      <c r="O439" s="1" t="s">
        <v>33</v>
      </c>
      <c r="P439"/>
    </row>
    <row r="440" spans="1:16" x14ac:dyDescent="0.35">
      <c r="A440" s="1" t="s">
        <v>67</v>
      </c>
      <c r="B440" s="1" t="s">
        <v>27</v>
      </c>
      <c r="C440" s="2">
        <v>45530</v>
      </c>
      <c r="D440" s="1" t="s">
        <v>23</v>
      </c>
      <c r="E440" s="1" t="s">
        <v>24</v>
      </c>
      <c r="F440" s="1" t="s">
        <v>25</v>
      </c>
      <c r="G440" s="1" t="s">
        <v>19</v>
      </c>
      <c r="H440" s="1">
        <v>2</v>
      </c>
      <c r="I440" s="1">
        <v>834</v>
      </c>
      <c r="J440" s="1">
        <v>1299</v>
      </c>
      <c r="K440" s="1">
        <v>5</v>
      </c>
      <c r="L440" s="1">
        <f>ROUNDDOWN(formatted_data[[#This Row],[Selling_Price]]*formatted_data[[#This Row],[Discount_%]]/100,0)</f>
        <v>64</v>
      </c>
      <c r="M440" s="1">
        <f>(formatted_data[[#This Row],[Selling_Price]]-formatted_data[[#This Row],[Discount_Amount]])*formatted_data[[#This Row],[Units]]</f>
        <v>2470</v>
      </c>
      <c r="N440" s="1">
        <f>formatted_data[[#This Row],[Total_Revenue]]-(formatted_data[[#This Row],[Cost_Price]]*formatted_data[[#This Row],[Units]])</f>
        <v>802</v>
      </c>
      <c r="O440" s="1" t="s">
        <v>21</v>
      </c>
      <c r="P440"/>
    </row>
    <row r="441" spans="1:16" x14ac:dyDescent="0.35">
      <c r="A441" s="1" t="s">
        <v>69</v>
      </c>
      <c r="B441" s="1" t="s">
        <v>16</v>
      </c>
      <c r="C441" s="2">
        <v>45638</v>
      </c>
      <c r="D441" s="1" t="s">
        <v>35</v>
      </c>
      <c r="E441" s="1" t="s">
        <v>100</v>
      </c>
      <c r="F441" s="1" t="s">
        <v>37</v>
      </c>
      <c r="G441" s="1" t="s">
        <v>20</v>
      </c>
      <c r="H441" s="1">
        <v>1</v>
      </c>
      <c r="I441" s="1">
        <v>1398</v>
      </c>
      <c r="J441" s="1">
        <v>2299</v>
      </c>
      <c r="K441" s="1">
        <v>10</v>
      </c>
      <c r="L441" s="1">
        <f>ROUNDDOWN(formatted_data[[#This Row],[Selling_Price]]*formatted_data[[#This Row],[Discount_%]]/100,0)</f>
        <v>229</v>
      </c>
      <c r="M441" s="1">
        <f>(formatted_data[[#This Row],[Selling_Price]]-formatted_data[[#This Row],[Discount_Amount]])*formatted_data[[#This Row],[Units]]</f>
        <v>2070</v>
      </c>
      <c r="N441" s="1">
        <f>formatted_data[[#This Row],[Total_Revenue]]-(formatted_data[[#This Row],[Cost_Price]]*formatted_data[[#This Row],[Units]])</f>
        <v>672</v>
      </c>
      <c r="O441" s="1" t="s">
        <v>33</v>
      </c>
      <c r="P441"/>
    </row>
    <row r="442" spans="1:16" x14ac:dyDescent="0.35">
      <c r="A442" s="1" t="s">
        <v>54</v>
      </c>
      <c r="B442" s="1" t="s">
        <v>27</v>
      </c>
      <c r="C442" s="2">
        <v>45452</v>
      </c>
      <c r="D442" s="1" t="s">
        <v>35</v>
      </c>
      <c r="E442" s="1" t="s">
        <v>39</v>
      </c>
      <c r="F442" s="1" t="s">
        <v>25</v>
      </c>
      <c r="G442" s="1" t="s">
        <v>20</v>
      </c>
      <c r="H442" s="1">
        <v>1</v>
      </c>
      <c r="I442" s="1">
        <v>698</v>
      </c>
      <c r="J442" s="1">
        <v>1099</v>
      </c>
      <c r="K442" s="1">
        <v>5</v>
      </c>
      <c r="L442" s="1">
        <f>ROUNDDOWN(formatted_data[[#This Row],[Selling_Price]]*formatted_data[[#This Row],[Discount_%]]/100,0)</f>
        <v>54</v>
      </c>
      <c r="M442" s="1">
        <f>(formatted_data[[#This Row],[Selling_Price]]-formatted_data[[#This Row],[Discount_Amount]])*formatted_data[[#This Row],[Units]]</f>
        <v>1045</v>
      </c>
      <c r="N442" s="1">
        <f>formatted_data[[#This Row],[Total_Revenue]]-(formatted_data[[#This Row],[Cost_Price]]*formatted_data[[#This Row],[Units]])</f>
        <v>347</v>
      </c>
      <c r="O442" s="1" t="s">
        <v>33</v>
      </c>
      <c r="P442"/>
    </row>
    <row r="443" spans="1:16" x14ac:dyDescent="0.35">
      <c r="A443" s="1" t="s">
        <v>81</v>
      </c>
      <c r="B443" s="1" t="s">
        <v>27</v>
      </c>
      <c r="C443" s="2">
        <v>45481</v>
      </c>
      <c r="D443" s="1" t="s">
        <v>23</v>
      </c>
      <c r="E443" s="1" t="s">
        <v>24</v>
      </c>
      <c r="F443" s="1" t="s">
        <v>19</v>
      </c>
      <c r="G443" s="1" t="s">
        <v>19</v>
      </c>
      <c r="H443" s="1">
        <v>1</v>
      </c>
      <c r="I443" s="1">
        <v>1224</v>
      </c>
      <c r="J443" s="1">
        <v>2199</v>
      </c>
      <c r="K443" s="1">
        <v>5</v>
      </c>
      <c r="L443" s="1">
        <f>ROUNDDOWN(formatted_data[[#This Row],[Selling_Price]]*formatted_data[[#This Row],[Discount_%]]/100,0)</f>
        <v>109</v>
      </c>
      <c r="M443" s="1">
        <f>(formatted_data[[#This Row],[Selling_Price]]-formatted_data[[#This Row],[Discount_Amount]])*formatted_data[[#This Row],[Units]]</f>
        <v>2090</v>
      </c>
      <c r="N443" s="1">
        <f>formatted_data[[#This Row],[Total_Revenue]]-(formatted_data[[#This Row],[Cost_Price]]*formatted_data[[#This Row],[Units]])</f>
        <v>866</v>
      </c>
      <c r="O443" s="1" t="s">
        <v>21</v>
      </c>
      <c r="P443"/>
    </row>
    <row r="444" spans="1:16" x14ac:dyDescent="0.35">
      <c r="A444" s="1" t="s">
        <v>97</v>
      </c>
      <c r="B444" s="1" t="s">
        <v>16</v>
      </c>
      <c r="C444" s="2">
        <v>45619</v>
      </c>
      <c r="D444" s="1" t="s">
        <v>31</v>
      </c>
      <c r="E444" s="1" t="s">
        <v>76</v>
      </c>
      <c r="F444" s="1" t="s">
        <v>25</v>
      </c>
      <c r="G444" s="1" t="s">
        <v>19</v>
      </c>
      <c r="H444" s="1">
        <v>1</v>
      </c>
      <c r="I444" s="1">
        <v>596</v>
      </c>
      <c r="J444" s="1">
        <v>999</v>
      </c>
      <c r="K444" s="1">
        <v>0</v>
      </c>
      <c r="L444" s="1">
        <f>ROUNDDOWN(formatted_data[[#This Row],[Selling_Price]]*formatted_data[[#This Row],[Discount_%]]/100,0)</f>
        <v>0</v>
      </c>
      <c r="M444" s="1">
        <f>(formatted_data[[#This Row],[Selling_Price]]-formatted_data[[#This Row],[Discount_Amount]])*formatted_data[[#This Row],[Units]]</f>
        <v>999</v>
      </c>
      <c r="N444" s="1">
        <f>formatted_data[[#This Row],[Total_Revenue]]-(formatted_data[[#This Row],[Cost_Price]]*formatted_data[[#This Row],[Units]])</f>
        <v>403</v>
      </c>
      <c r="O444" s="1" t="s">
        <v>21</v>
      </c>
      <c r="P444"/>
    </row>
    <row r="445" spans="1:16" x14ac:dyDescent="0.35">
      <c r="A445" s="1" t="s">
        <v>92</v>
      </c>
      <c r="B445" s="1" t="s">
        <v>27</v>
      </c>
      <c r="C445" s="2">
        <v>45453</v>
      </c>
      <c r="D445" s="1" t="s">
        <v>31</v>
      </c>
      <c r="E445" s="1" t="s">
        <v>76</v>
      </c>
      <c r="F445" s="1" t="s">
        <v>37</v>
      </c>
      <c r="G445" s="1" t="s">
        <v>19</v>
      </c>
      <c r="H445" s="1">
        <v>1</v>
      </c>
      <c r="I445" s="1">
        <v>401</v>
      </c>
      <c r="J445" s="1">
        <v>799</v>
      </c>
      <c r="K445" s="1">
        <v>0</v>
      </c>
      <c r="L445" s="1">
        <f>ROUNDDOWN(formatted_data[[#This Row],[Selling_Price]]*formatted_data[[#This Row],[Discount_%]]/100,0)</f>
        <v>0</v>
      </c>
      <c r="M445" s="1">
        <f>(formatted_data[[#This Row],[Selling_Price]]-formatted_data[[#This Row],[Discount_Amount]])*formatted_data[[#This Row],[Units]]</f>
        <v>799</v>
      </c>
      <c r="N445" s="1">
        <f>formatted_data[[#This Row],[Total_Revenue]]-(formatted_data[[#This Row],[Cost_Price]]*formatted_data[[#This Row],[Units]])</f>
        <v>398</v>
      </c>
      <c r="O445" s="1" t="s">
        <v>21</v>
      </c>
      <c r="P445"/>
    </row>
    <row r="446" spans="1:16" x14ac:dyDescent="0.35">
      <c r="A446" s="1" t="s">
        <v>109</v>
      </c>
      <c r="B446" s="1" t="s">
        <v>16</v>
      </c>
      <c r="C446" s="2">
        <v>45618</v>
      </c>
      <c r="D446" s="1" t="s">
        <v>31</v>
      </c>
      <c r="E446" s="1" t="s">
        <v>32</v>
      </c>
      <c r="F446" s="1" t="s">
        <v>19</v>
      </c>
      <c r="G446" s="1" t="s">
        <v>20</v>
      </c>
      <c r="H446" s="1">
        <v>1</v>
      </c>
      <c r="I446" s="1">
        <v>937</v>
      </c>
      <c r="J446" s="1">
        <v>1499</v>
      </c>
      <c r="K446" s="1">
        <v>0</v>
      </c>
      <c r="L446" s="1">
        <f>ROUNDDOWN(formatted_data[[#This Row],[Selling_Price]]*formatted_data[[#This Row],[Discount_%]]/100,0)</f>
        <v>0</v>
      </c>
      <c r="M446" s="1">
        <f>(formatted_data[[#This Row],[Selling_Price]]-formatted_data[[#This Row],[Discount_Amount]])*formatted_data[[#This Row],[Units]]</f>
        <v>1499</v>
      </c>
      <c r="N446" s="1">
        <f>formatted_data[[#This Row],[Total_Revenue]]-(formatted_data[[#This Row],[Cost_Price]]*formatted_data[[#This Row],[Units]])</f>
        <v>562</v>
      </c>
      <c r="O446" s="1" t="s">
        <v>21</v>
      </c>
      <c r="P446"/>
    </row>
    <row r="447" spans="1:16" x14ac:dyDescent="0.35">
      <c r="A447" s="1" t="s">
        <v>92</v>
      </c>
      <c r="B447" s="1" t="s">
        <v>27</v>
      </c>
      <c r="C447" s="2">
        <v>45633</v>
      </c>
      <c r="D447" s="1" t="s">
        <v>23</v>
      </c>
      <c r="E447" s="1" t="s">
        <v>43</v>
      </c>
      <c r="F447" s="1" t="s">
        <v>37</v>
      </c>
      <c r="G447" s="1" t="s">
        <v>19</v>
      </c>
      <c r="H447" s="1">
        <v>1</v>
      </c>
      <c r="I447" s="1">
        <v>1704</v>
      </c>
      <c r="J447" s="1">
        <v>3399</v>
      </c>
      <c r="K447" s="1">
        <v>10</v>
      </c>
      <c r="L447" s="1">
        <f>ROUNDDOWN(formatted_data[[#This Row],[Selling_Price]]*formatted_data[[#This Row],[Discount_%]]/100,0)</f>
        <v>339</v>
      </c>
      <c r="M447" s="1">
        <f>(formatted_data[[#This Row],[Selling_Price]]-formatted_data[[#This Row],[Discount_Amount]])*formatted_data[[#This Row],[Units]]</f>
        <v>3060</v>
      </c>
      <c r="N447" s="1">
        <f>formatted_data[[#This Row],[Total_Revenue]]-(formatted_data[[#This Row],[Cost_Price]]*formatted_data[[#This Row],[Units]])</f>
        <v>1356</v>
      </c>
      <c r="O447" s="1" t="s">
        <v>33</v>
      </c>
      <c r="P447"/>
    </row>
    <row r="448" spans="1:16" x14ac:dyDescent="0.35">
      <c r="A448" s="1" t="s">
        <v>60</v>
      </c>
      <c r="B448" s="1" t="s">
        <v>27</v>
      </c>
      <c r="C448" s="2">
        <v>45478</v>
      </c>
      <c r="D448" s="1" t="s">
        <v>31</v>
      </c>
      <c r="E448" s="1" t="s">
        <v>76</v>
      </c>
      <c r="F448" s="1" t="s">
        <v>37</v>
      </c>
      <c r="G448" s="1" t="s">
        <v>19</v>
      </c>
      <c r="H448" s="1">
        <v>1</v>
      </c>
      <c r="I448" s="1">
        <v>824</v>
      </c>
      <c r="J448" s="1">
        <v>1499</v>
      </c>
      <c r="K448" s="1">
        <v>0</v>
      </c>
      <c r="L448" s="1">
        <f>ROUNDDOWN(formatted_data[[#This Row],[Selling_Price]]*formatted_data[[#This Row],[Discount_%]]/100,0)</f>
        <v>0</v>
      </c>
      <c r="M448" s="1">
        <f>(formatted_data[[#This Row],[Selling_Price]]-formatted_data[[#This Row],[Discount_Amount]])*formatted_data[[#This Row],[Units]]</f>
        <v>1499</v>
      </c>
      <c r="N448" s="1">
        <f>formatted_data[[#This Row],[Total_Revenue]]-(formatted_data[[#This Row],[Cost_Price]]*formatted_data[[#This Row],[Units]])</f>
        <v>675</v>
      </c>
      <c r="O448" s="1" t="s">
        <v>21</v>
      </c>
      <c r="P448"/>
    </row>
    <row r="449" spans="1:16" x14ac:dyDescent="0.35">
      <c r="A449" s="1" t="s">
        <v>101</v>
      </c>
      <c r="B449" s="1" t="s">
        <v>16</v>
      </c>
      <c r="C449" s="2">
        <v>45607</v>
      </c>
      <c r="D449" s="1" t="s">
        <v>28</v>
      </c>
      <c r="E449" s="1" t="s">
        <v>45</v>
      </c>
      <c r="F449" s="1" t="s">
        <v>37</v>
      </c>
      <c r="G449" s="1" t="s">
        <v>20</v>
      </c>
      <c r="H449" s="1">
        <v>1</v>
      </c>
      <c r="I449" s="1">
        <v>579</v>
      </c>
      <c r="J449" s="1">
        <v>899</v>
      </c>
      <c r="K449" s="1">
        <v>5</v>
      </c>
      <c r="L449" s="1">
        <f>ROUNDDOWN(formatted_data[[#This Row],[Selling_Price]]*formatted_data[[#This Row],[Discount_%]]/100,0)</f>
        <v>44</v>
      </c>
      <c r="M449" s="1">
        <f>(formatted_data[[#This Row],[Selling_Price]]-formatted_data[[#This Row],[Discount_Amount]])*formatted_data[[#This Row],[Units]]</f>
        <v>855</v>
      </c>
      <c r="N449" s="1">
        <f>formatted_data[[#This Row],[Total_Revenue]]-(formatted_data[[#This Row],[Cost_Price]]*formatted_data[[#This Row],[Units]])</f>
        <v>276</v>
      </c>
      <c r="O449" s="1" t="s">
        <v>33</v>
      </c>
      <c r="P449"/>
    </row>
    <row r="450" spans="1:16" x14ac:dyDescent="0.35">
      <c r="A450" s="1" t="s">
        <v>91</v>
      </c>
      <c r="B450" s="1" t="s">
        <v>16</v>
      </c>
      <c r="C450" s="2">
        <v>45527</v>
      </c>
      <c r="D450" s="1" t="s">
        <v>17</v>
      </c>
      <c r="E450" s="1" t="s">
        <v>18</v>
      </c>
      <c r="F450" s="1" t="s">
        <v>25</v>
      </c>
      <c r="G450" s="1" t="s">
        <v>20</v>
      </c>
      <c r="H450" s="1">
        <v>1</v>
      </c>
      <c r="I450" s="1">
        <v>363</v>
      </c>
      <c r="J450" s="1">
        <v>499</v>
      </c>
      <c r="K450" s="1">
        <v>0</v>
      </c>
      <c r="L450" s="1">
        <f>ROUNDDOWN(formatted_data[[#This Row],[Selling_Price]]*formatted_data[[#This Row],[Discount_%]]/100,0)</f>
        <v>0</v>
      </c>
      <c r="M450" s="1">
        <f>(formatted_data[[#This Row],[Selling_Price]]-formatted_data[[#This Row],[Discount_Amount]])*formatted_data[[#This Row],[Units]]</f>
        <v>499</v>
      </c>
      <c r="N450" s="1">
        <f>formatted_data[[#This Row],[Total_Revenue]]-(formatted_data[[#This Row],[Cost_Price]]*formatted_data[[#This Row],[Units]])</f>
        <v>136</v>
      </c>
      <c r="O450" s="1" t="s">
        <v>21</v>
      </c>
      <c r="P450"/>
    </row>
    <row r="451" spans="1:16" x14ac:dyDescent="0.35">
      <c r="A451" s="1" t="s">
        <v>75</v>
      </c>
      <c r="B451" s="1" t="s">
        <v>27</v>
      </c>
      <c r="C451" s="2">
        <v>45551</v>
      </c>
      <c r="D451" s="1" t="s">
        <v>35</v>
      </c>
      <c r="E451" s="1" t="s">
        <v>41</v>
      </c>
      <c r="F451" s="1" t="s">
        <v>37</v>
      </c>
      <c r="G451" s="1" t="s">
        <v>20</v>
      </c>
      <c r="H451" s="1">
        <v>3</v>
      </c>
      <c r="I451" s="1">
        <v>662</v>
      </c>
      <c r="J451" s="1">
        <v>899</v>
      </c>
      <c r="K451" s="1">
        <v>10</v>
      </c>
      <c r="L451" s="1">
        <f>ROUNDDOWN(formatted_data[[#This Row],[Selling_Price]]*formatted_data[[#This Row],[Discount_%]]/100,0)</f>
        <v>89</v>
      </c>
      <c r="M451" s="1">
        <f>(formatted_data[[#This Row],[Selling_Price]]-formatted_data[[#This Row],[Discount_Amount]])*formatted_data[[#This Row],[Units]]</f>
        <v>2430</v>
      </c>
      <c r="N451" s="1">
        <f>formatted_data[[#This Row],[Total_Revenue]]-(formatted_data[[#This Row],[Cost_Price]]*formatted_data[[#This Row],[Units]])</f>
        <v>444</v>
      </c>
      <c r="O451" s="1" t="s">
        <v>21</v>
      </c>
      <c r="P451"/>
    </row>
    <row r="452" spans="1:16" x14ac:dyDescent="0.35">
      <c r="A452" s="1" t="s">
        <v>38</v>
      </c>
      <c r="B452" s="1" t="s">
        <v>27</v>
      </c>
      <c r="C452" s="2">
        <v>45564</v>
      </c>
      <c r="D452" s="1" t="s">
        <v>28</v>
      </c>
      <c r="E452" s="1" t="s">
        <v>29</v>
      </c>
      <c r="F452" s="1" t="s">
        <v>19</v>
      </c>
      <c r="G452" s="1" t="s">
        <v>19</v>
      </c>
      <c r="H452" s="1">
        <v>1</v>
      </c>
      <c r="I452" s="1">
        <v>333</v>
      </c>
      <c r="J452" s="1">
        <v>599</v>
      </c>
      <c r="K452" s="1">
        <v>20</v>
      </c>
      <c r="L452" s="1">
        <f>ROUNDDOWN(formatted_data[[#This Row],[Selling_Price]]*formatted_data[[#This Row],[Discount_%]]/100,0)</f>
        <v>119</v>
      </c>
      <c r="M452" s="1">
        <f>(formatted_data[[#This Row],[Selling_Price]]-formatted_data[[#This Row],[Discount_Amount]])*formatted_data[[#This Row],[Units]]</f>
        <v>480</v>
      </c>
      <c r="N452" s="1">
        <f>formatted_data[[#This Row],[Total_Revenue]]-(formatted_data[[#This Row],[Cost_Price]]*formatted_data[[#This Row],[Units]])</f>
        <v>147</v>
      </c>
      <c r="O452" s="1" t="s">
        <v>21</v>
      </c>
      <c r="P452"/>
    </row>
    <row r="453" spans="1:16" x14ac:dyDescent="0.35">
      <c r="A453" s="1" t="s">
        <v>54</v>
      </c>
      <c r="B453" s="1" t="s">
        <v>27</v>
      </c>
      <c r="C453" s="2">
        <v>45551</v>
      </c>
      <c r="D453" s="1" t="s">
        <v>23</v>
      </c>
      <c r="E453" s="1" t="s">
        <v>24</v>
      </c>
      <c r="F453" s="1" t="s">
        <v>25</v>
      </c>
      <c r="G453" s="1" t="s">
        <v>19</v>
      </c>
      <c r="H453" s="1">
        <v>1</v>
      </c>
      <c r="I453" s="1">
        <v>958</v>
      </c>
      <c r="J453" s="1">
        <v>1699</v>
      </c>
      <c r="K453" s="1">
        <v>10</v>
      </c>
      <c r="L453" s="1">
        <f>ROUNDDOWN(formatted_data[[#This Row],[Selling_Price]]*formatted_data[[#This Row],[Discount_%]]/100,0)</f>
        <v>169</v>
      </c>
      <c r="M453" s="1">
        <f>(formatted_data[[#This Row],[Selling_Price]]-formatted_data[[#This Row],[Discount_Amount]])*formatted_data[[#This Row],[Units]]</f>
        <v>1530</v>
      </c>
      <c r="N453" s="1">
        <f>formatted_data[[#This Row],[Total_Revenue]]-(formatted_data[[#This Row],[Cost_Price]]*formatted_data[[#This Row],[Units]])</f>
        <v>572</v>
      </c>
      <c r="O453" s="1" t="s">
        <v>21</v>
      </c>
      <c r="P453"/>
    </row>
    <row r="454" spans="1:16" x14ac:dyDescent="0.35">
      <c r="A454" s="1" t="s">
        <v>81</v>
      </c>
      <c r="B454" s="1" t="s">
        <v>27</v>
      </c>
      <c r="C454" s="2">
        <v>45654</v>
      </c>
      <c r="D454" s="1" t="s">
        <v>28</v>
      </c>
      <c r="E454" s="1" t="s">
        <v>29</v>
      </c>
      <c r="F454" s="1" t="s">
        <v>37</v>
      </c>
      <c r="G454" s="1" t="s">
        <v>19</v>
      </c>
      <c r="H454" s="1">
        <v>1</v>
      </c>
      <c r="I454" s="1">
        <v>532</v>
      </c>
      <c r="J454" s="1">
        <v>799</v>
      </c>
      <c r="K454" s="1">
        <v>15</v>
      </c>
      <c r="L454" s="1">
        <f>ROUNDDOWN(formatted_data[[#This Row],[Selling_Price]]*formatted_data[[#This Row],[Discount_%]]/100,0)</f>
        <v>119</v>
      </c>
      <c r="M454" s="1">
        <f>(formatted_data[[#This Row],[Selling_Price]]-formatted_data[[#This Row],[Discount_Amount]])*formatted_data[[#This Row],[Units]]</f>
        <v>680</v>
      </c>
      <c r="N454" s="1">
        <f>formatted_data[[#This Row],[Total_Revenue]]-(formatted_data[[#This Row],[Cost_Price]]*formatted_data[[#This Row],[Units]])</f>
        <v>148</v>
      </c>
      <c r="O454" s="1" t="s">
        <v>33</v>
      </c>
      <c r="P454"/>
    </row>
    <row r="455" spans="1:16" x14ac:dyDescent="0.35">
      <c r="A455" s="1" t="s">
        <v>78</v>
      </c>
      <c r="B455" s="1" t="s">
        <v>16</v>
      </c>
      <c r="C455" s="2">
        <v>45521</v>
      </c>
      <c r="D455" s="1" t="s">
        <v>17</v>
      </c>
      <c r="E455" s="1" t="s">
        <v>18</v>
      </c>
      <c r="F455" s="1" t="s">
        <v>25</v>
      </c>
      <c r="G455" s="1" t="s">
        <v>20</v>
      </c>
      <c r="H455" s="1">
        <v>1</v>
      </c>
      <c r="I455" s="1">
        <v>214</v>
      </c>
      <c r="J455" s="1">
        <v>299</v>
      </c>
      <c r="K455" s="1">
        <v>0</v>
      </c>
      <c r="L455" s="1">
        <f>ROUNDDOWN(formatted_data[[#This Row],[Selling_Price]]*formatted_data[[#This Row],[Discount_%]]/100,0)</f>
        <v>0</v>
      </c>
      <c r="M455" s="1">
        <f>(formatted_data[[#This Row],[Selling_Price]]-formatted_data[[#This Row],[Discount_Amount]])*formatted_data[[#This Row],[Units]]</f>
        <v>299</v>
      </c>
      <c r="N455" s="1">
        <f>formatted_data[[#This Row],[Total_Revenue]]-(formatted_data[[#This Row],[Cost_Price]]*formatted_data[[#This Row],[Units]])</f>
        <v>85</v>
      </c>
      <c r="O455" s="1" t="s">
        <v>33</v>
      </c>
      <c r="P455"/>
    </row>
    <row r="456" spans="1:16" x14ac:dyDescent="0.35">
      <c r="A456" s="1" t="s">
        <v>54</v>
      </c>
      <c r="B456" s="1" t="s">
        <v>27</v>
      </c>
      <c r="C456" s="2">
        <v>45649</v>
      </c>
      <c r="D456" s="1" t="s">
        <v>28</v>
      </c>
      <c r="E456" s="1" t="s">
        <v>45</v>
      </c>
      <c r="F456" s="1" t="s">
        <v>25</v>
      </c>
      <c r="G456" s="1" t="s">
        <v>20</v>
      </c>
      <c r="H456" s="1">
        <v>2</v>
      </c>
      <c r="I456" s="1">
        <v>1011</v>
      </c>
      <c r="J456" s="1">
        <v>1499</v>
      </c>
      <c r="K456" s="1">
        <v>20</v>
      </c>
      <c r="L456" s="1">
        <f>ROUNDDOWN(formatted_data[[#This Row],[Selling_Price]]*formatted_data[[#This Row],[Discount_%]]/100,0)</f>
        <v>299</v>
      </c>
      <c r="M456" s="1">
        <f>(formatted_data[[#This Row],[Selling_Price]]-formatted_data[[#This Row],[Discount_Amount]])*formatted_data[[#This Row],[Units]]</f>
        <v>2400</v>
      </c>
      <c r="N456" s="1">
        <f>formatted_data[[#This Row],[Total_Revenue]]-(formatted_data[[#This Row],[Cost_Price]]*formatted_data[[#This Row],[Units]])</f>
        <v>378</v>
      </c>
      <c r="O456" s="1" t="s">
        <v>21</v>
      </c>
      <c r="P456"/>
    </row>
    <row r="457" spans="1:16" x14ac:dyDescent="0.35">
      <c r="A457" s="1" t="s">
        <v>84</v>
      </c>
      <c r="B457" s="1" t="s">
        <v>27</v>
      </c>
      <c r="C457" s="2">
        <v>45526</v>
      </c>
      <c r="D457" s="1" t="s">
        <v>35</v>
      </c>
      <c r="E457" s="1" t="s">
        <v>36</v>
      </c>
      <c r="F457" s="1" t="s">
        <v>37</v>
      </c>
      <c r="G457" s="1" t="s">
        <v>20</v>
      </c>
      <c r="H457" s="1">
        <v>1</v>
      </c>
      <c r="I457" s="1">
        <v>390</v>
      </c>
      <c r="J457" s="1">
        <v>699</v>
      </c>
      <c r="K457" s="1">
        <v>20</v>
      </c>
      <c r="L457" s="1">
        <f>ROUNDDOWN(formatted_data[[#This Row],[Selling_Price]]*formatted_data[[#This Row],[Discount_%]]/100,0)</f>
        <v>139</v>
      </c>
      <c r="M457" s="1">
        <f>(formatted_data[[#This Row],[Selling_Price]]-formatted_data[[#This Row],[Discount_Amount]])*formatted_data[[#This Row],[Units]]</f>
        <v>560</v>
      </c>
      <c r="N457" s="1">
        <f>formatted_data[[#This Row],[Total_Revenue]]-(formatted_data[[#This Row],[Cost_Price]]*formatted_data[[#This Row],[Units]])</f>
        <v>170</v>
      </c>
      <c r="O457" s="1" t="s">
        <v>21</v>
      </c>
      <c r="P457"/>
    </row>
    <row r="458" spans="1:16" x14ac:dyDescent="0.35">
      <c r="A458" s="1" t="s">
        <v>97</v>
      </c>
      <c r="B458" s="1" t="s">
        <v>16</v>
      </c>
      <c r="C458" s="2">
        <v>45484</v>
      </c>
      <c r="D458" s="1" t="s">
        <v>28</v>
      </c>
      <c r="E458" s="1" t="s">
        <v>29</v>
      </c>
      <c r="F458" s="1" t="s">
        <v>25</v>
      </c>
      <c r="G458" s="1" t="s">
        <v>20</v>
      </c>
      <c r="H458" s="1">
        <v>1</v>
      </c>
      <c r="I458" s="1">
        <v>351</v>
      </c>
      <c r="J458" s="1">
        <v>599</v>
      </c>
      <c r="K458" s="1">
        <v>10</v>
      </c>
      <c r="L458" s="1">
        <f>ROUNDDOWN(formatted_data[[#This Row],[Selling_Price]]*formatted_data[[#This Row],[Discount_%]]/100,0)</f>
        <v>59</v>
      </c>
      <c r="M458" s="1">
        <f>(formatted_data[[#This Row],[Selling_Price]]-formatted_data[[#This Row],[Discount_Amount]])*formatted_data[[#This Row],[Units]]</f>
        <v>540</v>
      </c>
      <c r="N458" s="1">
        <f>formatted_data[[#This Row],[Total_Revenue]]-(formatted_data[[#This Row],[Cost_Price]]*formatted_data[[#This Row],[Units]])</f>
        <v>189</v>
      </c>
      <c r="O458" s="1" t="s">
        <v>33</v>
      </c>
      <c r="P458"/>
    </row>
    <row r="459" spans="1:16" x14ac:dyDescent="0.35">
      <c r="A459" s="1" t="s">
        <v>78</v>
      </c>
      <c r="B459" s="1" t="s">
        <v>16</v>
      </c>
      <c r="C459" s="2">
        <v>45539</v>
      </c>
      <c r="D459" s="1" t="s">
        <v>35</v>
      </c>
      <c r="E459" s="1" t="s">
        <v>58</v>
      </c>
      <c r="F459" s="1" t="s">
        <v>37</v>
      </c>
      <c r="G459" s="1" t="s">
        <v>19</v>
      </c>
      <c r="H459" s="1">
        <v>1</v>
      </c>
      <c r="I459" s="1">
        <v>1154</v>
      </c>
      <c r="J459" s="1">
        <v>1699</v>
      </c>
      <c r="K459" s="1">
        <v>10</v>
      </c>
      <c r="L459" s="1">
        <f>ROUNDDOWN(formatted_data[[#This Row],[Selling_Price]]*formatted_data[[#This Row],[Discount_%]]/100,0)</f>
        <v>169</v>
      </c>
      <c r="M459" s="1">
        <f>(formatted_data[[#This Row],[Selling_Price]]-formatted_data[[#This Row],[Discount_Amount]])*formatted_data[[#This Row],[Units]]</f>
        <v>1530</v>
      </c>
      <c r="N459" s="1">
        <f>formatted_data[[#This Row],[Total_Revenue]]-(formatted_data[[#This Row],[Cost_Price]]*formatted_data[[#This Row],[Units]])</f>
        <v>376</v>
      </c>
      <c r="O459" s="1" t="s">
        <v>21</v>
      </c>
      <c r="P459"/>
    </row>
    <row r="460" spans="1:16" x14ac:dyDescent="0.35">
      <c r="A460" s="1" t="s">
        <v>78</v>
      </c>
      <c r="B460" s="1" t="s">
        <v>16</v>
      </c>
      <c r="C460" s="2">
        <v>45597</v>
      </c>
      <c r="D460" s="1" t="s">
        <v>35</v>
      </c>
      <c r="E460" s="1" t="s">
        <v>58</v>
      </c>
      <c r="F460" s="1" t="s">
        <v>19</v>
      </c>
      <c r="G460" s="1" t="s">
        <v>19</v>
      </c>
      <c r="H460" s="1">
        <v>2</v>
      </c>
      <c r="I460" s="1">
        <v>919</v>
      </c>
      <c r="J460" s="1">
        <v>1599</v>
      </c>
      <c r="K460" s="1">
        <v>5</v>
      </c>
      <c r="L460" s="1">
        <f>ROUNDDOWN(formatted_data[[#This Row],[Selling_Price]]*formatted_data[[#This Row],[Discount_%]]/100,0)</f>
        <v>79</v>
      </c>
      <c r="M460" s="1">
        <f>(formatted_data[[#This Row],[Selling_Price]]-formatted_data[[#This Row],[Discount_Amount]])*formatted_data[[#This Row],[Units]]</f>
        <v>3040</v>
      </c>
      <c r="N460" s="1">
        <f>formatted_data[[#This Row],[Total_Revenue]]-(formatted_data[[#This Row],[Cost_Price]]*formatted_data[[#This Row],[Units]])</f>
        <v>1202</v>
      </c>
      <c r="O460" s="1" t="s">
        <v>21</v>
      </c>
      <c r="P460"/>
    </row>
    <row r="461" spans="1:16" x14ac:dyDescent="0.35">
      <c r="A461" s="1" t="s">
        <v>98</v>
      </c>
      <c r="B461" s="1" t="s">
        <v>16</v>
      </c>
      <c r="C461" s="2">
        <v>45522</v>
      </c>
      <c r="D461" s="1" t="s">
        <v>31</v>
      </c>
      <c r="E461" s="1" t="s">
        <v>32</v>
      </c>
      <c r="F461" s="1" t="s">
        <v>19</v>
      </c>
      <c r="G461" s="1" t="s">
        <v>19</v>
      </c>
      <c r="H461" s="1">
        <v>1</v>
      </c>
      <c r="I461" s="1">
        <v>538</v>
      </c>
      <c r="J461" s="1">
        <v>899</v>
      </c>
      <c r="K461" s="1">
        <v>0</v>
      </c>
      <c r="L461" s="1">
        <f>ROUNDDOWN(formatted_data[[#This Row],[Selling_Price]]*formatted_data[[#This Row],[Discount_%]]/100,0)</f>
        <v>0</v>
      </c>
      <c r="M461" s="1">
        <f>(formatted_data[[#This Row],[Selling_Price]]-formatted_data[[#This Row],[Discount_Amount]])*formatted_data[[#This Row],[Units]]</f>
        <v>899</v>
      </c>
      <c r="N461" s="1">
        <f>formatted_data[[#This Row],[Total_Revenue]]-(formatted_data[[#This Row],[Cost_Price]]*formatted_data[[#This Row],[Units]])</f>
        <v>361</v>
      </c>
      <c r="O461" s="1" t="s">
        <v>21</v>
      </c>
      <c r="P461"/>
    </row>
    <row r="462" spans="1:16" x14ac:dyDescent="0.35">
      <c r="A462" s="1" t="s">
        <v>75</v>
      </c>
      <c r="B462" s="1" t="s">
        <v>27</v>
      </c>
      <c r="C462" s="2">
        <v>45521</v>
      </c>
      <c r="D462" s="1" t="s">
        <v>23</v>
      </c>
      <c r="E462" s="1" t="s">
        <v>43</v>
      </c>
      <c r="F462" s="1" t="s">
        <v>19</v>
      </c>
      <c r="G462" s="1" t="s">
        <v>19</v>
      </c>
      <c r="H462" s="1">
        <v>1</v>
      </c>
      <c r="I462" s="1">
        <v>1637</v>
      </c>
      <c r="J462" s="1">
        <v>2199</v>
      </c>
      <c r="K462" s="1">
        <v>10</v>
      </c>
      <c r="L462" s="1">
        <f>ROUNDDOWN(formatted_data[[#This Row],[Selling_Price]]*formatted_data[[#This Row],[Discount_%]]/100,0)</f>
        <v>219</v>
      </c>
      <c r="M462" s="1">
        <f>(formatted_data[[#This Row],[Selling_Price]]-formatted_data[[#This Row],[Discount_Amount]])*formatted_data[[#This Row],[Units]]</f>
        <v>1980</v>
      </c>
      <c r="N462" s="1">
        <f>formatted_data[[#This Row],[Total_Revenue]]-(formatted_data[[#This Row],[Cost_Price]]*formatted_data[[#This Row],[Units]])</f>
        <v>343</v>
      </c>
      <c r="O462" s="1" t="s">
        <v>21</v>
      </c>
      <c r="P462"/>
    </row>
    <row r="463" spans="1:16" x14ac:dyDescent="0.35">
      <c r="A463" s="1" t="s">
        <v>44</v>
      </c>
      <c r="B463" s="1" t="s">
        <v>16</v>
      </c>
      <c r="C463" s="2">
        <v>45643</v>
      </c>
      <c r="D463" s="1" t="s">
        <v>17</v>
      </c>
      <c r="E463" s="1" t="s">
        <v>72</v>
      </c>
      <c r="F463" s="1" t="s">
        <v>37</v>
      </c>
      <c r="G463" s="1" t="s">
        <v>20</v>
      </c>
      <c r="H463" s="1">
        <v>3</v>
      </c>
      <c r="I463" s="1">
        <v>323</v>
      </c>
      <c r="J463" s="1">
        <v>499</v>
      </c>
      <c r="K463" s="1">
        <v>0</v>
      </c>
      <c r="L463" s="1">
        <f>ROUNDDOWN(formatted_data[[#This Row],[Selling_Price]]*formatted_data[[#This Row],[Discount_%]]/100,0)</f>
        <v>0</v>
      </c>
      <c r="M463" s="1">
        <f>(formatted_data[[#This Row],[Selling_Price]]-formatted_data[[#This Row],[Discount_Amount]])*formatted_data[[#This Row],[Units]]</f>
        <v>1497</v>
      </c>
      <c r="N463" s="1">
        <f>formatted_data[[#This Row],[Total_Revenue]]-(formatted_data[[#This Row],[Cost_Price]]*formatted_data[[#This Row],[Units]])</f>
        <v>528</v>
      </c>
      <c r="O463" s="1" t="s">
        <v>21</v>
      </c>
      <c r="P463"/>
    </row>
    <row r="464" spans="1:16" x14ac:dyDescent="0.35">
      <c r="A464" s="1" t="s">
        <v>52</v>
      </c>
      <c r="B464" s="1" t="s">
        <v>27</v>
      </c>
      <c r="C464" s="2">
        <v>45592</v>
      </c>
      <c r="D464" s="1" t="s">
        <v>28</v>
      </c>
      <c r="E464" s="1" t="s">
        <v>29</v>
      </c>
      <c r="F464" s="1" t="s">
        <v>37</v>
      </c>
      <c r="G464" s="1" t="s">
        <v>19</v>
      </c>
      <c r="H464" s="1">
        <v>1</v>
      </c>
      <c r="I464" s="1">
        <v>550</v>
      </c>
      <c r="J464" s="1">
        <v>799</v>
      </c>
      <c r="K464" s="1">
        <v>20</v>
      </c>
      <c r="L464" s="1">
        <f>ROUNDDOWN(formatted_data[[#This Row],[Selling_Price]]*formatted_data[[#This Row],[Discount_%]]/100,0)</f>
        <v>159</v>
      </c>
      <c r="M464" s="1">
        <f>(formatted_data[[#This Row],[Selling_Price]]-formatted_data[[#This Row],[Discount_Amount]])*formatted_data[[#This Row],[Units]]</f>
        <v>640</v>
      </c>
      <c r="N464" s="1">
        <f>formatted_data[[#This Row],[Total_Revenue]]-(formatted_data[[#This Row],[Cost_Price]]*formatted_data[[#This Row],[Units]])</f>
        <v>90</v>
      </c>
      <c r="O464" s="1" t="s">
        <v>33</v>
      </c>
      <c r="P464"/>
    </row>
    <row r="465" spans="1:16" x14ac:dyDescent="0.35">
      <c r="A465" s="1" t="s">
        <v>88</v>
      </c>
      <c r="B465" s="1" t="s">
        <v>27</v>
      </c>
      <c r="C465" s="2">
        <v>45531</v>
      </c>
      <c r="D465" s="1" t="s">
        <v>23</v>
      </c>
      <c r="E465" s="1" t="s">
        <v>43</v>
      </c>
      <c r="F465" s="1" t="s">
        <v>37</v>
      </c>
      <c r="G465" s="1" t="s">
        <v>20</v>
      </c>
      <c r="H465" s="1">
        <v>1</v>
      </c>
      <c r="I465" s="1">
        <v>1878</v>
      </c>
      <c r="J465" s="1">
        <v>2599</v>
      </c>
      <c r="K465" s="1">
        <v>15</v>
      </c>
      <c r="L465" s="1">
        <f>ROUNDDOWN(formatted_data[[#This Row],[Selling_Price]]*formatted_data[[#This Row],[Discount_%]]/100,0)</f>
        <v>389</v>
      </c>
      <c r="M465" s="1">
        <f>(formatted_data[[#This Row],[Selling_Price]]-formatted_data[[#This Row],[Discount_Amount]])*formatted_data[[#This Row],[Units]]</f>
        <v>2210</v>
      </c>
      <c r="N465" s="1">
        <f>formatted_data[[#This Row],[Total_Revenue]]-(formatted_data[[#This Row],[Cost_Price]]*formatted_data[[#This Row],[Units]])</f>
        <v>332</v>
      </c>
      <c r="O465" s="1" t="s">
        <v>21</v>
      </c>
      <c r="P465"/>
    </row>
    <row r="466" spans="1:16" x14ac:dyDescent="0.35">
      <c r="A466" s="1" t="s">
        <v>95</v>
      </c>
      <c r="B466" s="1" t="s">
        <v>27</v>
      </c>
      <c r="C466" s="2">
        <v>45569</v>
      </c>
      <c r="D466" s="1" t="s">
        <v>31</v>
      </c>
      <c r="E466" s="1" t="s">
        <v>32</v>
      </c>
      <c r="F466" s="1" t="s">
        <v>19</v>
      </c>
      <c r="G466" s="1" t="s">
        <v>19</v>
      </c>
      <c r="H466" s="1">
        <v>1</v>
      </c>
      <c r="I466" s="1">
        <v>605</v>
      </c>
      <c r="J466" s="1">
        <v>1199</v>
      </c>
      <c r="K466" s="1">
        <v>0</v>
      </c>
      <c r="L466" s="1">
        <f>ROUNDDOWN(formatted_data[[#This Row],[Selling_Price]]*formatted_data[[#This Row],[Discount_%]]/100,0)</f>
        <v>0</v>
      </c>
      <c r="M466" s="1">
        <f>(formatted_data[[#This Row],[Selling_Price]]-formatted_data[[#This Row],[Discount_Amount]])*formatted_data[[#This Row],[Units]]</f>
        <v>1199</v>
      </c>
      <c r="N466" s="1">
        <f>formatted_data[[#This Row],[Total_Revenue]]-(formatted_data[[#This Row],[Cost_Price]]*formatted_data[[#This Row],[Units]])</f>
        <v>594</v>
      </c>
      <c r="O466" s="1" t="s">
        <v>21</v>
      </c>
      <c r="P466"/>
    </row>
    <row r="467" spans="1:16" x14ac:dyDescent="0.35">
      <c r="A467" s="1" t="s">
        <v>15</v>
      </c>
      <c r="B467" s="1" t="s">
        <v>16</v>
      </c>
      <c r="C467" s="2">
        <v>45543</v>
      </c>
      <c r="D467" s="1" t="s">
        <v>23</v>
      </c>
      <c r="E467" s="1" t="s">
        <v>24</v>
      </c>
      <c r="F467" s="1" t="s">
        <v>19</v>
      </c>
      <c r="G467" s="1" t="s">
        <v>19</v>
      </c>
      <c r="H467" s="1">
        <v>2</v>
      </c>
      <c r="I467" s="1">
        <v>1659</v>
      </c>
      <c r="J467" s="1">
        <v>2299</v>
      </c>
      <c r="K467" s="1">
        <v>10</v>
      </c>
      <c r="L467" s="1">
        <f>ROUNDDOWN(formatted_data[[#This Row],[Selling_Price]]*formatted_data[[#This Row],[Discount_%]]/100,0)</f>
        <v>229</v>
      </c>
      <c r="M467" s="1">
        <f>(formatted_data[[#This Row],[Selling_Price]]-formatted_data[[#This Row],[Discount_Amount]])*formatted_data[[#This Row],[Units]]</f>
        <v>4140</v>
      </c>
      <c r="N467" s="1">
        <f>formatted_data[[#This Row],[Total_Revenue]]-(formatted_data[[#This Row],[Cost_Price]]*formatted_data[[#This Row],[Units]])</f>
        <v>822</v>
      </c>
      <c r="O467" s="1" t="s">
        <v>21</v>
      </c>
      <c r="P467"/>
    </row>
    <row r="468" spans="1:16" x14ac:dyDescent="0.35">
      <c r="A468" s="1" t="s">
        <v>96</v>
      </c>
      <c r="B468" s="1" t="s">
        <v>16</v>
      </c>
      <c r="C468" s="2">
        <v>45514</v>
      </c>
      <c r="D468" s="1" t="s">
        <v>28</v>
      </c>
      <c r="E468" s="1" t="s">
        <v>29</v>
      </c>
      <c r="F468" s="1" t="s">
        <v>25</v>
      </c>
      <c r="G468" s="1" t="s">
        <v>19</v>
      </c>
      <c r="H468" s="1">
        <v>2</v>
      </c>
      <c r="I468" s="1">
        <v>353</v>
      </c>
      <c r="J468" s="1">
        <v>499</v>
      </c>
      <c r="K468" s="1">
        <v>15</v>
      </c>
      <c r="L468" s="1">
        <f>ROUNDDOWN(formatted_data[[#This Row],[Selling_Price]]*formatted_data[[#This Row],[Discount_%]]/100,0)</f>
        <v>74</v>
      </c>
      <c r="M468" s="1">
        <f>(formatted_data[[#This Row],[Selling_Price]]-formatted_data[[#This Row],[Discount_Amount]])*formatted_data[[#This Row],[Units]]</f>
        <v>850</v>
      </c>
      <c r="N468" s="1">
        <f>formatted_data[[#This Row],[Total_Revenue]]-(formatted_data[[#This Row],[Cost_Price]]*formatted_data[[#This Row],[Units]])</f>
        <v>144</v>
      </c>
      <c r="O468" s="1" t="s">
        <v>21</v>
      </c>
      <c r="P468"/>
    </row>
    <row r="469" spans="1:16" x14ac:dyDescent="0.35">
      <c r="A469" s="1" t="s">
        <v>15</v>
      </c>
      <c r="B469" s="1" t="s">
        <v>16</v>
      </c>
      <c r="C469" s="2">
        <v>45602</v>
      </c>
      <c r="D469" s="1" t="s">
        <v>31</v>
      </c>
      <c r="E469" s="1" t="s">
        <v>76</v>
      </c>
      <c r="F469" s="1" t="s">
        <v>19</v>
      </c>
      <c r="G469" s="1" t="s">
        <v>20</v>
      </c>
      <c r="H469" s="1">
        <v>1</v>
      </c>
      <c r="I469" s="1">
        <v>446</v>
      </c>
      <c r="J469" s="1">
        <v>799</v>
      </c>
      <c r="K469" s="1">
        <v>0</v>
      </c>
      <c r="L469" s="1">
        <f>ROUNDDOWN(formatted_data[[#This Row],[Selling_Price]]*formatted_data[[#This Row],[Discount_%]]/100,0)</f>
        <v>0</v>
      </c>
      <c r="M469" s="1">
        <f>(formatted_data[[#This Row],[Selling_Price]]-formatted_data[[#This Row],[Discount_Amount]])*formatted_data[[#This Row],[Units]]</f>
        <v>799</v>
      </c>
      <c r="N469" s="1">
        <f>formatted_data[[#This Row],[Total_Revenue]]-(formatted_data[[#This Row],[Cost_Price]]*formatted_data[[#This Row],[Units]])</f>
        <v>353</v>
      </c>
      <c r="O469" s="1" t="s">
        <v>21</v>
      </c>
      <c r="P469"/>
    </row>
    <row r="470" spans="1:16" x14ac:dyDescent="0.35">
      <c r="A470" s="1" t="s">
        <v>64</v>
      </c>
      <c r="B470" s="1" t="s">
        <v>16</v>
      </c>
      <c r="C470" s="2">
        <v>45605</v>
      </c>
      <c r="D470" s="1" t="s">
        <v>31</v>
      </c>
      <c r="E470" s="1" t="s">
        <v>76</v>
      </c>
      <c r="F470" s="1" t="s">
        <v>19</v>
      </c>
      <c r="G470" s="1" t="s">
        <v>19</v>
      </c>
      <c r="H470" s="1">
        <v>1</v>
      </c>
      <c r="I470" s="1">
        <v>442</v>
      </c>
      <c r="J470" s="1">
        <v>699</v>
      </c>
      <c r="K470" s="1">
        <v>0</v>
      </c>
      <c r="L470" s="1">
        <f>ROUNDDOWN(formatted_data[[#This Row],[Selling_Price]]*formatted_data[[#This Row],[Discount_%]]/100,0)</f>
        <v>0</v>
      </c>
      <c r="M470" s="1">
        <f>(formatted_data[[#This Row],[Selling_Price]]-formatted_data[[#This Row],[Discount_Amount]])*formatted_data[[#This Row],[Units]]</f>
        <v>699</v>
      </c>
      <c r="N470" s="1">
        <f>formatted_data[[#This Row],[Total_Revenue]]-(formatted_data[[#This Row],[Cost_Price]]*formatted_data[[#This Row],[Units]])</f>
        <v>257</v>
      </c>
      <c r="O470" s="1" t="s">
        <v>21</v>
      </c>
      <c r="P470"/>
    </row>
    <row r="471" spans="1:16" x14ac:dyDescent="0.35">
      <c r="A471" s="1" t="s">
        <v>78</v>
      </c>
      <c r="B471" s="1" t="s">
        <v>16</v>
      </c>
      <c r="C471" s="2">
        <v>45637</v>
      </c>
      <c r="D471" s="1" t="s">
        <v>23</v>
      </c>
      <c r="E471" s="1" t="s">
        <v>43</v>
      </c>
      <c r="F471" s="1" t="s">
        <v>19</v>
      </c>
      <c r="G471" s="1" t="s">
        <v>20</v>
      </c>
      <c r="H471" s="1">
        <v>1</v>
      </c>
      <c r="I471" s="1">
        <v>1167</v>
      </c>
      <c r="J471" s="1">
        <v>2299</v>
      </c>
      <c r="K471" s="1">
        <v>15</v>
      </c>
      <c r="L471" s="1">
        <f>ROUNDDOWN(formatted_data[[#This Row],[Selling_Price]]*formatted_data[[#This Row],[Discount_%]]/100,0)</f>
        <v>344</v>
      </c>
      <c r="M471" s="1">
        <f>(formatted_data[[#This Row],[Selling_Price]]-formatted_data[[#This Row],[Discount_Amount]])*formatted_data[[#This Row],[Units]]</f>
        <v>1955</v>
      </c>
      <c r="N471" s="1">
        <f>formatted_data[[#This Row],[Total_Revenue]]-(formatted_data[[#This Row],[Cost_Price]]*formatted_data[[#This Row],[Units]])</f>
        <v>788</v>
      </c>
      <c r="O471" s="1" t="s">
        <v>21</v>
      </c>
      <c r="P471"/>
    </row>
    <row r="472" spans="1:16" x14ac:dyDescent="0.35">
      <c r="A472" s="1" t="s">
        <v>38</v>
      </c>
      <c r="B472" s="1" t="s">
        <v>27</v>
      </c>
      <c r="C472" s="2">
        <v>45467</v>
      </c>
      <c r="D472" s="1" t="s">
        <v>31</v>
      </c>
      <c r="E472" s="1" t="s">
        <v>32</v>
      </c>
      <c r="F472" s="1" t="s">
        <v>37</v>
      </c>
      <c r="G472" s="1" t="s">
        <v>20</v>
      </c>
      <c r="H472" s="1">
        <v>3</v>
      </c>
      <c r="I472" s="1">
        <v>758</v>
      </c>
      <c r="J472" s="1">
        <v>1499</v>
      </c>
      <c r="K472" s="1">
        <v>0</v>
      </c>
      <c r="L472" s="1">
        <f>ROUNDDOWN(formatted_data[[#This Row],[Selling_Price]]*formatted_data[[#This Row],[Discount_%]]/100,0)</f>
        <v>0</v>
      </c>
      <c r="M472" s="1">
        <f>(formatted_data[[#This Row],[Selling_Price]]-formatted_data[[#This Row],[Discount_Amount]])*formatted_data[[#This Row],[Units]]</f>
        <v>4497</v>
      </c>
      <c r="N472" s="1">
        <f>formatted_data[[#This Row],[Total_Revenue]]-(formatted_data[[#This Row],[Cost_Price]]*formatted_data[[#This Row],[Units]])</f>
        <v>2223</v>
      </c>
      <c r="O472" s="1" t="s">
        <v>21</v>
      </c>
      <c r="P472"/>
    </row>
    <row r="473" spans="1:16" x14ac:dyDescent="0.35">
      <c r="A473" s="1" t="s">
        <v>26</v>
      </c>
      <c r="B473" s="1" t="s">
        <v>27</v>
      </c>
      <c r="C473" s="2">
        <v>45581</v>
      </c>
      <c r="D473" s="1" t="s">
        <v>35</v>
      </c>
      <c r="E473" s="1" t="s">
        <v>41</v>
      </c>
      <c r="F473" s="1" t="s">
        <v>37</v>
      </c>
      <c r="G473" s="1" t="s">
        <v>19</v>
      </c>
      <c r="H473" s="1">
        <v>1</v>
      </c>
      <c r="I473" s="1">
        <v>785</v>
      </c>
      <c r="J473" s="1">
        <v>1099</v>
      </c>
      <c r="K473" s="1">
        <v>5</v>
      </c>
      <c r="L473" s="1">
        <f>ROUNDDOWN(formatted_data[[#This Row],[Selling_Price]]*formatted_data[[#This Row],[Discount_%]]/100,0)</f>
        <v>54</v>
      </c>
      <c r="M473" s="1">
        <f>(formatted_data[[#This Row],[Selling_Price]]-formatted_data[[#This Row],[Discount_Amount]])*formatted_data[[#This Row],[Units]]</f>
        <v>1045</v>
      </c>
      <c r="N473" s="1">
        <f>formatted_data[[#This Row],[Total_Revenue]]-(formatted_data[[#This Row],[Cost_Price]]*formatted_data[[#This Row],[Units]])</f>
        <v>260</v>
      </c>
      <c r="O473" s="1" t="s">
        <v>21</v>
      </c>
      <c r="P473"/>
    </row>
    <row r="474" spans="1:16" x14ac:dyDescent="0.35">
      <c r="A474" s="1" t="s">
        <v>78</v>
      </c>
      <c r="B474" s="1" t="s">
        <v>16</v>
      </c>
      <c r="C474" s="2">
        <v>45637</v>
      </c>
      <c r="D474" s="1" t="s">
        <v>31</v>
      </c>
      <c r="E474" s="1" t="s">
        <v>32</v>
      </c>
      <c r="F474" s="1" t="s">
        <v>19</v>
      </c>
      <c r="G474" s="1" t="s">
        <v>19</v>
      </c>
      <c r="H474" s="1">
        <v>1</v>
      </c>
      <c r="I474" s="1">
        <v>836</v>
      </c>
      <c r="J474" s="1">
        <v>1399</v>
      </c>
      <c r="K474" s="1">
        <v>0</v>
      </c>
      <c r="L474" s="1">
        <f>ROUNDDOWN(formatted_data[[#This Row],[Selling_Price]]*formatted_data[[#This Row],[Discount_%]]/100,0)</f>
        <v>0</v>
      </c>
      <c r="M474" s="1">
        <f>(formatted_data[[#This Row],[Selling_Price]]-formatted_data[[#This Row],[Discount_Amount]])*formatted_data[[#This Row],[Units]]</f>
        <v>1399</v>
      </c>
      <c r="N474" s="1">
        <f>formatted_data[[#This Row],[Total_Revenue]]-(formatted_data[[#This Row],[Cost_Price]]*formatted_data[[#This Row],[Units]])</f>
        <v>563</v>
      </c>
      <c r="O474" s="1" t="s">
        <v>33</v>
      </c>
      <c r="P474"/>
    </row>
    <row r="475" spans="1:16" x14ac:dyDescent="0.35">
      <c r="A475" s="1" t="s">
        <v>51</v>
      </c>
      <c r="B475" s="1" t="s">
        <v>16</v>
      </c>
      <c r="C475" s="2">
        <v>45579</v>
      </c>
      <c r="D475" s="1" t="s">
        <v>17</v>
      </c>
      <c r="E475" s="1" t="s">
        <v>72</v>
      </c>
      <c r="F475" s="1" t="s">
        <v>37</v>
      </c>
      <c r="G475" s="1" t="s">
        <v>19</v>
      </c>
      <c r="H475" s="1">
        <v>3</v>
      </c>
      <c r="I475" s="1">
        <v>268</v>
      </c>
      <c r="J475" s="1">
        <v>499</v>
      </c>
      <c r="K475" s="1">
        <v>0</v>
      </c>
      <c r="L475" s="1">
        <f>ROUNDDOWN(formatted_data[[#This Row],[Selling_Price]]*formatted_data[[#This Row],[Discount_%]]/100,0)</f>
        <v>0</v>
      </c>
      <c r="M475" s="1">
        <f>(formatted_data[[#This Row],[Selling_Price]]-formatted_data[[#This Row],[Discount_Amount]])*formatted_data[[#This Row],[Units]]</f>
        <v>1497</v>
      </c>
      <c r="N475" s="1">
        <f>formatted_data[[#This Row],[Total_Revenue]]-(formatted_data[[#This Row],[Cost_Price]]*formatted_data[[#This Row],[Units]])</f>
        <v>693</v>
      </c>
      <c r="O475" s="1" t="s">
        <v>33</v>
      </c>
      <c r="P475"/>
    </row>
    <row r="476" spans="1:16" x14ac:dyDescent="0.35">
      <c r="A476" s="1" t="s">
        <v>71</v>
      </c>
      <c r="B476" s="1" t="s">
        <v>16</v>
      </c>
      <c r="C476" s="2">
        <v>45518</v>
      </c>
      <c r="D476" s="1" t="s">
        <v>31</v>
      </c>
      <c r="E476" s="1" t="s">
        <v>32</v>
      </c>
      <c r="F476" s="1" t="s">
        <v>37</v>
      </c>
      <c r="G476" s="1" t="s">
        <v>19</v>
      </c>
      <c r="H476" s="1">
        <v>1</v>
      </c>
      <c r="I476" s="1">
        <v>588</v>
      </c>
      <c r="J476" s="1">
        <v>899</v>
      </c>
      <c r="K476" s="1">
        <v>0</v>
      </c>
      <c r="L476" s="1">
        <f>ROUNDDOWN(formatted_data[[#This Row],[Selling_Price]]*formatted_data[[#This Row],[Discount_%]]/100,0)</f>
        <v>0</v>
      </c>
      <c r="M476" s="1">
        <f>(formatted_data[[#This Row],[Selling_Price]]-formatted_data[[#This Row],[Discount_Amount]])*formatted_data[[#This Row],[Units]]</f>
        <v>899</v>
      </c>
      <c r="N476" s="1">
        <f>formatted_data[[#This Row],[Total_Revenue]]-(formatted_data[[#This Row],[Cost_Price]]*formatted_data[[#This Row],[Units]])</f>
        <v>311</v>
      </c>
      <c r="O476" s="1" t="s">
        <v>33</v>
      </c>
      <c r="P476"/>
    </row>
    <row r="477" spans="1:16" x14ac:dyDescent="0.35">
      <c r="A477" s="1" t="s">
        <v>67</v>
      </c>
      <c r="B477" s="1" t="s">
        <v>27</v>
      </c>
      <c r="C477" s="2">
        <v>45593</v>
      </c>
      <c r="D477" s="1" t="s">
        <v>17</v>
      </c>
      <c r="E477" s="1" t="s">
        <v>48</v>
      </c>
      <c r="F477" s="1" t="s">
        <v>19</v>
      </c>
      <c r="G477" s="1" t="s">
        <v>20</v>
      </c>
      <c r="H477" s="1">
        <v>4</v>
      </c>
      <c r="I477" s="1">
        <v>265</v>
      </c>
      <c r="J477" s="1">
        <v>399</v>
      </c>
      <c r="K477" s="1">
        <v>0</v>
      </c>
      <c r="L477" s="1">
        <f>ROUNDDOWN(formatted_data[[#This Row],[Selling_Price]]*formatted_data[[#This Row],[Discount_%]]/100,0)</f>
        <v>0</v>
      </c>
      <c r="M477" s="1">
        <f>(formatted_data[[#This Row],[Selling_Price]]-formatted_data[[#This Row],[Discount_Amount]])*formatted_data[[#This Row],[Units]]</f>
        <v>1596</v>
      </c>
      <c r="N477" s="1">
        <f>formatted_data[[#This Row],[Total_Revenue]]-(formatted_data[[#This Row],[Cost_Price]]*formatted_data[[#This Row],[Units]])</f>
        <v>536</v>
      </c>
      <c r="O477" s="1" t="s">
        <v>21</v>
      </c>
      <c r="P477"/>
    </row>
    <row r="478" spans="1:16" x14ac:dyDescent="0.35">
      <c r="A478" s="1" t="s">
        <v>69</v>
      </c>
      <c r="B478" s="1" t="s">
        <v>16</v>
      </c>
      <c r="C478" s="2">
        <v>45471</v>
      </c>
      <c r="D478" s="1" t="s">
        <v>17</v>
      </c>
      <c r="E478" s="1" t="s">
        <v>72</v>
      </c>
      <c r="F478" s="1" t="s">
        <v>25</v>
      </c>
      <c r="G478" s="1" t="s">
        <v>19</v>
      </c>
      <c r="H478" s="1">
        <v>5</v>
      </c>
      <c r="I478" s="1">
        <v>256</v>
      </c>
      <c r="J478" s="1">
        <v>399</v>
      </c>
      <c r="K478" s="1">
        <v>0</v>
      </c>
      <c r="L478" s="1">
        <f>ROUNDDOWN(formatted_data[[#This Row],[Selling_Price]]*formatted_data[[#This Row],[Discount_%]]/100,0)</f>
        <v>0</v>
      </c>
      <c r="M478" s="1">
        <f>(formatted_data[[#This Row],[Selling_Price]]-formatted_data[[#This Row],[Discount_Amount]])*formatted_data[[#This Row],[Units]]</f>
        <v>1995</v>
      </c>
      <c r="N478" s="1">
        <f>formatted_data[[#This Row],[Total_Revenue]]-(formatted_data[[#This Row],[Cost_Price]]*formatted_data[[#This Row],[Units]])</f>
        <v>715</v>
      </c>
      <c r="O478" s="1" t="s">
        <v>21</v>
      </c>
      <c r="P478"/>
    </row>
    <row r="479" spans="1:16" x14ac:dyDescent="0.35">
      <c r="A479" s="1" t="s">
        <v>34</v>
      </c>
      <c r="B479" s="1" t="s">
        <v>27</v>
      </c>
      <c r="C479" s="2">
        <v>45506</v>
      </c>
      <c r="D479" s="1" t="s">
        <v>17</v>
      </c>
      <c r="E479" s="1" t="s">
        <v>18</v>
      </c>
      <c r="F479" s="1" t="s">
        <v>25</v>
      </c>
      <c r="G479" s="1" t="s">
        <v>19</v>
      </c>
      <c r="H479" s="1">
        <v>2</v>
      </c>
      <c r="I479" s="1">
        <v>299</v>
      </c>
      <c r="J479" s="1">
        <v>399</v>
      </c>
      <c r="K479" s="1">
        <v>0</v>
      </c>
      <c r="L479" s="1">
        <f>ROUNDDOWN(formatted_data[[#This Row],[Selling_Price]]*formatted_data[[#This Row],[Discount_%]]/100,0)</f>
        <v>0</v>
      </c>
      <c r="M479" s="1">
        <f>(formatted_data[[#This Row],[Selling_Price]]-formatted_data[[#This Row],[Discount_Amount]])*formatted_data[[#This Row],[Units]]</f>
        <v>798</v>
      </c>
      <c r="N479" s="1">
        <f>formatted_data[[#This Row],[Total_Revenue]]-(formatted_data[[#This Row],[Cost_Price]]*formatted_data[[#This Row],[Units]])</f>
        <v>200</v>
      </c>
      <c r="O479" s="1" t="s">
        <v>21</v>
      </c>
      <c r="P479"/>
    </row>
    <row r="480" spans="1:16" x14ac:dyDescent="0.35">
      <c r="A480" s="1" t="s">
        <v>52</v>
      </c>
      <c r="B480" s="1" t="s">
        <v>27</v>
      </c>
      <c r="C480" s="2">
        <v>45611</v>
      </c>
      <c r="D480" s="1" t="s">
        <v>31</v>
      </c>
      <c r="E480" s="1" t="s">
        <v>76</v>
      </c>
      <c r="F480" s="1" t="s">
        <v>19</v>
      </c>
      <c r="G480" s="1" t="s">
        <v>19</v>
      </c>
      <c r="H480" s="1">
        <v>1</v>
      </c>
      <c r="I480" s="1">
        <v>734</v>
      </c>
      <c r="J480" s="1">
        <v>999</v>
      </c>
      <c r="K480" s="1">
        <v>0</v>
      </c>
      <c r="L480" s="1">
        <f>ROUNDDOWN(formatted_data[[#This Row],[Selling_Price]]*formatted_data[[#This Row],[Discount_%]]/100,0)</f>
        <v>0</v>
      </c>
      <c r="M480" s="1">
        <f>(formatted_data[[#This Row],[Selling_Price]]-formatted_data[[#This Row],[Discount_Amount]])*formatted_data[[#This Row],[Units]]</f>
        <v>999</v>
      </c>
      <c r="N480" s="1">
        <f>formatted_data[[#This Row],[Total_Revenue]]-(formatted_data[[#This Row],[Cost_Price]]*formatted_data[[#This Row],[Units]])</f>
        <v>265</v>
      </c>
      <c r="O480" s="1" t="s">
        <v>33</v>
      </c>
      <c r="P480"/>
    </row>
    <row r="481" spans="1:16" x14ac:dyDescent="0.35">
      <c r="A481" s="1" t="s">
        <v>40</v>
      </c>
      <c r="B481" s="1" t="s">
        <v>27</v>
      </c>
      <c r="C481" s="2">
        <v>45636</v>
      </c>
      <c r="D481" s="1" t="s">
        <v>35</v>
      </c>
      <c r="E481" s="1" t="s">
        <v>58</v>
      </c>
      <c r="F481" s="1" t="s">
        <v>25</v>
      </c>
      <c r="G481" s="1" t="s">
        <v>19</v>
      </c>
      <c r="H481" s="1">
        <v>5</v>
      </c>
      <c r="I481" s="1">
        <v>1336</v>
      </c>
      <c r="J481" s="1">
        <v>2199</v>
      </c>
      <c r="K481" s="1">
        <v>5</v>
      </c>
      <c r="L481" s="1">
        <f>ROUNDDOWN(formatted_data[[#This Row],[Selling_Price]]*formatted_data[[#This Row],[Discount_%]]/100,0)</f>
        <v>109</v>
      </c>
      <c r="M481" s="1">
        <f>(formatted_data[[#This Row],[Selling_Price]]-formatted_data[[#This Row],[Discount_Amount]])*formatted_data[[#This Row],[Units]]</f>
        <v>10450</v>
      </c>
      <c r="N481" s="1">
        <f>formatted_data[[#This Row],[Total_Revenue]]-(formatted_data[[#This Row],[Cost_Price]]*formatted_data[[#This Row],[Units]])</f>
        <v>3770</v>
      </c>
      <c r="O481" s="1" t="s">
        <v>21</v>
      </c>
      <c r="P481"/>
    </row>
    <row r="482" spans="1:16" x14ac:dyDescent="0.35">
      <c r="A482" s="1" t="s">
        <v>42</v>
      </c>
      <c r="B482" s="1" t="s">
        <v>27</v>
      </c>
      <c r="C482" s="2">
        <v>45599</v>
      </c>
      <c r="D482" s="1" t="s">
        <v>23</v>
      </c>
      <c r="E482" s="1" t="s">
        <v>24</v>
      </c>
      <c r="F482" s="1" t="s">
        <v>37</v>
      </c>
      <c r="G482" s="1" t="s">
        <v>19</v>
      </c>
      <c r="H482" s="1">
        <v>1</v>
      </c>
      <c r="I482" s="1">
        <v>591</v>
      </c>
      <c r="J482" s="1">
        <v>999</v>
      </c>
      <c r="K482" s="1">
        <v>20</v>
      </c>
      <c r="L482" s="1">
        <f>ROUNDDOWN(formatted_data[[#This Row],[Selling_Price]]*formatted_data[[#This Row],[Discount_%]]/100,0)</f>
        <v>199</v>
      </c>
      <c r="M482" s="1">
        <f>(formatted_data[[#This Row],[Selling_Price]]-formatted_data[[#This Row],[Discount_Amount]])*formatted_data[[#This Row],[Units]]</f>
        <v>800</v>
      </c>
      <c r="N482" s="1">
        <f>formatted_data[[#This Row],[Total_Revenue]]-(formatted_data[[#This Row],[Cost_Price]]*formatted_data[[#This Row],[Units]])</f>
        <v>209</v>
      </c>
      <c r="O482" s="1" t="s">
        <v>21</v>
      </c>
      <c r="P482"/>
    </row>
    <row r="483" spans="1:16" x14ac:dyDescent="0.35">
      <c r="A483" s="1" t="s">
        <v>104</v>
      </c>
      <c r="B483" s="1" t="s">
        <v>27</v>
      </c>
      <c r="C483" s="2">
        <v>45629</v>
      </c>
      <c r="D483" s="1" t="s">
        <v>17</v>
      </c>
      <c r="E483" s="1" t="s">
        <v>72</v>
      </c>
      <c r="F483" s="1" t="s">
        <v>19</v>
      </c>
      <c r="G483" s="1" t="s">
        <v>19</v>
      </c>
      <c r="H483" s="1">
        <v>2</v>
      </c>
      <c r="I483" s="1">
        <v>365</v>
      </c>
      <c r="J483" s="1">
        <v>499</v>
      </c>
      <c r="K483" s="1">
        <v>0</v>
      </c>
      <c r="L483" s="1">
        <f>ROUNDDOWN(formatted_data[[#This Row],[Selling_Price]]*formatted_data[[#This Row],[Discount_%]]/100,0)</f>
        <v>0</v>
      </c>
      <c r="M483" s="1">
        <f>(formatted_data[[#This Row],[Selling_Price]]-formatted_data[[#This Row],[Discount_Amount]])*formatted_data[[#This Row],[Units]]</f>
        <v>998</v>
      </c>
      <c r="N483" s="1">
        <f>formatted_data[[#This Row],[Total_Revenue]]-(formatted_data[[#This Row],[Cost_Price]]*formatted_data[[#This Row],[Units]])</f>
        <v>268</v>
      </c>
      <c r="O483" s="1" t="s">
        <v>21</v>
      </c>
      <c r="P483"/>
    </row>
    <row r="484" spans="1:16" x14ac:dyDescent="0.35">
      <c r="A484" s="1" t="s">
        <v>71</v>
      </c>
      <c r="B484" s="1" t="s">
        <v>16</v>
      </c>
      <c r="C484" s="2">
        <v>45503</v>
      </c>
      <c r="D484" s="1" t="s">
        <v>17</v>
      </c>
      <c r="E484" s="1" t="s">
        <v>55</v>
      </c>
      <c r="F484" s="1" t="s">
        <v>19</v>
      </c>
      <c r="G484" s="1" t="s">
        <v>20</v>
      </c>
      <c r="H484" s="1">
        <v>1</v>
      </c>
      <c r="I484" s="1">
        <v>315</v>
      </c>
      <c r="J484" s="1">
        <v>499</v>
      </c>
      <c r="K484" s="1">
        <v>0</v>
      </c>
      <c r="L484" s="1">
        <f>ROUNDDOWN(formatted_data[[#This Row],[Selling_Price]]*formatted_data[[#This Row],[Discount_%]]/100,0)</f>
        <v>0</v>
      </c>
      <c r="M484" s="1">
        <f>(formatted_data[[#This Row],[Selling_Price]]-formatted_data[[#This Row],[Discount_Amount]])*formatted_data[[#This Row],[Units]]</f>
        <v>499</v>
      </c>
      <c r="N484" s="1">
        <f>formatted_data[[#This Row],[Total_Revenue]]-(formatted_data[[#This Row],[Cost_Price]]*formatted_data[[#This Row],[Units]])</f>
        <v>184</v>
      </c>
      <c r="O484" s="1" t="s">
        <v>33</v>
      </c>
      <c r="P484"/>
    </row>
    <row r="485" spans="1:16" x14ac:dyDescent="0.35">
      <c r="A485" s="1" t="s">
        <v>107</v>
      </c>
      <c r="B485" s="1" t="s">
        <v>27</v>
      </c>
      <c r="C485" s="2">
        <v>45553</v>
      </c>
      <c r="D485" s="1" t="s">
        <v>23</v>
      </c>
      <c r="E485" s="1" t="s">
        <v>24</v>
      </c>
      <c r="F485" s="1" t="s">
        <v>19</v>
      </c>
      <c r="G485" s="1" t="s">
        <v>20</v>
      </c>
      <c r="H485" s="1">
        <v>1</v>
      </c>
      <c r="I485" s="1">
        <v>1365</v>
      </c>
      <c r="J485" s="1">
        <v>1899</v>
      </c>
      <c r="K485" s="1">
        <v>20</v>
      </c>
      <c r="L485" s="1">
        <f>ROUNDDOWN(formatted_data[[#This Row],[Selling_Price]]*formatted_data[[#This Row],[Discount_%]]/100,0)</f>
        <v>379</v>
      </c>
      <c r="M485" s="1">
        <f>(formatted_data[[#This Row],[Selling_Price]]-formatted_data[[#This Row],[Discount_Amount]])*formatted_data[[#This Row],[Units]]</f>
        <v>1520</v>
      </c>
      <c r="N485" s="1">
        <f>formatted_data[[#This Row],[Total_Revenue]]-(formatted_data[[#This Row],[Cost_Price]]*formatted_data[[#This Row],[Units]])</f>
        <v>155</v>
      </c>
      <c r="O485" s="1" t="s">
        <v>21</v>
      </c>
      <c r="P485"/>
    </row>
    <row r="486" spans="1:16" x14ac:dyDescent="0.35">
      <c r="A486" s="1" t="s">
        <v>60</v>
      </c>
      <c r="B486" s="1" t="s">
        <v>27</v>
      </c>
      <c r="C486" s="2">
        <v>45488</v>
      </c>
      <c r="D486" s="1" t="s">
        <v>31</v>
      </c>
      <c r="E486" s="1" t="s">
        <v>32</v>
      </c>
      <c r="F486" s="1" t="s">
        <v>19</v>
      </c>
      <c r="G486" s="1" t="s">
        <v>20</v>
      </c>
      <c r="H486" s="1">
        <v>4</v>
      </c>
      <c r="I486" s="1">
        <v>1006</v>
      </c>
      <c r="J486" s="1">
        <v>1399</v>
      </c>
      <c r="K486" s="1">
        <v>0</v>
      </c>
      <c r="L486" s="1">
        <f>ROUNDDOWN(formatted_data[[#This Row],[Selling_Price]]*formatted_data[[#This Row],[Discount_%]]/100,0)</f>
        <v>0</v>
      </c>
      <c r="M486" s="1">
        <f>(formatted_data[[#This Row],[Selling_Price]]-formatted_data[[#This Row],[Discount_Amount]])*formatted_data[[#This Row],[Units]]</f>
        <v>5596</v>
      </c>
      <c r="N486" s="1">
        <f>formatted_data[[#This Row],[Total_Revenue]]-(formatted_data[[#This Row],[Cost_Price]]*formatted_data[[#This Row],[Units]])</f>
        <v>1572</v>
      </c>
      <c r="O486" s="1" t="s">
        <v>21</v>
      </c>
      <c r="P486"/>
    </row>
    <row r="487" spans="1:16" x14ac:dyDescent="0.35">
      <c r="A487" s="1" t="s">
        <v>63</v>
      </c>
      <c r="B487" s="1" t="s">
        <v>27</v>
      </c>
      <c r="C487" s="2">
        <v>45602</v>
      </c>
      <c r="D487" s="1" t="s">
        <v>31</v>
      </c>
      <c r="E487" s="1" t="s">
        <v>76</v>
      </c>
      <c r="F487" s="1" t="s">
        <v>19</v>
      </c>
      <c r="G487" s="1" t="s">
        <v>20</v>
      </c>
      <c r="H487" s="1">
        <v>1</v>
      </c>
      <c r="I487" s="1">
        <v>601</v>
      </c>
      <c r="J487" s="1">
        <v>999</v>
      </c>
      <c r="K487" s="1">
        <v>0</v>
      </c>
      <c r="L487" s="1">
        <f>ROUNDDOWN(formatted_data[[#This Row],[Selling_Price]]*formatted_data[[#This Row],[Discount_%]]/100,0)</f>
        <v>0</v>
      </c>
      <c r="M487" s="1">
        <f>(formatted_data[[#This Row],[Selling_Price]]-formatted_data[[#This Row],[Discount_Amount]])*formatted_data[[#This Row],[Units]]</f>
        <v>999</v>
      </c>
      <c r="N487" s="1">
        <f>formatted_data[[#This Row],[Total_Revenue]]-(formatted_data[[#This Row],[Cost_Price]]*formatted_data[[#This Row],[Units]])</f>
        <v>398</v>
      </c>
      <c r="O487" s="1" t="s">
        <v>21</v>
      </c>
      <c r="P487"/>
    </row>
    <row r="488" spans="1:16" x14ac:dyDescent="0.35">
      <c r="A488" s="1" t="s">
        <v>84</v>
      </c>
      <c r="B488" s="1" t="s">
        <v>27</v>
      </c>
      <c r="C488" s="2">
        <v>45645</v>
      </c>
      <c r="D488" s="1" t="s">
        <v>23</v>
      </c>
      <c r="E488" s="1" t="s">
        <v>43</v>
      </c>
      <c r="F488" s="1" t="s">
        <v>25</v>
      </c>
      <c r="G488" s="1" t="s">
        <v>19</v>
      </c>
      <c r="H488" s="1">
        <v>1</v>
      </c>
      <c r="I488" s="1">
        <v>2179</v>
      </c>
      <c r="J488" s="1">
        <v>4199</v>
      </c>
      <c r="K488" s="1">
        <v>15</v>
      </c>
      <c r="L488" s="1">
        <f>ROUNDDOWN(formatted_data[[#This Row],[Selling_Price]]*formatted_data[[#This Row],[Discount_%]]/100,0)</f>
        <v>629</v>
      </c>
      <c r="M488" s="1">
        <f>(formatted_data[[#This Row],[Selling_Price]]-formatted_data[[#This Row],[Discount_Amount]])*formatted_data[[#This Row],[Units]]</f>
        <v>3570</v>
      </c>
      <c r="N488" s="1">
        <f>formatted_data[[#This Row],[Total_Revenue]]-(formatted_data[[#This Row],[Cost_Price]]*formatted_data[[#This Row],[Units]])</f>
        <v>1391</v>
      </c>
      <c r="O488" s="1" t="s">
        <v>21</v>
      </c>
      <c r="P488"/>
    </row>
    <row r="489" spans="1:16" x14ac:dyDescent="0.35">
      <c r="A489" s="1" t="s">
        <v>85</v>
      </c>
      <c r="B489" s="1" t="s">
        <v>27</v>
      </c>
      <c r="C489" s="2">
        <v>45576</v>
      </c>
      <c r="D489" s="1" t="s">
        <v>28</v>
      </c>
      <c r="E489" s="1" t="s">
        <v>29</v>
      </c>
      <c r="F489" s="1" t="s">
        <v>37</v>
      </c>
      <c r="G489" s="1" t="s">
        <v>20</v>
      </c>
      <c r="H489" s="1">
        <v>3</v>
      </c>
      <c r="I489" s="1">
        <v>387</v>
      </c>
      <c r="J489" s="1">
        <v>599</v>
      </c>
      <c r="K489" s="1">
        <v>15</v>
      </c>
      <c r="L489" s="1">
        <f>ROUNDDOWN(formatted_data[[#This Row],[Selling_Price]]*formatted_data[[#This Row],[Discount_%]]/100,0)</f>
        <v>89</v>
      </c>
      <c r="M489" s="1">
        <f>(formatted_data[[#This Row],[Selling_Price]]-formatted_data[[#This Row],[Discount_Amount]])*formatted_data[[#This Row],[Units]]</f>
        <v>1530</v>
      </c>
      <c r="N489" s="1">
        <f>formatted_data[[#This Row],[Total_Revenue]]-(formatted_data[[#This Row],[Cost_Price]]*formatted_data[[#This Row],[Units]])</f>
        <v>369</v>
      </c>
      <c r="O489" s="1" t="s">
        <v>21</v>
      </c>
      <c r="P489"/>
    </row>
    <row r="490" spans="1:16" x14ac:dyDescent="0.35">
      <c r="A490" s="1" t="s">
        <v>82</v>
      </c>
      <c r="B490" s="1" t="s">
        <v>27</v>
      </c>
      <c r="C490" s="2">
        <v>45485</v>
      </c>
      <c r="D490" s="1" t="s">
        <v>35</v>
      </c>
      <c r="E490" s="1" t="s">
        <v>41</v>
      </c>
      <c r="F490" s="1" t="s">
        <v>25</v>
      </c>
      <c r="G490" s="1" t="s">
        <v>20</v>
      </c>
      <c r="H490" s="1">
        <v>4</v>
      </c>
      <c r="I490" s="1">
        <v>396</v>
      </c>
      <c r="J490" s="1">
        <v>599</v>
      </c>
      <c r="K490" s="1">
        <v>5</v>
      </c>
      <c r="L490" s="1">
        <f>ROUNDDOWN(formatted_data[[#This Row],[Selling_Price]]*formatted_data[[#This Row],[Discount_%]]/100,0)</f>
        <v>29</v>
      </c>
      <c r="M490" s="1">
        <f>(formatted_data[[#This Row],[Selling_Price]]-formatted_data[[#This Row],[Discount_Amount]])*formatted_data[[#This Row],[Units]]</f>
        <v>2280</v>
      </c>
      <c r="N490" s="1">
        <f>formatted_data[[#This Row],[Total_Revenue]]-(formatted_data[[#This Row],[Cost_Price]]*formatted_data[[#This Row],[Units]])</f>
        <v>696</v>
      </c>
      <c r="O490" s="1" t="s">
        <v>33</v>
      </c>
      <c r="P490"/>
    </row>
    <row r="491" spans="1:16" x14ac:dyDescent="0.35">
      <c r="A491" s="1" t="s">
        <v>79</v>
      </c>
      <c r="B491" s="1" t="s">
        <v>16</v>
      </c>
      <c r="C491" s="2">
        <v>45517</v>
      </c>
      <c r="D491" s="1" t="s">
        <v>17</v>
      </c>
      <c r="E491" s="1" t="s">
        <v>48</v>
      </c>
      <c r="F491" s="1" t="s">
        <v>37</v>
      </c>
      <c r="G491" s="1" t="s">
        <v>20</v>
      </c>
      <c r="H491" s="1">
        <v>1</v>
      </c>
      <c r="I491" s="1">
        <v>270</v>
      </c>
      <c r="J491" s="1">
        <v>499</v>
      </c>
      <c r="K491" s="1">
        <v>0</v>
      </c>
      <c r="L491" s="1">
        <f>ROUNDDOWN(formatted_data[[#This Row],[Selling_Price]]*formatted_data[[#This Row],[Discount_%]]/100,0)</f>
        <v>0</v>
      </c>
      <c r="M491" s="1">
        <f>(formatted_data[[#This Row],[Selling_Price]]-formatted_data[[#This Row],[Discount_Amount]])*formatted_data[[#This Row],[Units]]</f>
        <v>499</v>
      </c>
      <c r="N491" s="1">
        <f>formatted_data[[#This Row],[Total_Revenue]]-(formatted_data[[#This Row],[Cost_Price]]*formatted_data[[#This Row],[Units]])</f>
        <v>229</v>
      </c>
      <c r="O491" s="1" t="s">
        <v>21</v>
      </c>
      <c r="P491"/>
    </row>
    <row r="492" spans="1:16" x14ac:dyDescent="0.35">
      <c r="A492" s="1" t="s">
        <v>44</v>
      </c>
      <c r="B492" s="1" t="s">
        <v>16</v>
      </c>
      <c r="C492" s="2">
        <v>45573</v>
      </c>
      <c r="D492" s="1" t="s">
        <v>35</v>
      </c>
      <c r="E492" s="1" t="s">
        <v>100</v>
      </c>
      <c r="F492" s="1" t="s">
        <v>19</v>
      </c>
      <c r="G492" s="1" t="s">
        <v>20</v>
      </c>
      <c r="H492" s="1">
        <v>2</v>
      </c>
      <c r="I492" s="1">
        <v>672</v>
      </c>
      <c r="J492" s="1">
        <v>1299</v>
      </c>
      <c r="K492" s="1">
        <v>20</v>
      </c>
      <c r="L492" s="1">
        <f>ROUNDDOWN(formatted_data[[#This Row],[Selling_Price]]*formatted_data[[#This Row],[Discount_%]]/100,0)</f>
        <v>259</v>
      </c>
      <c r="M492" s="1">
        <f>(formatted_data[[#This Row],[Selling_Price]]-formatted_data[[#This Row],[Discount_Amount]])*formatted_data[[#This Row],[Units]]</f>
        <v>2080</v>
      </c>
      <c r="N492" s="1">
        <f>formatted_data[[#This Row],[Total_Revenue]]-(formatted_data[[#This Row],[Cost_Price]]*formatted_data[[#This Row],[Units]])</f>
        <v>736</v>
      </c>
      <c r="O492" s="1" t="s">
        <v>21</v>
      </c>
      <c r="P492"/>
    </row>
    <row r="493" spans="1:16" x14ac:dyDescent="0.35">
      <c r="A493" s="1" t="s">
        <v>59</v>
      </c>
      <c r="B493" s="1" t="s">
        <v>27</v>
      </c>
      <c r="C493" s="2">
        <v>45613</v>
      </c>
      <c r="D493" s="1" t="s">
        <v>17</v>
      </c>
      <c r="E493" s="1" t="s">
        <v>55</v>
      </c>
      <c r="F493" s="1" t="s">
        <v>19</v>
      </c>
      <c r="G493" s="1" t="s">
        <v>20</v>
      </c>
      <c r="H493" s="1">
        <v>2</v>
      </c>
      <c r="I493" s="1">
        <v>216</v>
      </c>
      <c r="J493" s="1">
        <v>299</v>
      </c>
      <c r="K493" s="1">
        <v>0</v>
      </c>
      <c r="L493" s="1">
        <f>ROUNDDOWN(formatted_data[[#This Row],[Selling_Price]]*formatted_data[[#This Row],[Discount_%]]/100,0)</f>
        <v>0</v>
      </c>
      <c r="M493" s="1">
        <f>(formatted_data[[#This Row],[Selling_Price]]-formatted_data[[#This Row],[Discount_Amount]])*formatted_data[[#This Row],[Units]]</f>
        <v>598</v>
      </c>
      <c r="N493" s="1">
        <f>formatted_data[[#This Row],[Total_Revenue]]-(formatted_data[[#This Row],[Cost_Price]]*formatted_data[[#This Row],[Units]])</f>
        <v>166</v>
      </c>
      <c r="O493" s="1" t="s">
        <v>21</v>
      </c>
      <c r="P493"/>
    </row>
    <row r="494" spans="1:16" x14ac:dyDescent="0.35">
      <c r="A494" s="1" t="s">
        <v>67</v>
      </c>
      <c r="B494" s="1" t="s">
        <v>27</v>
      </c>
      <c r="C494" s="2">
        <v>45484</v>
      </c>
      <c r="D494" s="1" t="s">
        <v>28</v>
      </c>
      <c r="E494" s="1" t="s">
        <v>45</v>
      </c>
      <c r="F494" s="1" t="s">
        <v>25</v>
      </c>
      <c r="G494" s="1" t="s">
        <v>19</v>
      </c>
      <c r="H494" s="1">
        <v>1</v>
      </c>
      <c r="I494" s="1">
        <v>889</v>
      </c>
      <c r="J494" s="1">
        <v>1599</v>
      </c>
      <c r="K494" s="1">
        <v>5</v>
      </c>
      <c r="L494" s="1">
        <f>ROUNDDOWN(formatted_data[[#This Row],[Selling_Price]]*formatted_data[[#This Row],[Discount_%]]/100,0)</f>
        <v>79</v>
      </c>
      <c r="M494" s="1">
        <f>(formatted_data[[#This Row],[Selling_Price]]-formatted_data[[#This Row],[Discount_Amount]])*formatted_data[[#This Row],[Units]]</f>
        <v>1520</v>
      </c>
      <c r="N494" s="1">
        <f>formatted_data[[#This Row],[Total_Revenue]]-(formatted_data[[#This Row],[Cost_Price]]*formatted_data[[#This Row],[Units]])</f>
        <v>631</v>
      </c>
      <c r="O494" s="1" t="s">
        <v>21</v>
      </c>
      <c r="P494"/>
    </row>
    <row r="495" spans="1:16" x14ac:dyDescent="0.35">
      <c r="A495" s="1" t="s">
        <v>42</v>
      </c>
      <c r="B495" s="1" t="s">
        <v>27</v>
      </c>
      <c r="C495" s="2">
        <v>45581</v>
      </c>
      <c r="D495" s="1" t="s">
        <v>23</v>
      </c>
      <c r="E495" s="1" t="s">
        <v>43</v>
      </c>
      <c r="F495" s="1" t="s">
        <v>19</v>
      </c>
      <c r="G495" s="1" t="s">
        <v>20</v>
      </c>
      <c r="H495" s="1">
        <v>2</v>
      </c>
      <c r="I495" s="1">
        <v>1203</v>
      </c>
      <c r="J495" s="1">
        <v>1999</v>
      </c>
      <c r="K495" s="1">
        <v>5</v>
      </c>
      <c r="L495" s="1">
        <f>ROUNDDOWN(formatted_data[[#This Row],[Selling_Price]]*formatted_data[[#This Row],[Discount_%]]/100,0)</f>
        <v>99</v>
      </c>
      <c r="M495" s="1">
        <f>(formatted_data[[#This Row],[Selling_Price]]-formatted_data[[#This Row],[Discount_Amount]])*formatted_data[[#This Row],[Units]]</f>
        <v>3800</v>
      </c>
      <c r="N495" s="1">
        <f>formatted_data[[#This Row],[Total_Revenue]]-(formatted_data[[#This Row],[Cost_Price]]*formatted_data[[#This Row],[Units]])</f>
        <v>1394</v>
      </c>
      <c r="O495" s="1" t="s">
        <v>21</v>
      </c>
      <c r="P495"/>
    </row>
    <row r="496" spans="1:16" x14ac:dyDescent="0.35">
      <c r="A496" s="1" t="s">
        <v>109</v>
      </c>
      <c r="B496" s="1" t="s">
        <v>16</v>
      </c>
      <c r="C496" s="2">
        <v>45573</v>
      </c>
      <c r="D496" s="1" t="s">
        <v>28</v>
      </c>
      <c r="E496" s="1" t="s">
        <v>45</v>
      </c>
      <c r="F496" s="1" t="s">
        <v>25</v>
      </c>
      <c r="G496" s="1" t="s">
        <v>20</v>
      </c>
      <c r="H496" s="1">
        <v>4</v>
      </c>
      <c r="I496" s="1">
        <v>741</v>
      </c>
      <c r="J496" s="1">
        <v>1299</v>
      </c>
      <c r="K496" s="1">
        <v>20</v>
      </c>
      <c r="L496" s="1">
        <f>ROUNDDOWN(formatted_data[[#This Row],[Selling_Price]]*formatted_data[[#This Row],[Discount_%]]/100,0)</f>
        <v>259</v>
      </c>
      <c r="M496" s="1">
        <f>(formatted_data[[#This Row],[Selling_Price]]-formatted_data[[#This Row],[Discount_Amount]])*formatted_data[[#This Row],[Units]]</f>
        <v>4160</v>
      </c>
      <c r="N496" s="1">
        <f>formatted_data[[#This Row],[Total_Revenue]]-(formatted_data[[#This Row],[Cost_Price]]*formatted_data[[#This Row],[Units]])</f>
        <v>1196</v>
      </c>
      <c r="O496" s="1" t="s">
        <v>33</v>
      </c>
      <c r="P496"/>
    </row>
    <row r="497" spans="1:16" x14ac:dyDescent="0.35">
      <c r="A497" s="1" t="s">
        <v>80</v>
      </c>
      <c r="B497" s="1" t="s">
        <v>27</v>
      </c>
      <c r="C497" s="2">
        <v>45451</v>
      </c>
      <c r="D497" s="1" t="s">
        <v>28</v>
      </c>
      <c r="E497" s="1" t="s">
        <v>29</v>
      </c>
      <c r="F497" s="1" t="s">
        <v>37</v>
      </c>
      <c r="G497" s="1" t="s">
        <v>20</v>
      </c>
      <c r="H497" s="1">
        <v>1</v>
      </c>
      <c r="I497" s="1">
        <v>539</v>
      </c>
      <c r="J497" s="1">
        <v>799</v>
      </c>
      <c r="K497" s="1">
        <v>15</v>
      </c>
      <c r="L497" s="1">
        <f>ROUNDDOWN(formatted_data[[#This Row],[Selling_Price]]*formatted_data[[#This Row],[Discount_%]]/100,0)</f>
        <v>119</v>
      </c>
      <c r="M497" s="1">
        <f>(formatted_data[[#This Row],[Selling_Price]]-formatted_data[[#This Row],[Discount_Amount]])*formatted_data[[#This Row],[Units]]</f>
        <v>680</v>
      </c>
      <c r="N497" s="1">
        <f>formatted_data[[#This Row],[Total_Revenue]]-(formatted_data[[#This Row],[Cost_Price]]*formatted_data[[#This Row],[Units]])</f>
        <v>141</v>
      </c>
      <c r="O497" s="1" t="s">
        <v>21</v>
      </c>
      <c r="P497"/>
    </row>
    <row r="498" spans="1:16" x14ac:dyDescent="0.35">
      <c r="A498" s="1" t="s">
        <v>47</v>
      </c>
      <c r="B498" s="1" t="s">
        <v>16</v>
      </c>
      <c r="C498" s="2">
        <v>45557</v>
      </c>
      <c r="D498" s="1" t="s">
        <v>35</v>
      </c>
      <c r="E498" s="1" t="s">
        <v>100</v>
      </c>
      <c r="F498" s="1" t="s">
        <v>19</v>
      </c>
      <c r="G498" s="1" t="s">
        <v>20</v>
      </c>
      <c r="H498" s="1">
        <v>1</v>
      </c>
      <c r="I498" s="1">
        <v>1266</v>
      </c>
      <c r="J498" s="1">
        <v>1799</v>
      </c>
      <c r="K498" s="1">
        <v>15</v>
      </c>
      <c r="L498" s="1">
        <f>ROUNDDOWN(formatted_data[[#This Row],[Selling_Price]]*formatted_data[[#This Row],[Discount_%]]/100,0)</f>
        <v>269</v>
      </c>
      <c r="M498" s="1">
        <f>(formatted_data[[#This Row],[Selling_Price]]-formatted_data[[#This Row],[Discount_Amount]])*formatted_data[[#This Row],[Units]]</f>
        <v>1530</v>
      </c>
      <c r="N498" s="1">
        <f>formatted_data[[#This Row],[Total_Revenue]]-(formatted_data[[#This Row],[Cost_Price]]*formatted_data[[#This Row],[Units]])</f>
        <v>264</v>
      </c>
      <c r="O498" s="1" t="s">
        <v>21</v>
      </c>
      <c r="P498"/>
    </row>
    <row r="499" spans="1:16" x14ac:dyDescent="0.35">
      <c r="A499" s="1" t="s">
        <v>63</v>
      </c>
      <c r="B499" s="1" t="s">
        <v>27</v>
      </c>
      <c r="C499" s="2">
        <v>45606</v>
      </c>
      <c r="D499" s="1" t="s">
        <v>35</v>
      </c>
      <c r="E499" s="1" t="s">
        <v>50</v>
      </c>
      <c r="F499" s="1" t="s">
        <v>19</v>
      </c>
      <c r="G499" s="1" t="s">
        <v>20</v>
      </c>
      <c r="H499" s="1">
        <v>1</v>
      </c>
      <c r="I499" s="1">
        <v>625</v>
      </c>
      <c r="J499" s="1">
        <v>1099</v>
      </c>
      <c r="K499" s="1">
        <v>5</v>
      </c>
      <c r="L499" s="1">
        <f>ROUNDDOWN(formatted_data[[#This Row],[Selling_Price]]*formatted_data[[#This Row],[Discount_%]]/100,0)</f>
        <v>54</v>
      </c>
      <c r="M499" s="1">
        <f>(formatted_data[[#This Row],[Selling_Price]]-formatted_data[[#This Row],[Discount_Amount]])*formatted_data[[#This Row],[Units]]</f>
        <v>1045</v>
      </c>
      <c r="N499" s="1">
        <f>formatted_data[[#This Row],[Total_Revenue]]-(formatted_data[[#This Row],[Cost_Price]]*formatted_data[[#This Row],[Units]])</f>
        <v>420</v>
      </c>
      <c r="O499" s="1" t="s">
        <v>21</v>
      </c>
      <c r="P499"/>
    </row>
    <row r="500" spans="1:16" x14ac:dyDescent="0.35">
      <c r="A500" s="1" t="s">
        <v>94</v>
      </c>
      <c r="B500" s="1" t="s">
        <v>16</v>
      </c>
      <c r="C500" s="2">
        <v>45630</v>
      </c>
      <c r="D500" s="1" t="s">
        <v>31</v>
      </c>
      <c r="E500" s="1" t="s">
        <v>76</v>
      </c>
      <c r="F500" s="1" t="s">
        <v>25</v>
      </c>
      <c r="G500" s="1" t="s">
        <v>20</v>
      </c>
      <c r="H500" s="1">
        <v>5</v>
      </c>
      <c r="I500" s="1">
        <v>874</v>
      </c>
      <c r="J500" s="1">
        <v>1199</v>
      </c>
      <c r="K500" s="1">
        <v>0</v>
      </c>
      <c r="L500" s="1">
        <f>ROUNDDOWN(formatted_data[[#This Row],[Selling_Price]]*formatted_data[[#This Row],[Discount_%]]/100,0)</f>
        <v>0</v>
      </c>
      <c r="M500" s="1">
        <f>(formatted_data[[#This Row],[Selling_Price]]-formatted_data[[#This Row],[Discount_Amount]])*formatted_data[[#This Row],[Units]]</f>
        <v>5995</v>
      </c>
      <c r="N500" s="1">
        <f>formatted_data[[#This Row],[Total_Revenue]]-(formatted_data[[#This Row],[Cost_Price]]*formatted_data[[#This Row],[Units]])</f>
        <v>1625</v>
      </c>
      <c r="O500" s="1" t="s">
        <v>21</v>
      </c>
      <c r="P500"/>
    </row>
    <row r="501" spans="1:16" x14ac:dyDescent="0.35">
      <c r="A501" s="1" t="s">
        <v>81</v>
      </c>
      <c r="B501" s="1" t="s">
        <v>27</v>
      </c>
      <c r="C501" s="2">
        <v>45548</v>
      </c>
      <c r="D501" s="1" t="s">
        <v>35</v>
      </c>
      <c r="E501" s="1" t="s">
        <v>87</v>
      </c>
      <c r="F501" s="1" t="s">
        <v>19</v>
      </c>
      <c r="G501" s="1" t="s">
        <v>20</v>
      </c>
      <c r="H501" s="1">
        <v>2</v>
      </c>
      <c r="I501" s="1">
        <v>1570</v>
      </c>
      <c r="J501" s="1">
        <v>2699</v>
      </c>
      <c r="K501" s="1">
        <v>5</v>
      </c>
      <c r="L501" s="1">
        <f>ROUNDDOWN(formatted_data[[#This Row],[Selling_Price]]*formatted_data[[#This Row],[Discount_%]]/100,0)</f>
        <v>134</v>
      </c>
      <c r="M501" s="1">
        <f>(formatted_data[[#This Row],[Selling_Price]]-formatted_data[[#This Row],[Discount_Amount]])*formatted_data[[#This Row],[Units]]</f>
        <v>5130</v>
      </c>
      <c r="N501" s="1">
        <f>formatted_data[[#This Row],[Total_Revenue]]-(formatted_data[[#This Row],[Cost_Price]]*formatted_data[[#This Row],[Units]])</f>
        <v>1990</v>
      </c>
      <c r="O501" s="1" t="s">
        <v>21</v>
      </c>
      <c r="P501"/>
    </row>
    <row r="502" spans="1:16" x14ac:dyDescent="0.35">
      <c r="A502" s="1" t="s">
        <v>61</v>
      </c>
      <c r="B502" s="1" t="s">
        <v>27</v>
      </c>
      <c r="C502" s="2">
        <v>45518</v>
      </c>
      <c r="D502" s="1" t="s">
        <v>31</v>
      </c>
      <c r="E502" s="1" t="s">
        <v>32</v>
      </c>
      <c r="F502" s="1" t="s">
        <v>19</v>
      </c>
      <c r="G502" s="1" t="s">
        <v>20</v>
      </c>
      <c r="H502" s="1">
        <v>1</v>
      </c>
      <c r="I502" s="1">
        <v>544</v>
      </c>
      <c r="J502" s="1">
        <v>999</v>
      </c>
      <c r="K502" s="1">
        <v>0</v>
      </c>
      <c r="L502" s="1">
        <f>ROUNDDOWN(formatted_data[[#This Row],[Selling_Price]]*formatted_data[[#This Row],[Discount_%]]/100,0)</f>
        <v>0</v>
      </c>
      <c r="M502" s="1">
        <f>(formatted_data[[#This Row],[Selling_Price]]-formatted_data[[#This Row],[Discount_Amount]])*formatted_data[[#This Row],[Units]]</f>
        <v>999</v>
      </c>
      <c r="N502" s="1">
        <f>formatted_data[[#This Row],[Total_Revenue]]-(formatted_data[[#This Row],[Cost_Price]]*formatted_data[[#This Row],[Units]])</f>
        <v>455</v>
      </c>
      <c r="O502" s="1" t="s">
        <v>33</v>
      </c>
      <c r="P502"/>
    </row>
    <row r="503" spans="1:16" x14ac:dyDescent="0.35">
      <c r="A503" s="1" t="s">
        <v>84</v>
      </c>
      <c r="B503" s="1" t="s">
        <v>27</v>
      </c>
      <c r="C503" s="2">
        <v>45605</v>
      </c>
      <c r="D503" s="1" t="s">
        <v>23</v>
      </c>
      <c r="E503" s="1" t="s">
        <v>43</v>
      </c>
      <c r="F503" s="1" t="s">
        <v>37</v>
      </c>
      <c r="G503" s="1" t="s">
        <v>20</v>
      </c>
      <c r="H503" s="1">
        <v>5</v>
      </c>
      <c r="I503" s="1">
        <v>1564</v>
      </c>
      <c r="J503" s="1">
        <v>2799</v>
      </c>
      <c r="K503" s="1">
        <v>10</v>
      </c>
      <c r="L503" s="1">
        <f>ROUNDDOWN(formatted_data[[#This Row],[Selling_Price]]*formatted_data[[#This Row],[Discount_%]]/100,0)</f>
        <v>279</v>
      </c>
      <c r="M503" s="1">
        <f>(formatted_data[[#This Row],[Selling_Price]]-formatted_data[[#This Row],[Discount_Amount]])*formatted_data[[#This Row],[Units]]</f>
        <v>12600</v>
      </c>
      <c r="N503" s="1">
        <f>formatted_data[[#This Row],[Total_Revenue]]-(formatted_data[[#This Row],[Cost_Price]]*formatted_data[[#This Row],[Units]])</f>
        <v>4780</v>
      </c>
      <c r="O503" s="1" t="s">
        <v>33</v>
      </c>
      <c r="P503"/>
    </row>
    <row r="504" spans="1:16" x14ac:dyDescent="0.35">
      <c r="A504" s="1" t="s">
        <v>44</v>
      </c>
      <c r="B504" s="1" t="s">
        <v>16</v>
      </c>
      <c r="C504" s="2">
        <v>45557</v>
      </c>
      <c r="D504" s="1" t="s">
        <v>31</v>
      </c>
      <c r="E504" s="1" t="s">
        <v>76</v>
      </c>
      <c r="F504" s="1" t="s">
        <v>25</v>
      </c>
      <c r="G504" s="1" t="s">
        <v>20</v>
      </c>
      <c r="H504" s="1">
        <v>1</v>
      </c>
      <c r="I504" s="1">
        <v>627</v>
      </c>
      <c r="J504" s="1">
        <v>999</v>
      </c>
      <c r="K504" s="1">
        <v>0</v>
      </c>
      <c r="L504" s="1">
        <f>ROUNDDOWN(formatted_data[[#This Row],[Selling_Price]]*formatted_data[[#This Row],[Discount_%]]/100,0)</f>
        <v>0</v>
      </c>
      <c r="M504" s="1">
        <f>(formatted_data[[#This Row],[Selling_Price]]-formatted_data[[#This Row],[Discount_Amount]])*formatted_data[[#This Row],[Units]]</f>
        <v>999</v>
      </c>
      <c r="N504" s="1">
        <f>formatted_data[[#This Row],[Total_Revenue]]-(formatted_data[[#This Row],[Cost_Price]]*formatted_data[[#This Row],[Units]])</f>
        <v>372</v>
      </c>
      <c r="O504" s="1" t="s">
        <v>21</v>
      </c>
      <c r="P504"/>
    </row>
    <row r="505" spans="1:16" x14ac:dyDescent="0.35">
      <c r="A505" s="1" t="s">
        <v>97</v>
      </c>
      <c r="B505" s="1" t="s">
        <v>16</v>
      </c>
      <c r="C505" s="2">
        <v>45525</v>
      </c>
      <c r="D505" s="1" t="s">
        <v>23</v>
      </c>
      <c r="E505" s="1" t="s">
        <v>24</v>
      </c>
      <c r="F505" s="1" t="s">
        <v>25</v>
      </c>
      <c r="G505" s="1" t="s">
        <v>19</v>
      </c>
      <c r="H505" s="1">
        <v>2</v>
      </c>
      <c r="I505" s="1">
        <v>1154</v>
      </c>
      <c r="J505" s="1">
        <v>2199</v>
      </c>
      <c r="K505" s="1">
        <v>5</v>
      </c>
      <c r="L505" s="1">
        <f>ROUNDDOWN(formatted_data[[#This Row],[Selling_Price]]*formatted_data[[#This Row],[Discount_%]]/100,0)</f>
        <v>109</v>
      </c>
      <c r="M505" s="1">
        <f>(formatted_data[[#This Row],[Selling_Price]]-formatted_data[[#This Row],[Discount_Amount]])*formatted_data[[#This Row],[Units]]</f>
        <v>4180</v>
      </c>
      <c r="N505" s="1">
        <f>formatted_data[[#This Row],[Total_Revenue]]-(formatted_data[[#This Row],[Cost_Price]]*formatted_data[[#This Row],[Units]])</f>
        <v>1872</v>
      </c>
      <c r="O505" s="1" t="s">
        <v>21</v>
      </c>
      <c r="P505"/>
    </row>
    <row r="506" spans="1:16" x14ac:dyDescent="0.35">
      <c r="A506" s="1" t="s">
        <v>66</v>
      </c>
      <c r="B506" s="1" t="s">
        <v>27</v>
      </c>
      <c r="C506" s="2">
        <v>45590</v>
      </c>
      <c r="D506" s="1" t="s">
        <v>23</v>
      </c>
      <c r="E506" s="1" t="s">
        <v>43</v>
      </c>
      <c r="F506" s="1" t="s">
        <v>37</v>
      </c>
      <c r="G506" s="1" t="s">
        <v>20</v>
      </c>
      <c r="H506" s="1">
        <v>1</v>
      </c>
      <c r="I506" s="1">
        <v>2414</v>
      </c>
      <c r="J506" s="1">
        <v>4199</v>
      </c>
      <c r="K506" s="1">
        <v>15</v>
      </c>
      <c r="L506" s="1">
        <f>ROUNDDOWN(formatted_data[[#This Row],[Selling_Price]]*formatted_data[[#This Row],[Discount_%]]/100,0)</f>
        <v>629</v>
      </c>
      <c r="M506" s="1">
        <f>(formatted_data[[#This Row],[Selling_Price]]-formatted_data[[#This Row],[Discount_Amount]])*formatted_data[[#This Row],[Units]]</f>
        <v>3570</v>
      </c>
      <c r="N506" s="1">
        <f>formatted_data[[#This Row],[Total_Revenue]]-(formatted_data[[#This Row],[Cost_Price]]*formatted_data[[#This Row],[Units]])</f>
        <v>1156</v>
      </c>
      <c r="O506" s="1" t="s">
        <v>21</v>
      </c>
      <c r="P506"/>
    </row>
    <row r="507" spans="1:16" x14ac:dyDescent="0.35">
      <c r="A507" s="1" t="s">
        <v>44</v>
      </c>
      <c r="B507" s="1" t="s">
        <v>16</v>
      </c>
      <c r="C507" s="2">
        <v>45479</v>
      </c>
      <c r="D507" s="1" t="s">
        <v>31</v>
      </c>
      <c r="E507" s="1" t="s">
        <v>76</v>
      </c>
      <c r="F507" s="1" t="s">
        <v>19</v>
      </c>
      <c r="G507" s="1" t="s">
        <v>19</v>
      </c>
      <c r="H507" s="1">
        <v>1</v>
      </c>
      <c r="I507" s="1">
        <v>474</v>
      </c>
      <c r="J507" s="1">
        <v>799</v>
      </c>
      <c r="K507" s="1">
        <v>0</v>
      </c>
      <c r="L507" s="1">
        <f>ROUNDDOWN(formatted_data[[#This Row],[Selling_Price]]*formatted_data[[#This Row],[Discount_%]]/100,0)</f>
        <v>0</v>
      </c>
      <c r="M507" s="1">
        <f>(formatted_data[[#This Row],[Selling_Price]]-formatted_data[[#This Row],[Discount_Amount]])*formatted_data[[#This Row],[Units]]</f>
        <v>799</v>
      </c>
      <c r="N507" s="1">
        <f>formatted_data[[#This Row],[Total_Revenue]]-(formatted_data[[#This Row],[Cost_Price]]*formatted_data[[#This Row],[Units]])</f>
        <v>325</v>
      </c>
      <c r="O507" s="1" t="s">
        <v>21</v>
      </c>
      <c r="P507"/>
    </row>
    <row r="508" spans="1:16" x14ac:dyDescent="0.35">
      <c r="A508" s="1" t="s">
        <v>94</v>
      </c>
      <c r="B508" s="1" t="s">
        <v>16</v>
      </c>
      <c r="C508" s="2">
        <v>45630</v>
      </c>
      <c r="D508" s="1" t="s">
        <v>35</v>
      </c>
      <c r="E508" s="1" t="s">
        <v>58</v>
      </c>
      <c r="F508" s="1" t="s">
        <v>19</v>
      </c>
      <c r="G508" s="1" t="s">
        <v>19</v>
      </c>
      <c r="H508" s="1">
        <v>5</v>
      </c>
      <c r="I508" s="1">
        <v>962</v>
      </c>
      <c r="J508" s="1">
        <v>1799</v>
      </c>
      <c r="K508" s="1">
        <v>15</v>
      </c>
      <c r="L508" s="1">
        <f>ROUNDDOWN(formatted_data[[#This Row],[Selling_Price]]*formatted_data[[#This Row],[Discount_%]]/100,0)</f>
        <v>269</v>
      </c>
      <c r="M508" s="1">
        <f>(formatted_data[[#This Row],[Selling_Price]]-formatted_data[[#This Row],[Discount_Amount]])*formatted_data[[#This Row],[Units]]</f>
        <v>7650</v>
      </c>
      <c r="N508" s="1">
        <f>formatted_data[[#This Row],[Total_Revenue]]-(formatted_data[[#This Row],[Cost_Price]]*formatted_data[[#This Row],[Units]])</f>
        <v>2840</v>
      </c>
      <c r="O508" s="1" t="s">
        <v>33</v>
      </c>
      <c r="P508"/>
    </row>
    <row r="509" spans="1:16" x14ac:dyDescent="0.35">
      <c r="A509" s="1" t="s">
        <v>88</v>
      </c>
      <c r="B509" s="1" t="s">
        <v>27</v>
      </c>
      <c r="C509" s="2">
        <v>45583</v>
      </c>
      <c r="D509" s="1" t="s">
        <v>23</v>
      </c>
      <c r="E509" s="1" t="s">
        <v>43</v>
      </c>
      <c r="F509" s="1" t="s">
        <v>25</v>
      </c>
      <c r="G509" s="1" t="s">
        <v>19</v>
      </c>
      <c r="H509" s="1">
        <v>2</v>
      </c>
      <c r="I509" s="1">
        <v>2971</v>
      </c>
      <c r="J509" s="1">
        <v>4399</v>
      </c>
      <c r="K509" s="1">
        <v>20</v>
      </c>
      <c r="L509" s="1">
        <f>ROUNDDOWN(formatted_data[[#This Row],[Selling_Price]]*formatted_data[[#This Row],[Discount_%]]/100,0)</f>
        <v>879</v>
      </c>
      <c r="M509" s="1">
        <f>(formatted_data[[#This Row],[Selling_Price]]-formatted_data[[#This Row],[Discount_Amount]])*formatted_data[[#This Row],[Units]]</f>
        <v>7040</v>
      </c>
      <c r="N509" s="1">
        <f>formatted_data[[#This Row],[Total_Revenue]]-(formatted_data[[#This Row],[Cost_Price]]*formatted_data[[#This Row],[Units]])</f>
        <v>1098</v>
      </c>
      <c r="O509" s="1" t="s">
        <v>21</v>
      </c>
      <c r="P509"/>
    </row>
    <row r="510" spans="1:16" x14ac:dyDescent="0.35">
      <c r="A510" s="1" t="s">
        <v>78</v>
      </c>
      <c r="B510" s="1" t="s">
        <v>16</v>
      </c>
      <c r="C510" s="2">
        <v>45528</v>
      </c>
      <c r="D510" s="1" t="s">
        <v>28</v>
      </c>
      <c r="E510" s="1" t="s">
        <v>29</v>
      </c>
      <c r="F510" s="1" t="s">
        <v>37</v>
      </c>
      <c r="G510" s="1" t="s">
        <v>19</v>
      </c>
      <c r="H510" s="1">
        <v>1</v>
      </c>
      <c r="I510" s="1">
        <v>324</v>
      </c>
      <c r="J510" s="1">
        <v>499</v>
      </c>
      <c r="K510" s="1">
        <v>5</v>
      </c>
      <c r="L510" s="1">
        <f>ROUNDDOWN(formatted_data[[#This Row],[Selling_Price]]*formatted_data[[#This Row],[Discount_%]]/100,0)</f>
        <v>24</v>
      </c>
      <c r="M510" s="1">
        <f>(formatted_data[[#This Row],[Selling_Price]]-formatted_data[[#This Row],[Discount_Amount]])*formatted_data[[#This Row],[Units]]</f>
        <v>475</v>
      </c>
      <c r="N510" s="1">
        <f>formatted_data[[#This Row],[Total_Revenue]]-(formatted_data[[#This Row],[Cost_Price]]*formatted_data[[#This Row],[Units]])</f>
        <v>151</v>
      </c>
      <c r="O510" s="1" t="s">
        <v>33</v>
      </c>
      <c r="P510"/>
    </row>
    <row r="511" spans="1:16" x14ac:dyDescent="0.35">
      <c r="A511" s="1" t="s">
        <v>92</v>
      </c>
      <c r="B511" s="1" t="s">
        <v>27</v>
      </c>
      <c r="C511" s="2">
        <v>45571</v>
      </c>
      <c r="D511" s="1" t="s">
        <v>17</v>
      </c>
      <c r="E511" s="1" t="s">
        <v>55</v>
      </c>
      <c r="F511" s="1" t="s">
        <v>19</v>
      </c>
      <c r="G511" s="1" t="s">
        <v>20</v>
      </c>
      <c r="H511" s="1">
        <v>2</v>
      </c>
      <c r="I511" s="1">
        <v>358</v>
      </c>
      <c r="J511" s="1">
        <v>499</v>
      </c>
      <c r="K511" s="1">
        <v>0</v>
      </c>
      <c r="L511" s="1">
        <f>ROUNDDOWN(formatted_data[[#This Row],[Selling_Price]]*formatted_data[[#This Row],[Discount_%]]/100,0)</f>
        <v>0</v>
      </c>
      <c r="M511" s="1">
        <f>(formatted_data[[#This Row],[Selling_Price]]-formatted_data[[#This Row],[Discount_Amount]])*formatted_data[[#This Row],[Units]]</f>
        <v>998</v>
      </c>
      <c r="N511" s="1">
        <f>formatted_data[[#This Row],[Total_Revenue]]-(formatted_data[[#This Row],[Cost_Price]]*formatted_data[[#This Row],[Units]])</f>
        <v>282</v>
      </c>
      <c r="O511" s="1" t="s">
        <v>21</v>
      </c>
      <c r="P511"/>
    </row>
    <row r="512" spans="1:16" x14ac:dyDescent="0.35">
      <c r="A512" s="1" t="s">
        <v>38</v>
      </c>
      <c r="B512" s="1" t="s">
        <v>27</v>
      </c>
      <c r="C512" s="2">
        <v>45457</v>
      </c>
      <c r="D512" s="1" t="s">
        <v>35</v>
      </c>
      <c r="E512" s="1" t="s">
        <v>36</v>
      </c>
      <c r="F512" s="1" t="s">
        <v>37</v>
      </c>
      <c r="G512" s="1" t="s">
        <v>20</v>
      </c>
      <c r="H512" s="1">
        <v>1</v>
      </c>
      <c r="I512" s="1">
        <v>237</v>
      </c>
      <c r="J512" s="1">
        <v>399</v>
      </c>
      <c r="K512" s="1">
        <v>5</v>
      </c>
      <c r="L512" s="1">
        <f>ROUNDDOWN(formatted_data[[#This Row],[Selling_Price]]*formatted_data[[#This Row],[Discount_%]]/100,0)</f>
        <v>19</v>
      </c>
      <c r="M512" s="1">
        <f>(formatted_data[[#This Row],[Selling_Price]]-formatted_data[[#This Row],[Discount_Amount]])*formatted_data[[#This Row],[Units]]</f>
        <v>380</v>
      </c>
      <c r="N512" s="1">
        <f>formatted_data[[#This Row],[Total_Revenue]]-(formatted_data[[#This Row],[Cost_Price]]*formatted_data[[#This Row],[Units]])</f>
        <v>143</v>
      </c>
      <c r="O512" s="1" t="s">
        <v>21</v>
      </c>
      <c r="P512"/>
    </row>
    <row r="513" spans="1:16" x14ac:dyDescent="0.35">
      <c r="A513" s="1" t="s">
        <v>66</v>
      </c>
      <c r="B513" s="1" t="s">
        <v>27</v>
      </c>
      <c r="C513" s="2">
        <v>45562</v>
      </c>
      <c r="D513" s="1" t="s">
        <v>28</v>
      </c>
      <c r="E513" s="1" t="s">
        <v>29</v>
      </c>
      <c r="F513" s="1" t="s">
        <v>37</v>
      </c>
      <c r="G513" s="1" t="s">
        <v>20</v>
      </c>
      <c r="H513" s="1">
        <v>4</v>
      </c>
      <c r="I513" s="1">
        <v>302</v>
      </c>
      <c r="J513" s="1">
        <v>499</v>
      </c>
      <c r="K513" s="1">
        <v>5</v>
      </c>
      <c r="L513" s="1">
        <f>ROUNDDOWN(formatted_data[[#This Row],[Selling_Price]]*formatted_data[[#This Row],[Discount_%]]/100,0)</f>
        <v>24</v>
      </c>
      <c r="M513" s="1">
        <f>(formatted_data[[#This Row],[Selling_Price]]-formatted_data[[#This Row],[Discount_Amount]])*formatted_data[[#This Row],[Units]]</f>
        <v>1900</v>
      </c>
      <c r="N513" s="1">
        <f>formatted_data[[#This Row],[Total_Revenue]]-(formatted_data[[#This Row],[Cost_Price]]*formatted_data[[#This Row],[Units]])</f>
        <v>692</v>
      </c>
      <c r="O513" s="1" t="s">
        <v>21</v>
      </c>
      <c r="P513"/>
    </row>
    <row r="514" spans="1:16" x14ac:dyDescent="0.35">
      <c r="A514" s="1" t="s">
        <v>26</v>
      </c>
      <c r="B514" s="1" t="s">
        <v>27</v>
      </c>
      <c r="C514" s="2">
        <v>45454</v>
      </c>
      <c r="D514" s="1" t="s">
        <v>31</v>
      </c>
      <c r="E514" s="1" t="s">
        <v>76</v>
      </c>
      <c r="F514" s="1" t="s">
        <v>25</v>
      </c>
      <c r="G514" s="1" t="s">
        <v>20</v>
      </c>
      <c r="H514" s="1">
        <v>1</v>
      </c>
      <c r="I514" s="1">
        <v>547</v>
      </c>
      <c r="J514" s="1">
        <v>799</v>
      </c>
      <c r="K514" s="1">
        <v>0</v>
      </c>
      <c r="L514" s="1">
        <f>ROUNDDOWN(formatted_data[[#This Row],[Selling_Price]]*formatted_data[[#This Row],[Discount_%]]/100,0)</f>
        <v>0</v>
      </c>
      <c r="M514" s="1">
        <f>(formatted_data[[#This Row],[Selling_Price]]-formatted_data[[#This Row],[Discount_Amount]])*formatted_data[[#This Row],[Units]]</f>
        <v>799</v>
      </c>
      <c r="N514" s="1">
        <f>formatted_data[[#This Row],[Total_Revenue]]-(formatted_data[[#This Row],[Cost_Price]]*formatted_data[[#This Row],[Units]])</f>
        <v>252</v>
      </c>
      <c r="O514" s="1" t="s">
        <v>21</v>
      </c>
      <c r="P514"/>
    </row>
    <row r="515" spans="1:16" x14ac:dyDescent="0.35">
      <c r="A515" s="1" t="s">
        <v>53</v>
      </c>
      <c r="B515" s="1" t="s">
        <v>27</v>
      </c>
      <c r="C515" s="2">
        <v>45607</v>
      </c>
      <c r="D515" s="1" t="s">
        <v>28</v>
      </c>
      <c r="E515" s="1" t="s">
        <v>45</v>
      </c>
      <c r="F515" s="1" t="s">
        <v>19</v>
      </c>
      <c r="G515" s="1" t="s">
        <v>20</v>
      </c>
      <c r="H515" s="1">
        <v>4</v>
      </c>
      <c r="I515" s="1">
        <v>1093</v>
      </c>
      <c r="J515" s="1">
        <v>1799</v>
      </c>
      <c r="K515" s="1">
        <v>15</v>
      </c>
      <c r="L515" s="1">
        <f>ROUNDDOWN(formatted_data[[#This Row],[Selling_Price]]*formatted_data[[#This Row],[Discount_%]]/100,0)</f>
        <v>269</v>
      </c>
      <c r="M515" s="1">
        <f>(formatted_data[[#This Row],[Selling_Price]]-formatted_data[[#This Row],[Discount_Amount]])*formatted_data[[#This Row],[Units]]</f>
        <v>6120</v>
      </c>
      <c r="N515" s="1">
        <f>formatted_data[[#This Row],[Total_Revenue]]-(formatted_data[[#This Row],[Cost_Price]]*formatted_data[[#This Row],[Units]])</f>
        <v>1748</v>
      </c>
      <c r="O515" s="1" t="s">
        <v>21</v>
      </c>
      <c r="P515"/>
    </row>
    <row r="516" spans="1:16" x14ac:dyDescent="0.35">
      <c r="A516" s="1" t="s">
        <v>81</v>
      </c>
      <c r="B516" s="1" t="s">
        <v>27</v>
      </c>
      <c r="C516" s="2">
        <v>45548</v>
      </c>
      <c r="D516" s="1" t="s">
        <v>17</v>
      </c>
      <c r="E516" s="1" t="s">
        <v>72</v>
      </c>
      <c r="F516" s="1" t="s">
        <v>19</v>
      </c>
      <c r="G516" s="1" t="s">
        <v>20</v>
      </c>
      <c r="H516" s="1">
        <v>1</v>
      </c>
      <c r="I516" s="1">
        <v>316</v>
      </c>
      <c r="J516" s="1">
        <v>499</v>
      </c>
      <c r="K516" s="1">
        <v>0</v>
      </c>
      <c r="L516" s="1">
        <f>ROUNDDOWN(formatted_data[[#This Row],[Selling_Price]]*formatted_data[[#This Row],[Discount_%]]/100,0)</f>
        <v>0</v>
      </c>
      <c r="M516" s="1">
        <f>(formatted_data[[#This Row],[Selling_Price]]-formatted_data[[#This Row],[Discount_Amount]])*formatted_data[[#This Row],[Units]]</f>
        <v>499</v>
      </c>
      <c r="N516" s="1">
        <f>formatted_data[[#This Row],[Total_Revenue]]-(formatted_data[[#This Row],[Cost_Price]]*formatted_data[[#This Row],[Units]])</f>
        <v>183</v>
      </c>
      <c r="O516" s="1" t="s">
        <v>21</v>
      </c>
      <c r="P516"/>
    </row>
    <row r="517" spans="1:16" x14ac:dyDescent="0.35">
      <c r="A517" s="1" t="s">
        <v>85</v>
      </c>
      <c r="B517" s="1" t="s">
        <v>27</v>
      </c>
      <c r="C517" s="2">
        <v>45581</v>
      </c>
      <c r="D517" s="1" t="s">
        <v>17</v>
      </c>
      <c r="E517" s="1" t="s">
        <v>72</v>
      </c>
      <c r="F517" s="1" t="s">
        <v>37</v>
      </c>
      <c r="G517" s="1" t="s">
        <v>20</v>
      </c>
      <c r="H517" s="1">
        <v>2</v>
      </c>
      <c r="I517" s="1">
        <v>276</v>
      </c>
      <c r="J517" s="1">
        <v>399</v>
      </c>
      <c r="K517" s="1">
        <v>0</v>
      </c>
      <c r="L517" s="1">
        <f>ROUNDDOWN(formatted_data[[#This Row],[Selling_Price]]*formatted_data[[#This Row],[Discount_%]]/100,0)</f>
        <v>0</v>
      </c>
      <c r="M517" s="1">
        <f>(formatted_data[[#This Row],[Selling_Price]]-formatted_data[[#This Row],[Discount_Amount]])*formatted_data[[#This Row],[Units]]</f>
        <v>798</v>
      </c>
      <c r="N517" s="1">
        <f>formatted_data[[#This Row],[Total_Revenue]]-(formatted_data[[#This Row],[Cost_Price]]*formatted_data[[#This Row],[Units]])</f>
        <v>246</v>
      </c>
      <c r="O517" s="1" t="s">
        <v>33</v>
      </c>
      <c r="P517"/>
    </row>
    <row r="518" spans="1:16" x14ac:dyDescent="0.35">
      <c r="A518" s="1" t="s">
        <v>71</v>
      </c>
      <c r="B518" s="1" t="s">
        <v>16</v>
      </c>
      <c r="C518" s="2">
        <v>45592</v>
      </c>
      <c r="D518" s="1" t="s">
        <v>28</v>
      </c>
      <c r="E518" s="1" t="s">
        <v>45</v>
      </c>
      <c r="F518" s="1" t="s">
        <v>37</v>
      </c>
      <c r="G518" s="1" t="s">
        <v>20</v>
      </c>
      <c r="H518" s="1">
        <v>3</v>
      </c>
      <c r="I518" s="1">
        <v>746</v>
      </c>
      <c r="J518" s="1">
        <v>1099</v>
      </c>
      <c r="K518" s="1">
        <v>5</v>
      </c>
      <c r="L518" s="1">
        <f>ROUNDDOWN(formatted_data[[#This Row],[Selling_Price]]*formatted_data[[#This Row],[Discount_%]]/100,0)</f>
        <v>54</v>
      </c>
      <c r="M518" s="1">
        <f>(formatted_data[[#This Row],[Selling_Price]]-formatted_data[[#This Row],[Discount_Amount]])*formatted_data[[#This Row],[Units]]</f>
        <v>3135</v>
      </c>
      <c r="N518" s="1">
        <f>formatted_data[[#This Row],[Total_Revenue]]-(formatted_data[[#This Row],[Cost_Price]]*formatted_data[[#This Row],[Units]])</f>
        <v>897</v>
      </c>
      <c r="O518" s="1" t="s">
        <v>21</v>
      </c>
      <c r="P518"/>
    </row>
    <row r="519" spans="1:16" x14ac:dyDescent="0.35">
      <c r="A519" s="1" t="s">
        <v>60</v>
      </c>
      <c r="B519" s="1" t="s">
        <v>27</v>
      </c>
      <c r="C519" s="2">
        <v>45538</v>
      </c>
      <c r="D519" s="1" t="s">
        <v>17</v>
      </c>
      <c r="E519" s="1" t="s">
        <v>55</v>
      </c>
      <c r="F519" s="1" t="s">
        <v>37</v>
      </c>
      <c r="G519" s="1" t="s">
        <v>19</v>
      </c>
      <c r="H519" s="1">
        <v>1</v>
      </c>
      <c r="I519" s="1">
        <v>324</v>
      </c>
      <c r="J519" s="1">
        <v>599</v>
      </c>
      <c r="K519" s="1">
        <v>0</v>
      </c>
      <c r="L519" s="1">
        <f>ROUNDDOWN(formatted_data[[#This Row],[Selling_Price]]*formatted_data[[#This Row],[Discount_%]]/100,0)</f>
        <v>0</v>
      </c>
      <c r="M519" s="1">
        <f>(formatted_data[[#This Row],[Selling_Price]]-formatted_data[[#This Row],[Discount_Amount]])*formatted_data[[#This Row],[Units]]</f>
        <v>599</v>
      </c>
      <c r="N519" s="1">
        <f>formatted_data[[#This Row],[Total_Revenue]]-(formatted_data[[#This Row],[Cost_Price]]*formatted_data[[#This Row],[Units]])</f>
        <v>275</v>
      </c>
      <c r="O519" s="1" t="s">
        <v>21</v>
      </c>
      <c r="P519"/>
    </row>
    <row r="520" spans="1:16" x14ac:dyDescent="0.35">
      <c r="A520" s="1" t="s">
        <v>86</v>
      </c>
      <c r="B520" s="1" t="s">
        <v>27</v>
      </c>
      <c r="C520" s="2">
        <v>45575</v>
      </c>
      <c r="D520" s="1" t="s">
        <v>17</v>
      </c>
      <c r="E520" s="1" t="s">
        <v>72</v>
      </c>
      <c r="F520" s="1" t="s">
        <v>37</v>
      </c>
      <c r="G520" s="1" t="s">
        <v>19</v>
      </c>
      <c r="H520" s="1">
        <v>1</v>
      </c>
      <c r="I520" s="1">
        <v>310</v>
      </c>
      <c r="J520" s="1">
        <v>499</v>
      </c>
      <c r="K520" s="1">
        <v>0</v>
      </c>
      <c r="L520" s="1">
        <f>ROUNDDOWN(formatted_data[[#This Row],[Selling_Price]]*formatted_data[[#This Row],[Discount_%]]/100,0)</f>
        <v>0</v>
      </c>
      <c r="M520" s="1">
        <f>(formatted_data[[#This Row],[Selling_Price]]-formatted_data[[#This Row],[Discount_Amount]])*formatted_data[[#This Row],[Units]]</f>
        <v>499</v>
      </c>
      <c r="N520" s="1">
        <f>formatted_data[[#This Row],[Total_Revenue]]-(formatted_data[[#This Row],[Cost_Price]]*formatted_data[[#This Row],[Units]])</f>
        <v>189</v>
      </c>
      <c r="O520" s="1" t="s">
        <v>33</v>
      </c>
      <c r="P520"/>
    </row>
    <row r="521" spans="1:16" x14ac:dyDescent="0.35">
      <c r="A521" s="1" t="s">
        <v>91</v>
      </c>
      <c r="B521" s="1" t="s">
        <v>16</v>
      </c>
      <c r="C521" s="2">
        <v>45554</v>
      </c>
      <c r="D521" s="1" t="s">
        <v>17</v>
      </c>
      <c r="E521" s="1" t="s">
        <v>18</v>
      </c>
      <c r="F521" s="1" t="s">
        <v>25</v>
      </c>
      <c r="G521" s="1" t="s">
        <v>19</v>
      </c>
      <c r="H521" s="1">
        <v>1</v>
      </c>
      <c r="I521" s="1">
        <v>168</v>
      </c>
      <c r="J521" s="1">
        <v>299</v>
      </c>
      <c r="K521" s="1">
        <v>0</v>
      </c>
      <c r="L521" s="1">
        <f>ROUNDDOWN(formatted_data[[#This Row],[Selling_Price]]*formatted_data[[#This Row],[Discount_%]]/100,0)</f>
        <v>0</v>
      </c>
      <c r="M521" s="1">
        <f>(formatted_data[[#This Row],[Selling_Price]]-formatted_data[[#This Row],[Discount_Amount]])*formatted_data[[#This Row],[Units]]</f>
        <v>299</v>
      </c>
      <c r="N521" s="1">
        <f>formatted_data[[#This Row],[Total_Revenue]]-(formatted_data[[#This Row],[Cost_Price]]*formatted_data[[#This Row],[Units]])</f>
        <v>131</v>
      </c>
      <c r="O521" s="1" t="s">
        <v>33</v>
      </c>
      <c r="P521"/>
    </row>
    <row r="522" spans="1:16" x14ac:dyDescent="0.35">
      <c r="A522" s="1" t="s">
        <v>81</v>
      </c>
      <c r="B522" s="1" t="s">
        <v>27</v>
      </c>
      <c r="C522" s="2">
        <v>45498</v>
      </c>
      <c r="D522" s="1" t="s">
        <v>31</v>
      </c>
      <c r="E522" s="1" t="s">
        <v>76</v>
      </c>
      <c r="F522" s="1" t="s">
        <v>25</v>
      </c>
      <c r="G522" s="1" t="s">
        <v>20</v>
      </c>
      <c r="H522" s="1">
        <v>1</v>
      </c>
      <c r="I522" s="1">
        <v>538</v>
      </c>
      <c r="J522" s="1">
        <v>799</v>
      </c>
      <c r="K522" s="1">
        <v>0</v>
      </c>
      <c r="L522" s="1">
        <f>ROUNDDOWN(formatted_data[[#This Row],[Selling_Price]]*formatted_data[[#This Row],[Discount_%]]/100,0)</f>
        <v>0</v>
      </c>
      <c r="M522" s="1">
        <f>(formatted_data[[#This Row],[Selling_Price]]-formatted_data[[#This Row],[Discount_Amount]])*formatted_data[[#This Row],[Units]]</f>
        <v>799</v>
      </c>
      <c r="N522" s="1">
        <f>formatted_data[[#This Row],[Total_Revenue]]-(formatted_data[[#This Row],[Cost_Price]]*formatted_data[[#This Row],[Units]])</f>
        <v>261</v>
      </c>
      <c r="O522" s="1" t="s">
        <v>21</v>
      </c>
      <c r="P522"/>
    </row>
    <row r="523" spans="1:16" x14ac:dyDescent="0.35">
      <c r="A523" s="1" t="s">
        <v>66</v>
      </c>
      <c r="B523" s="1" t="s">
        <v>27</v>
      </c>
      <c r="C523" s="2">
        <v>45474</v>
      </c>
      <c r="D523" s="1" t="s">
        <v>17</v>
      </c>
      <c r="E523" s="1" t="s">
        <v>72</v>
      </c>
      <c r="F523" s="1" t="s">
        <v>25</v>
      </c>
      <c r="G523" s="1" t="s">
        <v>20</v>
      </c>
      <c r="H523" s="1">
        <v>1</v>
      </c>
      <c r="I523" s="1">
        <v>207</v>
      </c>
      <c r="J523" s="1">
        <v>399</v>
      </c>
      <c r="K523" s="1">
        <v>0</v>
      </c>
      <c r="L523" s="1">
        <f>ROUNDDOWN(formatted_data[[#This Row],[Selling_Price]]*formatted_data[[#This Row],[Discount_%]]/100,0)</f>
        <v>0</v>
      </c>
      <c r="M523" s="1">
        <f>(formatted_data[[#This Row],[Selling_Price]]-formatted_data[[#This Row],[Discount_Amount]])*formatted_data[[#This Row],[Units]]</f>
        <v>399</v>
      </c>
      <c r="N523" s="1">
        <f>formatted_data[[#This Row],[Total_Revenue]]-(formatted_data[[#This Row],[Cost_Price]]*formatted_data[[#This Row],[Units]])</f>
        <v>192</v>
      </c>
      <c r="O523" s="1" t="s">
        <v>33</v>
      </c>
      <c r="P523"/>
    </row>
    <row r="524" spans="1:16" x14ac:dyDescent="0.35">
      <c r="A524" s="1" t="s">
        <v>83</v>
      </c>
      <c r="B524" s="1" t="s">
        <v>27</v>
      </c>
      <c r="C524" s="2">
        <v>45451</v>
      </c>
      <c r="D524" s="1" t="s">
        <v>23</v>
      </c>
      <c r="E524" s="1" t="s">
        <v>24</v>
      </c>
      <c r="F524" s="1" t="s">
        <v>19</v>
      </c>
      <c r="G524" s="1" t="s">
        <v>19</v>
      </c>
      <c r="H524" s="1">
        <v>4</v>
      </c>
      <c r="I524" s="1">
        <v>974</v>
      </c>
      <c r="J524" s="1">
        <v>1499</v>
      </c>
      <c r="K524" s="1">
        <v>15</v>
      </c>
      <c r="L524" s="1">
        <f>ROUNDDOWN(formatted_data[[#This Row],[Selling_Price]]*formatted_data[[#This Row],[Discount_%]]/100,0)</f>
        <v>224</v>
      </c>
      <c r="M524" s="1">
        <f>(formatted_data[[#This Row],[Selling_Price]]-formatted_data[[#This Row],[Discount_Amount]])*formatted_data[[#This Row],[Units]]</f>
        <v>5100</v>
      </c>
      <c r="N524" s="1">
        <f>formatted_data[[#This Row],[Total_Revenue]]-(formatted_data[[#This Row],[Cost_Price]]*formatted_data[[#This Row],[Units]])</f>
        <v>1204</v>
      </c>
      <c r="O524" s="1" t="s">
        <v>21</v>
      </c>
      <c r="P524"/>
    </row>
    <row r="525" spans="1:16" x14ac:dyDescent="0.35">
      <c r="A525" s="1" t="s">
        <v>91</v>
      </c>
      <c r="B525" s="1" t="s">
        <v>16</v>
      </c>
      <c r="C525" s="2">
        <v>45620</v>
      </c>
      <c r="D525" s="1" t="s">
        <v>28</v>
      </c>
      <c r="E525" s="1" t="s">
        <v>45</v>
      </c>
      <c r="F525" s="1" t="s">
        <v>37</v>
      </c>
      <c r="G525" s="1" t="s">
        <v>19</v>
      </c>
      <c r="H525" s="1">
        <v>2</v>
      </c>
      <c r="I525" s="1">
        <v>994</v>
      </c>
      <c r="J525" s="1">
        <v>1699</v>
      </c>
      <c r="K525" s="1">
        <v>10</v>
      </c>
      <c r="L525" s="1">
        <f>ROUNDDOWN(formatted_data[[#This Row],[Selling_Price]]*formatted_data[[#This Row],[Discount_%]]/100,0)</f>
        <v>169</v>
      </c>
      <c r="M525" s="1">
        <f>(formatted_data[[#This Row],[Selling_Price]]-formatted_data[[#This Row],[Discount_Amount]])*formatted_data[[#This Row],[Units]]</f>
        <v>3060</v>
      </c>
      <c r="N525" s="1">
        <f>formatted_data[[#This Row],[Total_Revenue]]-(formatted_data[[#This Row],[Cost_Price]]*formatted_data[[#This Row],[Units]])</f>
        <v>1072</v>
      </c>
      <c r="O525" s="1" t="s">
        <v>33</v>
      </c>
      <c r="P525"/>
    </row>
    <row r="526" spans="1:16" x14ac:dyDescent="0.35">
      <c r="A526" s="1" t="s">
        <v>103</v>
      </c>
      <c r="B526" s="1" t="s">
        <v>16</v>
      </c>
      <c r="C526" s="2">
        <v>45626</v>
      </c>
      <c r="D526" s="1" t="s">
        <v>28</v>
      </c>
      <c r="E526" s="1" t="s">
        <v>45</v>
      </c>
      <c r="F526" s="1" t="s">
        <v>25</v>
      </c>
      <c r="G526" s="1" t="s">
        <v>20</v>
      </c>
      <c r="H526" s="1">
        <v>3</v>
      </c>
      <c r="I526" s="1">
        <v>805</v>
      </c>
      <c r="J526" s="1">
        <v>1199</v>
      </c>
      <c r="K526" s="1">
        <v>10</v>
      </c>
      <c r="L526" s="1">
        <f>ROUNDDOWN(formatted_data[[#This Row],[Selling_Price]]*formatted_data[[#This Row],[Discount_%]]/100,0)</f>
        <v>119</v>
      </c>
      <c r="M526" s="1">
        <f>(formatted_data[[#This Row],[Selling_Price]]-formatted_data[[#This Row],[Discount_Amount]])*formatted_data[[#This Row],[Units]]</f>
        <v>3240</v>
      </c>
      <c r="N526" s="1">
        <f>formatted_data[[#This Row],[Total_Revenue]]-(formatted_data[[#This Row],[Cost_Price]]*formatted_data[[#This Row],[Units]])</f>
        <v>825</v>
      </c>
      <c r="O526" s="1" t="s">
        <v>33</v>
      </c>
      <c r="P526"/>
    </row>
    <row r="527" spans="1:16" x14ac:dyDescent="0.35">
      <c r="A527" s="1" t="s">
        <v>22</v>
      </c>
      <c r="B527" s="1" t="s">
        <v>16</v>
      </c>
      <c r="C527" s="2">
        <v>45511</v>
      </c>
      <c r="D527" s="1" t="s">
        <v>31</v>
      </c>
      <c r="E527" s="1" t="s">
        <v>32</v>
      </c>
      <c r="F527" s="1" t="s">
        <v>25</v>
      </c>
      <c r="G527" s="1" t="s">
        <v>20</v>
      </c>
      <c r="H527" s="1">
        <v>2</v>
      </c>
      <c r="I527" s="1">
        <v>668</v>
      </c>
      <c r="J527" s="1">
        <v>899</v>
      </c>
      <c r="K527" s="1">
        <v>0</v>
      </c>
      <c r="L527" s="1">
        <f>ROUNDDOWN(formatted_data[[#This Row],[Selling_Price]]*formatted_data[[#This Row],[Discount_%]]/100,0)</f>
        <v>0</v>
      </c>
      <c r="M527" s="1">
        <f>(formatted_data[[#This Row],[Selling_Price]]-formatted_data[[#This Row],[Discount_Amount]])*formatted_data[[#This Row],[Units]]</f>
        <v>1798</v>
      </c>
      <c r="N527" s="1">
        <f>formatted_data[[#This Row],[Total_Revenue]]-(formatted_data[[#This Row],[Cost_Price]]*formatted_data[[#This Row],[Units]])</f>
        <v>462</v>
      </c>
      <c r="O527" s="1" t="s">
        <v>21</v>
      </c>
      <c r="P527"/>
    </row>
    <row r="528" spans="1:16" x14ac:dyDescent="0.35">
      <c r="A528" s="1" t="s">
        <v>49</v>
      </c>
      <c r="B528" s="1" t="s">
        <v>27</v>
      </c>
      <c r="C528" s="2">
        <v>45631</v>
      </c>
      <c r="D528" s="1" t="s">
        <v>35</v>
      </c>
      <c r="E528" s="1" t="s">
        <v>41</v>
      </c>
      <c r="F528" s="1" t="s">
        <v>37</v>
      </c>
      <c r="G528" s="1" t="s">
        <v>20</v>
      </c>
      <c r="H528" s="1">
        <v>1</v>
      </c>
      <c r="I528" s="1">
        <v>661</v>
      </c>
      <c r="J528" s="1">
        <v>1099</v>
      </c>
      <c r="K528" s="1">
        <v>5</v>
      </c>
      <c r="L528" s="1">
        <f>ROUNDDOWN(formatted_data[[#This Row],[Selling_Price]]*formatted_data[[#This Row],[Discount_%]]/100,0)</f>
        <v>54</v>
      </c>
      <c r="M528" s="1">
        <f>(formatted_data[[#This Row],[Selling_Price]]-formatted_data[[#This Row],[Discount_Amount]])*formatted_data[[#This Row],[Units]]</f>
        <v>1045</v>
      </c>
      <c r="N528" s="1">
        <f>formatted_data[[#This Row],[Total_Revenue]]-(formatted_data[[#This Row],[Cost_Price]]*formatted_data[[#This Row],[Units]])</f>
        <v>384</v>
      </c>
      <c r="O528" s="1" t="s">
        <v>33</v>
      </c>
      <c r="P528"/>
    </row>
    <row r="529" spans="1:16" x14ac:dyDescent="0.35">
      <c r="A529" s="1" t="s">
        <v>56</v>
      </c>
      <c r="B529" s="1" t="s">
        <v>27</v>
      </c>
      <c r="C529" s="2">
        <v>45625</v>
      </c>
      <c r="D529" s="1" t="s">
        <v>28</v>
      </c>
      <c r="E529" s="1" t="s">
        <v>45</v>
      </c>
      <c r="F529" s="1" t="s">
        <v>37</v>
      </c>
      <c r="G529" s="1" t="s">
        <v>19</v>
      </c>
      <c r="H529" s="1">
        <v>1</v>
      </c>
      <c r="I529" s="1">
        <v>1500</v>
      </c>
      <c r="J529" s="1">
        <v>2299</v>
      </c>
      <c r="K529" s="1">
        <v>20</v>
      </c>
      <c r="L529" s="1">
        <f>ROUNDDOWN(formatted_data[[#This Row],[Selling_Price]]*formatted_data[[#This Row],[Discount_%]]/100,0)</f>
        <v>459</v>
      </c>
      <c r="M529" s="1">
        <f>(formatted_data[[#This Row],[Selling_Price]]-formatted_data[[#This Row],[Discount_Amount]])*formatted_data[[#This Row],[Units]]</f>
        <v>1840</v>
      </c>
      <c r="N529" s="1">
        <f>formatted_data[[#This Row],[Total_Revenue]]-(formatted_data[[#This Row],[Cost_Price]]*formatted_data[[#This Row],[Units]])</f>
        <v>340</v>
      </c>
      <c r="O529" s="1" t="s">
        <v>21</v>
      </c>
      <c r="P529"/>
    </row>
    <row r="530" spans="1:16" x14ac:dyDescent="0.35">
      <c r="A530" s="1" t="s">
        <v>95</v>
      </c>
      <c r="B530" s="1" t="s">
        <v>27</v>
      </c>
      <c r="C530" s="2">
        <v>45483</v>
      </c>
      <c r="D530" s="1" t="s">
        <v>35</v>
      </c>
      <c r="E530" s="1" t="s">
        <v>58</v>
      </c>
      <c r="F530" s="1" t="s">
        <v>25</v>
      </c>
      <c r="G530" s="1" t="s">
        <v>20</v>
      </c>
      <c r="H530" s="1">
        <v>5</v>
      </c>
      <c r="I530" s="1">
        <v>851</v>
      </c>
      <c r="J530" s="1">
        <v>1199</v>
      </c>
      <c r="K530" s="1">
        <v>15</v>
      </c>
      <c r="L530" s="1">
        <f>ROUNDDOWN(formatted_data[[#This Row],[Selling_Price]]*formatted_data[[#This Row],[Discount_%]]/100,0)</f>
        <v>179</v>
      </c>
      <c r="M530" s="1">
        <f>(formatted_data[[#This Row],[Selling_Price]]-formatted_data[[#This Row],[Discount_Amount]])*formatted_data[[#This Row],[Units]]</f>
        <v>5100</v>
      </c>
      <c r="N530" s="1">
        <f>formatted_data[[#This Row],[Total_Revenue]]-(formatted_data[[#This Row],[Cost_Price]]*formatted_data[[#This Row],[Units]])</f>
        <v>845</v>
      </c>
      <c r="O530" s="1" t="s">
        <v>21</v>
      </c>
      <c r="P530"/>
    </row>
    <row r="531" spans="1:16" x14ac:dyDescent="0.35">
      <c r="A531" s="1" t="s">
        <v>54</v>
      </c>
      <c r="B531" s="1" t="s">
        <v>27</v>
      </c>
      <c r="C531" s="2">
        <v>45552</v>
      </c>
      <c r="D531" s="1" t="s">
        <v>35</v>
      </c>
      <c r="E531" s="1" t="s">
        <v>58</v>
      </c>
      <c r="F531" s="1" t="s">
        <v>37</v>
      </c>
      <c r="G531" s="1" t="s">
        <v>19</v>
      </c>
      <c r="H531" s="1">
        <v>1</v>
      </c>
      <c r="I531" s="1">
        <v>1358</v>
      </c>
      <c r="J531" s="1">
        <v>2499</v>
      </c>
      <c r="K531" s="1">
        <v>20</v>
      </c>
      <c r="L531" s="1">
        <f>ROUNDDOWN(formatted_data[[#This Row],[Selling_Price]]*formatted_data[[#This Row],[Discount_%]]/100,0)</f>
        <v>499</v>
      </c>
      <c r="M531" s="1">
        <f>(formatted_data[[#This Row],[Selling_Price]]-formatted_data[[#This Row],[Discount_Amount]])*formatted_data[[#This Row],[Units]]</f>
        <v>2000</v>
      </c>
      <c r="N531" s="1">
        <f>formatted_data[[#This Row],[Total_Revenue]]-(formatted_data[[#This Row],[Cost_Price]]*formatted_data[[#This Row],[Units]])</f>
        <v>642</v>
      </c>
      <c r="O531" s="1" t="s">
        <v>21</v>
      </c>
      <c r="P531"/>
    </row>
    <row r="532" spans="1:16" x14ac:dyDescent="0.35">
      <c r="A532" s="1" t="s">
        <v>83</v>
      </c>
      <c r="B532" s="1" t="s">
        <v>27</v>
      </c>
      <c r="C532" s="2">
        <v>45625</v>
      </c>
      <c r="D532" s="1" t="s">
        <v>31</v>
      </c>
      <c r="E532" s="1" t="s">
        <v>76</v>
      </c>
      <c r="F532" s="1" t="s">
        <v>37</v>
      </c>
      <c r="G532" s="1" t="s">
        <v>19</v>
      </c>
      <c r="H532" s="1">
        <v>1</v>
      </c>
      <c r="I532" s="1">
        <v>367</v>
      </c>
      <c r="J532" s="1">
        <v>699</v>
      </c>
      <c r="K532" s="1">
        <v>0</v>
      </c>
      <c r="L532" s="1">
        <f>ROUNDDOWN(formatted_data[[#This Row],[Selling_Price]]*formatted_data[[#This Row],[Discount_%]]/100,0)</f>
        <v>0</v>
      </c>
      <c r="M532" s="1">
        <f>(formatted_data[[#This Row],[Selling_Price]]-formatted_data[[#This Row],[Discount_Amount]])*formatted_data[[#This Row],[Units]]</f>
        <v>699</v>
      </c>
      <c r="N532" s="1">
        <f>formatted_data[[#This Row],[Total_Revenue]]-(formatted_data[[#This Row],[Cost_Price]]*formatted_data[[#This Row],[Units]])</f>
        <v>332</v>
      </c>
      <c r="O532" s="1" t="s">
        <v>21</v>
      </c>
      <c r="P532"/>
    </row>
    <row r="533" spans="1:16" x14ac:dyDescent="0.35">
      <c r="A533" s="1" t="s">
        <v>101</v>
      </c>
      <c r="B533" s="1" t="s">
        <v>16</v>
      </c>
      <c r="C533" s="2">
        <v>45488</v>
      </c>
      <c r="D533" s="1" t="s">
        <v>17</v>
      </c>
      <c r="E533" s="1" t="s">
        <v>18</v>
      </c>
      <c r="F533" s="1" t="s">
        <v>25</v>
      </c>
      <c r="G533" s="1" t="s">
        <v>19</v>
      </c>
      <c r="H533" s="1">
        <v>5</v>
      </c>
      <c r="I533" s="1">
        <v>311</v>
      </c>
      <c r="J533" s="1">
        <v>599</v>
      </c>
      <c r="K533" s="1">
        <v>0</v>
      </c>
      <c r="L533" s="1">
        <f>ROUNDDOWN(formatted_data[[#This Row],[Selling_Price]]*formatted_data[[#This Row],[Discount_%]]/100,0)</f>
        <v>0</v>
      </c>
      <c r="M533" s="1">
        <f>(formatted_data[[#This Row],[Selling_Price]]-formatted_data[[#This Row],[Discount_Amount]])*formatted_data[[#This Row],[Units]]</f>
        <v>2995</v>
      </c>
      <c r="N533" s="1">
        <f>formatted_data[[#This Row],[Total_Revenue]]-(formatted_data[[#This Row],[Cost_Price]]*formatted_data[[#This Row],[Units]])</f>
        <v>1440</v>
      </c>
      <c r="O533" s="1" t="s">
        <v>21</v>
      </c>
      <c r="P533"/>
    </row>
    <row r="534" spans="1:16" x14ac:dyDescent="0.35">
      <c r="A534" s="1" t="s">
        <v>94</v>
      </c>
      <c r="B534" s="1" t="s">
        <v>16</v>
      </c>
      <c r="C534" s="2">
        <v>45472</v>
      </c>
      <c r="D534" s="1" t="s">
        <v>23</v>
      </c>
      <c r="E534" s="1" t="s">
        <v>24</v>
      </c>
      <c r="F534" s="1" t="s">
        <v>37</v>
      </c>
      <c r="G534" s="1" t="s">
        <v>20</v>
      </c>
      <c r="H534" s="1">
        <v>1</v>
      </c>
      <c r="I534" s="1">
        <v>801</v>
      </c>
      <c r="J534" s="1">
        <v>1399</v>
      </c>
      <c r="K534" s="1">
        <v>10</v>
      </c>
      <c r="L534" s="1">
        <f>ROUNDDOWN(formatted_data[[#This Row],[Selling_Price]]*formatted_data[[#This Row],[Discount_%]]/100,0)</f>
        <v>139</v>
      </c>
      <c r="M534" s="1">
        <f>(formatted_data[[#This Row],[Selling_Price]]-formatted_data[[#This Row],[Discount_Amount]])*formatted_data[[#This Row],[Units]]</f>
        <v>1260</v>
      </c>
      <c r="N534" s="1">
        <f>formatted_data[[#This Row],[Total_Revenue]]-(formatted_data[[#This Row],[Cost_Price]]*formatted_data[[#This Row],[Units]])</f>
        <v>459</v>
      </c>
      <c r="O534" s="1" t="s">
        <v>21</v>
      </c>
      <c r="P534"/>
    </row>
    <row r="535" spans="1:16" x14ac:dyDescent="0.35">
      <c r="A535" s="1" t="s">
        <v>68</v>
      </c>
      <c r="B535" s="1" t="s">
        <v>16</v>
      </c>
      <c r="C535" s="2">
        <v>45618</v>
      </c>
      <c r="D535" s="1" t="s">
        <v>17</v>
      </c>
      <c r="E535" s="1" t="s">
        <v>55</v>
      </c>
      <c r="F535" s="1" t="s">
        <v>37</v>
      </c>
      <c r="G535" s="1" t="s">
        <v>20</v>
      </c>
      <c r="H535" s="1">
        <v>2</v>
      </c>
      <c r="I535" s="1">
        <v>202</v>
      </c>
      <c r="J535" s="1">
        <v>299</v>
      </c>
      <c r="K535" s="1">
        <v>0</v>
      </c>
      <c r="L535" s="1">
        <f>ROUNDDOWN(formatted_data[[#This Row],[Selling_Price]]*formatted_data[[#This Row],[Discount_%]]/100,0)</f>
        <v>0</v>
      </c>
      <c r="M535" s="1">
        <f>(formatted_data[[#This Row],[Selling_Price]]-formatted_data[[#This Row],[Discount_Amount]])*formatted_data[[#This Row],[Units]]</f>
        <v>598</v>
      </c>
      <c r="N535" s="1">
        <f>formatted_data[[#This Row],[Total_Revenue]]-(formatted_data[[#This Row],[Cost_Price]]*formatted_data[[#This Row],[Units]])</f>
        <v>194</v>
      </c>
      <c r="O535" s="1" t="s">
        <v>21</v>
      </c>
      <c r="P535"/>
    </row>
    <row r="536" spans="1:16" x14ac:dyDescent="0.35">
      <c r="A536" s="1" t="s">
        <v>109</v>
      </c>
      <c r="B536" s="1" t="s">
        <v>16</v>
      </c>
      <c r="C536" s="2">
        <v>45609</v>
      </c>
      <c r="D536" s="1" t="s">
        <v>23</v>
      </c>
      <c r="E536" s="1" t="s">
        <v>43</v>
      </c>
      <c r="F536" s="1" t="s">
        <v>25</v>
      </c>
      <c r="G536" s="1" t="s">
        <v>19</v>
      </c>
      <c r="H536" s="1">
        <v>1</v>
      </c>
      <c r="I536" s="1">
        <v>1431</v>
      </c>
      <c r="J536" s="1">
        <v>2799</v>
      </c>
      <c r="K536" s="1">
        <v>20</v>
      </c>
      <c r="L536" s="1">
        <f>ROUNDDOWN(formatted_data[[#This Row],[Selling_Price]]*formatted_data[[#This Row],[Discount_%]]/100,0)</f>
        <v>559</v>
      </c>
      <c r="M536" s="1">
        <f>(formatted_data[[#This Row],[Selling_Price]]-formatted_data[[#This Row],[Discount_Amount]])*formatted_data[[#This Row],[Units]]</f>
        <v>2240</v>
      </c>
      <c r="N536" s="1">
        <f>formatted_data[[#This Row],[Total_Revenue]]-(formatted_data[[#This Row],[Cost_Price]]*formatted_data[[#This Row],[Units]])</f>
        <v>809</v>
      </c>
      <c r="O536" s="1" t="s">
        <v>21</v>
      </c>
      <c r="P536"/>
    </row>
    <row r="537" spans="1:16" x14ac:dyDescent="0.35">
      <c r="A537" s="1" t="s">
        <v>54</v>
      </c>
      <c r="B537" s="1" t="s">
        <v>27</v>
      </c>
      <c r="C537" s="2">
        <v>45497</v>
      </c>
      <c r="D537" s="1" t="s">
        <v>35</v>
      </c>
      <c r="E537" s="1" t="s">
        <v>58</v>
      </c>
      <c r="F537" s="1" t="s">
        <v>19</v>
      </c>
      <c r="G537" s="1" t="s">
        <v>20</v>
      </c>
      <c r="H537" s="1">
        <v>1</v>
      </c>
      <c r="I537" s="1">
        <v>872</v>
      </c>
      <c r="J537" s="1">
        <v>1199</v>
      </c>
      <c r="K537" s="1">
        <v>10</v>
      </c>
      <c r="L537" s="1">
        <f>ROUNDDOWN(formatted_data[[#This Row],[Selling_Price]]*formatted_data[[#This Row],[Discount_%]]/100,0)</f>
        <v>119</v>
      </c>
      <c r="M537" s="1">
        <f>(formatted_data[[#This Row],[Selling_Price]]-formatted_data[[#This Row],[Discount_Amount]])*formatted_data[[#This Row],[Units]]</f>
        <v>1080</v>
      </c>
      <c r="N537" s="1">
        <f>formatted_data[[#This Row],[Total_Revenue]]-(formatted_data[[#This Row],[Cost_Price]]*formatted_data[[#This Row],[Units]])</f>
        <v>208</v>
      </c>
      <c r="O537" s="1" t="s">
        <v>33</v>
      </c>
      <c r="P537"/>
    </row>
    <row r="538" spans="1:16" x14ac:dyDescent="0.35">
      <c r="A538" s="1" t="s">
        <v>53</v>
      </c>
      <c r="B538" s="1" t="s">
        <v>27</v>
      </c>
      <c r="C538" s="2">
        <v>45444</v>
      </c>
      <c r="D538" s="1" t="s">
        <v>23</v>
      </c>
      <c r="E538" s="1" t="s">
        <v>43</v>
      </c>
      <c r="F538" s="1" t="s">
        <v>19</v>
      </c>
      <c r="G538" s="1" t="s">
        <v>19</v>
      </c>
      <c r="H538" s="1">
        <v>5</v>
      </c>
      <c r="I538" s="1">
        <v>2472</v>
      </c>
      <c r="J538" s="1">
        <v>4799</v>
      </c>
      <c r="K538" s="1">
        <v>15</v>
      </c>
      <c r="L538" s="1">
        <f>ROUNDDOWN(formatted_data[[#This Row],[Selling_Price]]*formatted_data[[#This Row],[Discount_%]]/100,0)</f>
        <v>719</v>
      </c>
      <c r="M538" s="1">
        <f>(formatted_data[[#This Row],[Selling_Price]]-formatted_data[[#This Row],[Discount_Amount]])*formatted_data[[#This Row],[Units]]</f>
        <v>20400</v>
      </c>
      <c r="N538" s="1">
        <f>formatted_data[[#This Row],[Total_Revenue]]-(formatted_data[[#This Row],[Cost_Price]]*formatted_data[[#This Row],[Units]])</f>
        <v>8040</v>
      </c>
      <c r="O538" s="1" t="s">
        <v>21</v>
      </c>
      <c r="P538"/>
    </row>
    <row r="539" spans="1:16" x14ac:dyDescent="0.35">
      <c r="A539" s="1" t="s">
        <v>40</v>
      </c>
      <c r="B539" s="1" t="s">
        <v>27</v>
      </c>
      <c r="C539" s="2">
        <v>45571</v>
      </c>
      <c r="D539" s="1" t="s">
        <v>28</v>
      </c>
      <c r="E539" s="1" t="s">
        <v>29</v>
      </c>
      <c r="F539" s="1" t="s">
        <v>25</v>
      </c>
      <c r="G539" s="1" t="s">
        <v>20</v>
      </c>
      <c r="H539" s="1">
        <v>1</v>
      </c>
      <c r="I539" s="1">
        <v>423</v>
      </c>
      <c r="J539" s="1">
        <v>599</v>
      </c>
      <c r="K539" s="1">
        <v>15</v>
      </c>
      <c r="L539" s="1">
        <f>ROUNDDOWN(formatted_data[[#This Row],[Selling_Price]]*formatted_data[[#This Row],[Discount_%]]/100,0)</f>
        <v>89</v>
      </c>
      <c r="M539" s="1">
        <f>(formatted_data[[#This Row],[Selling_Price]]-formatted_data[[#This Row],[Discount_Amount]])*formatted_data[[#This Row],[Units]]</f>
        <v>510</v>
      </c>
      <c r="N539" s="1">
        <f>formatted_data[[#This Row],[Total_Revenue]]-(formatted_data[[#This Row],[Cost_Price]]*formatted_data[[#This Row],[Units]])</f>
        <v>87</v>
      </c>
      <c r="O539" s="1" t="s">
        <v>21</v>
      </c>
      <c r="P539"/>
    </row>
    <row r="540" spans="1:16" x14ac:dyDescent="0.35">
      <c r="A540" s="1" t="s">
        <v>70</v>
      </c>
      <c r="B540" s="1" t="s">
        <v>27</v>
      </c>
      <c r="C540" s="2">
        <v>45545</v>
      </c>
      <c r="D540" s="1" t="s">
        <v>35</v>
      </c>
      <c r="E540" s="1" t="s">
        <v>41</v>
      </c>
      <c r="F540" s="1" t="s">
        <v>19</v>
      </c>
      <c r="G540" s="1" t="s">
        <v>19</v>
      </c>
      <c r="H540" s="1">
        <v>1</v>
      </c>
      <c r="I540" s="1">
        <v>535</v>
      </c>
      <c r="J540" s="1">
        <v>999</v>
      </c>
      <c r="K540" s="1">
        <v>20</v>
      </c>
      <c r="L540" s="1">
        <f>ROUNDDOWN(formatted_data[[#This Row],[Selling_Price]]*formatted_data[[#This Row],[Discount_%]]/100,0)</f>
        <v>199</v>
      </c>
      <c r="M540" s="1">
        <f>(formatted_data[[#This Row],[Selling_Price]]-formatted_data[[#This Row],[Discount_Amount]])*formatted_data[[#This Row],[Units]]</f>
        <v>800</v>
      </c>
      <c r="N540" s="1">
        <f>formatted_data[[#This Row],[Total_Revenue]]-(formatted_data[[#This Row],[Cost_Price]]*formatted_data[[#This Row],[Units]])</f>
        <v>265</v>
      </c>
      <c r="O540" s="1" t="s">
        <v>21</v>
      </c>
      <c r="P540"/>
    </row>
    <row r="541" spans="1:16" x14ac:dyDescent="0.35">
      <c r="A541" s="1" t="s">
        <v>104</v>
      </c>
      <c r="B541" s="1" t="s">
        <v>27</v>
      </c>
      <c r="C541" s="2">
        <v>45479</v>
      </c>
      <c r="D541" s="1" t="s">
        <v>35</v>
      </c>
      <c r="E541" s="1" t="s">
        <v>50</v>
      </c>
      <c r="F541" s="1" t="s">
        <v>37</v>
      </c>
      <c r="G541" s="1" t="s">
        <v>20</v>
      </c>
      <c r="H541" s="1">
        <v>3</v>
      </c>
      <c r="I541" s="1">
        <v>784</v>
      </c>
      <c r="J541" s="1">
        <v>1299</v>
      </c>
      <c r="K541" s="1">
        <v>20</v>
      </c>
      <c r="L541" s="1">
        <f>ROUNDDOWN(formatted_data[[#This Row],[Selling_Price]]*formatted_data[[#This Row],[Discount_%]]/100,0)</f>
        <v>259</v>
      </c>
      <c r="M541" s="1">
        <f>(formatted_data[[#This Row],[Selling_Price]]-formatted_data[[#This Row],[Discount_Amount]])*formatted_data[[#This Row],[Units]]</f>
        <v>3120</v>
      </c>
      <c r="N541" s="1">
        <f>formatted_data[[#This Row],[Total_Revenue]]-(formatted_data[[#This Row],[Cost_Price]]*formatted_data[[#This Row],[Units]])</f>
        <v>768</v>
      </c>
      <c r="O541" s="1" t="s">
        <v>21</v>
      </c>
      <c r="P541"/>
    </row>
    <row r="542" spans="1:16" x14ac:dyDescent="0.35">
      <c r="A542" s="1" t="s">
        <v>52</v>
      </c>
      <c r="B542" s="1" t="s">
        <v>27</v>
      </c>
      <c r="C542" s="2">
        <v>45572</v>
      </c>
      <c r="D542" s="1" t="s">
        <v>17</v>
      </c>
      <c r="E542" s="1" t="s">
        <v>72</v>
      </c>
      <c r="F542" s="1" t="s">
        <v>19</v>
      </c>
      <c r="G542" s="1" t="s">
        <v>19</v>
      </c>
      <c r="H542" s="1">
        <v>3</v>
      </c>
      <c r="I542" s="1">
        <v>326</v>
      </c>
      <c r="J542" s="1">
        <v>499</v>
      </c>
      <c r="K542" s="1">
        <v>0</v>
      </c>
      <c r="L542" s="1">
        <f>ROUNDDOWN(formatted_data[[#This Row],[Selling_Price]]*formatted_data[[#This Row],[Discount_%]]/100,0)</f>
        <v>0</v>
      </c>
      <c r="M542" s="1">
        <f>(formatted_data[[#This Row],[Selling_Price]]-formatted_data[[#This Row],[Discount_Amount]])*formatted_data[[#This Row],[Units]]</f>
        <v>1497</v>
      </c>
      <c r="N542" s="1">
        <f>formatted_data[[#This Row],[Total_Revenue]]-(formatted_data[[#This Row],[Cost_Price]]*formatted_data[[#This Row],[Units]])</f>
        <v>519</v>
      </c>
      <c r="O542" s="1" t="s">
        <v>21</v>
      </c>
      <c r="P542"/>
    </row>
    <row r="543" spans="1:16" x14ac:dyDescent="0.35">
      <c r="A543" s="1" t="s">
        <v>98</v>
      </c>
      <c r="B543" s="1" t="s">
        <v>16</v>
      </c>
      <c r="C543" s="2">
        <v>45596</v>
      </c>
      <c r="D543" s="1" t="s">
        <v>31</v>
      </c>
      <c r="E543" s="1" t="s">
        <v>32</v>
      </c>
      <c r="F543" s="1" t="s">
        <v>25</v>
      </c>
      <c r="G543" s="1" t="s">
        <v>20</v>
      </c>
      <c r="H543" s="1">
        <v>1</v>
      </c>
      <c r="I543" s="1">
        <v>676</v>
      </c>
      <c r="J543" s="1">
        <v>999</v>
      </c>
      <c r="K543" s="1">
        <v>0</v>
      </c>
      <c r="L543" s="1">
        <f>ROUNDDOWN(formatted_data[[#This Row],[Selling_Price]]*formatted_data[[#This Row],[Discount_%]]/100,0)</f>
        <v>0</v>
      </c>
      <c r="M543" s="1">
        <f>(formatted_data[[#This Row],[Selling_Price]]-formatted_data[[#This Row],[Discount_Amount]])*formatted_data[[#This Row],[Units]]</f>
        <v>999</v>
      </c>
      <c r="N543" s="1">
        <f>formatted_data[[#This Row],[Total_Revenue]]-(formatted_data[[#This Row],[Cost_Price]]*formatted_data[[#This Row],[Units]])</f>
        <v>323</v>
      </c>
      <c r="O543" s="1" t="s">
        <v>21</v>
      </c>
      <c r="P543"/>
    </row>
    <row r="544" spans="1:16" x14ac:dyDescent="0.35">
      <c r="A544" s="1" t="s">
        <v>15</v>
      </c>
      <c r="B544" s="1" t="s">
        <v>16</v>
      </c>
      <c r="C544" s="2">
        <v>45616</v>
      </c>
      <c r="D544" s="1" t="s">
        <v>17</v>
      </c>
      <c r="E544" s="1" t="s">
        <v>48</v>
      </c>
      <c r="F544" s="1" t="s">
        <v>37</v>
      </c>
      <c r="G544" s="1" t="s">
        <v>20</v>
      </c>
      <c r="H544" s="1">
        <v>2</v>
      </c>
      <c r="I544" s="1">
        <v>182</v>
      </c>
      <c r="J544" s="1">
        <v>299</v>
      </c>
      <c r="K544" s="1">
        <v>0</v>
      </c>
      <c r="L544" s="1">
        <f>ROUNDDOWN(formatted_data[[#This Row],[Selling_Price]]*formatted_data[[#This Row],[Discount_%]]/100,0)</f>
        <v>0</v>
      </c>
      <c r="M544" s="1">
        <f>(formatted_data[[#This Row],[Selling_Price]]-formatted_data[[#This Row],[Discount_Amount]])*formatted_data[[#This Row],[Units]]</f>
        <v>598</v>
      </c>
      <c r="N544" s="1">
        <f>formatted_data[[#This Row],[Total_Revenue]]-(formatted_data[[#This Row],[Cost_Price]]*formatted_data[[#This Row],[Units]])</f>
        <v>234</v>
      </c>
      <c r="O544" s="1" t="s">
        <v>33</v>
      </c>
      <c r="P544"/>
    </row>
    <row r="545" spans="1:16" x14ac:dyDescent="0.35">
      <c r="A545" s="1" t="s">
        <v>57</v>
      </c>
      <c r="B545" s="1" t="s">
        <v>27</v>
      </c>
      <c r="C545" s="2">
        <v>45654</v>
      </c>
      <c r="D545" s="1" t="s">
        <v>23</v>
      </c>
      <c r="E545" s="1" t="s">
        <v>43</v>
      </c>
      <c r="F545" s="1" t="s">
        <v>19</v>
      </c>
      <c r="G545" s="1" t="s">
        <v>19</v>
      </c>
      <c r="H545" s="1">
        <v>2</v>
      </c>
      <c r="I545" s="1">
        <v>2223</v>
      </c>
      <c r="J545" s="1">
        <v>3199</v>
      </c>
      <c r="K545" s="1">
        <v>5</v>
      </c>
      <c r="L545" s="1">
        <f>ROUNDDOWN(formatted_data[[#This Row],[Selling_Price]]*formatted_data[[#This Row],[Discount_%]]/100,0)</f>
        <v>159</v>
      </c>
      <c r="M545" s="1">
        <f>(formatted_data[[#This Row],[Selling_Price]]-formatted_data[[#This Row],[Discount_Amount]])*formatted_data[[#This Row],[Units]]</f>
        <v>6080</v>
      </c>
      <c r="N545" s="1">
        <f>formatted_data[[#This Row],[Total_Revenue]]-(formatted_data[[#This Row],[Cost_Price]]*formatted_data[[#This Row],[Units]])</f>
        <v>1634</v>
      </c>
      <c r="O545" s="1" t="s">
        <v>33</v>
      </c>
      <c r="P545"/>
    </row>
    <row r="546" spans="1:16" x14ac:dyDescent="0.35">
      <c r="A546" s="1" t="s">
        <v>71</v>
      </c>
      <c r="B546" s="1" t="s">
        <v>16</v>
      </c>
      <c r="C546" s="2">
        <v>45586</v>
      </c>
      <c r="D546" s="1" t="s">
        <v>23</v>
      </c>
      <c r="E546" s="1" t="s">
        <v>24</v>
      </c>
      <c r="F546" s="1" t="s">
        <v>19</v>
      </c>
      <c r="G546" s="1" t="s">
        <v>20</v>
      </c>
      <c r="H546" s="1">
        <v>4</v>
      </c>
      <c r="I546" s="1">
        <v>1002</v>
      </c>
      <c r="J546" s="1">
        <v>1399</v>
      </c>
      <c r="K546" s="1">
        <v>10</v>
      </c>
      <c r="L546" s="1">
        <f>ROUNDDOWN(formatted_data[[#This Row],[Selling_Price]]*formatted_data[[#This Row],[Discount_%]]/100,0)</f>
        <v>139</v>
      </c>
      <c r="M546" s="1">
        <f>(formatted_data[[#This Row],[Selling_Price]]-formatted_data[[#This Row],[Discount_Amount]])*formatted_data[[#This Row],[Units]]</f>
        <v>5040</v>
      </c>
      <c r="N546" s="1">
        <f>formatted_data[[#This Row],[Total_Revenue]]-(formatted_data[[#This Row],[Cost_Price]]*formatted_data[[#This Row],[Units]])</f>
        <v>1032</v>
      </c>
      <c r="O546" s="1" t="s">
        <v>21</v>
      </c>
      <c r="P546"/>
    </row>
    <row r="547" spans="1:16" x14ac:dyDescent="0.35">
      <c r="A547" s="1" t="s">
        <v>62</v>
      </c>
      <c r="B547" s="1" t="s">
        <v>16</v>
      </c>
      <c r="C547" s="2">
        <v>45537</v>
      </c>
      <c r="D547" s="1" t="s">
        <v>23</v>
      </c>
      <c r="E547" s="1" t="s">
        <v>43</v>
      </c>
      <c r="F547" s="1" t="s">
        <v>25</v>
      </c>
      <c r="G547" s="1" t="s">
        <v>19</v>
      </c>
      <c r="H547" s="1">
        <v>2</v>
      </c>
      <c r="I547" s="1">
        <v>1329</v>
      </c>
      <c r="J547" s="1">
        <v>1999</v>
      </c>
      <c r="K547" s="1">
        <v>5</v>
      </c>
      <c r="L547" s="1">
        <f>ROUNDDOWN(formatted_data[[#This Row],[Selling_Price]]*formatted_data[[#This Row],[Discount_%]]/100,0)</f>
        <v>99</v>
      </c>
      <c r="M547" s="1">
        <f>(formatted_data[[#This Row],[Selling_Price]]-formatted_data[[#This Row],[Discount_Amount]])*formatted_data[[#This Row],[Units]]</f>
        <v>3800</v>
      </c>
      <c r="N547" s="1">
        <f>formatted_data[[#This Row],[Total_Revenue]]-(formatted_data[[#This Row],[Cost_Price]]*formatted_data[[#This Row],[Units]])</f>
        <v>1142</v>
      </c>
      <c r="O547" s="1" t="s">
        <v>21</v>
      </c>
      <c r="P547"/>
    </row>
    <row r="548" spans="1:16" x14ac:dyDescent="0.35">
      <c r="A548" s="1" t="s">
        <v>107</v>
      </c>
      <c r="B548" s="1" t="s">
        <v>27</v>
      </c>
      <c r="C548" s="2">
        <v>45485</v>
      </c>
      <c r="D548" s="1" t="s">
        <v>17</v>
      </c>
      <c r="E548" s="1" t="s">
        <v>48</v>
      </c>
      <c r="F548" s="1" t="s">
        <v>25</v>
      </c>
      <c r="G548" s="1" t="s">
        <v>19</v>
      </c>
      <c r="H548" s="1">
        <v>1</v>
      </c>
      <c r="I548" s="1">
        <v>294</v>
      </c>
      <c r="J548" s="1">
        <v>399</v>
      </c>
      <c r="K548" s="1">
        <v>0</v>
      </c>
      <c r="L548" s="1">
        <f>ROUNDDOWN(formatted_data[[#This Row],[Selling_Price]]*formatted_data[[#This Row],[Discount_%]]/100,0)</f>
        <v>0</v>
      </c>
      <c r="M548" s="1">
        <f>(formatted_data[[#This Row],[Selling_Price]]-formatted_data[[#This Row],[Discount_Amount]])*formatted_data[[#This Row],[Units]]</f>
        <v>399</v>
      </c>
      <c r="N548" s="1">
        <f>formatted_data[[#This Row],[Total_Revenue]]-(formatted_data[[#This Row],[Cost_Price]]*formatted_data[[#This Row],[Units]])</f>
        <v>105</v>
      </c>
      <c r="O548" s="1" t="s">
        <v>21</v>
      </c>
      <c r="P548"/>
    </row>
    <row r="549" spans="1:16" x14ac:dyDescent="0.35">
      <c r="A549" s="1" t="s">
        <v>62</v>
      </c>
      <c r="B549" s="1" t="s">
        <v>16</v>
      </c>
      <c r="C549" s="2">
        <v>45461</v>
      </c>
      <c r="D549" s="1" t="s">
        <v>31</v>
      </c>
      <c r="E549" s="1" t="s">
        <v>32</v>
      </c>
      <c r="F549" s="1" t="s">
        <v>25</v>
      </c>
      <c r="G549" s="1" t="s">
        <v>20</v>
      </c>
      <c r="H549" s="1">
        <v>5</v>
      </c>
      <c r="I549" s="1">
        <v>831</v>
      </c>
      <c r="J549" s="1">
        <v>1499</v>
      </c>
      <c r="K549" s="1">
        <v>0</v>
      </c>
      <c r="L549" s="1">
        <f>ROUNDDOWN(formatted_data[[#This Row],[Selling_Price]]*formatted_data[[#This Row],[Discount_%]]/100,0)</f>
        <v>0</v>
      </c>
      <c r="M549" s="1">
        <f>(formatted_data[[#This Row],[Selling_Price]]-formatted_data[[#This Row],[Discount_Amount]])*formatted_data[[#This Row],[Units]]</f>
        <v>7495</v>
      </c>
      <c r="N549" s="1">
        <f>formatted_data[[#This Row],[Total_Revenue]]-(formatted_data[[#This Row],[Cost_Price]]*formatted_data[[#This Row],[Units]])</f>
        <v>3340</v>
      </c>
      <c r="O549" s="1" t="s">
        <v>21</v>
      </c>
      <c r="P549"/>
    </row>
    <row r="550" spans="1:16" x14ac:dyDescent="0.35">
      <c r="A550" s="1" t="s">
        <v>75</v>
      </c>
      <c r="B550" s="1" t="s">
        <v>27</v>
      </c>
      <c r="C550" s="2">
        <v>45527</v>
      </c>
      <c r="D550" s="1" t="s">
        <v>35</v>
      </c>
      <c r="E550" s="1" t="s">
        <v>39</v>
      </c>
      <c r="F550" s="1" t="s">
        <v>19</v>
      </c>
      <c r="G550" s="1" t="s">
        <v>19</v>
      </c>
      <c r="H550" s="1">
        <v>1</v>
      </c>
      <c r="I550" s="1">
        <v>666</v>
      </c>
      <c r="J550" s="1">
        <v>1299</v>
      </c>
      <c r="K550" s="1">
        <v>20</v>
      </c>
      <c r="L550" s="1">
        <f>ROUNDDOWN(formatted_data[[#This Row],[Selling_Price]]*formatted_data[[#This Row],[Discount_%]]/100,0)</f>
        <v>259</v>
      </c>
      <c r="M550" s="1">
        <f>(formatted_data[[#This Row],[Selling_Price]]-formatted_data[[#This Row],[Discount_Amount]])*formatted_data[[#This Row],[Units]]</f>
        <v>1040</v>
      </c>
      <c r="N550" s="1">
        <f>formatted_data[[#This Row],[Total_Revenue]]-(formatted_data[[#This Row],[Cost_Price]]*formatted_data[[#This Row],[Units]])</f>
        <v>374</v>
      </c>
      <c r="O550" s="1" t="s">
        <v>21</v>
      </c>
      <c r="P550"/>
    </row>
    <row r="551" spans="1:16" x14ac:dyDescent="0.35">
      <c r="A551" s="1" t="s">
        <v>95</v>
      </c>
      <c r="B551" s="1" t="s">
        <v>27</v>
      </c>
      <c r="C551" s="2">
        <v>45450</v>
      </c>
      <c r="D551" s="1" t="s">
        <v>35</v>
      </c>
      <c r="E551" s="1" t="s">
        <v>39</v>
      </c>
      <c r="F551" s="1" t="s">
        <v>25</v>
      </c>
      <c r="G551" s="1" t="s">
        <v>19</v>
      </c>
      <c r="H551" s="1">
        <v>4</v>
      </c>
      <c r="I551" s="1">
        <v>1105</v>
      </c>
      <c r="J551" s="1">
        <v>1499</v>
      </c>
      <c r="K551" s="1">
        <v>10</v>
      </c>
      <c r="L551" s="1">
        <f>ROUNDDOWN(formatted_data[[#This Row],[Selling_Price]]*formatted_data[[#This Row],[Discount_%]]/100,0)</f>
        <v>149</v>
      </c>
      <c r="M551" s="1">
        <f>(formatted_data[[#This Row],[Selling_Price]]-formatted_data[[#This Row],[Discount_Amount]])*formatted_data[[#This Row],[Units]]</f>
        <v>5400</v>
      </c>
      <c r="N551" s="1">
        <f>formatted_data[[#This Row],[Total_Revenue]]-(formatted_data[[#This Row],[Cost_Price]]*formatted_data[[#This Row],[Units]])</f>
        <v>980</v>
      </c>
      <c r="O551" s="1" t="s">
        <v>33</v>
      </c>
      <c r="P551"/>
    </row>
    <row r="552" spans="1:16" x14ac:dyDescent="0.35">
      <c r="A552" s="1" t="s">
        <v>104</v>
      </c>
      <c r="B552" s="1" t="s">
        <v>27</v>
      </c>
      <c r="C552" s="2">
        <v>45462</v>
      </c>
      <c r="D552" s="1" t="s">
        <v>17</v>
      </c>
      <c r="E552" s="1" t="s">
        <v>55</v>
      </c>
      <c r="F552" s="1" t="s">
        <v>37</v>
      </c>
      <c r="G552" s="1" t="s">
        <v>20</v>
      </c>
      <c r="H552" s="1">
        <v>1</v>
      </c>
      <c r="I552" s="1">
        <v>503</v>
      </c>
      <c r="J552" s="1">
        <v>799</v>
      </c>
      <c r="K552" s="1">
        <v>0</v>
      </c>
      <c r="L552" s="1">
        <f>ROUNDDOWN(formatted_data[[#This Row],[Selling_Price]]*formatted_data[[#This Row],[Discount_%]]/100,0)</f>
        <v>0</v>
      </c>
      <c r="M552" s="1">
        <f>(formatted_data[[#This Row],[Selling_Price]]-formatted_data[[#This Row],[Discount_Amount]])*formatted_data[[#This Row],[Units]]</f>
        <v>799</v>
      </c>
      <c r="N552" s="1">
        <f>formatted_data[[#This Row],[Total_Revenue]]-(formatted_data[[#This Row],[Cost_Price]]*formatted_data[[#This Row],[Units]])</f>
        <v>296</v>
      </c>
      <c r="O552" s="1" t="s">
        <v>21</v>
      </c>
      <c r="P552"/>
    </row>
    <row r="553" spans="1:16" x14ac:dyDescent="0.35">
      <c r="A553" s="1" t="s">
        <v>67</v>
      </c>
      <c r="B553" s="1" t="s">
        <v>27</v>
      </c>
      <c r="C553" s="2">
        <v>45494</v>
      </c>
      <c r="D553" s="1" t="s">
        <v>28</v>
      </c>
      <c r="E553" s="1" t="s">
        <v>29</v>
      </c>
      <c r="F553" s="1" t="s">
        <v>37</v>
      </c>
      <c r="G553" s="1" t="s">
        <v>20</v>
      </c>
      <c r="H553" s="1">
        <v>5</v>
      </c>
      <c r="I553" s="1">
        <v>391</v>
      </c>
      <c r="J553" s="1">
        <v>699</v>
      </c>
      <c r="K553" s="1">
        <v>20</v>
      </c>
      <c r="L553" s="1">
        <f>ROUNDDOWN(formatted_data[[#This Row],[Selling_Price]]*formatted_data[[#This Row],[Discount_%]]/100,0)</f>
        <v>139</v>
      </c>
      <c r="M553" s="1">
        <f>(formatted_data[[#This Row],[Selling_Price]]-formatted_data[[#This Row],[Discount_Amount]])*formatted_data[[#This Row],[Units]]</f>
        <v>2800</v>
      </c>
      <c r="N553" s="1">
        <f>formatted_data[[#This Row],[Total_Revenue]]-(formatted_data[[#This Row],[Cost_Price]]*formatted_data[[#This Row],[Units]])</f>
        <v>845</v>
      </c>
      <c r="O553" s="1" t="s">
        <v>21</v>
      </c>
      <c r="P553"/>
    </row>
    <row r="554" spans="1:16" x14ac:dyDescent="0.35">
      <c r="A554" s="1" t="s">
        <v>98</v>
      </c>
      <c r="B554" s="1" t="s">
        <v>16</v>
      </c>
      <c r="C554" s="2">
        <v>45467</v>
      </c>
      <c r="D554" s="1" t="s">
        <v>17</v>
      </c>
      <c r="E554" s="1" t="s">
        <v>48</v>
      </c>
      <c r="F554" s="1" t="s">
        <v>37</v>
      </c>
      <c r="G554" s="1" t="s">
        <v>19</v>
      </c>
      <c r="H554" s="1">
        <v>1</v>
      </c>
      <c r="I554" s="1">
        <v>312</v>
      </c>
      <c r="J554" s="1">
        <v>499</v>
      </c>
      <c r="K554" s="1">
        <v>0</v>
      </c>
      <c r="L554" s="1">
        <f>ROUNDDOWN(formatted_data[[#This Row],[Selling_Price]]*formatted_data[[#This Row],[Discount_%]]/100,0)</f>
        <v>0</v>
      </c>
      <c r="M554" s="1">
        <f>(formatted_data[[#This Row],[Selling_Price]]-formatted_data[[#This Row],[Discount_Amount]])*formatted_data[[#This Row],[Units]]</f>
        <v>499</v>
      </c>
      <c r="N554" s="1">
        <f>formatted_data[[#This Row],[Total_Revenue]]-(formatted_data[[#This Row],[Cost_Price]]*formatted_data[[#This Row],[Units]])</f>
        <v>187</v>
      </c>
      <c r="O554" s="1" t="s">
        <v>21</v>
      </c>
      <c r="P554"/>
    </row>
    <row r="555" spans="1:16" x14ac:dyDescent="0.35">
      <c r="A555" s="1" t="s">
        <v>79</v>
      </c>
      <c r="B555" s="1" t="s">
        <v>16</v>
      </c>
      <c r="C555" s="2">
        <v>45614</v>
      </c>
      <c r="D555" s="1" t="s">
        <v>23</v>
      </c>
      <c r="E555" s="1" t="s">
        <v>43</v>
      </c>
      <c r="F555" s="1" t="s">
        <v>25</v>
      </c>
      <c r="G555" s="1" t="s">
        <v>20</v>
      </c>
      <c r="H555" s="1">
        <v>1</v>
      </c>
      <c r="I555" s="1">
        <v>2512</v>
      </c>
      <c r="J555" s="1">
        <v>3699</v>
      </c>
      <c r="K555" s="1">
        <v>5</v>
      </c>
      <c r="L555" s="1">
        <f>ROUNDDOWN(formatted_data[[#This Row],[Selling_Price]]*formatted_data[[#This Row],[Discount_%]]/100,0)</f>
        <v>184</v>
      </c>
      <c r="M555" s="1">
        <f>(formatted_data[[#This Row],[Selling_Price]]-formatted_data[[#This Row],[Discount_Amount]])*formatted_data[[#This Row],[Units]]</f>
        <v>3515</v>
      </c>
      <c r="N555" s="1">
        <f>formatted_data[[#This Row],[Total_Revenue]]-(formatted_data[[#This Row],[Cost_Price]]*formatted_data[[#This Row],[Units]])</f>
        <v>1003</v>
      </c>
      <c r="O555" s="1" t="s">
        <v>33</v>
      </c>
      <c r="P555"/>
    </row>
    <row r="556" spans="1:16" x14ac:dyDescent="0.35">
      <c r="A556" s="1" t="s">
        <v>99</v>
      </c>
      <c r="B556" s="1" t="s">
        <v>27</v>
      </c>
      <c r="C556" s="2">
        <v>45514</v>
      </c>
      <c r="D556" s="1" t="s">
        <v>17</v>
      </c>
      <c r="E556" s="1" t="s">
        <v>18</v>
      </c>
      <c r="F556" s="1" t="s">
        <v>25</v>
      </c>
      <c r="G556" s="1" t="s">
        <v>19</v>
      </c>
      <c r="H556" s="1">
        <v>2</v>
      </c>
      <c r="I556" s="1">
        <v>340</v>
      </c>
      <c r="J556" s="1">
        <v>499</v>
      </c>
      <c r="K556" s="1">
        <v>0</v>
      </c>
      <c r="L556" s="1">
        <f>ROUNDDOWN(formatted_data[[#This Row],[Selling_Price]]*formatted_data[[#This Row],[Discount_%]]/100,0)</f>
        <v>0</v>
      </c>
      <c r="M556" s="1">
        <f>(formatted_data[[#This Row],[Selling_Price]]-formatted_data[[#This Row],[Discount_Amount]])*formatted_data[[#This Row],[Units]]</f>
        <v>998</v>
      </c>
      <c r="N556" s="1">
        <f>formatted_data[[#This Row],[Total_Revenue]]-(formatted_data[[#This Row],[Cost_Price]]*formatted_data[[#This Row],[Units]])</f>
        <v>318</v>
      </c>
      <c r="O556" s="1" t="s">
        <v>33</v>
      </c>
      <c r="P556"/>
    </row>
    <row r="557" spans="1:16" x14ac:dyDescent="0.35">
      <c r="A557" s="1" t="s">
        <v>97</v>
      </c>
      <c r="B557" s="1" t="s">
        <v>16</v>
      </c>
      <c r="C557" s="2">
        <v>45509</v>
      </c>
      <c r="D557" s="1" t="s">
        <v>28</v>
      </c>
      <c r="E557" s="1" t="s">
        <v>45</v>
      </c>
      <c r="F557" s="1" t="s">
        <v>19</v>
      </c>
      <c r="G557" s="1" t="s">
        <v>20</v>
      </c>
      <c r="H557" s="1">
        <v>1</v>
      </c>
      <c r="I557" s="1">
        <v>664</v>
      </c>
      <c r="J557" s="1">
        <v>1299</v>
      </c>
      <c r="K557" s="1">
        <v>20</v>
      </c>
      <c r="L557" s="1">
        <f>ROUNDDOWN(formatted_data[[#This Row],[Selling_Price]]*formatted_data[[#This Row],[Discount_%]]/100,0)</f>
        <v>259</v>
      </c>
      <c r="M557" s="1">
        <f>(formatted_data[[#This Row],[Selling_Price]]-formatted_data[[#This Row],[Discount_Amount]])*formatted_data[[#This Row],[Units]]</f>
        <v>1040</v>
      </c>
      <c r="N557" s="1">
        <f>formatted_data[[#This Row],[Total_Revenue]]-(formatted_data[[#This Row],[Cost_Price]]*formatted_data[[#This Row],[Units]])</f>
        <v>376</v>
      </c>
      <c r="O557" s="1" t="s">
        <v>21</v>
      </c>
      <c r="P557"/>
    </row>
    <row r="558" spans="1:16" x14ac:dyDescent="0.35">
      <c r="A558" s="1" t="s">
        <v>61</v>
      </c>
      <c r="B558" s="1" t="s">
        <v>27</v>
      </c>
      <c r="C558" s="2">
        <v>45526</v>
      </c>
      <c r="D558" s="1" t="s">
        <v>35</v>
      </c>
      <c r="E558" s="1" t="s">
        <v>87</v>
      </c>
      <c r="F558" s="1" t="s">
        <v>37</v>
      </c>
      <c r="G558" s="1" t="s">
        <v>20</v>
      </c>
      <c r="H558" s="1">
        <v>1</v>
      </c>
      <c r="I558" s="1">
        <v>1619</v>
      </c>
      <c r="J558" s="1">
        <v>2199</v>
      </c>
      <c r="K558" s="1">
        <v>5</v>
      </c>
      <c r="L558" s="1">
        <f>ROUNDDOWN(formatted_data[[#This Row],[Selling_Price]]*formatted_data[[#This Row],[Discount_%]]/100,0)</f>
        <v>109</v>
      </c>
      <c r="M558" s="1">
        <f>(formatted_data[[#This Row],[Selling_Price]]-formatted_data[[#This Row],[Discount_Amount]])*formatted_data[[#This Row],[Units]]</f>
        <v>2090</v>
      </c>
      <c r="N558" s="1">
        <f>formatted_data[[#This Row],[Total_Revenue]]-(formatted_data[[#This Row],[Cost_Price]]*formatted_data[[#This Row],[Units]])</f>
        <v>471</v>
      </c>
      <c r="O558" s="1" t="s">
        <v>21</v>
      </c>
      <c r="P558"/>
    </row>
    <row r="559" spans="1:16" x14ac:dyDescent="0.35">
      <c r="A559" s="1" t="s">
        <v>38</v>
      </c>
      <c r="B559" s="1" t="s">
        <v>27</v>
      </c>
      <c r="C559" s="2">
        <v>45474</v>
      </c>
      <c r="D559" s="1" t="s">
        <v>31</v>
      </c>
      <c r="E559" s="1" t="s">
        <v>76</v>
      </c>
      <c r="F559" s="1" t="s">
        <v>37</v>
      </c>
      <c r="G559" s="1" t="s">
        <v>19</v>
      </c>
      <c r="H559" s="1">
        <v>1</v>
      </c>
      <c r="I559" s="1">
        <v>513</v>
      </c>
      <c r="J559" s="1">
        <v>699</v>
      </c>
      <c r="K559" s="1">
        <v>0</v>
      </c>
      <c r="L559" s="1">
        <f>ROUNDDOWN(formatted_data[[#This Row],[Selling_Price]]*formatted_data[[#This Row],[Discount_%]]/100,0)</f>
        <v>0</v>
      </c>
      <c r="M559" s="1">
        <f>(formatted_data[[#This Row],[Selling_Price]]-formatted_data[[#This Row],[Discount_Amount]])*formatted_data[[#This Row],[Units]]</f>
        <v>699</v>
      </c>
      <c r="N559" s="1">
        <f>formatted_data[[#This Row],[Total_Revenue]]-(formatted_data[[#This Row],[Cost_Price]]*formatted_data[[#This Row],[Units]])</f>
        <v>186</v>
      </c>
      <c r="O559" s="1" t="s">
        <v>21</v>
      </c>
      <c r="P559"/>
    </row>
    <row r="560" spans="1:16" x14ac:dyDescent="0.35">
      <c r="A560" s="1" t="s">
        <v>70</v>
      </c>
      <c r="B560" s="1" t="s">
        <v>27</v>
      </c>
      <c r="C560" s="2">
        <v>45586</v>
      </c>
      <c r="D560" s="1" t="s">
        <v>35</v>
      </c>
      <c r="E560" s="1" t="s">
        <v>50</v>
      </c>
      <c r="F560" s="1" t="s">
        <v>37</v>
      </c>
      <c r="G560" s="1" t="s">
        <v>20</v>
      </c>
      <c r="H560" s="1">
        <v>2</v>
      </c>
      <c r="I560" s="1">
        <v>571</v>
      </c>
      <c r="J560" s="1">
        <v>899</v>
      </c>
      <c r="K560" s="1">
        <v>10</v>
      </c>
      <c r="L560" s="1">
        <f>ROUNDDOWN(formatted_data[[#This Row],[Selling_Price]]*formatted_data[[#This Row],[Discount_%]]/100,0)</f>
        <v>89</v>
      </c>
      <c r="M560" s="1">
        <f>(formatted_data[[#This Row],[Selling_Price]]-formatted_data[[#This Row],[Discount_Amount]])*formatted_data[[#This Row],[Units]]</f>
        <v>1620</v>
      </c>
      <c r="N560" s="1">
        <f>formatted_data[[#This Row],[Total_Revenue]]-(formatted_data[[#This Row],[Cost_Price]]*formatted_data[[#This Row],[Units]])</f>
        <v>478</v>
      </c>
      <c r="O560" s="1" t="s">
        <v>21</v>
      </c>
      <c r="P560"/>
    </row>
    <row r="561" spans="1:16" x14ac:dyDescent="0.35">
      <c r="A561" s="1" t="s">
        <v>82</v>
      </c>
      <c r="B561" s="1" t="s">
        <v>27</v>
      </c>
      <c r="C561" s="2">
        <v>45589</v>
      </c>
      <c r="D561" s="1" t="s">
        <v>31</v>
      </c>
      <c r="E561" s="1" t="s">
        <v>76</v>
      </c>
      <c r="F561" s="1" t="s">
        <v>37</v>
      </c>
      <c r="G561" s="1" t="s">
        <v>20</v>
      </c>
      <c r="H561" s="1">
        <v>1</v>
      </c>
      <c r="I561" s="1">
        <v>709</v>
      </c>
      <c r="J561" s="1">
        <v>999</v>
      </c>
      <c r="K561" s="1">
        <v>0</v>
      </c>
      <c r="L561" s="1">
        <f>ROUNDDOWN(formatted_data[[#This Row],[Selling_Price]]*formatted_data[[#This Row],[Discount_%]]/100,0)</f>
        <v>0</v>
      </c>
      <c r="M561" s="1">
        <f>(formatted_data[[#This Row],[Selling_Price]]-formatted_data[[#This Row],[Discount_Amount]])*formatted_data[[#This Row],[Units]]</f>
        <v>999</v>
      </c>
      <c r="N561" s="1">
        <f>formatted_data[[#This Row],[Total_Revenue]]-(formatted_data[[#This Row],[Cost_Price]]*formatted_data[[#This Row],[Units]])</f>
        <v>290</v>
      </c>
      <c r="O561" s="1" t="s">
        <v>21</v>
      </c>
      <c r="P561"/>
    </row>
    <row r="562" spans="1:16" x14ac:dyDescent="0.35">
      <c r="A562" s="1" t="s">
        <v>34</v>
      </c>
      <c r="B562" s="1" t="s">
        <v>27</v>
      </c>
      <c r="C562" s="2">
        <v>45571</v>
      </c>
      <c r="D562" s="1" t="s">
        <v>28</v>
      </c>
      <c r="E562" s="1" t="s">
        <v>45</v>
      </c>
      <c r="F562" s="1" t="s">
        <v>19</v>
      </c>
      <c r="G562" s="1" t="s">
        <v>20</v>
      </c>
      <c r="H562" s="1">
        <v>1</v>
      </c>
      <c r="I562" s="1">
        <v>780</v>
      </c>
      <c r="J562" s="1">
        <v>1199</v>
      </c>
      <c r="K562" s="1">
        <v>15</v>
      </c>
      <c r="L562" s="1">
        <f>ROUNDDOWN(formatted_data[[#This Row],[Selling_Price]]*formatted_data[[#This Row],[Discount_%]]/100,0)</f>
        <v>179</v>
      </c>
      <c r="M562" s="1">
        <f>(formatted_data[[#This Row],[Selling_Price]]-formatted_data[[#This Row],[Discount_Amount]])*formatted_data[[#This Row],[Units]]</f>
        <v>1020</v>
      </c>
      <c r="N562" s="1">
        <f>formatted_data[[#This Row],[Total_Revenue]]-(formatted_data[[#This Row],[Cost_Price]]*formatted_data[[#This Row],[Units]])</f>
        <v>240</v>
      </c>
      <c r="O562" s="1" t="s">
        <v>21</v>
      </c>
      <c r="P562"/>
    </row>
    <row r="563" spans="1:16" x14ac:dyDescent="0.35">
      <c r="A563" s="1" t="s">
        <v>62</v>
      </c>
      <c r="B563" s="1" t="s">
        <v>16</v>
      </c>
      <c r="C563" s="2">
        <v>45586</v>
      </c>
      <c r="D563" s="1" t="s">
        <v>28</v>
      </c>
      <c r="E563" s="1" t="s">
        <v>45</v>
      </c>
      <c r="F563" s="1" t="s">
        <v>37</v>
      </c>
      <c r="G563" s="1" t="s">
        <v>20</v>
      </c>
      <c r="H563" s="1">
        <v>2</v>
      </c>
      <c r="I563" s="1">
        <v>1201</v>
      </c>
      <c r="J563" s="1">
        <v>1799</v>
      </c>
      <c r="K563" s="1">
        <v>15</v>
      </c>
      <c r="L563" s="1">
        <f>ROUNDDOWN(formatted_data[[#This Row],[Selling_Price]]*formatted_data[[#This Row],[Discount_%]]/100,0)</f>
        <v>269</v>
      </c>
      <c r="M563" s="1">
        <f>(formatted_data[[#This Row],[Selling_Price]]-formatted_data[[#This Row],[Discount_Amount]])*formatted_data[[#This Row],[Units]]</f>
        <v>3060</v>
      </c>
      <c r="N563" s="1">
        <f>formatted_data[[#This Row],[Total_Revenue]]-(formatted_data[[#This Row],[Cost_Price]]*formatted_data[[#This Row],[Units]])</f>
        <v>658</v>
      </c>
      <c r="O563" s="1" t="s">
        <v>21</v>
      </c>
      <c r="P563"/>
    </row>
    <row r="564" spans="1:16" x14ac:dyDescent="0.35">
      <c r="A564" s="1" t="s">
        <v>86</v>
      </c>
      <c r="B564" s="1" t="s">
        <v>27</v>
      </c>
      <c r="C564" s="2">
        <v>45525</v>
      </c>
      <c r="D564" s="1" t="s">
        <v>35</v>
      </c>
      <c r="E564" s="1" t="s">
        <v>50</v>
      </c>
      <c r="F564" s="1" t="s">
        <v>37</v>
      </c>
      <c r="G564" s="1" t="s">
        <v>20</v>
      </c>
      <c r="H564" s="1">
        <v>2</v>
      </c>
      <c r="I564" s="1">
        <v>1108</v>
      </c>
      <c r="J564" s="1">
        <v>1899</v>
      </c>
      <c r="K564" s="1">
        <v>20</v>
      </c>
      <c r="L564" s="1">
        <f>ROUNDDOWN(formatted_data[[#This Row],[Selling_Price]]*formatted_data[[#This Row],[Discount_%]]/100,0)</f>
        <v>379</v>
      </c>
      <c r="M564" s="1">
        <f>(formatted_data[[#This Row],[Selling_Price]]-formatted_data[[#This Row],[Discount_Amount]])*formatted_data[[#This Row],[Units]]</f>
        <v>3040</v>
      </c>
      <c r="N564" s="1">
        <f>formatted_data[[#This Row],[Total_Revenue]]-(formatted_data[[#This Row],[Cost_Price]]*formatted_data[[#This Row],[Units]])</f>
        <v>824</v>
      </c>
      <c r="O564" s="1" t="s">
        <v>21</v>
      </c>
      <c r="P564"/>
    </row>
    <row r="565" spans="1:16" x14ac:dyDescent="0.35">
      <c r="A565" s="1" t="s">
        <v>52</v>
      </c>
      <c r="B565" s="1" t="s">
        <v>27</v>
      </c>
      <c r="C565" s="2">
        <v>45574</v>
      </c>
      <c r="D565" s="1" t="s">
        <v>28</v>
      </c>
      <c r="E565" s="1" t="s">
        <v>29</v>
      </c>
      <c r="F565" s="1" t="s">
        <v>25</v>
      </c>
      <c r="G565" s="1" t="s">
        <v>19</v>
      </c>
      <c r="H565" s="1">
        <v>3</v>
      </c>
      <c r="I565" s="1">
        <v>521</v>
      </c>
      <c r="J565" s="1">
        <v>699</v>
      </c>
      <c r="K565" s="1">
        <v>5</v>
      </c>
      <c r="L565" s="1">
        <f>ROUNDDOWN(formatted_data[[#This Row],[Selling_Price]]*formatted_data[[#This Row],[Discount_%]]/100,0)</f>
        <v>34</v>
      </c>
      <c r="M565" s="1">
        <f>(formatted_data[[#This Row],[Selling_Price]]-formatted_data[[#This Row],[Discount_Amount]])*formatted_data[[#This Row],[Units]]</f>
        <v>1995</v>
      </c>
      <c r="N565" s="1">
        <f>formatted_data[[#This Row],[Total_Revenue]]-(formatted_data[[#This Row],[Cost_Price]]*formatted_data[[#This Row],[Units]])</f>
        <v>432</v>
      </c>
      <c r="O565" s="1" t="s">
        <v>21</v>
      </c>
      <c r="P565"/>
    </row>
    <row r="566" spans="1:16" x14ac:dyDescent="0.35">
      <c r="A566" s="1" t="s">
        <v>108</v>
      </c>
      <c r="B566" s="1" t="s">
        <v>27</v>
      </c>
      <c r="C566" s="2">
        <v>45593</v>
      </c>
      <c r="D566" s="1" t="s">
        <v>28</v>
      </c>
      <c r="E566" s="1" t="s">
        <v>45</v>
      </c>
      <c r="F566" s="1" t="s">
        <v>19</v>
      </c>
      <c r="G566" s="1" t="s">
        <v>19</v>
      </c>
      <c r="H566" s="1">
        <v>1</v>
      </c>
      <c r="I566" s="1">
        <v>1616</v>
      </c>
      <c r="J566" s="1">
        <v>2199</v>
      </c>
      <c r="K566" s="1">
        <v>15</v>
      </c>
      <c r="L566" s="1">
        <f>ROUNDDOWN(formatted_data[[#This Row],[Selling_Price]]*formatted_data[[#This Row],[Discount_%]]/100,0)</f>
        <v>329</v>
      </c>
      <c r="M566" s="1">
        <f>(formatted_data[[#This Row],[Selling_Price]]-formatted_data[[#This Row],[Discount_Amount]])*formatted_data[[#This Row],[Units]]</f>
        <v>1870</v>
      </c>
      <c r="N566" s="1">
        <f>formatted_data[[#This Row],[Total_Revenue]]-(formatted_data[[#This Row],[Cost_Price]]*formatted_data[[#This Row],[Units]])</f>
        <v>254</v>
      </c>
      <c r="O566" s="1" t="s">
        <v>33</v>
      </c>
      <c r="P566"/>
    </row>
    <row r="567" spans="1:16" x14ac:dyDescent="0.35">
      <c r="A567" s="1" t="s">
        <v>46</v>
      </c>
      <c r="B567" s="1" t="s">
        <v>16</v>
      </c>
      <c r="C567" s="2">
        <v>45600</v>
      </c>
      <c r="D567" s="1" t="s">
        <v>23</v>
      </c>
      <c r="E567" s="1" t="s">
        <v>43</v>
      </c>
      <c r="F567" s="1" t="s">
        <v>19</v>
      </c>
      <c r="G567" s="1" t="s">
        <v>20</v>
      </c>
      <c r="H567" s="1">
        <v>1</v>
      </c>
      <c r="I567" s="1">
        <v>1614</v>
      </c>
      <c r="J567" s="1">
        <v>2599</v>
      </c>
      <c r="K567" s="1">
        <v>15</v>
      </c>
      <c r="L567" s="1">
        <f>ROUNDDOWN(formatted_data[[#This Row],[Selling_Price]]*formatted_data[[#This Row],[Discount_%]]/100,0)</f>
        <v>389</v>
      </c>
      <c r="M567" s="1">
        <f>(formatted_data[[#This Row],[Selling_Price]]-formatted_data[[#This Row],[Discount_Amount]])*formatted_data[[#This Row],[Units]]</f>
        <v>2210</v>
      </c>
      <c r="N567" s="1">
        <f>formatted_data[[#This Row],[Total_Revenue]]-(formatted_data[[#This Row],[Cost_Price]]*formatted_data[[#This Row],[Units]])</f>
        <v>596</v>
      </c>
      <c r="O567" s="1" t="s">
        <v>21</v>
      </c>
      <c r="P567"/>
    </row>
    <row r="568" spans="1:16" x14ac:dyDescent="0.35">
      <c r="A568" s="1" t="s">
        <v>60</v>
      </c>
      <c r="B568" s="1" t="s">
        <v>27</v>
      </c>
      <c r="C568" s="2">
        <v>45552</v>
      </c>
      <c r="D568" s="1" t="s">
        <v>28</v>
      </c>
      <c r="E568" s="1" t="s">
        <v>45</v>
      </c>
      <c r="F568" s="1" t="s">
        <v>19</v>
      </c>
      <c r="G568" s="1" t="s">
        <v>20</v>
      </c>
      <c r="H568" s="1">
        <v>3</v>
      </c>
      <c r="I568" s="1">
        <v>602</v>
      </c>
      <c r="J568" s="1">
        <v>1099</v>
      </c>
      <c r="K568" s="1">
        <v>5</v>
      </c>
      <c r="L568" s="1">
        <f>ROUNDDOWN(formatted_data[[#This Row],[Selling_Price]]*formatted_data[[#This Row],[Discount_%]]/100,0)</f>
        <v>54</v>
      </c>
      <c r="M568" s="1">
        <f>(formatted_data[[#This Row],[Selling_Price]]-formatted_data[[#This Row],[Discount_Amount]])*formatted_data[[#This Row],[Units]]</f>
        <v>3135</v>
      </c>
      <c r="N568" s="1">
        <f>formatted_data[[#This Row],[Total_Revenue]]-(formatted_data[[#This Row],[Cost_Price]]*formatted_data[[#This Row],[Units]])</f>
        <v>1329</v>
      </c>
      <c r="O568" s="1" t="s">
        <v>21</v>
      </c>
      <c r="P568"/>
    </row>
    <row r="569" spans="1:16" x14ac:dyDescent="0.35">
      <c r="A569" s="1" t="s">
        <v>101</v>
      </c>
      <c r="B569" s="1" t="s">
        <v>16</v>
      </c>
      <c r="C569" s="2">
        <v>45511</v>
      </c>
      <c r="D569" s="1" t="s">
        <v>17</v>
      </c>
      <c r="E569" s="1" t="s">
        <v>72</v>
      </c>
      <c r="F569" s="1" t="s">
        <v>37</v>
      </c>
      <c r="G569" s="1" t="s">
        <v>19</v>
      </c>
      <c r="H569" s="1">
        <v>3</v>
      </c>
      <c r="I569" s="1">
        <v>252</v>
      </c>
      <c r="J569" s="1">
        <v>399</v>
      </c>
      <c r="K569" s="1">
        <v>0</v>
      </c>
      <c r="L569" s="1">
        <f>ROUNDDOWN(formatted_data[[#This Row],[Selling_Price]]*formatted_data[[#This Row],[Discount_%]]/100,0)</f>
        <v>0</v>
      </c>
      <c r="M569" s="1">
        <f>(formatted_data[[#This Row],[Selling_Price]]-formatted_data[[#This Row],[Discount_Amount]])*formatted_data[[#This Row],[Units]]</f>
        <v>1197</v>
      </c>
      <c r="N569" s="1">
        <f>formatted_data[[#This Row],[Total_Revenue]]-(formatted_data[[#This Row],[Cost_Price]]*formatted_data[[#This Row],[Units]])</f>
        <v>441</v>
      </c>
      <c r="O569" s="1" t="s">
        <v>21</v>
      </c>
      <c r="P569"/>
    </row>
    <row r="570" spans="1:16" x14ac:dyDescent="0.35">
      <c r="A570" s="1" t="s">
        <v>94</v>
      </c>
      <c r="B570" s="1" t="s">
        <v>16</v>
      </c>
      <c r="C570" s="2">
        <v>45534</v>
      </c>
      <c r="D570" s="1" t="s">
        <v>31</v>
      </c>
      <c r="E570" s="1" t="s">
        <v>32</v>
      </c>
      <c r="F570" s="1" t="s">
        <v>19</v>
      </c>
      <c r="G570" s="1" t="s">
        <v>20</v>
      </c>
      <c r="H570" s="1">
        <v>5</v>
      </c>
      <c r="I570" s="1">
        <v>584</v>
      </c>
      <c r="J570" s="1">
        <v>999</v>
      </c>
      <c r="K570" s="1">
        <v>0</v>
      </c>
      <c r="L570" s="1">
        <f>ROUNDDOWN(formatted_data[[#This Row],[Selling_Price]]*formatted_data[[#This Row],[Discount_%]]/100,0)</f>
        <v>0</v>
      </c>
      <c r="M570" s="1">
        <f>(formatted_data[[#This Row],[Selling_Price]]-formatted_data[[#This Row],[Discount_Amount]])*formatted_data[[#This Row],[Units]]</f>
        <v>4995</v>
      </c>
      <c r="N570" s="1">
        <f>formatted_data[[#This Row],[Total_Revenue]]-(formatted_data[[#This Row],[Cost_Price]]*formatted_data[[#This Row],[Units]])</f>
        <v>2075</v>
      </c>
      <c r="O570" s="1" t="s">
        <v>33</v>
      </c>
      <c r="P570"/>
    </row>
    <row r="571" spans="1:16" x14ac:dyDescent="0.35">
      <c r="A571" s="1" t="s">
        <v>92</v>
      </c>
      <c r="B571" s="1" t="s">
        <v>27</v>
      </c>
      <c r="C571" s="2">
        <v>45605</v>
      </c>
      <c r="D571" s="1" t="s">
        <v>17</v>
      </c>
      <c r="E571" s="1" t="s">
        <v>48</v>
      </c>
      <c r="F571" s="1" t="s">
        <v>25</v>
      </c>
      <c r="G571" s="1" t="s">
        <v>20</v>
      </c>
      <c r="H571" s="1">
        <v>3</v>
      </c>
      <c r="I571" s="1">
        <v>258</v>
      </c>
      <c r="J571" s="1">
        <v>499</v>
      </c>
      <c r="K571" s="1">
        <v>0</v>
      </c>
      <c r="L571" s="1">
        <f>ROUNDDOWN(formatted_data[[#This Row],[Selling_Price]]*formatted_data[[#This Row],[Discount_%]]/100,0)</f>
        <v>0</v>
      </c>
      <c r="M571" s="1">
        <f>(formatted_data[[#This Row],[Selling_Price]]-formatted_data[[#This Row],[Discount_Amount]])*formatted_data[[#This Row],[Units]]</f>
        <v>1497</v>
      </c>
      <c r="N571" s="1">
        <f>formatted_data[[#This Row],[Total_Revenue]]-(formatted_data[[#This Row],[Cost_Price]]*formatted_data[[#This Row],[Units]])</f>
        <v>723</v>
      </c>
      <c r="O571" s="1" t="s">
        <v>21</v>
      </c>
      <c r="P571"/>
    </row>
    <row r="572" spans="1:16" x14ac:dyDescent="0.35">
      <c r="A572" s="1" t="s">
        <v>15</v>
      </c>
      <c r="B572" s="1" t="s">
        <v>16</v>
      </c>
      <c r="C572" s="2">
        <v>45549</v>
      </c>
      <c r="D572" s="1" t="s">
        <v>31</v>
      </c>
      <c r="E572" s="1" t="s">
        <v>32</v>
      </c>
      <c r="F572" s="1" t="s">
        <v>25</v>
      </c>
      <c r="G572" s="1" t="s">
        <v>20</v>
      </c>
      <c r="H572" s="1">
        <v>4</v>
      </c>
      <c r="I572" s="1">
        <v>828</v>
      </c>
      <c r="J572" s="1">
        <v>1199</v>
      </c>
      <c r="K572" s="1">
        <v>0</v>
      </c>
      <c r="L572" s="1">
        <f>ROUNDDOWN(formatted_data[[#This Row],[Selling_Price]]*formatted_data[[#This Row],[Discount_%]]/100,0)</f>
        <v>0</v>
      </c>
      <c r="M572" s="1">
        <f>(formatted_data[[#This Row],[Selling_Price]]-formatted_data[[#This Row],[Discount_Amount]])*formatted_data[[#This Row],[Units]]</f>
        <v>4796</v>
      </c>
      <c r="N572" s="1">
        <f>formatted_data[[#This Row],[Total_Revenue]]-(formatted_data[[#This Row],[Cost_Price]]*formatted_data[[#This Row],[Units]])</f>
        <v>1484</v>
      </c>
      <c r="O572" s="1" t="s">
        <v>21</v>
      </c>
      <c r="P572"/>
    </row>
    <row r="573" spans="1:16" x14ac:dyDescent="0.35">
      <c r="A573" s="1" t="s">
        <v>70</v>
      </c>
      <c r="B573" s="1" t="s">
        <v>27</v>
      </c>
      <c r="C573" s="2">
        <v>45641</v>
      </c>
      <c r="D573" s="1" t="s">
        <v>28</v>
      </c>
      <c r="E573" s="1" t="s">
        <v>45</v>
      </c>
      <c r="F573" s="1" t="s">
        <v>25</v>
      </c>
      <c r="G573" s="1" t="s">
        <v>19</v>
      </c>
      <c r="H573" s="1">
        <v>1</v>
      </c>
      <c r="I573" s="1">
        <v>1087</v>
      </c>
      <c r="J573" s="1">
        <v>1599</v>
      </c>
      <c r="K573" s="1">
        <v>5</v>
      </c>
      <c r="L573" s="1">
        <f>ROUNDDOWN(formatted_data[[#This Row],[Selling_Price]]*formatted_data[[#This Row],[Discount_%]]/100,0)</f>
        <v>79</v>
      </c>
      <c r="M573" s="1">
        <f>(formatted_data[[#This Row],[Selling_Price]]-formatted_data[[#This Row],[Discount_Amount]])*formatted_data[[#This Row],[Units]]</f>
        <v>1520</v>
      </c>
      <c r="N573" s="1">
        <f>formatted_data[[#This Row],[Total_Revenue]]-(formatted_data[[#This Row],[Cost_Price]]*formatted_data[[#This Row],[Units]])</f>
        <v>433</v>
      </c>
      <c r="O573" s="1" t="s">
        <v>21</v>
      </c>
      <c r="P573"/>
    </row>
    <row r="574" spans="1:16" x14ac:dyDescent="0.35">
      <c r="A574" s="1" t="s">
        <v>89</v>
      </c>
      <c r="B574" s="1" t="s">
        <v>16</v>
      </c>
      <c r="C574" s="2">
        <v>45496</v>
      </c>
      <c r="D574" s="1" t="s">
        <v>31</v>
      </c>
      <c r="E574" s="1" t="s">
        <v>76</v>
      </c>
      <c r="F574" s="1" t="s">
        <v>37</v>
      </c>
      <c r="G574" s="1" t="s">
        <v>20</v>
      </c>
      <c r="H574" s="1">
        <v>2</v>
      </c>
      <c r="I574" s="1">
        <v>555</v>
      </c>
      <c r="J574" s="1">
        <v>799</v>
      </c>
      <c r="K574" s="1">
        <v>0</v>
      </c>
      <c r="L574" s="1">
        <f>ROUNDDOWN(formatted_data[[#This Row],[Selling_Price]]*formatted_data[[#This Row],[Discount_%]]/100,0)</f>
        <v>0</v>
      </c>
      <c r="M574" s="1">
        <f>(formatted_data[[#This Row],[Selling_Price]]-formatted_data[[#This Row],[Discount_Amount]])*formatted_data[[#This Row],[Units]]</f>
        <v>1598</v>
      </c>
      <c r="N574" s="1">
        <f>formatted_data[[#This Row],[Total_Revenue]]-(formatted_data[[#This Row],[Cost_Price]]*formatted_data[[#This Row],[Units]])</f>
        <v>488</v>
      </c>
      <c r="O574" s="1" t="s">
        <v>33</v>
      </c>
      <c r="P574"/>
    </row>
    <row r="575" spans="1:16" x14ac:dyDescent="0.35">
      <c r="A575" s="1" t="s">
        <v>103</v>
      </c>
      <c r="B575" s="1" t="s">
        <v>16</v>
      </c>
      <c r="C575" s="2">
        <v>45466</v>
      </c>
      <c r="D575" s="1" t="s">
        <v>35</v>
      </c>
      <c r="E575" s="1" t="s">
        <v>39</v>
      </c>
      <c r="F575" s="1" t="s">
        <v>19</v>
      </c>
      <c r="G575" s="1" t="s">
        <v>19</v>
      </c>
      <c r="H575" s="1">
        <v>1</v>
      </c>
      <c r="I575" s="1">
        <v>425</v>
      </c>
      <c r="J575" s="1">
        <v>799</v>
      </c>
      <c r="K575" s="1">
        <v>5</v>
      </c>
      <c r="L575" s="1">
        <f>ROUNDDOWN(formatted_data[[#This Row],[Selling_Price]]*formatted_data[[#This Row],[Discount_%]]/100,0)</f>
        <v>39</v>
      </c>
      <c r="M575" s="1">
        <f>(formatted_data[[#This Row],[Selling_Price]]-formatted_data[[#This Row],[Discount_Amount]])*formatted_data[[#This Row],[Units]]</f>
        <v>760</v>
      </c>
      <c r="N575" s="1">
        <f>formatted_data[[#This Row],[Total_Revenue]]-(formatted_data[[#This Row],[Cost_Price]]*formatted_data[[#This Row],[Units]])</f>
        <v>335</v>
      </c>
      <c r="O575" s="1" t="s">
        <v>21</v>
      </c>
      <c r="P575"/>
    </row>
    <row r="576" spans="1:16" x14ac:dyDescent="0.35">
      <c r="A576" s="1" t="s">
        <v>90</v>
      </c>
      <c r="B576" s="1" t="s">
        <v>27</v>
      </c>
      <c r="C576" s="2">
        <v>45480</v>
      </c>
      <c r="D576" s="1" t="s">
        <v>31</v>
      </c>
      <c r="E576" s="1" t="s">
        <v>76</v>
      </c>
      <c r="F576" s="1" t="s">
        <v>37</v>
      </c>
      <c r="G576" s="1" t="s">
        <v>19</v>
      </c>
      <c r="H576" s="1">
        <v>1</v>
      </c>
      <c r="I576" s="1">
        <v>513</v>
      </c>
      <c r="J576" s="1">
        <v>799</v>
      </c>
      <c r="K576" s="1">
        <v>0</v>
      </c>
      <c r="L576" s="1">
        <f>ROUNDDOWN(formatted_data[[#This Row],[Selling_Price]]*formatted_data[[#This Row],[Discount_%]]/100,0)</f>
        <v>0</v>
      </c>
      <c r="M576" s="1">
        <f>(formatted_data[[#This Row],[Selling_Price]]-formatted_data[[#This Row],[Discount_Amount]])*formatted_data[[#This Row],[Units]]</f>
        <v>799</v>
      </c>
      <c r="N576" s="1">
        <f>formatted_data[[#This Row],[Total_Revenue]]-(formatted_data[[#This Row],[Cost_Price]]*formatted_data[[#This Row],[Units]])</f>
        <v>286</v>
      </c>
      <c r="O576" s="1" t="s">
        <v>21</v>
      </c>
      <c r="P576"/>
    </row>
    <row r="577" spans="1:16" x14ac:dyDescent="0.35">
      <c r="A577" s="1" t="s">
        <v>105</v>
      </c>
      <c r="B577" s="1" t="s">
        <v>16</v>
      </c>
      <c r="C577" s="2">
        <v>45452</v>
      </c>
      <c r="D577" s="1" t="s">
        <v>17</v>
      </c>
      <c r="E577" s="1" t="s">
        <v>48</v>
      </c>
      <c r="F577" s="1" t="s">
        <v>19</v>
      </c>
      <c r="G577" s="1" t="s">
        <v>19</v>
      </c>
      <c r="H577" s="1">
        <v>4</v>
      </c>
      <c r="I577" s="1">
        <v>189</v>
      </c>
      <c r="J577" s="1">
        <v>299</v>
      </c>
      <c r="K577" s="1">
        <v>0</v>
      </c>
      <c r="L577" s="1">
        <f>ROUNDDOWN(formatted_data[[#This Row],[Selling_Price]]*formatted_data[[#This Row],[Discount_%]]/100,0)</f>
        <v>0</v>
      </c>
      <c r="M577" s="1">
        <f>(formatted_data[[#This Row],[Selling_Price]]-formatted_data[[#This Row],[Discount_Amount]])*formatted_data[[#This Row],[Units]]</f>
        <v>1196</v>
      </c>
      <c r="N577" s="1">
        <f>formatted_data[[#This Row],[Total_Revenue]]-(formatted_data[[#This Row],[Cost_Price]]*formatted_data[[#This Row],[Units]])</f>
        <v>440</v>
      </c>
      <c r="O577" s="1" t="s">
        <v>21</v>
      </c>
      <c r="P577"/>
    </row>
    <row r="578" spans="1:16" x14ac:dyDescent="0.35">
      <c r="A578" s="1" t="s">
        <v>42</v>
      </c>
      <c r="B578" s="1" t="s">
        <v>27</v>
      </c>
      <c r="C578" s="2">
        <v>45651</v>
      </c>
      <c r="D578" s="1" t="s">
        <v>28</v>
      </c>
      <c r="E578" s="1" t="s">
        <v>45</v>
      </c>
      <c r="F578" s="1" t="s">
        <v>25</v>
      </c>
      <c r="G578" s="1" t="s">
        <v>20</v>
      </c>
      <c r="H578" s="1">
        <v>2</v>
      </c>
      <c r="I578" s="1">
        <v>700</v>
      </c>
      <c r="J578" s="1">
        <v>1199</v>
      </c>
      <c r="K578" s="1">
        <v>15</v>
      </c>
      <c r="L578" s="1">
        <f>ROUNDDOWN(formatted_data[[#This Row],[Selling_Price]]*formatted_data[[#This Row],[Discount_%]]/100,0)</f>
        <v>179</v>
      </c>
      <c r="M578" s="1">
        <f>(formatted_data[[#This Row],[Selling_Price]]-formatted_data[[#This Row],[Discount_Amount]])*formatted_data[[#This Row],[Units]]</f>
        <v>2040</v>
      </c>
      <c r="N578" s="1">
        <f>formatted_data[[#This Row],[Total_Revenue]]-(formatted_data[[#This Row],[Cost_Price]]*formatted_data[[#This Row],[Units]])</f>
        <v>640</v>
      </c>
      <c r="O578" s="1" t="s">
        <v>21</v>
      </c>
      <c r="P578"/>
    </row>
    <row r="579" spans="1:16" x14ac:dyDescent="0.35">
      <c r="A579" s="1" t="s">
        <v>101</v>
      </c>
      <c r="B579" s="1" t="s">
        <v>16</v>
      </c>
      <c r="C579" s="2">
        <v>45627</v>
      </c>
      <c r="D579" s="1" t="s">
        <v>35</v>
      </c>
      <c r="E579" s="1" t="s">
        <v>58</v>
      </c>
      <c r="F579" s="1" t="s">
        <v>25</v>
      </c>
      <c r="G579" s="1" t="s">
        <v>19</v>
      </c>
      <c r="H579" s="1">
        <v>1</v>
      </c>
      <c r="I579" s="1">
        <v>556</v>
      </c>
      <c r="J579" s="1">
        <v>1099</v>
      </c>
      <c r="K579" s="1">
        <v>5</v>
      </c>
      <c r="L579" s="1">
        <f>ROUNDDOWN(formatted_data[[#This Row],[Selling_Price]]*formatted_data[[#This Row],[Discount_%]]/100,0)</f>
        <v>54</v>
      </c>
      <c r="M579" s="1">
        <f>(formatted_data[[#This Row],[Selling_Price]]-formatted_data[[#This Row],[Discount_Amount]])*formatted_data[[#This Row],[Units]]</f>
        <v>1045</v>
      </c>
      <c r="N579" s="1">
        <f>formatted_data[[#This Row],[Total_Revenue]]-(formatted_data[[#This Row],[Cost_Price]]*formatted_data[[#This Row],[Units]])</f>
        <v>489</v>
      </c>
      <c r="O579" s="1" t="s">
        <v>33</v>
      </c>
      <c r="P579"/>
    </row>
    <row r="580" spans="1:16" x14ac:dyDescent="0.35">
      <c r="A580" s="1" t="s">
        <v>103</v>
      </c>
      <c r="B580" s="1" t="s">
        <v>16</v>
      </c>
      <c r="C580" s="2">
        <v>45512</v>
      </c>
      <c r="D580" s="1" t="s">
        <v>23</v>
      </c>
      <c r="E580" s="1" t="s">
        <v>43</v>
      </c>
      <c r="F580" s="1" t="s">
        <v>25</v>
      </c>
      <c r="G580" s="1" t="s">
        <v>20</v>
      </c>
      <c r="H580" s="1">
        <v>2</v>
      </c>
      <c r="I580" s="1">
        <v>1958</v>
      </c>
      <c r="J580" s="1">
        <v>2799</v>
      </c>
      <c r="K580" s="1">
        <v>20</v>
      </c>
      <c r="L580" s="1">
        <f>ROUNDDOWN(formatted_data[[#This Row],[Selling_Price]]*formatted_data[[#This Row],[Discount_%]]/100,0)</f>
        <v>559</v>
      </c>
      <c r="M580" s="1">
        <f>(formatted_data[[#This Row],[Selling_Price]]-formatted_data[[#This Row],[Discount_Amount]])*formatted_data[[#This Row],[Units]]</f>
        <v>4480</v>
      </c>
      <c r="N580" s="1">
        <f>formatted_data[[#This Row],[Total_Revenue]]-(formatted_data[[#This Row],[Cost_Price]]*formatted_data[[#This Row],[Units]])</f>
        <v>564</v>
      </c>
      <c r="O580" s="1" t="s">
        <v>21</v>
      </c>
      <c r="P580"/>
    </row>
    <row r="581" spans="1:16" x14ac:dyDescent="0.35">
      <c r="A581" s="1" t="s">
        <v>89</v>
      </c>
      <c r="B581" s="1" t="s">
        <v>16</v>
      </c>
      <c r="C581" s="2">
        <v>45458</v>
      </c>
      <c r="D581" s="1" t="s">
        <v>28</v>
      </c>
      <c r="E581" s="1" t="s">
        <v>45</v>
      </c>
      <c r="F581" s="1" t="s">
        <v>19</v>
      </c>
      <c r="G581" s="1" t="s">
        <v>19</v>
      </c>
      <c r="H581" s="1">
        <v>2</v>
      </c>
      <c r="I581" s="1">
        <v>520</v>
      </c>
      <c r="J581" s="1">
        <v>999</v>
      </c>
      <c r="K581" s="1">
        <v>20</v>
      </c>
      <c r="L581" s="1">
        <f>ROUNDDOWN(formatted_data[[#This Row],[Selling_Price]]*formatted_data[[#This Row],[Discount_%]]/100,0)</f>
        <v>199</v>
      </c>
      <c r="M581" s="1">
        <f>(formatted_data[[#This Row],[Selling_Price]]-formatted_data[[#This Row],[Discount_Amount]])*formatted_data[[#This Row],[Units]]</f>
        <v>1600</v>
      </c>
      <c r="N581" s="1">
        <f>formatted_data[[#This Row],[Total_Revenue]]-(formatted_data[[#This Row],[Cost_Price]]*formatted_data[[#This Row],[Units]])</f>
        <v>560</v>
      </c>
      <c r="O581" s="1" t="s">
        <v>21</v>
      </c>
      <c r="P581"/>
    </row>
    <row r="582" spans="1:16" x14ac:dyDescent="0.35">
      <c r="A582" s="1" t="s">
        <v>90</v>
      </c>
      <c r="B582" s="1" t="s">
        <v>27</v>
      </c>
      <c r="C582" s="2">
        <v>45458</v>
      </c>
      <c r="D582" s="1" t="s">
        <v>35</v>
      </c>
      <c r="E582" s="1" t="s">
        <v>87</v>
      </c>
      <c r="F582" s="1" t="s">
        <v>37</v>
      </c>
      <c r="G582" s="1" t="s">
        <v>20</v>
      </c>
      <c r="H582" s="1">
        <v>1</v>
      </c>
      <c r="I582" s="1">
        <v>2668</v>
      </c>
      <c r="J582" s="1">
        <v>3799</v>
      </c>
      <c r="K582" s="1">
        <v>20</v>
      </c>
      <c r="L582" s="1">
        <f>ROUNDDOWN(formatted_data[[#This Row],[Selling_Price]]*formatted_data[[#This Row],[Discount_%]]/100,0)</f>
        <v>759</v>
      </c>
      <c r="M582" s="1">
        <f>(formatted_data[[#This Row],[Selling_Price]]-formatted_data[[#This Row],[Discount_Amount]])*formatted_data[[#This Row],[Units]]</f>
        <v>3040</v>
      </c>
      <c r="N582" s="1">
        <f>formatted_data[[#This Row],[Total_Revenue]]-(formatted_data[[#This Row],[Cost_Price]]*formatted_data[[#This Row],[Units]])</f>
        <v>372</v>
      </c>
      <c r="O582" s="1" t="s">
        <v>21</v>
      </c>
      <c r="P582"/>
    </row>
    <row r="583" spans="1:16" x14ac:dyDescent="0.35">
      <c r="A583" s="1" t="s">
        <v>44</v>
      </c>
      <c r="B583" s="1" t="s">
        <v>16</v>
      </c>
      <c r="C583" s="2">
        <v>45458</v>
      </c>
      <c r="D583" s="1" t="s">
        <v>28</v>
      </c>
      <c r="E583" s="1" t="s">
        <v>45</v>
      </c>
      <c r="F583" s="1" t="s">
        <v>37</v>
      </c>
      <c r="G583" s="1" t="s">
        <v>19</v>
      </c>
      <c r="H583" s="1">
        <v>1</v>
      </c>
      <c r="I583" s="1">
        <v>827</v>
      </c>
      <c r="J583" s="1">
        <v>1199</v>
      </c>
      <c r="K583" s="1">
        <v>15</v>
      </c>
      <c r="L583" s="1">
        <f>ROUNDDOWN(formatted_data[[#This Row],[Selling_Price]]*formatted_data[[#This Row],[Discount_%]]/100,0)</f>
        <v>179</v>
      </c>
      <c r="M583" s="1">
        <f>(formatted_data[[#This Row],[Selling_Price]]-formatted_data[[#This Row],[Discount_Amount]])*formatted_data[[#This Row],[Units]]</f>
        <v>1020</v>
      </c>
      <c r="N583" s="1">
        <f>formatted_data[[#This Row],[Total_Revenue]]-(formatted_data[[#This Row],[Cost_Price]]*formatted_data[[#This Row],[Units]])</f>
        <v>193</v>
      </c>
      <c r="O583" s="1" t="s">
        <v>33</v>
      </c>
      <c r="P583"/>
    </row>
    <row r="584" spans="1:16" x14ac:dyDescent="0.35">
      <c r="A584" s="1" t="s">
        <v>38</v>
      </c>
      <c r="B584" s="1" t="s">
        <v>27</v>
      </c>
      <c r="C584" s="2">
        <v>45490</v>
      </c>
      <c r="D584" s="1" t="s">
        <v>35</v>
      </c>
      <c r="E584" s="1" t="s">
        <v>41</v>
      </c>
      <c r="F584" s="1" t="s">
        <v>25</v>
      </c>
      <c r="G584" s="1" t="s">
        <v>20</v>
      </c>
      <c r="H584" s="1">
        <v>1</v>
      </c>
      <c r="I584" s="1">
        <v>915</v>
      </c>
      <c r="J584" s="1">
        <v>1299</v>
      </c>
      <c r="K584" s="1">
        <v>20</v>
      </c>
      <c r="L584" s="1">
        <f>ROUNDDOWN(formatted_data[[#This Row],[Selling_Price]]*formatted_data[[#This Row],[Discount_%]]/100,0)</f>
        <v>259</v>
      </c>
      <c r="M584" s="1">
        <f>(formatted_data[[#This Row],[Selling_Price]]-formatted_data[[#This Row],[Discount_Amount]])*formatted_data[[#This Row],[Units]]</f>
        <v>1040</v>
      </c>
      <c r="N584" s="1">
        <f>formatted_data[[#This Row],[Total_Revenue]]-(formatted_data[[#This Row],[Cost_Price]]*formatted_data[[#This Row],[Units]])</f>
        <v>125</v>
      </c>
      <c r="O584" s="1" t="s">
        <v>33</v>
      </c>
      <c r="P584"/>
    </row>
    <row r="585" spans="1:16" x14ac:dyDescent="0.35">
      <c r="A585" s="1" t="s">
        <v>49</v>
      </c>
      <c r="B585" s="1" t="s">
        <v>27</v>
      </c>
      <c r="C585" s="2">
        <v>45567</v>
      </c>
      <c r="D585" s="1" t="s">
        <v>35</v>
      </c>
      <c r="E585" s="1" t="s">
        <v>87</v>
      </c>
      <c r="F585" s="1" t="s">
        <v>25</v>
      </c>
      <c r="G585" s="1" t="s">
        <v>19</v>
      </c>
      <c r="H585" s="1">
        <v>4</v>
      </c>
      <c r="I585" s="1">
        <v>1509</v>
      </c>
      <c r="J585" s="1">
        <v>2499</v>
      </c>
      <c r="K585" s="1">
        <v>20</v>
      </c>
      <c r="L585" s="1">
        <f>ROUNDDOWN(formatted_data[[#This Row],[Selling_Price]]*formatted_data[[#This Row],[Discount_%]]/100,0)</f>
        <v>499</v>
      </c>
      <c r="M585" s="1">
        <f>(formatted_data[[#This Row],[Selling_Price]]-formatted_data[[#This Row],[Discount_Amount]])*formatted_data[[#This Row],[Units]]</f>
        <v>8000</v>
      </c>
      <c r="N585" s="1">
        <f>formatted_data[[#This Row],[Total_Revenue]]-(formatted_data[[#This Row],[Cost_Price]]*formatted_data[[#This Row],[Units]])</f>
        <v>1964</v>
      </c>
      <c r="O585" s="1" t="s">
        <v>21</v>
      </c>
      <c r="P585"/>
    </row>
    <row r="586" spans="1:16" x14ac:dyDescent="0.35">
      <c r="A586" s="1" t="s">
        <v>94</v>
      </c>
      <c r="B586" s="1" t="s">
        <v>16</v>
      </c>
      <c r="C586" s="2">
        <v>45608</v>
      </c>
      <c r="D586" s="1" t="s">
        <v>35</v>
      </c>
      <c r="E586" s="1" t="s">
        <v>41</v>
      </c>
      <c r="F586" s="1" t="s">
        <v>37</v>
      </c>
      <c r="G586" s="1" t="s">
        <v>19</v>
      </c>
      <c r="H586" s="1">
        <v>2</v>
      </c>
      <c r="I586" s="1">
        <v>824</v>
      </c>
      <c r="J586" s="1">
        <v>1299</v>
      </c>
      <c r="K586" s="1">
        <v>20</v>
      </c>
      <c r="L586" s="1">
        <f>ROUNDDOWN(formatted_data[[#This Row],[Selling_Price]]*formatted_data[[#This Row],[Discount_%]]/100,0)</f>
        <v>259</v>
      </c>
      <c r="M586" s="1">
        <f>(formatted_data[[#This Row],[Selling_Price]]-formatted_data[[#This Row],[Discount_Amount]])*formatted_data[[#This Row],[Units]]</f>
        <v>2080</v>
      </c>
      <c r="N586" s="1">
        <f>formatted_data[[#This Row],[Total_Revenue]]-(formatted_data[[#This Row],[Cost_Price]]*formatted_data[[#This Row],[Units]])</f>
        <v>432</v>
      </c>
      <c r="O586" s="1" t="s">
        <v>33</v>
      </c>
      <c r="P586"/>
    </row>
    <row r="587" spans="1:16" x14ac:dyDescent="0.35">
      <c r="A587" s="1" t="s">
        <v>60</v>
      </c>
      <c r="B587" s="1" t="s">
        <v>27</v>
      </c>
      <c r="C587" s="2">
        <v>45569</v>
      </c>
      <c r="D587" s="1" t="s">
        <v>28</v>
      </c>
      <c r="E587" s="1" t="s">
        <v>45</v>
      </c>
      <c r="F587" s="1" t="s">
        <v>37</v>
      </c>
      <c r="G587" s="1" t="s">
        <v>20</v>
      </c>
      <c r="H587" s="1">
        <v>5</v>
      </c>
      <c r="I587" s="1">
        <v>688</v>
      </c>
      <c r="J587" s="1">
        <v>1199</v>
      </c>
      <c r="K587" s="1">
        <v>10</v>
      </c>
      <c r="L587" s="1">
        <f>ROUNDDOWN(formatted_data[[#This Row],[Selling_Price]]*formatted_data[[#This Row],[Discount_%]]/100,0)</f>
        <v>119</v>
      </c>
      <c r="M587" s="1">
        <f>(formatted_data[[#This Row],[Selling_Price]]-formatted_data[[#This Row],[Discount_Amount]])*formatted_data[[#This Row],[Units]]</f>
        <v>5400</v>
      </c>
      <c r="N587" s="1">
        <f>formatted_data[[#This Row],[Total_Revenue]]-(formatted_data[[#This Row],[Cost_Price]]*formatted_data[[#This Row],[Units]])</f>
        <v>1960</v>
      </c>
      <c r="O587" s="1" t="s">
        <v>21</v>
      </c>
      <c r="P587"/>
    </row>
    <row r="588" spans="1:16" x14ac:dyDescent="0.35">
      <c r="A588" s="1" t="s">
        <v>52</v>
      </c>
      <c r="B588" s="1" t="s">
        <v>27</v>
      </c>
      <c r="C588" s="2">
        <v>45561</v>
      </c>
      <c r="D588" s="1" t="s">
        <v>17</v>
      </c>
      <c r="E588" s="1" t="s">
        <v>72</v>
      </c>
      <c r="F588" s="1" t="s">
        <v>37</v>
      </c>
      <c r="G588" s="1" t="s">
        <v>20</v>
      </c>
      <c r="H588" s="1">
        <v>1</v>
      </c>
      <c r="I588" s="1">
        <v>221</v>
      </c>
      <c r="J588" s="1">
        <v>399</v>
      </c>
      <c r="K588" s="1">
        <v>0</v>
      </c>
      <c r="L588" s="1">
        <f>ROUNDDOWN(formatted_data[[#This Row],[Selling_Price]]*formatted_data[[#This Row],[Discount_%]]/100,0)</f>
        <v>0</v>
      </c>
      <c r="M588" s="1">
        <f>(formatted_data[[#This Row],[Selling_Price]]-formatted_data[[#This Row],[Discount_Amount]])*formatted_data[[#This Row],[Units]]</f>
        <v>399</v>
      </c>
      <c r="N588" s="1">
        <f>formatted_data[[#This Row],[Total_Revenue]]-(formatted_data[[#This Row],[Cost_Price]]*formatted_data[[#This Row],[Units]])</f>
        <v>178</v>
      </c>
      <c r="O588" s="1" t="s">
        <v>21</v>
      </c>
      <c r="P588"/>
    </row>
    <row r="589" spans="1:16" x14ac:dyDescent="0.35">
      <c r="A589" s="1" t="s">
        <v>68</v>
      </c>
      <c r="B589" s="1" t="s">
        <v>16</v>
      </c>
      <c r="C589" s="2">
        <v>45569</v>
      </c>
      <c r="D589" s="1" t="s">
        <v>23</v>
      </c>
      <c r="E589" s="1" t="s">
        <v>24</v>
      </c>
      <c r="F589" s="1" t="s">
        <v>25</v>
      </c>
      <c r="G589" s="1" t="s">
        <v>20</v>
      </c>
      <c r="H589" s="1">
        <v>2</v>
      </c>
      <c r="I589" s="1">
        <v>1820</v>
      </c>
      <c r="J589" s="1">
        <v>2499</v>
      </c>
      <c r="K589" s="1">
        <v>20</v>
      </c>
      <c r="L589" s="1">
        <f>ROUNDDOWN(formatted_data[[#This Row],[Selling_Price]]*formatted_data[[#This Row],[Discount_%]]/100,0)</f>
        <v>499</v>
      </c>
      <c r="M589" s="1">
        <f>(formatted_data[[#This Row],[Selling_Price]]-formatted_data[[#This Row],[Discount_Amount]])*formatted_data[[#This Row],[Units]]</f>
        <v>4000</v>
      </c>
      <c r="N589" s="1">
        <f>formatted_data[[#This Row],[Total_Revenue]]-(formatted_data[[#This Row],[Cost_Price]]*formatted_data[[#This Row],[Units]])</f>
        <v>360</v>
      </c>
      <c r="O589" s="1" t="s">
        <v>21</v>
      </c>
      <c r="P589"/>
    </row>
    <row r="590" spans="1:16" x14ac:dyDescent="0.35">
      <c r="A590" s="1" t="s">
        <v>107</v>
      </c>
      <c r="B590" s="1" t="s">
        <v>27</v>
      </c>
      <c r="C590" s="2">
        <v>45498</v>
      </c>
      <c r="D590" s="1" t="s">
        <v>23</v>
      </c>
      <c r="E590" s="1" t="s">
        <v>43</v>
      </c>
      <c r="F590" s="1" t="s">
        <v>19</v>
      </c>
      <c r="G590" s="1" t="s">
        <v>20</v>
      </c>
      <c r="H590" s="1">
        <v>5</v>
      </c>
      <c r="I590" s="1">
        <v>1382</v>
      </c>
      <c r="J590" s="1">
        <v>2299</v>
      </c>
      <c r="K590" s="1">
        <v>15</v>
      </c>
      <c r="L590" s="1">
        <f>ROUNDDOWN(formatted_data[[#This Row],[Selling_Price]]*formatted_data[[#This Row],[Discount_%]]/100,0)</f>
        <v>344</v>
      </c>
      <c r="M590" s="1">
        <f>(formatted_data[[#This Row],[Selling_Price]]-formatted_data[[#This Row],[Discount_Amount]])*formatted_data[[#This Row],[Units]]</f>
        <v>9775</v>
      </c>
      <c r="N590" s="1">
        <f>formatted_data[[#This Row],[Total_Revenue]]-(formatted_data[[#This Row],[Cost_Price]]*formatted_data[[#This Row],[Units]])</f>
        <v>2865</v>
      </c>
      <c r="O590" s="1" t="s">
        <v>21</v>
      </c>
      <c r="P590"/>
    </row>
    <row r="591" spans="1:16" x14ac:dyDescent="0.35">
      <c r="A591" s="1" t="s">
        <v>106</v>
      </c>
      <c r="B591" s="1" t="s">
        <v>27</v>
      </c>
      <c r="C591" s="2">
        <v>45563</v>
      </c>
      <c r="D591" s="1" t="s">
        <v>28</v>
      </c>
      <c r="E591" s="1" t="s">
        <v>29</v>
      </c>
      <c r="F591" s="1" t="s">
        <v>25</v>
      </c>
      <c r="G591" s="1" t="s">
        <v>19</v>
      </c>
      <c r="H591" s="1">
        <v>1</v>
      </c>
      <c r="I591" s="1">
        <v>251</v>
      </c>
      <c r="J591" s="1">
        <v>499</v>
      </c>
      <c r="K591" s="1">
        <v>5</v>
      </c>
      <c r="L591" s="1">
        <f>ROUNDDOWN(formatted_data[[#This Row],[Selling_Price]]*formatted_data[[#This Row],[Discount_%]]/100,0)</f>
        <v>24</v>
      </c>
      <c r="M591" s="1">
        <f>(formatted_data[[#This Row],[Selling_Price]]-formatted_data[[#This Row],[Discount_Amount]])*formatted_data[[#This Row],[Units]]</f>
        <v>475</v>
      </c>
      <c r="N591" s="1">
        <f>formatted_data[[#This Row],[Total_Revenue]]-(formatted_data[[#This Row],[Cost_Price]]*formatted_data[[#This Row],[Units]])</f>
        <v>224</v>
      </c>
      <c r="O591" s="1" t="s">
        <v>21</v>
      </c>
      <c r="P591"/>
    </row>
    <row r="592" spans="1:16" x14ac:dyDescent="0.35">
      <c r="A592" s="1" t="s">
        <v>73</v>
      </c>
      <c r="B592" s="1" t="s">
        <v>16</v>
      </c>
      <c r="C592" s="2">
        <v>45616</v>
      </c>
      <c r="D592" s="1" t="s">
        <v>35</v>
      </c>
      <c r="E592" s="1" t="s">
        <v>36</v>
      </c>
      <c r="F592" s="1" t="s">
        <v>37</v>
      </c>
      <c r="G592" s="1" t="s">
        <v>20</v>
      </c>
      <c r="H592" s="1">
        <v>1</v>
      </c>
      <c r="I592" s="1">
        <v>269</v>
      </c>
      <c r="J592" s="1">
        <v>499</v>
      </c>
      <c r="K592" s="1">
        <v>15</v>
      </c>
      <c r="L592" s="1">
        <f>ROUNDDOWN(formatted_data[[#This Row],[Selling_Price]]*formatted_data[[#This Row],[Discount_%]]/100,0)</f>
        <v>74</v>
      </c>
      <c r="M592" s="1">
        <f>(formatted_data[[#This Row],[Selling_Price]]-formatted_data[[#This Row],[Discount_Amount]])*formatted_data[[#This Row],[Units]]</f>
        <v>425</v>
      </c>
      <c r="N592" s="1">
        <f>formatted_data[[#This Row],[Total_Revenue]]-(formatted_data[[#This Row],[Cost_Price]]*formatted_data[[#This Row],[Units]])</f>
        <v>156</v>
      </c>
      <c r="O592" s="1" t="s">
        <v>21</v>
      </c>
      <c r="P592"/>
    </row>
    <row r="593" spans="1:16" x14ac:dyDescent="0.35">
      <c r="A593" s="1" t="s">
        <v>70</v>
      </c>
      <c r="B593" s="1" t="s">
        <v>27</v>
      </c>
      <c r="C593" s="2">
        <v>45546</v>
      </c>
      <c r="D593" s="1" t="s">
        <v>35</v>
      </c>
      <c r="E593" s="1" t="s">
        <v>39</v>
      </c>
      <c r="F593" s="1" t="s">
        <v>37</v>
      </c>
      <c r="G593" s="1" t="s">
        <v>20</v>
      </c>
      <c r="H593" s="1">
        <v>2</v>
      </c>
      <c r="I593" s="1">
        <v>988</v>
      </c>
      <c r="J593" s="1">
        <v>1699</v>
      </c>
      <c r="K593" s="1">
        <v>20</v>
      </c>
      <c r="L593" s="1">
        <f>ROUNDDOWN(formatted_data[[#This Row],[Selling_Price]]*formatted_data[[#This Row],[Discount_%]]/100,0)</f>
        <v>339</v>
      </c>
      <c r="M593" s="1">
        <f>(formatted_data[[#This Row],[Selling_Price]]-formatted_data[[#This Row],[Discount_Amount]])*formatted_data[[#This Row],[Units]]</f>
        <v>2720</v>
      </c>
      <c r="N593" s="1">
        <f>formatted_data[[#This Row],[Total_Revenue]]-(formatted_data[[#This Row],[Cost_Price]]*formatted_data[[#This Row],[Units]])</f>
        <v>744</v>
      </c>
      <c r="O593" s="1" t="s">
        <v>21</v>
      </c>
      <c r="P593"/>
    </row>
    <row r="594" spans="1:16" x14ac:dyDescent="0.35">
      <c r="A594" s="1" t="s">
        <v>47</v>
      </c>
      <c r="B594" s="1" t="s">
        <v>16</v>
      </c>
      <c r="C594" s="2">
        <v>45629</v>
      </c>
      <c r="D594" s="1" t="s">
        <v>28</v>
      </c>
      <c r="E594" s="1" t="s">
        <v>45</v>
      </c>
      <c r="F594" s="1" t="s">
        <v>25</v>
      </c>
      <c r="G594" s="1" t="s">
        <v>20</v>
      </c>
      <c r="H594" s="1">
        <v>3</v>
      </c>
      <c r="I594" s="1">
        <v>766</v>
      </c>
      <c r="J594" s="1">
        <v>1499</v>
      </c>
      <c r="K594" s="1">
        <v>20</v>
      </c>
      <c r="L594" s="1">
        <f>ROUNDDOWN(formatted_data[[#This Row],[Selling_Price]]*formatted_data[[#This Row],[Discount_%]]/100,0)</f>
        <v>299</v>
      </c>
      <c r="M594" s="1">
        <f>(formatted_data[[#This Row],[Selling_Price]]-formatted_data[[#This Row],[Discount_Amount]])*formatted_data[[#This Row],[Units]]</f>
        <v>3600</v>
      </c>
      <c r="N594" s="1">
        <f>formatted_data[[#This Row],[Total_Revenue]]-(formatted_data[[#This Row],[Cost_Price]]*formatted_data[[#This Row],[Units]])</f>
        <v>1302</v>
      </c>
      <c r="O594" s="1" t="s">
        <v>21</v>
      </c>
      <c r="P594"/>
    </row>
    <row r="595" spans="1:16" x14ac:dyDescent="0.35">
      <c r="A595" s="1" t="s">
        <v>69</v>
      </c>
      <c r="B595" s="1" t="s">
        <v>16</v>
      </c>
      <c r="C595" s="2">
        <v>45623</v>
      </c>
      <c r="D595" s="1" t="s">
        <v>35</v>
      </c>
      <c r="E595" s="1" t="s">
        <v>58</v>
      </c>
      <c r="F595" s="1" t="s">
        <v>25</v>
      </c>
      <c r="G595" s="1" t="s">
        <v>19</v>
      </c>
      <c r="H595" s="1">
        <v>2</v>
      </c>
      <c r="I595" s="1">
        <v>746</v>
      </c>
      <c r="J595" s="1">
        <v>1199</v>
      </c>
      <c r="K595" s="1">
        <v>10</v>
      </c>
      <c r="L595" s="1">
        <f>ROUNDDOWN(formatted_data[[#This Row],[Selling_Price]]*formatted_data[[#This Row],[Discount_%]]/100,0)</f>
        <v>119</v>
      </c>
      <c r="M595" s="1">
        <f>(formatted_data[[#This Row],[Selling_Price]]-formatted_data[[#This Row],[Discount_Amount]])*formatted_data[[#This Row],[Units]]</f>
        <v>2160</v>
      </c>
      <c r="N595" s="1">
        <f>formatted_data[[#This Row],[Total_Revenue]]-(formatted_data[[#This Row],[Cost_Price]]*formatted_data[[#This Row],[Units]])</f>
        <v>668</v>
      </c>
      <c r="O595" s="1" t="s">
        <v>21</v>
      </c>
      <c r="P595"/>
    </row>
    <row r="596" spans="1:16" x14ac:dyDescent="0.35">
      <c r="A596" s="1" t="s">
        <v>22</v>
      </c>
      <c r="B596" s="1" t="s">
        <v>16</v>
      </c>
      <c r="C596" s="2">
        <v>45533</v>
      </c>
      <c r="D596" s="1" t="s">
        <v>23</v>
      </c>
      <c r="E596" s="1" t="s">
        <v>43</v>
      </c>
      <c r="F596" s="1" t="s">
        <v>25</v>
      </c>
      <c r="G596" s="1" t="s">
        <v>19</v>
      </c>
      <c r="H596" s="1">
        <v>2</v>
      </c>
      <c r="I596" s="1">
        <v>1508</v>
      </c>
      <c r="J596" s="1">
        <v>2299</v>
      </c>
      <c r="K596" s="1">
        <v>15</v>
      </c>
      <c r="L596" s="1">
        <f>ROUNDDOWN(formatted_data[[#This Row],[Selling_Price]]*formatted_data[[#This Row],[Discount_%]]/100,0)</f>
        <v>344</v>
      </c>
      <c r="M596" s="1">
        <f>(formatted_data[[#This Row],[Selling_Price]]-formatted_data[[#This Row],[Discount_Amount]])*formatted_data[[#This Row],[Units]]</f>
        <v>3910</v>
      </c>
      <c r="N596" s="1">
        <f>formatted_data[[#This Row],[Total_Revenue]]-(formatted_data[[#This Row],[Cost_Price]]*formatted_data[[#This Row],[Units]])</f>
        <v>894</v>
      </c>
      <c r="O596" s="1" t="s">
        <v>21</v>
      </c>
      <c r="P596"/>
    </row>
    <row r="597" spans="1:16" x14ac:dyDescent="0.35">
      <c r="A597" s="1" t="s">
        <v>90</v>
      </c>
      <c r="B597" s="1" t="s">
        <v>27</v>
      </c>
      <c r="C597" s="2">
        <v>45522</v>
      </c>
      <c r="D597" s="1" t="s">
        <v>31</v>
      </c>
      <c r="E597" s="1" t="s">
        <v>76</v>
      </c>
      <c r="F597" s="1" t="s">
        <v>37</v>
      </c>
      <c r="G597" s="1" t="s">
        <v>20</v>
      </c>
      <c r="H597" s="1">
        <v>1</v>
      </c>
      <c r="I597" s="1">
        <v>1053</v>
      </c>
      <c r="J597" s="1">
        <v>1499</v>
      </c>
      <c r="K597" s="1">
        <v>0</v>
      </c>
      <c r="L597" s="1">
        <f>ROUNDDOWN(formatted_data[[#This Row],[Selling_Price]]*formatted_data[[#This Row],[Discount_%]]/100,0)</f>
        <v>0</v>
      </c>
      <c r="M597" s="1">
        <f>(formatted_data[[#This Row],[Selling_Price]]-formatted_data[[#This Row],[Discount_Amount]])*formatted_data[[#This Row],[Units]]</f>
        <v>1499</v>
      </c>
      <c r="N597" s="1">
        <f>formatted_data[[#This Row],[Total_Revenue]]-(formatted_data[[#This Row],[Cost_Price]]*formatted_data[[#This Row],[Units]])</f>
        <v>446</v>
      </c>
      <c r="O597" s="1" t="s">
        <v>21</v>
      </c>
      <c r="P597"/>
    </row>
    <row r="598" spans="1:16" x14ac:dyDescent="0.35">
      <c r="A598" s="1" t="s">
        <v>84</v>
      </c>
      <c r="B598" s="1" t="s">
        <v>27</v>
      </c>
      <c r="C598" s="2">
        <v>45560</v>
      </c>
      <c r="D598" s="1" t="s">
        <v>23</v>
      </c>
      <c r="E598" s="1" t="s">
        <v>43</v>
      </c>
      <c r="F598" s="1" t="s">
        <v>19</v>
      </c>
      <c r="G598" s="1" t="s">
        <v>20</v>
      </c>
      <c r="H598" s="1">
        <v>2</v>
      </c>
      <c r="I598" s="1">
        <v>2302</v>
      </c>
      <c r="J598" s="1">
        <v>4499</v>
      </c>
      <c r="K598" s="1">
        <v>10</v>
      </c>
      <c r="L598" s="1">
        <f>ROUNDDOWN(formatted_data[[#This Row],[Selling_Price]]*formatted_data[[#This Row],[Discount_%]]/100,0)</f>
        <v>449</v>
      </c>
      <c r="M598" s="1">
        <f>(formatted_data[[#This Row],[Selling_Price]]-formatted_data[[#This Row],[Discount_Amount]])*formatted_data[[#This Row],[Units]]</f>
        <v>8100</v>
      </c>
      <c r="N598" s="1">
        <f>formatted_data[[#This Row],[Total_Revenue]]-(formatted_data[[#This Row],[Cost_Price]]*formatted_data[[#This Row],[Units]])</f>
        <v>3496</v>
      </c>
      <c r="O598" s="1" t="s">
        <v>33</v>
      </c>
      <c r="P598"/>
    </row>
    <row r="599" spans="1:16" x14ac:dyDescent="0.35">
      <c r="A599" s="1" t="s">
        <v>102</v>
      </c>
      <c r="B599" s="1" t="s">
        <v>27</v>
      </c>
      <c r="C599" s="2">
        <v>45506</v>
      </c>
      <c r="D599" s="1" t="s">
        <v>17</v>
      </c>
      <c r="E599" s="1" t="s">
        <v>72</v>
      </c>
      <c r="F599" s="1" t="s">
        <v>25</v>
      </c>
      <c r="G599" s="1" t="s">
        <v>20</v>
      </c>
      <c r="H599" s="1">
        <v>2</v>
      </c>
      <c r="I599" s="1">
        <v>243</v>
      </c>
      <c r="J599" s="1">
        <v>399</v>
      </c>
      <c r="K599" s="1">
        <v>0</v>
      </c>
      <c r="L599" s="1">
        <f>ROUNDDOWN(formatted_data[[#This Row],[Selling_Price]]*formatted_data[[#This Row],[Discount_%]]/100,0)</f>
        <v>0</v>
      </c>
      <c r="M599" s="1">
        <f>(formatted_data[[#This Row],[Selling_Price]]-formatted_data[[#This Row],[Discount_Amount]])*formatted_data[[#This Row],[Units]]</f>
        <v>798</v>
      </c>
      <c r="N599" s="1">
        <f>formatted_data[[#This Row],[Total_Revenue]]-(formatted_data[[#This Row],[Cost_Price]]*formatted_data[[#This Row],[Units]])</f>
        <v>312</v>
      </c>
      <c r="O599" s="1" t="s">
        <v>33</v>
      </c>
      <c r="P599"/>
    </row>
    <row r="600" spans="1:16" x14ac:dyDescent="0.35">
      <c r="A600" s="1" t="s">
        <v>85</v>
      </c>
      <c r="B600" s="1" t="s">
        <v>27</v>
      </c>
      <c r="C600" s="2">
        <v>45642</v>
      </c>
      <c r="D600" s="1" t="s">
        <v>28</v>
      </c>
      <c r="E600" s="1" t="s">
        <v>45</v>
      </c>
      <c r="F600" s="1" t="s">
        <v>19</v>
      </c>
      <c r="G600" s="1" t="s">
        <v>20</v>
      </c>
      <c r="H600" s="1">
        <v>1</v>
      </c>
      <c r="I600" s="1">
        <v>919</v>
      </c>
      <c r="J600" s="1">
        <v>1599</v>
      </c>
      <c r="K600" s="1">
        <v>5</v>
      </c>
      <c r="L600" s="1">
        <f>ROUNDDOWN(formatted_data[[#This Row],[Selling_Price]]*formatted_data[[#This Row],[Discount_%]]/100,0)</f>
        <v>79</v>
      </c>
      <c r="M600" s="1">
        <f>(formatted_data[[#This Row],[Selling_Price]]-formatted_data[[#This Row],[Discount_Amount]])*formatted_data[[#This Row],[Units]]</f>
        <v>1520</v>
      </c>
      <c r="N600" s="1">
        <f>formatted_data[[#This Row],[Total_Revenue]]-(formatted_data[[#This Row],[Cost_Price]]*formatted_data[[#This Row],[Units]])</f>
        <v>601</v>
      </c>
      <c r="O600" s="1" t="s">
        <v>21</v>
      </c>
      <c r="P600"/>
    </row>
    <row r="601" spans="1:16" x14ac:dyDescent="0.35">
      <c r="A601" s="1" t="s">
        <v>26</v>
      </c>
      <c r="B601" s="1" t="s">
        <v>27</v>
      </c>
      <c r="C601" s="2">
        <v>45561</v>
      </c>
      <c r="D601" s="1" t="s">
        <v>28</v>
      </c>
      <c r="E601" s="1" t="s">
        <v>29</v>
      </c>
      <c r="F601" s="1" t="s">
        <v>19</v>
      </c>
      <c r="G601" s="1" t="s">
        <v>20</v>
      </c>
      <c r="H601" s="1">
        <v>1</v>
      </c>
      <c r="I601" s="1">
        <v>301</v>
      </c>
      <c r="J601" s="1">
        <v>499</v>
      </c>
      <c r="K601" s="1">
        <v>10</v>
      </c>
      <c r="L601" s="1">
        <f>ROUNDDOWN(formatted_data[[#This Row],[Selling_Price]]*formatted_data[[#This Row],[Discount_%]]/100,0)</f>
        <v>49</v>
      </c>
      <c r="M601" s="1">
        <f>(formatted_data[[#This Row],[Selling_Price]]-formatted_data[[#This Row],[Discount_Amount]])*formatted_data[[#This Row],[Units]]</f>
        <v>450</v>
      </c>
      <c r="N601" s="1">
        <f>formatted_data[[#This Row],[Total_Revenue]]-(formatted_data[[#This Row],[Cost_Price]]*formatted_data[[#This Row],[Units]])</f>
        <v>149</v>
      </c>
      <c r="O601" s="1" t="s">
        <v>21</v>
      </c>
      <c r="P601"/>
    </row>
    <row r="602" spans="1:16" x14ac:dyDescent="0.35">
      <c r="A602" s="1" t="s">
        <v>34</v>
      </c>
      <c r="B602" s="1" t="s">
        <v>27</v>
      </c>
      <c r="C602" s="2">
        <v>45492</v>
      </c>
      <c r="D602" s="1" t="s">
        <v>17</v>
      </c>
      <c r="E602" s="1" t="s">
        <v>18</v>
      </c>
      <c r="F602" s="1" t="s">
        <v>25</v>
      </c>
      <c r="G602" s="1" t="s">
        <v>19</v>
      </c>
      <c r="H602" s="1">
        <v>5</v>
      </c>
      <c r="I602" s="1">
        <v>284</v>
      </c>
      <c r="J602" s="1">
        <v>499</v>
      </c>
      <c r="K602" s="1">
        <v>0</v>
      </c>
      <c r="L602" s="1">
        <f>ROUNDDOWN(formatted_data[[#This Row],[Selling_Price]]*formatted_data[[#This Row],[Discount_%]]/100,0)</f>
        <v>0</v>
      </c>
      <c r="M602" s="1">
        <f>(formatted_data[[#This Row],[Selling_Price]]-formatted_data[[#This Row],[Discount_Amount]])*formatted_data[[#This Row],[Units]]</f>
        <v>2495</v>
      </c>
      <c r="N602" s="1">
        <f>formatted_data[[#This Row],[Total_Revenue]]-(formatted_data[[#This Row],[Cost_Price]]*formatted_data[[#This Row],[Units]])</f>
        <v>1075</v>
      </c>
      <c r="O602" s="1" t="s">
        <v>33</v>
      </c>
      <c r="P602"/>
    </row>
    <row r="603" spans="1:16" x14ac:dyDescent="0.35">
      <c r="A603" s="1" t="s">
        <v>94</v>
      </c>
      <c r="B603" s="1" t="s">
        <v>16</v>
      </c>
      <c r="C603" s="2">
        <v>45507</v>
      </c>
      <c r="D603" s="1" t="s">
        <v>35</v>
      </c>
      <c r="E603" s="1" t="s">
        <v>36</v>
      </c>
      <c r="F603" s="1" t="s">
        <v>25</v>
      </c>
      <c r="G603" s="1" t="s">
        <v>19</v>
      </c>
      <c r="H603" s="1">
        <v>2</v>
      </c>
      <c r="I603" s="1">
        <v>372</v>
      </c>
      <c r="J603" s="1">
        <v>499</v>
      </c>
      <c r="K603" s="1">
        <v>5</v>
      </c>
      <c r="L603" s="1">
        <f>ROUNDDOWN(formatted_data[[#This Row],[Selling_Price]]*formatted_data[[#This Row],[Discount_%]]/100,0)</f>
        <v>24</v>
      </c>
      <c r="M603" s="1">
        <f>(formatted_data[[#This Row],[Selling_Price]]-formatted_data[[#This Row],[Discount_Amount]])*formatted_data[[#This Row],[Units]]</f>
        <v>950</v>
      </c>
      <c r="N603" s="1">
        <f>formatted_data[[#This Row],[Total_Revenue]]-(formatted_data[[#This Row],[Cost_Price]]*formatted_data[[#This Row],[Units]])</f>
        <v>206</v>
      </c>
      <c r="O603" s="1" t="s">
        <v>21</v>
      </c>
      <c r="P603"/>
    </row>
    <row r="604" spans="1:16" x14ac:dyDescent="0.35">
      <c r="A604" s="1" t="s">
        <v>91</v>
      </c>
      <c r="B604" s="1" t="s">
        <v>16</v>
      </c>
      <c r="C604" s="2">
        <v>45594</v>
      </c>
      <c r="D604" s="1" t="s">
        <v>23</v>
      </c>
      <c r="E604" s="1" t="s">
        <v>43</v>
      </c>
      <c r="F604" s="1" t="s">
        <v>19</v>
      </c>
      <c r="G604" s="1" t="s">
        <v>19</v>
      </c>
      <c r="H604" s="1">
        <v>1</v>
      </c>
      <c r="I604" s="1">
        <v>1140</v>
      </c>
      <c r="J604" s="1">
        <v>1999</v>
      </c>
      <c r="K604" s="1">
        <v>5</v>
      </c>
      <c r="L604" s="1">
        <f>ROUNDDOWN(formatted_data[[#This Row],[Selling_Price]]*formatted_data[[#This Row],[Discount_%]]/100,0)</f>
        <v>99</v>
      </c>
      <c r="M604" s="1">
        <f>(formatted_data[[#This Row],[Selling_Price]]-formatted_data[[#This Row],[Discount_Amount]])*formatted_data[[#This Row],[Units]]</f>
        <v>1900</v>
      </c>
      <c r="N604" s="1">
        <f>formatted_data[[#This Row],[Total_Revenue]]-(formatted_data[[#This Row],[Cost_Price]]*formatted_data[[#This Row],[Units]])</f>
        <v>760</v>
      </c>
      <c r="O604" s="1" t="s">
        <v>21</v>
      </c>
      <c r="P604"/>
    </row>
    <row r="605" spans="1:16" x14ac:dyDescent="0.35">
      <c r="A605" s="1" t="s">
        <v>30</v>
      </c>
      <c r="B605" s="1" t="s">
        <v>16</v>
      </c>
      <c r="C605" s="2">
        <v>45578</v>
      </c>
      <c r="D605" s="1" t="s">
        <v>35</v>
      </c>
      <c r="E605" s="1" t="s">
        <v>41</v>
      </c>
      <c r="F605" s="1" t="s">
        <v>25</v>
      </c>
      <c r="G605" s="1" t="s">
        <v>20</v>
      </c>
      <c r="H605" s="1">
        <v>5</v>
      </c>
      <c r="I605" s="1">
        <v>714</v>
      </c>
      <c r="J605" s="1">
        <v>1099</v>
      </c>
      <c r="K605" s="1">
        <v>5</v>
      </c>
      <c r="L605" s="1">
        <f>ROUNDDOWN(formatted_data[[#This Row],[Selling_Price]]*formatted_data[[#This Row],[Discount_%]]/100,0)</f>
        <v>54</v>
      </c>
      <c r="M605" s="1">
        <f>(formatted_data[[#This Row],[Selling_Price]]-formatted_data[[#This Row],[Discount_Amount]])*formatted_data[[#This Row],[Units]]</f>
        <v>5225</v>
      </c>
      <c r="N605" s="1">
        <f>formatted_data[[#This Row],[Total_Revenue]]-(formatted_data[[#This Row],[Cost_Price]]*formatted_data[[#This Row],[Units]])</f>
        <v>1655</v>
      </c>
      <c r="O605" s="1" t="s">
        <v>21</v>
      </c>
      <c r="P605"/>
    </row>
    <row r="606" spans="1:16" x14ac:dyDescent="0.35">
      <c r="A606" s="1" t="s">
        <v>34</v>
      </c>
      <c r="B606" s="1" t="s">
        <v>27</v>
      </c>
      <c r="C606" s="2">
        <v>45444</v>
      </c>
      <c r="D606" s="1" t="s">
        <v>28</v>
      </c>
      <c r="E606" s="1" t="s">
        <v>45</v>
      </c>
      <c r="F606" s="1" t="s">
        <v>25</v>
      </c>
      <c r="G606" s="1" t="s">
        <v>19</v>
      </c>
      <c r="H606" s="1">
        <v>2</v>
      </c>
      <c r="I606" s="1">
        <v>637</v>
      </c>
      <c r="J606" s="1">
        <v>1199</v>
      </c>
      <c r="K606" s="1">
        <v>10</v>
      </c>
      <c r="L606" s="1">
        <f>ROUNDDOWN(formatted_data[[#This Row],[Selling_Price]]*formatted_data[[#This Row],[Discount_%]]/100,0)</f>
        <v>119</v>
      </c>
      <c r="M606" s="1">
        <f>(formatted_data[[#This Row],[Selling_Price]]-formatted_data[[#This Row],[Discount_Amount]])*formatted_data[[#This Row],[Units]]</f>
        <v>2160</v>
      </c>
      <c r="N606" s="1">
        <f>formatted_data[[#This Row],[Total_Revenue]]-(formatted_data[[#This Row],[Cost_Price]]*formatted_data[[#This Row],[Units]])</f>
        <v>886</v>
      </c>
      <c r="O606" s="1" t="s">
        <v>21</v>
      </c>
      <c r="P606"/>
    </row>
    <row r="607" spans="1:16" x14ac:dyDescent="0.35">
      <c r="A607" s="1" t="s">
        <v>90</v>
      </c>
      <c r="B607" s="1" t="s">
        <v>27</v>
      </c>
      <c r="C607" s="2">
        <v>45580</v>
      </c>
      <c r="D607" s="1" t="s">
        <v>17</v>
      </c>
      <c r="E607" s="1" t="s">
        <v>72</v>
      </c>
      <c r="F607" s="1" t="s">
        <v>37</v>
      </c>
      <c r="G607" s="1" t="s">
        <v>20</v>
      </c>
      <c r="H607" s="1">
        <v>1</v>
      </c>
      <c r="I607" s="1">
        <v>275</v>
      </c>
      <c r="J607" s="1">
        <v>399</v>
      </c>
      <c r="K607" s="1">
        <v>0</v>
      </c>
      <c r="L607" s="1">
        <f>ROUNDDOWN(formatted_data[[#This Row],[Selling_Price]]*formatted_data[[#This Row],[Discount_%]]/100,0)</f>
        <v>0</v>
      </c>
      <c r="M607" s="1">
        <f>(formatted_data[[#This Row],[Selling_Price]]-formatted_data[[#This Row],[Discount_Amount]])*formatted_data[[#This Row],[Units]]</f>
        <v>399</v>
      </c>
      <c r="N607" s="1">
        <f>formatted_data[[#This Row],[Total_Revenue]]-(formatted_data[[#This Row],[Cost_Price]]*formatted_data[[#This Row],[Units]])</f>
        <v>124</v>
      </c>
      <c r="O607" s="1" t="s">
        <v>21</v>
      </c>
      <c r="P607"/>
    </row>
    <row r="608" spans="1:16" x14ac:dyDescent="0.35">
      <c r="A608" s="1" t="s">
        <v>98</v>
      </c>
      <c r="B608" s="1" t="s">
        <v>16</v>
      </c>
      <c r="C608" s="2">
        <v>45591</v>
      </c>
      <c r="D608" s="1" t="s">
        <v>17</v>
      </c>
      <c r="E608" s="1" t="s">
        <v>48</v>
      </c>
      <c r="F608" s="1" t="s">
        <v>25</v>
      </c>
      <c r="G608" s="1" t="s">
        <v>19</v>
      </c>
      <c r="H608" s="1">
        <v>1</v>
      </c>
      <c r="I608" s="1">
        <v>217</v>
      </c>
      <c r="J608" s="1">
        <v>399</v>
      </c>
      <c r="K608" s="1">
        <v>0</v>
      </c>
      <c r="L608" s="1">
        <f>ROUNDDOWN(formatted_data[[#This Row],[Selling_Price]]*formatted_data[[#This Row],[Discount_%]]/100,0)</f>
        <v>0</v>
      </c>
      <c r="M608" s="1">
        <f>(formatted_data[[#This Row],[Selling_Price]]-formatted_data[[#This Row],[Discount_Amount]])*formatted_data[[#This Row],[Units]]</f>
        <v>399</v>
      </c>
      <c r="N608" s="1">
        <f>formatted_data[[#This Row],[Total_Revenue]]-(formatted_data[[#This Row],[Cost_Price]]*formatted_data[[#This Row],[Units]])</f>
        <v>182</v>
      </c>
      <c r="O608" s="1" t="s">
        <v>21</v>
      </c>
      <c r="P608"/>
    </row>
    <row r="609" spans="1:16" x14ac:dyDescent="0.35">
      <c r="A609" s="1" t="s">
        <v>42</v>
      </c>
      <c r="B609" s="1" t="s">
        <v>27</v>
      </c>
      <c r="C609" s="2">
        <v>45527</v>
      </c>
      <c r="D609" s="1" t="s">
        <v>17</v>
      </c>
      <c r="E609" s="1" t="s">
        <v>18</v>
      </c>
      <c r="F609" s="1" t="s">
        <v>19</v>
      </c>
      <c r="G609" s="1" t="s">
        <v>20</v>
      </c>
      <c r="H609" s="1">
        <v>1</v>
      </c>
      <c r="I609" s="1">
        <v>248</v>
      </c>
      <c r="J609" s="1">
        <v>399</v>
      </c>
      <c r="K609" s="1">
        <v>0</v>
      </c>
      <c r="L609" s="1">
        <f>ROUNDDOWN(formatted_data[[#This Row],[Selling_Price]]*formatted_data[[#This Row],[Discount_%]]/100,0)</f>
        <v>0</v>
      </c>
      <c r="M609" s="1">
        <f>(formatted_data[[#This Row],[Selling_Price]]-formatted_data[[#This Row],[Discount_Amount]])*formatted_data[[#This Row],[Units]]</f>
        <v>399</v>
      </c>
      <c r="N609" s="1">
        <f>formatted_data[[#This Row],[Total_Revenue]]-(formatted_data[[#This Row],[Cost_Price]]*formatted_data[[#This Row],[Units]])</f>
        <v>151</v>
      </c>
      <c r="O609" s="1" t="s">
        <v>21</v>
      </c>
      <c r="P609"/>
    </row>
    <row r="610" spans="1:16" x14ac:dyDescent="0.35">
      <c r="A610" s="1" t="s">
        <v>59</v>
      </c>
      <c r="B610" s="1" t="s">
        <v>27</v>
      </c>
      <c r="C610" s="2">
        <v>45580</v>
      </c>
      <c r="D610" s="1" t="s">
        <v>23</v>
      </c>
      <c r="E610" s="1" t="s">
        <v>43</v>
      </c>
      <c r="F610" s="1" t="s">
        <v>19</v>
      </c>
      <c r="G610" s="1" t="s">
        <v>20</v>
      </c>
      <c r="H610" s="1">
        <v>1</v>
      </c>
      <c r="I610" s="1">
        <v>2558</v>
      </c>
      <c r="J610" s="1">
        <v>3599</v>
      </c>
      <c r="K610" s="1">
        <v>15</v>
      </c>
      <c r="L610" s="1">
        <f>ROUNDDOWN(formatted_data[[#This Row],[Selling_Price]]*formatted_data[[#This Row],[Discount_%]]/100,0)</f>
        <v>539</v>
      </c>
      <c r="M610" s="1">
        <f>(formatted_data[[#This Row],[Selling_Price]]-formatted_data[[#This Row],[Discount_Amount]])*formatted_data[[#This Row],[Units]]</f>
        <v>3060</v>
      </c>
      <c r="N610" s="1">
        <f>formatted_data[[#This Row],[Total_Revenue]]-(formatted_data[[#This Row],[Cost_Price]]*formatted_data[[#This Row],[Units]])</f>
        <v>502</v>
      </c>
      <c r="O610" s="1" t="s">
        <v>21</v>
      </c>
      <c r="P610"/>
    </row>
    <row r="611" spans="1:16" x14ac:dyDescent="0.35">
      <c r="A611" s="1" t="s">
        <v>22</v>
      </c>
      <c r="B611" s="1" t="s">
        <v>16</v>
      </c>
      <c r="C611" s="2">
        <v>45468</v>
      </c>
      <c r="D611" s="1" t="s">
        <v>28</v>
      </c>
      <c r="E611" s="1" t="s">
        <v>29</v>
      </c>
      <c r="F611" s="1" t="s">
        <v>19</v>
      </c>
      <c r="G611" s="1" t="s">
        <v>19</v>
      </c>
      <c r="H611" s="1">
        <v>1</v>
      </c>
      <c r="I611" s="1">
        <v>380</v>
      </c>
      <c r="J611" s="1">
        <v>699</v>
      </c>
      <c r="K611" s="1">
        <v>5</v>
      </c>
      <c r="L611" s="1">
        <f>ROUNDDOWN(formatted_data[[#This Row],[Selling_Price]]*formatted_data[[#This Row],[Discount_%]]/100,0)</f>
        <v>34</v>
      </c>
      <c r="M611" s="1">
        <f>(formatted_data[[#This Row],[Selling_Price]]-formatted_data[[#This Row],[Discount_Amount]])*formatted_data[[#This Row],[Units]]</f>
        <v>665</v>
      </c>
      <c r="N611" s="1">
        <f>formatted_data[[#This Row],[Total_Revenue]]-(formatted_data[[#This Row],[Cost_Price]]*formatted_data[[#This Row],[Units]])</f>
        <v>285</v>
      </c>
      <c r="O611" s="1" t="s">
        <v>21</v>
      </c>
      <c r="P611"/>
    </row>
    <row r="612" spans="1:16" x14ac:dyDescent="0.35">
      <c r="A612" s="1" t="s">
        <v>108</v>
      </c>
      <c r="B612" s="1" t="s">
        <v>27</v>
      </c>
      <c r="C612" s="2">
        <v>45535</v>
      </c>
      <c r="D612" s="1" t="s">
        <v>35</v>
      </c>
      <c r="E612" s="1" t="s">
        <v>58</v>
      </c>
      <c r="F612" s="1" t="s">
        <v>37</v>
      </c>
      <c r="G612" s="1" t="s">
        <v>20</v>
      </c>
      <c r="H612" s="1">
        <v>1</v>
      </c>
      <c r="I612" s="1">
        <v>1081</v>
      </c>
      <c r="J612" s="1">
        <v>1599</v>
      </c>
      <c r="K612" s="1">
        <v>5</v>
      </c>
      <c r="L612" s="1">
        <f>ROUNDDOWN(formatted_data[[#This Row],[Selling_Price]]*formatted_data[[#This Row],[Discount_%]]/100,0)</f>
        <v>79</v>
      </c>
      <c r="M612" s="1">
        <f>(formatted_data[[#This Row],[Selling_Price]]-formatted_data[[#This Row],[Discount_Amount]])*formatted_data[[#This Row],[Units]]</f>
        <v>1520</v>
      </c>
      <c r="N612" s="1">
        <f>formatted_data[[#This Row],[Total_Revenue]]-(formatted_data[[#This Row],[Cost_Price]]*formatted_data[[#This Row],[Units]])</f>
        <v>439</v>
      </c>
      <c r="O612" s="1" t="s">
        <v>21</v>
      </c>
      <c r="P612"/>
    </row>
    <row r="613" spans="1:16" x14ac:dyDescent="0.35">
      <c r="A613" s="1" t="s">
        <v>101</v>
      </c>
      <c r="B613" s="1" t="s">
        <v>16</v>
      </c>
      <c r="C613" s="2">
        <v>45445</v>
      </c>
      <c r="D613" s="1" t="s">
        <v>23</v>
      </c>
      <c r="E613" s="1" t="s">
        <v>24</v>
      </c>
      <c r="F613" s="1" t="s">
        <v>19</v>
      </c>
      <c r="G613" s="1" t="s">
        <v>19</v>
      </c>
      <c r="H613" s="1">
        <v>2</v>
      </c>
      <c r="I613" s="1">
        <v>743</v>
      </c>
      <c r="J613" s="1">
        <v>999</v>
      </c>
      <c r="K613" s="1">
        <v>15</v>
      </c>
      <c r="L613" s="1">
        <f>ROUNDDOWN(formatted_data[[#This Row],[Selling_Price]]*formatted_data[[#This Row],[Discount_%]]/100,0)</f>
        <v>149</v>
      </c>
      <c r="M613" s="1">
        <f>(formatted_data[[#This Row],[Selling_Price]]-formatted_data[[#This Row],[Discount_Amount]])*formatted_data[[#This Row],[Units]]</f>
        <v>1700</v>
      </c>
      <c r="N613" s="1">
        <f>formatted_data[[#This Row],[Total_Revenue]]-(formatted_data[[#This Row],[Cost_Price]]*formatted_data[[#This Row],[Units]])</f>
        <v>214</v>
      </c>
      <c r="O613" s="1" t="s">
        <v>33</v>
      </c>
      <c r="P613"/>
    </row>
    <row r="614" spans="1:16" x14ac:dyDescent="0.35">
      <c r="A614" s="1" t="s">
        <v>109</v>
      </c>
      <c r="B614" s="1" t="s">
        <v>16</v>
      </c>
      <c r="C614" s="2">
        <v>45465</v>
      </c>
      <c r="D614" s="1" t="s">
        <v>35</v>
      </c>
      <c r="E614" s="1" t="s">
        <v>39</v>
      </c>
      <c r="F614" s="1" t="s">
        <v>37</v>
      </c>
      <c r="G614" s="1" t="s">
        <v>19</v>
      </c>
      <c r="H614" s="1">
        <v>1</v>
      </c>
      <c r="I614" s="1">
        <v>973</v>
      </c>
      <c r="J614" s="1">
        <v>1599</v>
      </c>
      <c r="K614" s="1">
        <v>15</v>
      </c>
      <c r="L614" s="1">
        <f>ROUNDDOWN(formatted_data[[#This Row],[Selling_Price]]*formatted_data[[#This Row],[Discount_%]]/100,0)</f>
        <v>239</v>
      </c>
      <c r="M614" s="1">
        <f>(formatted_data[[#This Row],[Selling_Price]]-formatted_data[[#This Row],[Discount_Amount]])*formatted_data[[#This Row],[Units]]</f>
        <v>1360</v>
      </c>
      <c r="N614" s="1">
        <f>formatted_data[[#This Row],[Total_Revenue]]-(formatted_data[[#This Row],[Cost_Price]]*formatted_data[[#This Row],[Units]])</f>
        <v>387</v>
      </c>
      <c r="O614" s="1" t="s">
        <v>21</v>
      </c>
      <c r="P614"/>
    </row>
    <row r="615" spans="1:16" x14ac:dyDescent="0.35">
      <c r="A615" s="1" t="s">
        <v>38</v>
      </c>
      <c r="B615" s="1" t="s">
        <v>27</v>
      </c>
      <c r="C615" s="2">
        <v>45487</v>
      </c>
      <c r="D615" s="1" t="s">
        <v>28</v>
      </c>
      <c r="E615" s="1" t="s">
        <v>45</v>
      </c>
      <c r="F615" s="1" t="s">
        <v>37</v>
      </c>
      <c r="G615" s="1" t="s">
        <v>19</v>
      </c>
      <c r="H615" s="1">
        <v>4</v>
      </c>
      <c r="I615" s="1">
        <v>896</v>
      </c>
      <c r="J615" s="1">
        <v>1199</v>
      </c>
      <c r="K615" s="1">
        <v>15</v>
      </c>
      <c r="L615" s="1">
        <f>ROUNDDOWN(formatted_data[[#This Row],[Selling_Price]]*formatted_data[[#This Row],[Discount_%]]/100,0)</f>
        <v>179</v>
      </c>
      <c r="M615" s="1">
        <f>(formatted_data[[#This Row],[Selling_Price]]-formatted_data[[#This Row],[Discount_Amount]])*formatted_data[[#This Row],[Units]]</f>
        <v>4080</v>
      </c>
      <c r="N615" s="1">
        <f>formatted_data[[#This Row],[Total_Revenue]]-(formatted_data[[#This Row],[Cost_Price]]*formatted_data[[#This Row],[Units]])</f>
        <v>496</v>
      </c>
      <c r="O615" s="1" t="s">
        <v>21</v>
      </c>
      <c r="P615"/>
    </row>
    <row r="616" spans="1:16" x14ac:dyDescent="0.35">
      <c r="A616" s="1" t="s">
        <v>99</v>
      </c>
      <c r="B616" s="1" t="s">
        <v>27</v>
      </c>
      <c r="C616" s="2">
        <v>45455</v>
      </c>
      <c r="D616" s="1" t="s">
        <v>23</v>
      </c>
      <c r="E616" s="1" t="s">
        <v>24</v>
      </c>
      <c r="F616" s="1" t="s">
        <v>37</v>
      </c>
      <c r="G616" s="1" t="s">
        <v>20</v>
      </c>
      <c r="H616" s="1">
        <v>5</v>
      </c>
      <c r="I616" s="1">
        <v>490</v>
      </c>
      <c r="J616" s="1">
        <v>899</v>
      </c>
      <c r="K616" s="1">
        <v>10</v>
      </c>
      <c r="L616" s="1">
        <f>ROUNDDOWN(formatted_data[[#This Row],[Selling_Price]]*formatted_data[[#This Row],[Discount_%]]/100,0)</f>
        <v>89</v>
      </c>
      <c r="M616" s="1">
        <f>(formatted_data[[#This Row],[Selling_Price]]-formatted_data[[#This Row],[Discount_Amount]])*formatted_data[[#This Row],[Units]]</f>
        <v>4050</v>
      </c>
      <c r="N616" s="1">
        <f>formatted_data[[#This Row],[Total_Revenue]]-(formatted_data[[#This Row],[Cost_Price]]*formatted_data[[#This Row],[Units]])</f>
        <v>1600</v>
      </c>
      <c r="O616" s="1" t="s">
        <v>21</v>
      </c>
      <c r="P616"/>
    </row>
    <row r="617" spans="1:16" x14ac:dyDescent="0.35">
      <c r="A617" s="1" t="s">
        <v>95</v>
      </c>
      <c r="B617" s="1" t="s">
        <v>27</v>
      </c>
      <c r="C617" s="2">
        <v>45532</v>
      </c>
      <c r="D617" s="1" t="s">
        <v>23</v>
      </c>
      <c r="E617" s="1" t="s">
        <v>43</v>
      </c>
      <c r="F617" s="1" t="s">
        <v>25</v>
      </c>
      <c r="G617" s="1" t="s">
        <v>19</v>
      </c>
      <c r="H617" s="1">
        <v>2</v>
      </c>
      <c r="I617" s="1">
        <v>1872</v>
      </c>
      <c r="J617" s="1">
        <v>2499</v>
      </c>
      <c r="K617" s="1">
        <v>20</v>
      </c>
      <c r="L617" s="1">
        <f>ROUNDDOWN(formatted_data[[#This Row],[Selling_Price]]*formatted_data[[#This Row],[Discount_%]]/100,0)</f>
        <v>499</v>
      </c>
      <c r="M617" s="1">
        <f>(formatted_data[[#This Row],[Selling_Price]]-formatted_data[[#This Row],[Discount_Amount]])*formatted_data[[#This Row],[Units]]</f>
        <v>4000</v>
      </c>
      <c r="N617" s="1">
        <f>formatted_data[[#This Row],[Total_Revenue]]-(formatted_data[[#This Row],[Cost_Price]]*formatted_data[[#This Row],[Units]])</f>
        <v>256</v>
      </c>
      <c r="O617" s="1" t="s">
        <v>21</v>
      </c>
      <c r="P617"/>
    </row>
    <row r="618" spans="1:16" x14ac:dyDescent="0.35">
      <c r="A618" s="1" t="s">
        <v>66</v>
      </c>
      <c r="B618" s="1" t="s">
        <v>27</v>
      </c>
      <c r="C618" s="2">
        <v>45517</v>
      </c>
      <c r="D618" s="1" t="s">
        <v>35</v>
      </c>
      <c r="E618" s="1" t="s">
        <v>58</v>
      </c>
      <c r="F618" s="1" t="s">
        <v>37</v>
      </c>
      <c r="G618" s="1" t="s">
        <v>20</v>
      </c>
      <c r="H618" s="1">
        <v>1</v>
      </c>
      <c r="I618" s="1">
        <v>1353</v>
      </c>
      <c r="J618" s="1">
        <v>2299</v>
      </c>
      <c r="K618" s="1">
        <v>10</v>
      </c>
      <c r="L618" s="1">
        <f>ROUNDDOWN(formatted_data[[#This Row],[Selling_Price]]*formatted_data[[#This Row],[Discount_%]]/100,0)</f>
        <v>229</v>
      </c>
      <c r="M618" s="1">
        <f>(formatted_data[[#This Row],[Selling_Price]]-formatted_data[[#This Row],[Discount_Amount]])*formatted_data[[#This Row],[Units]]</f>
        <v>2070</v>
      </c>
      <c r="N618" s="1">
        <f>formatted_data[[#This Row],[Total_Revenue]]-(formatted_data[[#This Row],[Cost_Price]]*formatted_data[[#This Row],[Units]])</f>
        <v>717</v>
      </c>
      <c r="O618" s="1" t="s">
        <v>33</v>
      </c>
      <c r="P618"/>
    </row>
    <row r="619" spans="1:16" x14ac:dyDescent="0.35">
      <c r="A619" s="1" t="s">
        <v>78</v>
      </c>
      <c r="B619" s="1" t="s">
        <v>16</v>
      </c>
      <c r="C619" s="2">
        <v>45549</v>
      </c>
      <c r="D619" s="1" t="s">
        <v>17</v>
      </c>
      <c r="E619" s="1" t="s">
        <v>48</v>
      </c>
      <c r="F619" s="1" t="s">
        <v>25</v>
      </c>
      <c r="G619" s="1" t="s">
        <v>19</v>
      </c>
      <c r="H619" s="1">
        <v>3</v>
      </c>
      <c r="I619" s="1">
        <v>240</v>
      </c>
      <c r="J619" s="1">
        <v>399</v>
      </c>
      <c r="K619" s="1">
        <v>0</v>
      </c>
      <c r="L619" s="1">
        <f>ROUNDDOWN(formatted_data[[#This Row],[Selling_Price]]*formatted_data[[#This Row],[Discount_%]]/100,0)</f>
        <v>0</v>
      </c>
      <c r="M619" s="1">
        <f>(formatted_data[[#This Row],[Selling_Price]]-formatted_data[[#This Row],[Discount_Amount]])*formatted_data[[#This Row],[Units]]</f>
        <v>1197</v>
      </c>
      <c r="N619" s="1">
        <f>formatted_data[[#This Row],[Total_Revenue]]-(formatted_data[[#This Row],[Cost_Price]]*formatted_data[[#This Row],[Units]])</f>
        <v>477</v>
      </c>
      <c r="O619" s="1" t="s">
        <v>33</v>
      </c>
      <c r="P619"/>
    </row>
    <row r="620" spans="1:16" x14ac:dyDescent="0.35">
      <c r="A620" s="1" t="s">
        <v>88</v>
      </c>
      <c r="B620" s="1" t="s">
        <v>27</v>
      </c>
      <c r="C620" s="2">
        <v>45635</v>
      </c>
      <c r="D620" s="1" t="s">
        <v>17</v>
      </c>
      <c r="E620" s="1" t="s">
        <v>55</v>
      </c>
      <c r="F620" s="1" t="s">
        <v>25</v>
      </c>
      <c r="G620" s="1" t="s">
        <v>19</v>
      </c>
      <c r="H620" s="1">
        <v>1</v>
      </c>
      <c r="I620" s="1">
        <v>367</v>
      </c>
      <c r="J620" s="1">
        <v>699</v>
      </c>
      <c r="K620" s="1">
        <v>0</v>
      </c>
      <c r="L620" s="1">
        <f>ROUNDDOWN(formatted_data[[#This Row],[Selling_Price]]*formatted_data[[#This Row],[Discount_%]]/100,0)</f>
        <v>0</v>
      </c>
      <c r="M620" s="1">
        <f>(formatted_data[[#This Row],[Selling_Price]]-formatted_data[[#This Row],[Discount_Amount]])*formatted_data[[#This Row],[Units]]</f>
        <v>699</v>
      </c>
      <c r="N620" s="1">
        <f>formatted_data[[#This Row],[Total_Revenue]]-(formatted_data[[#This Row],[Cost_Price]]*formatted_data[[#This Row],[Units]])</f>
        <v>332</v>
      </c>
      <c r="O620" s="1" t="s">
        <v>21</v>
      </c>
      <c r="P620"/>
    </row>
    <row r="621" spans="1:16" x14ac:dyDescent="0.35">
      <c r="A621" s="1" t="s">
        <v>102</v>
      </c>
      <c r="B621" s="1" t="s">
        <v>27</v>
      </c>
      <c r="C621" s="2">
        <v>45621</v>
      </c>
      <c r="D621" s="1" t="s">
        <v>35</v>
      </c>
      <c r="E621" s="1" t="s">
        <v>41</v>
      </c>
      <c r="F621" s="1" t="s">
        <v>25</v>
      </c>
      <c r="G621" s="1" t="s">
        <v>20</v>
      </c>
      <c r="H621" s="1">
        <v>1</v>
      </c>
      <c r="I621" s="1">
        <v>590</v>
      </c>
      <c r="J621" s="1">
        <v>999</v>
      </c>
      <c r="K621" s="1">
        <v>20</v>
      </c>
      <c r="L621" s="1">
        <f>ROUNDDOWN(formatted_data[[#This Row],[Selling_Price]]*formatted_data[[#This Row],[Discount_%]]/100,0)</f>
        <v>199</v>
      </c>
      <c r="M621" s="1">
        <f>(formatted_data[[#This Row],[Selling_Price]]-formatted_data[[#This Row],[Discount_Amount]])*formatted_data[[#This Row],[Units]]</f>
        <v>800</v>
      </c>
      <c r="N621" s="1">
        <f>formatted_data[[#This Row],[Total_Revenue]]-(formatted_data[[#This Row],[Cost_Price]]*formatted_data[[#This Row],[Units]])</f>
        <v>210</v>
      </c>
      <c r="O621" s="1" t="s">
        <v>21</v>
      </c>
      <c r="P621"/>
    </row>
    <row r="622" spans="1:16" x14ac:dyDescent="0.35">
      <c r="A622" s="1" t="s">
        <v>99</v>
      </c>
      <c r="B622" s="1" t="s">
        <v>27</v>
      </c>
      <c r="C622" s="2">
        <v>45446</v>
      </c>
      <c r="D622" s="1" t="s">
        <v>17</v>
      </c>
      <c r="E622" s="1" t="s">
        <v>55</v>
      </c>
      <c r="F622" s="1" t="s">
        <v>37</v>
      </c>
      <c r="G622" s="1" t="s">
        <v>19</v>
      </c>
      <c r="H622" s="1">
        <v>1</v>
      </c>
      <c r="I622" s="1">
        <v>282</v>
      </c>
      <c r="J622" s="1">
        <v>399</v>
      </c>
      <c r="K622" s="1">
        <v>0</v>
      </c>
      <c r="L622" s="1">
        <f>ROUNDDOWN(formatted_data[[#This Row],[Selling_Price]]*formatted_data[[#This Row],[Discount_%]]/100,0)</f>
        <v>0</v>
      </c>
      <c r="M622" s="1">
        <f>(formatted_data[[#This Row],[Selling_Price]]-formatted_data[[#This Row],[Discount_Amount]])*formatted_data[[#This Row],[Units]]</f>
        <v>399</v>
      </c>
      <c r="N622" s="1">
        <f>formatted_data[[#This Row],[Total_Revenue]]-(formatted_data[[#This Row],[Cost_Price]]*formatted_data[[#This Row],[Units]])</f>
        <v>117</v>
      </c>
      <c r="O622" s="1" t="s">
        <v>33</v>
      </c>
      <c r="P622"/>
    </row>
    <row r="623" spans="1:16" x14ac:dyDescent="0.35">
      <c r="A623" s="1" t="s">
        <v>59</v>
      </c>
      <c r="B623" s="1" t="s">
        <v>27</v>
      </c>
      <c r="C623" s="2">
        <v>45648</v>
      </c>
      <c r="D623" s="1" t="s">
        <v>23</v>
      </c>
      <c r="E623" s="1" t="s">
        <v>24</v>
      </c>
      <c r="F623" s="1" t="s">
        <v>25</v>
      </c>
      <c r="G623" s="1" t="s">
        <v>20</v>
      </c>
      <c r="H623" s="1">
        <v>2</v>
      </c>
      <c r="I623" s="1">
        <v>1576</v>
      </c>
      <c r="J623" s="1">
        <v>2299</v>
      </c>
      <c r="K623" s="1">
        <v>10</v>
      </c>
      <c r="L623" s="1">
        <f>ROUNDDOWN(formatted_data[[#This Row],[Selling_Price]]*formatted_data[[#This Row],[Discount_%]]/100,0)</f>
        <v>229</v>
      </c>
      <c r="M623" s="1">
        <f>(formatted_data[[#This Row],[Selling_Price]]-formatted_data[[#This Row],[Discount_Amount]])*formatted_data[[#This Row],[Units]]</f>
        <v>4140</v>
      </c>
      <c r="N623" s="1">
        <f>formatted_data[[#This Row],[Total_Revenue]]-(formatted_data[[#This Row],[Cost_Price]]*formatted_data[[#This Row],[Units]])</f>
        <v>988</v>
      </c>
      <c r="O623" s="1" t="s">
        <v>21</v>
      </c>
      <c r="P623"/>
    </row>
    <row r="624" spans="1:16" x14ac:dyDescent="0.35">
      <c r="A624" s="1" t="s">
        <v>61</v>
      </c>
      <c r="B624" s="1" t="s">
        <v>27</v>
      </c>
      <c r="C624" s="2">
        <v>45508</v>
      </c>
      <c r="D624" s="1" t="s">
        <v>23</v>
      </c>
      <c r="E624" s="1" t="s">
        <v>43</v>
      </c>
      <c r="F624" s="1" t="s">
        <v>25</v>
      </c>
      <c r="G624" s="1" t="s">
        <v>20</v>
      </c>
      <c r="H624" s="1">
        <v>4</v>
      </c>
      <c r="I624" s="1">
        <v>2450</v>
      </c>
      <c r="J624" s="1">
        <v>4399</v>
      </c>
      <c r="K624" s="1">
        <v>20</v>
      </c>
      <c r="L624" s="1">
        <f>ROUNDDOWN(formatted_data[[#This Row],[Selling_Price]]*formatted_data[[#This Row],[Discount_%]]/100,0)</f>
        <v>879</v>
      </c>
      <c r="M624" s="1">
        <f>(formatted_data[[#This Row],[Selling_Price]]-formatted_data[[#This Row],[Discount_Amount]])*formatted_data[[#This Row],[Units]]</f>
        <v>14080</v>
      </c>
      <c r="N624" s="1">
        <f>formatted_data[[#This Row],[Total_Revenue]]-(formatted_data[[#This Row],[Cost_Price]]*formatted_data[[#This Row],[Units]])</f>
        <v>4280</v>
      </c>
      <c r="O624" s="1" t="s">
        <v>33</v>
      </c>
      <c r="P624"/>
    </row>
    <row r="625" spans="1:16" x14ac:dyDescent="0.35">
      <c r="A625" s="1" t="s">
        <v>40</v>
      </c>
      <c r="B625" s="1" t="s">
        <v>27</v>
      </c>
      <c r="C625" s="2">
        <v>45535</v>
      </c>
      <c r="D625" s="1" t="s">
        <v>35</v>
      </c>
      <c r="E625" s="1" t="s">
        <v>39</v>
      </c>
      <c r="F625" s="1" t="s">
        <v>25</v>
      </c>
      <c r="G625" s="1" t="s">
        <v>20</v>
      </c>
      <c r="H625" s="1">
        <v>4</v>
      </c>
      <c r="I625" s="1">
        <v>949</v>
      </c>
      <c r="J625" s="1">
        <v>1499</v>
      </c>
      <c r="K625" s="1">
        <v>10</v>
      </c>
      <c r="L625" s="1">
        <f>ROUNDDOWN(formatted_data[[#This Row],[Selling_Price]]*formatted_data[[#This Row],[Discount_%]]/100,0)</f>
        <v>149</v>
      </c>
      <c r="M625" s="1">
        <f>(formatted_data[[#This Row],[Selling_Price]]-formatted_data[[#This Row],[Discount_Amount]])*formatted_data[[#This Row],[Units]]</f>
        <v>5400</v>
      </c>
      <c r="N625" s="1">
        <f>formatted_data[[#This Row],[Total_Revenue]]-(formatted_data[[#This Row],[Cost_Price]]*formatted_data[[#This Row],[Units]])</f>
        <v>1604</v>
      </c>
      <c r="O625" s="1" t="s">
        <v>33</v>
      </c>
      <c r="P625"/>
    </row>
    <row r="626" spans="1:16" x14ac:dyDescent="0.35">
      <c r="A626" s="1" t="s">
        <v>74</v>
      </c>
      <c r="B626" s="1" t="s">
        <v>16</v>
      </c>
      <c r="C626" s="2">
        <v>45530</v>
      </c>
      <c r="D626" s="1" t="s">
        <v>23</v>
      </c>
      <c r="E626" s="1" t="s">
        <v>43</v>
      </c>
      <c r="F626" s="1" t="s">
        <v>19</v>
      </c>
      <c r="G626" s="1" t="s">
        <v>19</v>
      </c>
      <c r="H626" s="1">
        <v>3</v>
      </c>
      <c r="I626" s="1">
        <v>3112</v>
      </c>
      <c r="J626" s="1">
        <v>4199</v>
      </c>
      <c r="K626" s="1">
        <v>15</v>
      </c>
      <c r="L626" s="1">
        <f>ROUNDDOWN(formatted_data[[#This Row],[Selling_Price]]*formatted_data[[#This Row],[Discount_%]]/100,0)</f>
        <v>629</v>
      </c>
      <c r="M626" s="1">
        <f>(formatted_data[[#This Row],[Selling_Price]]-formatted_data[[#This Row],[Discount_Amount]])*formatted_data[[#This Row],[Units]]</f>
        <v>10710</v>
      </c>
      <c r="N626" s="1">
        <f>formatted_data[[#This Row],[Total_Revenue]]-(formatted_data[[#This Row],[Cost_Price]]*formatted_data[[#This Row],[Units]])</f>
        <v>1374</v>
      </c>
      <c r="O626" s="1" t="s">
        <v>33</v>
      </c>
      <c r="P626"/>
    </row>
    <row r="627" spans="1:16" x14ac:dyDescent="0.35">
      <c r="A627" s="1" t="s">
        <v>104</v>
      </c>
      <c r="B627" s="1" t="s">
        <v>27</v>
      </c>
      <c r="C627" s="2">
        <v>45522</v>
      </c>
      <c r="D627" s="1" t="s">
        <v>35</v>
      </c>
      <c r="E627" s="1" t="s">
        <v>41</v>
      </c>
      <c r="F627" s="1" t="s">
        <v>19</v>
      </c>
      <c r="G627" s="1" t="s">
        <v>19</v>
      </c>
      <c r="H627" s="1">
        <v>1</v>
      </c>
      <c r="I627" s="1">
        <v>768</v>
      </c>
      <c r="J627" s="1">
        <v>1199</v>
      </c>
      <c r="K627" s="1">
        <v>10</v>
      </c>
      <c r="L627" s="1">
        <f>ROUNDDOWN(formatted_data[[#This Row],[Selling_Price]]*formatted_data[[#This Row],[Discount_%]]/100,0)</f>
        <v>119</v>
      </c>
      <c r="M627" s="1">
        <f>(formatted_data[[#This Row],[Selling_Price]]-formatted_data[[#This Row],[Discount_Amount]])*formatted_data[[#This Row],[Units]]</f>
        <v>1080</v>
      </c>
      <c r="N627" s="1">
        <f>formatted_data[[#This Row],[Total_Revenue]]-(formatted_data[[#This Row],[Cost_Price]]*formatted_data[[#This Row],[Units]])</f>
        <v>312</v>
      </c>
      <c r="O627" s="1" t="s">
        <v>33</v>
      </c>
      <c r="P627"/>
    </row>
    <row r="628" spans="1:16" x14ac:dyDescent="0.35">
      <c r="A628" s="1" t="s">
        <v>101</v>
      </c>
      <c r="B628" s="1" t="s">
        <v>16</v>
      </c>
      <c r="C628" s="2">
        <v>45589</v>
      </c>
      <c r="D628" s="1" t="s">
        <v>35</v>
      </c>
      <c r="E628" s="1" t="s">
        <v>50</v>
      </c>
      <c r="F628" s="1" t="s">
        <v>25</v>
      </c>
      <c r="G628" s="1" t="s">
        <v>19</v>
      </c>
      <c r="H628" s="1">
        <v>1</v>
      </c>
      <c r="I628" s="1">
        <v>677</v>
      </c>
      <c r="J628" s="1">
        <v>1099</v>
      </c>
      <c r="K628" s="1">
        <v>5</v>
      </c>
      <c r="L628" s="1">
        <f>ROUNDDOWN(formatted_data[[#This Row],[Selling_Price]]*formatted_data[[#This Row],[Discount_%]]/100,0)</f>
        <v>54</v>
      </c>
      <c r="M628" s="1">
        <f>(formatted_data[[#This Row],[Selling_Price]]-formatted_data[[#This Row],[Discount_Amount]])*formatted_data[[#This Row],[Units]]</f>
        <v>1045</v>
      </c>
      <c r="N628" s="1">
        <f>formatted_data[[#This Row],[Total_Revenue]]-(formatted_data[[#This Row],[Cost_Price]]*formatted_data[[#This Row],[Units]])</f>
        <v>368</v>
      </c>
      <c r="O628" s="1" t="s">
        <v>21</v>
      </c>
      <c r="P628"/>
    </row>
    <row r="629" spans="1:16" x14ac:dyDescent="0.35">
      <c r="A629" s="1" t="s">
        <v>107</v>
      </c>
      <c r="B629" s="1" t="s">
        <v>27</v>
      </c>
      <c r="C629" s="2">
        <v>45588</v>
      </c>
      <c r="D629" s="1" t="s">
        <v>17</v>
      </c>
      <c r="E629" s="1" t="s">
        <v>55</v>
      </c>
      <c r="F629" s="1" t="s">
        <v>19</v>
      </c>
      <c r="G629" s="1" t="s">
        <v>20</v>
      </c>
      <c r="H629" s="1">
        <v>1</v>
      </c>
      <c r="I629" s="1">
        <v>485</v>
      </c>
      <c r="J629" s="1">
        <v>799</v>
      </c>
      <c r="K629" s="1">
        <v>0</v>
      </c>
      <c r="L629" s="1">
        <f>ROUNDDOWN(formatted_data[[#This Row],[Selling_Price]]*formatted_data[[#This Row],[Discount_%]]/100,0)</f>
        <v>0</v>
      </c>
      <c r="M629" s="1">
        <f>(formatted_data[[#This Row],[Selling_Price]]-formatted_data[[#This Row],[Discount_Amount]])*formatted_data[[#This Row],[Units]]</f>
        <v>799</v>
      </c>
      <c r="N629" s="1">
        <f>formatted_data[[#This Row],[Total_Revenue]]-(formatted_data[[#This Row],[Cost_Price]]*formatted_data[[#This Row],[Units]])</f>
        <v>314</v>
      </c>
      <c r="O629" s="1" t="s">
        <v>21</v>
      </c>
      <c r="P629"/>
    </row>
    <row r="630" spans="1:16" x14ac:dyDescent="0.35">
      <c r="A630" s="1" t="s">
        <v>70</v>
      </c>
      <c r="B630" s="1" t="s">
        <v>27</v>
      </c>
      <c r="C630" s="2">
        <v>45517</v>
      </c>
      <c r="D630" s="1" t="s">
        <v>23</v>
      </c>
      <c r="E630" s="1" t="s">
        <v>24</v>
      </c>
      <c r="F630" s="1" t="s">
        <v>37</v>
      </c>
      <c r="G630" s="1" t="s">
        <v>19</v>
      </c>
      <c r="H630" s="1">
        <v>1</v>
      </c>
      <c r="I630" s="1">
        <v>1307</v>
      </c>
      <c r="J630" s="1">
        <v>2299</v>
      </c>
      <c r="K630" s="1">
        <v>10</v>
      </c>
      <c r="L630" s="1">
        <f>ROUNDDOWN(formatted_data[[#This Row],[Selling_Price]]*formatted_data[[#This Row],[Discount_%]]/100,0)</f>
        <v>229</v>
      </c>
      <c r="M630" s="1">
        <f>(formatted_data[[#This Row],[Selling_Price]]-formatted_data[[#This Row],[Discount_Amount]])*formatted_data[[#This Row],[Units]]</f>
        <v>2070</v>
      </c>
      <c r="N630" s="1">
        <f>formatted_data[[#This Row],[Total_Revenue]]-(formatted_data[[#This Row],[Cost_Price]]*formatted_data[[#This Row],[Units]])</f>
        <v>763</v>
      </c>
      <c r="O630" s="1" t="s">
        <v>33</v>
      </c>
      <c r="P630"/>
    </row>
    <row r="631" spans="1:16" x14ac:dyDescent="0.35">
      <c r="A631" s="1" t="s">
        <v>91</v>
      </c>
      <c r="B631" s="1" t="s">
        <v>16</v>
      </c>
      <c r="C631" s="2">
        <v>45647</v>
      </c>
      <c r="D631" s="1" t="s">
        <v>28</v>
      </c>
      <c r="E631" s="1" t="s">
        <v>45</v>
      </c>
      <c r="F631" s="1" t="s">
        <v>37</v>
      </c>
      <c r="G631" s="1" t="s">
        <v>20</v>
      </c>
      <c r="H631" s="1">
        <v>3</v>
      </c>
      <c r="I631" s="1">
        <v>607</v>
      </c>
      <c r="J631" s="1">
        <v>1199</v>
      </c>
      <c r="K631" s="1">
        <v>15</v>
      </c>
      <c r="L631" s="1">
        <f>ROUNDDOWN(formatted_data[[#This Row],[Selling_Price]]*formatted_data[[#This Row],[Discount_%]]/100,0)</f>
        <v>179</v>
      </c>
      <c r="M631" s="1">
        <f>(formatted_data[[#This Row],[Selling_Price]]-formatted_data[[#This Row],[Discount_Amount]])*formatted_data[[#This Row],[Units]]</f>
        <v>3060</v>
      </c>
      <c r="N631" s="1">
        <f>formatted_data[[#This Row],[Total_Revenue]]-(formatted_data[[#This Row],[Cost_Price]]*formatted_data[[#This Row],[Units]])</f>
        <v>1239</v>
      </c>
      <c r="O631" s="1" t="s">
        <v>21</v>
      </c>
      <c r="P631"/>
    </row>
    <row r="632" spans="1:16" x14ac:dyDescent="0.35">
      <c r="A632" s="1" t="s">
        <v>109</v>
      </c>
      <c r="B632" s="1" t="s">
        <v>16</v>
      </c>
      <c r="C632" s="2">
        <v>45492</v>
      </c>
      <c r="D632" s="1" t="s">
        <v>17</v>
      </c>
      <c r="E632" s="1" t="s">
        <v>55</v>
      </c>
      <c r="F632" s="1" t="s">
        <v>25</v>
      </c>
      <c r="G632" s="1" t="s">
        <v>20</v>
      </c>
      <c r="H632" s="1">
        <v>5</v>
      </c>
      <c r="I632" s="1">
        <v>497</v>
      </c>
      <c r="J632" s="1">
        <v>799</v>
      </c>
      <c r="K632" s="1">
        <v>0</v>
      </c>
      <c r="L632" s="1">
        <f>ROUNDDOWN(formatted_data[[#This Row],[Selling_Price]]*formatted_data[[#This Row],[Discount_%]]/100,0)</f>
        <v>0</v>
      </c>
      <c r="M632" s="1">
        <f>(formatted_data[[#This Row],[Selling_Price]]-formatted_data[[#This Row],[Discount_Amount]])*formatted_data[[#This Row],[Units]]</f>
        <v>3995</v>
      </c>
      <c r="N632" s="1">
        <f>formatted_data[[#This Row],[Total_Revenue]]-(formatted_data[[#This Row],[Cost_Price]]*formatted_data[[#This Row],[Units]])</f>
        <v>1510</v>
      </c>
      <c r="O632" s="1" t="s">
        <v>21</v>
      </c>
      <c r="P632"/>
    </row>
    <row r="633" spans="1:16" x14ac:dyDescent="0.35">
      <c r="A633" s="1" t="s">
        <v>67</v>
      </c>
      <c r="B633" s="1" t="s">
        <v>27</v>
      </c>
      <c r="C633" s="2">
        <v>45572</v>
      </c>
      <c r="D633" s="1" t="s">
        <v>17</v>
      </c>
      <c r="E633" s="1" t="s">
        <v>55</v>
      </c>
      <c r="F633" s="1" t="s">
        <v>37</v>
      </c>
      <c r="G633" s="1" t="s">
        <v>20</v>
      </c>
      <c r="H633" s="1">
        <v>1</v>
      </c>
      <c r="I633" s="1">
        <v>311</v>
      </c>
      <c r="J633" s="1">
        <v>499</v>
      </c>
      <c r="K633" s="1">
        <v>0</v>
      </c>
      <c r="L633" s="1">
        <f>ROUNDDOWN(formatted_data[[#This Row],[Selling_Price]]*formatted_data[[#This Row],[Discount_%]]/100,0)</f>
        <v>0</v>
      </c>
      <c r="M633" s="1">
        <f>(formatted_data[[#This Row],[Selling_Price]]-formatted_data[[#This Row],[Discount_Amount]])*formatted_data[[#This Row],[Units]]</f>
        <v>499</v>
      </c>
      <c r="N633" s="1">
        <f>formatted_data[[#This Row],[Total_Revenue]]-(formatted_data[[#This Row],[Cost_Price]]*formatted_data[[#This Row],[Units]])</f>
        <v>188</v>
      </c>
      <c r="O633" s="1" t="s">
        <v>33</v>
      </c>
      <c r="P633"/>
    </row>
    <row r="634" spans="1:16" x14ac:dyDescent="0.35">
      <c r="A634" s="1" t="s">
        <v>59</v>
      </c>
      <c r="B634" s="1" t="s">
        <v>27</v>
      </c>
      <c r="C634" s="2">
        <v>45451</v>
      </c>
      <c r="D634" s="1" t="s">
        <v>35</v>
      </c>
      <c r="E634" s="1" t="s">
        <v>87</v>
      </c>
      <c r="F634" s="1" t="s">
        <v>19</v>
      </c>
      <c r="G634" s="1" t="s">
        <v>19</v>
      </c>
      <c r="H634" s="1">
        <v>1</v>
      </c>
      <c r="I634" s="1">
        <v>1780</v>
      </c>
      <c r="J634" s="1">
        <v>3199</v>
      </c>
      <c r="K634" s="1">
        <v>5</v>
      </c>
      <c r="L634" s="1">
        <f>ROUNDDOWN(formatted_data[[#This Row],[Selling_Price]]*formatted_data[[#This Row],[Discount_%]]/100,0)</f>
        <v>159</v>
      </c>
      <c r="M634" s="1">
        <f>(formatted_data[[#This Row],[Selling_Price]]-formatted_data[[#This Row],[Discount_Amount]])*formatted_data[[#This Row],[Units]]</f>
        <v>3040</v>
      </c>
      <c r="N634" s="1">
        <f>formatted_data[[#This Row],[Total_Revenue]]-(formatted_data[[#This Row],[Cost_Price]]*formatted_data[[#This Row],[Units]])</f>
        <v>1260</v>
      </c>
      <c r="O634" s="1" t="s">
        <v>21</v>
      </c>
      <c r="P634"/>
    </row>
    <row r="635" spans="1:16" x14ac:dyDescent="0.35">
      <c r="A635" s="1" t="s">
        <v>80</v>
      </c>
      <c r="B635" s="1" t="s">
        <v>27</v>
      </c>
      <c r="C635" s="2">
        <v>45448</v>
      </c>
      <c r="D635" s="1" t="s">
        <v>23</v>
      </c>
      <c r="E635" s="1" t="s">
        <v>24</v>
      </c>
      <c r="F635" s="1" t="s">
        <v>37</v>
      </c>
      <c r="G635" s="1" t="s">
        <v>20</v>
      </c>
      <c r="H635" s="1">
        <v>5</v>
      </c>
      <c r="I635" s="1">
        <v>581</v>
      </c>
      <c r="J635" s="1">
        <v>999</v>
      </c>
      <c r="K635" s="1">
        <v>15</v>
      </c>
      <c r="L635" s="1">
        <f>ROUNDDOWN(formatted_data[[#This Row],[Selling_Price]]*formatted_data[[#This Row],[Discount_%]]/100,0)</f>
        <v>149</v>
      </c>
      <c r="M635" s="1">
        <f>(formatted_data[[#This Row],[Selling_Price]]-formatted_data[[#This Row],[Discount_Amount]])*formatted_data[[#This Row],[Units]]</f>
        <v>4250</v>
      </c>
      <c r="N635" s="1">
        <f>formatted_data[[#This Row],[Total_Revenue]]-(formatted_data[[#This Row],[Cost_Price]]*formatted_data[[#This Row],[Units]])</f>
        <v>1345</v>
      </c>
      <c r="O635" s="1" t="s">
        <v>33</v>
      </c>
      <c r="P635"/>
    </row>
    <row r="636" spans="1:16" x14ac:dyDescent="0.35">
      <c r="A636" s="1" t="s">
        <v>46</v>
      </c>
      <c r="B636" s="1" t="s">
        <v>16</v>
      </c>
      <c r="C636" s="2">
        <v>45640</v>
      </c>
      <c r="D636" s="1" t="s">
        <v>31</v>
      </c>
      <c r="E636" s="1" t="s">
        <v>32</v>
      </c>
      <c r="F636" s="1" t="s">
        <v>19</v>
      </c>
      <c r="G636" s="1" t="s">
        <v>20</v>
      </c>
      <c r="H636" s="1">
        <v>1</v>
      </c>
      <c r="I636" s="1">
        <v>954</v>
      </c>
      <c r="J636" s="1">
        <v>1399</v>
      </c>
      <c r="K636" s="1">
        <v>0</v>
      </c>
      <c r="L636" s="1">
        <f>ROUNDDOWN(formatted_data[[#This Row],[Selling_Price]]*formatted_data[[#This Row],[Discount_%]]/100,0)</f>
        <v>0</v>
      </c>
      <c r="M636" s="1">
        <f>(formatted_data[[#This Row],[Selling_Price]]-formatted_data[[#This Row],[Discount_Amount]])*formatted_data[[#This Row],[Units]]</f>
        <v>1399</v>
      </c>
      <c r="N636" s="1">
        <f>formatted_data[[#This Row],[Total_Revenue]]-(formatted_data[[#This Row],[Cost_Price]]*formatted_data[[#This Row],[Units]])</f>
        <v>445</v>
      </c>
      <c r="O636" s="1" t="s">
        <v>21</v>
      </c>
      <c r="P636"/>
    </row>
    <row r="637" spans="1:16" x14ac:dyDescent="0.35">
      <c r="A637" s="1" t="s">
        <v>54</v>
      </c>
      <c r="B637" s="1" t="s">
        <v>27</v>
      </c>
      <c r="C637" s="2">
        <v>45647</v>
      </c>
      <c r="D637" s="1" t="s">
        <v>17</v>
      </c>
      <c r="E637" s="1" t="s">
        <v>18</v>
      </c>
      <c r="F637" s="1" t="s">
        <v>25</v>
      </c>
      <c r="G637" s="1" t="s">
        <v>19</v>
      </c>
      <c r="H637" s="1">
        <v>1</v>
      </c>
      <c r="I637" s="1">
        <v>280</v>
      </c>
      <c r="J637" s="1">
        <v>499</v>
      </c>
      <c r="K637" s="1">
        <v>0</v>
      </c>
      <c r="L637" s="1">
        <f>ROUNDDOWN(formatted_data[[#This Row],[Selling_Price]]*formatted_data[[#This Row],[Discount_%]]/100,0)</f>
        <v>0</v>
      </c>
      <c r="M637" s="1">
        <f>(formatted_data[[#This Row],[Selling_Price]]-formatted_data[[#This Row],[Discount_Amount]])*formatted_data[[#This Row],[Units]]</f>
        <v>499</v>
      </c>
      <c r="N637" s="1">
        <f>formatted_data[[#This Row],[Total_Revenue]]-(formatted_data[[#This Row],[Cost_Price]]*formatted_data[[#This Row],[Units]])</f>
        <v>219</v>
      </c>
      <c r="O637" s="1" t="s">
        <v>21</v>
      </c>
      <c r="P637"/>
    </row>
    <row r="638" spans="1:16" x14ac:dyDescent="0.35">
      <c r="A638" s="1" t="s">
        <v>44</v>
      </c>
      <c r="B638" s="1" t="s">
        <v>16</v>
      </c>
      <c r="C638" s="2">
        <v>45524</v>
      </c>
      <c r="D638" s="1" t="s">
        <v>17</v>
      </c>
      <c r="E638" s="1" t="s">
        <v>72</v>
      </c>
      <c r="F638" s="1" t="s">
        <v>25</v>
      </c>
      <c r="G638" s="1" t="s">
        <v>19</v>
      </c>
      <c r="H638" s="1">
        <v>1</v>
      </c>
      <c r="I638" s="1">
        <v>273</v>
      </c>
      <c r="J638" s="1">
        <v>499</v>
      </c>
      <c r="K638" s="1">
        <v>0</v>
      </c>
      <c r="L638" s="1">
        <f>ROUNDDOWN(formatted_data[[#This Row],[Selling_Price]]*formatted_data[[#This Row],[Discount_%]]/100,0)</f>
        <v>0</v>
      </c>
      <c r="M638" s="1">
        <f>(formatted_data[[#This Row],[Selling_Price]]-formatted_data[[#This Row],[Discount_Amount]])*formatted_data[[#This Row],[Units]]</f>
        <v>499</v>
      </c>
      <c r="N638" s="1">
        <f>formatted_data[[#This Row],[Total_Revenue]]-(formatted_data[[#This Row],[Cost_Price]]*formatted_data[[#This Row],[Units]])</f>
        <v>226</v>
      </c>
      <c r="O638" s="1" t="s">
        <v>21</v>
      </c>
      <c r="P638"/>
    </row>
    <row r="639" spans="1:16" x14ac:dyDescent="0.35">
      <c r="A639" s="1" t="s">
        <v>67</v>
      </c>
      <c r="B639" s="1" t="s">
        <v>27</v>
      </c>
      <c r="C639" s="2">
        <v>45617</v>
      </c>
      <c r="D639" s="1" t="s">
        <v>28</v>
      </c>
      <c r="E639" s="1" t="s">
        <v>45</v>
      </c>
      <c r="F639" s="1" t="s">
        <v>37</v>
      </c>
      <c r="G639" s="1" t="s">
        <v>19</v>
      </c>
      <c r="H639" s="1">
        <v>1</v>
      </c>
      <c r="I639" s="1">
        <v>407</v>
      </c>
      <c r="J639" s="1">
        <v>799</v>
      </c>
      <c r="K639" s="1">
        <v>20</v>
      </c>
      <c r="L639" s="1">
        <f>ROUNDDOWN(formatted_data[[#This Row],[Selling_Price]]*formatted_data[[#This Row],[Discount_%]]/100,0)</f>
        <v>159</v>
      </c>
      <c r="M639" s="1">
        <f>(formatted_data[[#This Row],[Selling_Price]]-formatted_data[[#This Row],[Discount_Amount]])*formatted_data[[#This Row],[Units]]</f>
        <v>640</v>
      </c>
      <c r="N639" s="1">
        <f>formatted_data[[#This Row],[Total_Revenue]]-(formatted_data[[#This Row],[Cost_Price]]*formatted_data[[#This Row],[Units]])</f>
        <v>233</v>
      </c>
      <c r="O639" s="1" t="s">
        <v>21</v>
      </c>
      <c r="P639"/>
    </row>
    <row r="640" spans="1:16" x14ac:dyDescent="0.35">
      <c r="A640" s="1" t="s">
        <v>108</v>
      </c>
      <c r="B640" s="1" t="s">
        <v>27</v>
      </c>
      <c r="C640" s="2">
        <v>45589</v>
      </c>
      <c r="D640" s="1" t="s">
        <v>35</v>
      </c>
      <c r="E640" s="1" t="s">
        <v>41</v>
      </c>
      <c r="F640" s="1" t="s">
        <v>37</v>
      </c>
      <c r="G640" s="1" t="s">
        <v>19</v>
      </c>
      <c r="H640" s="1">
        <v>2</v>
      </c>
      <c r="I640" s="1">
        <v>704</v>
      </c>
      <c r="J640" s="1">
        <v>999</v>
      </c>
      <c r="K640" s="1">
        <v>15</v>
      </c>
      <c r="L640" s="1">
        <f>ROUNDDOWN(formatted_data[[#This Row],[Selling_Price]]*formatted_data[[#This Row],[Discount_%]]/100,0)</f>
        <v>149</v>
      </c>
      <c r="M640" s="1">
        <f>(formatted_data[[#This Row],[Selling_Price]]-formatted_data[[#This Row],[Discount_Amount]])*formatted_data[[#This Row],[Units]]</f>
        <v>1700</v>
      </c>
      <c r="N640" s="1">
        <f>formatted_data[[#This Row],[Total_Revenue]]-(formatted_data[[#This Row],[Cost_Price]]*formatted_data[[#This Row],[Units]])</f>
        <v>292</v>
      </c>
      <c r="O640" s="1" t="s">
        <v>33</v>
      </c>
      <c r="P640"/>
    </row>
    <row r="641" spans="1:16" x14ac:dyDescent="0.35">
      <c r="A641" s="1" t="s">
        <v>44</v>
      </c>
      <c r="B641" s="1" t="s">
        <v>16</v>
      </c>
      <c r="C641" s="2">
        <v>45654</v>
      </c>
      <c r="D641" s="1" t="s">
        <v>31</v>
      </c>
      <c r="E641" s="1" t="s">
        <v>32</v>
      </c>
      <c r="F641" s="1" t="s">
        <v>25</v>
      </c>
      <c r="G641" s="1" t="s">
        <v>20</v>
      </c>
      <c r="H641" s="1">
        <v>5</v>
      </c>
      <c r="I641" s="1">
        <v>648</v>
      </c>
      <c r="J641" s="1">
        <v>899</v>
      </c>
      <c r="K641" s="1">
        <v>0</v>
      </c>
      <c r="L641" s="1">
        <f>ROUNDDOWN(formatted_data[[#This Row],[Selling_Price]]*formatted_data[[#This Row],[Discount_%]]/100,0)</f>
        <v>0</v>
      </c>
      <c r="M641" s="1">
        <f>(formatted_data[[#This Row],[Selling_Price]]-formatted_data[[#This Row],[Discount_Amount]])*formatted_data[[#This Row],[Units]]</f>
        <v>4495</v>
      </c>
      <c r="N641" s="1">
        <f>formatted_data[[#This Row],[Total_Revenue]]-(formatted_data[[#This Row],[Cost_Price]]*formatted_data[[#This Row],[Units]])</f>
        <v>1255</v>
      </c>
      <c r="O641" s="1" t="s">
        <v>21</v>
      </c>
      <c r="P641"/>
    </row>
    <row r="642" spans="1:16" x14ac:dyDescent="0.35">
      <c r="A642" s="1" t="s">
        <v>102</v>
      </c>
      <c r="B642" s="1" t="s">
        <v>27</v>
      </c>
      <c r="C642" s="2">
        <v>45502</v>
      </c>
      <c r="D642" s="1" t="s">
        <v>35</v>
      </c>
      <c r="E642" s="1" t="s">
        <v>41</v>
      </c>
      <c r="F642" s="1" t="s">
        <v>37</v>
      </c>
      <c r="G642" s="1" t="s">
        <v>19</v>
      </c>
      <c r="H642" s="1">
        <v>5</v>
      </c>
      <c r="I642" s="1">
        <v>827</v>
      </c>
      <c r="J642" s="1">
        <v>1199</v>
      </c>
      <c r="K642" s="1">
        <v>15</v>
      </c>
      <c r="L642" s="1">
        <f>ROUNDDOWN(formatted_data[[#This Row],[Selling_Price]]*formatted_data[[#This Row],[Discount_%]]/100,0)</f>
        <v>179</v>
      </c>
      <c r="M642" s="1">
        <f>(formatted_data[[#This Row],[Selling_Price]]-formatted_data[[#This Row],[Discount_Amount]])*formatted_data[[#This Row],[Units]]</f>
        <v>5100</v>
      </c>
      <c r="N642" s="1">
        <f>formatted_data[[#This Row],[Total_Revenue]]-(formatted_data[[#This Row],[Cost_Price]]*formatted_data[[#This Row],[Units]])</f>
        <v>965</v>
      </c>
      <c r="O642" s="1" t="s">
        <v>21</v>
      </c>
      <c r="P642"/>
    </row>
    <row r="643" spans="1:16" x14ac:dyDescent="0.35">
      <c r="A643" s="1" t="s">
        <v>106</v>
      </c>
      <c r="B643" s="1" t="s">
        <v>27</v>
      </c>
      <c r="C643" s="2">
        <v>45579</v>
      </c>
      <c r="D643" s="1" t="s">
        <v>31</v>
      </c>
      <c r="E643" s="1" t="s">
        <v>32</v>
      </c>
      <c r="F643" s="1" t="s">
        <v>25</v>
      </c>
      <c r="G643" s="1" t="s">
        <v>19</v>
      </c>
      <c r="H643" s="1">
        <v>5</v>
      </c>
      <c r="I643" s="1">
        <v>835</v>
      </c>
      <c r="J643" s="1">
        <v>1399</v>
      </c>
      <c r="K643" s="1">
        <v>0</v>
      </c>
      <c r="L643" s="1">
        <f>ROUNDDOWN(formatted_data[[#This Row],[Selling_Price]]*formatted_data[[#This Row],[Discount_%]]/100,0)</f>
        <v>0</v>
      </c>
      <c r="M643" s="1">
        <f>(formatted_data[[#This Row],[Selling_Price]]-formatted_data[[#This Row],[Discount_Amount]])*formatted_data[[#This Row],[Units]]</f>
        <v>6995</v>
      </c>
      <c r="N643" s="1">
        <f>formatted_data[[#This Row],[Total_Revenue]]-(formatted_data[[#This Row],[Cost_Price]]*formatted_data[[#This Row],[Units]])</f>
        <v>2820</v>
      </c>
      <c r="O643" s="1" t="s">
        <v>33</v>
      </c>
      <c r="P643"/>
    </row>
    <row r="644" spans="1:16" x14ac:dyDescent="0.35">
      <c r="A644" s="1" t="s">
        <v>86</v>
      </c>
      <c r="B644" s="1" t="s">
        <v>27</v>
      </c>
      <c r="C644" s="2">
        <v>45450</v>
      </c>
      <c r="D644" s="1" t="s">
        <v>17</v>
      </c>
      <c r="E644" s="1" t="s">
        <v>72</v>
      </c>
      <c r="F644" s="1" t="s">
        <v>19</v>
      </c>
      <c r="G644" s="1" t="s">
        <v>20</v>
      </c>
      <c r="H644" s="1">
        <v>1</v>
      </c>
      <c r="I644" s="1">
        <v>272</v>
      </c>
      <c r="J644" s="1">
        <v>399</v>
      </c>
      <c r="K644" s="1">
        <v>0</v>
      </c>
      <c r="L644" s="1">
        <f>ROUNDDOWN(formatted_data[[#This Row],[Selling_Price]]*formatted_data[[#This Row],[Discount_%]]/100,0)</f>
        <v>0</v>
      </c>
      <c r="M644" s="1">
        <f>(formatted_data[[#This Row],[Selling_Price]]-formatted_data[[#This Row],[Discount_Amount]])*formatted_data[[#This Row],[Units]]</f>
        <v>399</v>
      </c>
      <c r="N644" s="1">
        <f>formatted_data[[#This Row],[Total_Revenue]]-(formatted_data[[#This Row],[Cost_Price]]*formatted_data[[#This Row],[Units]])</f>
        <v>127</v>
      </c>
      <c r="O644" s="1" t="s">
        <v>21</v>
      </c>
      <c r="P644"/>
    </row>
    <row r="645" spans="1:16" x14ac:dyDescent="0.35">
      <c r="A645" s="1" t="s">
        <v>65</v>
      </c>
      <c r="B645" s="1" t="s">
        <v>16</v>
      </c>
      <c r="C645" s="2">
        <v>45579</v>
      </c>
      <c r="D645" s="1" t="s">
        <v>28</v>
      </c>
      <c r="E645" s="1" t="s">
        <v>45</v>
      </c>
      <c r="F645" s="1" t="s">
        <v>19</v>
      </c>
      <c r="G645" s="1" t="s">
        <v>20</v>
      </c>
      <c r="H645" s="1">
        <v>1</v>
      </c>
      <c r="I645" s="1">
        <v>414</v>
      </c>
      <c r="J645" s="1">
        <v>699</v>
      </c>
      <c r="K645" s="1">
        <v>5</v>
      </c>
      <c r="L645" s="1">
        <f>ROUNDDOWN(formatted_data[[#This Row],[Selling_Price]]*formatted_data[[#This Row],[Discount_%]]/100,0)</f>
        <v>34</v>
      </c>
      <c r="M645" s="1">
        <f>(formatted_data[[#This Row],[Selling_Price]]-formatted_data[[#This Row],[Discount_Amount]])*formatted_data[[#This Row],[Units]]</f>
        <v>665</v>
      </c>
      <c r="N645" s="1">
        <f>formatted_data[[#This Row],[Total_Revenue]]-(formatted_data[[#This Row],[Cost_Price]]*formatted_data[[#This Row],[Units]])</f>
        <v>251</v>
      </c>
      <c r="O645" s="1" t="s">
        <v>33</v>
      </c>
      <c r="P645"/>
    </row>
    <row r="646" spans="1:16" x14ac:dyDescent="0.35">
      <c r="A646" s="1" t="s">
        <v>53</v>
      </c>
      <c r="B646" s="1" t="s">
        <v>27</v>
      </c>
      <c r="C646" s="2">
        <v>45444</v>
      </c>
      <c r="D646" s="1" t="s">
        <v>31</v>
      </c>
      <c r="E646" s="1" t="s">
        <v>76</v>
      </c>
      <c r="F646" s="1" t="s">
        <v>25</v>
      </c>
      <c r="G646" s="1" t="s">
        <v>20</v>
      </c>
      <c r="H646" s="1">
        <v>1</v>
      </c>
      <c r="I646" s="1">
        <v>1012</v>
      </c>
      <c r="J646" s="1">
        <v>1499</v>
      </c>
      <c r="K646" s="1">
        <v>0</v>
      </c>
      <c r="L646" s="1">
        <f>ROUNDDOWN(formatted_data[[#This Row],[Selling_Price]]*formatted_data[[#This Row],[Discount_%]]/100,0)</f>
        <v>0</v>
      </c>
      <c r="M646" s="1">
        <f>(formatted_data[[#This Row],[Selling_Price]]-formatted_data[[#This Row],[Discount_Amount]])*formatted_data[[#This Row],[Units]]</f>
        <v>1499</v>
      </c>
      <c r="N646" s="1">
        <f>formatted_data[[#This Row],[Total_Revenue]]-(formatted_data[[#This Row],[Cost_Price]]*formatted_data[[#This Row],[Units]])</f>
        <v>487</v>
      </c>
      <c r="O646" s="1" t="s">
        <v>21</v>
      </c>
      <c r="P646"/>
    </row>
    <row r="647" spans="1:16" x14ac:dyDescent="0.35">
      <c r="A647" s="1" t="s">
        <v>97</v>
      </c>
      <c r="B647" s="1" t="s">
        <v>16</v>
      </c>
      <c r="C647" s="2">
        <v>45487</v>
      </c>
      <c r="D647" s="1" t="s">
        <v>28</v>
      </c>
      <c r="E647" s="1" t="s">
        <v>29</v>
      </c>
      <c r="F647" s="1" t="s">
        <v>37</v>
      </c>
      <c r="G647" s="1" t="s">
        <v>20</v>
      </c>
      <c r="H647" s="1">
        <v>4</v>
      </c>
      <c r="I647" s="1">
        <v>500</v>
      </c>
      <c r="J647" s="1">
        <v>699</v>
      </c>
      <c r="K647" s="1">
        <v>10</v>
      </c>
      <c r="L647" s="1">
        <f>ROUNDDOWN(formatted_data[[#This Row],[Selling_Price]]*formatted_data[[#This Row],[Discount_%]]/100,0)</f>
        <v>69</v>
      </c>
      <c r="M647" s="1">
        <f>(formatted_data[[#This Row],[Selling_Price]]-formatted_data[[#This Row],[Discount_Amount]])*formatted_data[[#This Row],[Units]]</f>
        <v>2520</v>
      </c>
      <c r="N647" s="1">
        <f>formatted_data[[#This Row],[Total_Revenue]]-(formatted_data[[#This Row],[Cost_Price]]*formatted_data[[#This Row],[Units]])</f>
        <v>520</v>
      </c>
      <c r="O647" s="1" t="s">
        <v>21</v>
      </c>
      <c r="P647"/>
    </row>
    <row r="648" spans="1:16" x14ac:dyDescent="0.35">
      <c r="A648" s="1" t="s">
        <v>46</v>
      </c>
      <c r="B648" s="1" t="s">
        <v>16</v>
      </c>
      <c r="C648" s="2">
        <v>45465</v>
      </c>
      <c r="D648" s="1" t="s">
        <v>17</v>
      </c>
      <c r="E648" s="1" t="s">
        <v>48</v>
      </c>
      <c r="F648" s="1" t="s">
        <v>37</v>
      </c>
      <c r="G648" s="1" t="s">
        <v>20</v>
      </c>
      <c r="H648" s="1">
        <v>2</v>
      </c>
      <c r="I648" s="1">
        <v>187</v>
      </c>
      <c r="J648" s="1">
        <v>299</v>
      </c>
      <c r="K648" s="1">
        <v>0</v>
      </c>
      <c r="L648" s="1">
        <f>ROUNDDOWN(formatted_data[[#This Row],[Selling_Price]]*formatted_data[[#This Row],[Discount_%]]/100,0)</f>
        <v>0</v>
      </c>
      <c r="M648" s="1">
        <f>(formatted_data[[#This Row],[Selling_Price]]-formatted_data[[#This Row],[Discount_Amount]])*formatted_data[[#This Row],[Units]]</f>
        <v>598</v>
      </c>
      <c r="N648" s="1">
        <f>formatted_data[[#This Row],[Total_Revenue]]-(formatted_data[[#This Row],[Cost_Price]]*formatted_data[[#This Row],[Units]])</f>
        <v>224</v>
      </c>
      <c r="O648" s="1" t="s">
        <v>21</v>
      </c>
      <c r="P648"/>
    </row>
    <row r="649" spans="1:16" x14ac:dyDescent="0.35">
      <c r="A649" s="1" t="s">
        <v>63</v>
      </c>
      <c r="B649" s="1" t="s">
        <v>27</v>
      </c>
      <c r="C649" s="2">
        <v>45490</v>
      </c>
      <c r="D649" s="1" t="s">
        <v>23</v>
      </c>
      <c r="E649" s="1" t="s">
        <v>24</v>
      </c>
      <c r="F649" s="1" t="s">
        <v>25</v>
      </c>
      <c r="G649" s="1" t="s">
        <v>20</v>
      </c>
      <c r="H649" s="1">
        <v>1</v>
      </c>
      <c r="I649" s="1">
        <v>1705</v>
      </c>
      <c r="J649" s="1">
        <v>2399</v>
      </c>
      <c r="K649" s="1">
        <v>15</v>
      </c>
      <c r="L649" s="1">
        <f>ROUNDDOWN(formatted_data[[#This Row],[Selling_Price]]*formatted_data[[#This Row],[Discount_%]]/100,0)</f>
        <v>359</v>
      </c>
      <c r="M649" s="1">
        <f>(formatted_data[[#This Row],[Selling_Price]]-formatted_data[[#This Row],[Discount_Amount]])*formatted_data[[#This Row],[Units]]</f>
        <v>2040</v>
      </c>
      <c r="N649" s="1">
        <f>formatted_data[[#This Row],[Total_Revenue]]-(formatted_data[[#This Row],[Cost_Price]]*formatted_data[[#This Row],[Units]])</f>
        <v>335</v>
      </c>
      <c r="O649" s="1" t="s">
        <v>33</v>
      </c>
      <c r="P649"/>
    </row>
    <row r="650" spans="1:16" x14ac:dyDescent="0.35">
      <c r="A650" s="1" t="s">
        <v>68</v>
      </c>
      <c r="B650" s="1" t="s">
        <v>16</v>
      </c>
      <c r="C650" s="2">
        <v>45493</v>
      </c>
      <c r="D650" s="1" t="s">
        <v>23</v>
      </c>
      <c r="E650" s="1" t="s">
        <v>24</v>
      </c>
      <c r="F650" s="1" t="s">
        <v>25</v>
      </c>
      <c r="G650" s="1" t="s">
        <v>19</v>
      </c>
      <c r="H650" s="1">
        <v>2</v>
      </c>
      <c r="I650" s="1">
        <v>1128</v>
      </c>
      <c r="J650" s="1">
        <v>2199</v>
      </c>
      <c r="K650" s="1">
        <v>5</v>
      </c>
      <c r="L650" s="1">
        <f>ROUNDDOWN(formatted_data[[#This Row],[Selling_Price]]*formatted_data[[#This Row],[Discount_%]]/100,0)</f>
        <v>109</v>
      </c>
      <c r="M650" s="1">
        <f>(formatted_data[[#This Row],[Selling_Price]]-formatted_data[[#This Row],[Discount_Amount]])*formatted_data[[#This Row],[Units]]</f>
        <v>4180</v>
      </c>
      <c r="N650" s="1">
        <f>formatted_data[[#This Row],[Total_Revenue]]-(formatted_data[[#This Row],[Cost_Price]]*formatted_data[[#This Row],[Units]])</f>
        <v>1924</v>
      </c>
      <c r="O650" s="1" t="s">
        <v>33</v>
      </c>
      <c r="P650"/>
    </row>
    <row r="651" spans="1:16" x14ac:dyDescent="0.35">
      <c r="A651" s="1" t="s">
        <v>70</v>
      </c>
      <c r="B651" s="1" t="s">
        <v>27</v>
      </c>
      <c r="C651" s="2">
        <v>45537</v>
      </c>
      <c r="D651" s="1" t="s">
        <v>17</v>
      </c>
      <c r="E651" s="1" t="s">
        <v>18</v>
      </c>
      <c r="F651" s="1" t="s">
        <v>19</v>
      </c>
      <c r="G651" s="1" t="s">
        <v>19</v>
      </c>
      <c r="H651" s="1">
        <v>1</v>
      </c>
      <c r="I651" s="1">
        <v>416</v>
      </c>
      <c r="J651" s="1">
        <v>599</v>
      </c>
      <c r="K651" s="1">
        <v>0</v>
      </c>
      <c r="L651" s="1">
        <f>ROUNDDOWN(formatted_data[[#This Row],[Selling_Price]]*formatted_data[[#This Row],[Discount_%]]/100,0)</f>
        <v>0</v>
      </c>
      <c r="M651" s="1">
        <f>(formatted_data[[#This Row],[Selling_Price]]-formatted_data[[#This Row],[Discount_Amount]])*formatted_data[[#This Row],[Units]]</f>
        <v>599</v>
      </c>
      <c r="N651" s="1">
        <f>formatted_data[[#This Row],[Total_Revenue]]-(formatted_data[[#This Row],[Cost_Price]]*formatted_data[[#This Row],[Units]])</f>
        <v>183</v>
      </c>
      <c r="O651" s="1" t="s">
        <v>21</v>
      </c>
      <c r="P651"/>
    </row>
    <row r="652" spans="1:16" x14ac:dyDescent="0.35">
      <c r="A652" s="1" t="s">
        <v>92</v>
      </c>
      <c r="B652" s="1" t="s">
        <v>27</v>
      </c>
      <c r="C652" s="2">
        <v>45512</v>
      </c>
      <c r="D652" s="1" t="s">
        <v>17</v>
      </c>
      <c r="E652" s="1" t="s">
        <v>48</v>
      </c>
      <c r="F652" s="1" t="s">
        <v>37</v>
      </c>
      <c r="G652" s="1" t="s">
        <v>20</v>
      </c>
      <c r="H652" s="1">
        <v>1</v>
      </c>
      <c r="I652" s="1">
        <v>234</v>
      </c>
      <c r="J652" s="1">
        <v>399</v>
      </c>
      <c r="K652" s="1">
        <v>0</v>
      </c>
      <c r="L652" s="1">
        <f>ROUNDDOWN(formatted_data[[#This Row],[Selling_Price]]*formatted_data[[#This Row],[Discount_%]]/100,0)</f>
        <v>0</v>
      </c>
      <c r="M652" s="1">
        <f>(formatted_data[[#This Row],[Selling_Price]]-formatted_data[[#This Row],[Discount_Amount]])*formatted_data[[#This Row],[Units]]</f>
        <v>399</v>
      </c>
      <c r="N652" s="1">
        <f>formatted_data[[#This Row],[Total_Revenue]]-(formatted_data[[#This Row],[Cost_Price]]*formatted_data[[#This Row],[Units]])</f>
        <v>165</v>
      </c>
      <c r="O652" s="1" t="s">
        <v>21</v>
      </c>
      <c r="P652"/>
    </row>
    <row r="653" spans="1:16" x14ac:dyDescent="0.35">
      <c r="A653" s="1" t="s">
        <v>95</v>
      </c>
      <c r="B653" s="1" t="s">
        <v>27</v>
      </c>
      <c r="C653" s="2">
        <v>45555</v>
      </c>
      <c r="D653" s="1" t="s">
        <v>35</v>
      </c>
      <c r="E653" s="1" t="s">
        <v>39</v>
      </c>
      <c r="F653" s="1" t="s">
        <v>37</v>
      </c>
      <c r="G653" s="1" t="s">
        <v>20</v>
      </c>
      <c r="H653" s="1">
        <v>5</v>
      </c>
      <c r="I653" s="1">
        <v>521</v>
      </c>
      <c r="J653" s="1">
        <v>899</v>
      </c>
      <c r="K653" s="1">
        <v>15</v>
      </c>
      <c r="L653" s="1">
        <f>ROUNDDOWN(formatted_data[[#This Row],[Selling_Price]]*formatted_data[[#This Row],[Discount_%]]/100,0)</f>
        <v>134</v>
      </c>
      <c r="M653" s="1">
        <f>(formatted_data[[#This Row],[Selling_Price]]-formatted_data[[#This Row],[Discount_Amount]])*formatted_data[[#This Row],[Units]]</f>
        <v>3825</v>
      </c>
      <c r="N653" s="1">
        <f>formatted_data[[#This Row],[Total_Revenue]]-(formatted_data[[#This Row],[Cost_Price]]*formatted_data[[#This Row],[Units]])</f>
        <v>1220</v>
      </c>
      <c r="O653" s="1" t="s">
        <v>21</v>
      </c>
      <c r="P653"/>
    </row>
    <row r="654" spans="1:16" x14ac:dyDescent="0.35">
      <c r="A654" s="1" t="s">
        <v>57</v>
      </c>
      <c r="B654" s="1" t="s">
        <v>27</v>
      </c>
      <c r="C654" s="2">
        <v>45479</v>
      </c>
      <c r="D654" s="1" t="s">
        <v>35</v>
      </c>
      <c r="E654" s="1" t="s">
        <v>39</v>
      </c>
      <c r="F654" s="1" t="s">
        <v>37</v>
      </c>
      <c r="G654" s="1" t="s">
        <v>19</v>
      </c>
      <c r="H654" s="1">
        <v>3</v>
      </c>
      <c r="I654" s="1">
        <v>1123</v>
      </c>
      <c r="J654" s="1">
        <v>1599</v>
      </c>
      <c r="K654" s="1">
        <v>15</v>
      </c>
      <c r="L654" s="1">
        <f>ROUNDDOWN(formatted_data[[#This Row],[Selling_Price]]*formatted_data[[#This Row],[Discount_%]]/100,0)</f>
        <v>239</v>
      </c>
      <c r="M654" s="1">
        <f>(formatted_data[[#This Row],[Selling_Price]]-formatted_data[[#This Row],[Discount_Amount]])*formatted_data[[#This Row],[Units]]</f>
        <v>4080</v>
      </c>
      <c r="N654" s="1">
        <f>formatted_data[[#This Row],[Total_Revenue]]-(formatted_data[[#This Row],[Cost_Price]]*formatted_data[[#This Row],[Units]])</f>
        <v>711</v>
      </c>
      <c r="O654" s="1" t="s">
        <v>21</v>
      </c>
      <c r="P654"/>
    </row>
    <row r="655" spans="1:16" x14ac:dyDescent="0.35">
      <c r="A655" s="1" t="s">
        <v>65</v>
      </c>
      <c r="B655" s="1" t="s">
        <v>16</v>
      </c>
      <c r="C655" s="2">
        <v>45586</v>
      </c>
      <c r="D655" s="1" t="s">
        <v>23</v>
      </c>
      <c r="E655" s="1" t="s">
        <v>43</v>
      </c>
      <c r="F655" s="1" t="s">
        <v>25</v>
      </c>
      <c r="G655" s="1" t="s">
        <v>19</v>
      </c>
      <c r="H655" s="1">
        <v>1</v>
      </c>
      <c r="I655" s="1">
        <v>2752</v>
      </c>
      <c r="J655" s="1">
        <v>3699</v>
      </c>
      <c r="K655" s="1">
        <v>5</v>
      </c>
      <c r="L655" s="1">
        <f>ROUNDDOWN(formatted_data[[#This Row],[Selling_Price]]*formatted_data[[#This Row],[Discount_%]]/100,0)</f>
        <v>184</v>
      </c>
      <c r="M655" s="1">
        <f>(formatted_data[[#This Row],[Selling_Price]]-formatted_data[[#This Row],[Discount_Amount]])*formatted_data[[#This Row],[Units]]</f>
        <v>3515</v>
      </c>
      <c r="N655" s="1">
        <f>formatted_data[[#This Row],[Total_Revenue]]-(formatted_data[[#This Row],[Cost_Price]]*formatted_data[[#This Row],[Units]])</f>
        <v>763</v>
      </c>
      <c r="O655" s="1" t="s">
        <v>21</v>
      </c>
      <c r="P655"/>
    </row>
    <row r="656" spans="1:16" x14ac:dyDescent="0.35">
      <c r="A656" s="1" t="s">
        <v>70</v>
      </c>
      <c r="B656" s="1" t="s">
        <v>27</v>
      </c>
      <c r="C656" s="2">
        <v>45643</v>
      </c>
      <c r="D656" s="1" t="s">
        <v>31</v>
      </c>
      <c r="E656" s="1" t="s">
        <v>76</v>
      </c>
      <c r="F656" s="1" t="s">
        <v>19</v>
      </c>
      <c r="G656" s="1" t="s">
        <v>20</v>
      </c>
      <c r="H656" s="1">
        <v>2</v>
      </c>
      <c r="I656" s="1">
        <v>871</v>
      </c>
      <c r="J656" s="1">
        <v>1199</v>
      </c>
      <c r="K656" s="1">
        <v>0</v>
      </c>
      <c r="L656" s="1">
        <f>ROUNDDOWN(formatted_data[[#This Row],[Selling_Price]]*formatted_data[[#This Row],[Discount_%]]/100,0)</f>
        <v>0</v>
      </c>
      <c r="M656" s="1">
        <f>(formatted_data[[#This Row],[Selling_Price]]-formatted_data[[#This Row],[Discount_Amount]])*formatted_data[[#This Row],[Units]]</f>
        <v>2398</v>
      </c>
      <c r="N656" s="1">
        <f>formatted_data[[#This Row],[Total_Revenue]]-(formatted_data[[#This Row],[Cost_Price]]*formatted_data[[#This Row],[Units]])</f>
        <v>656</v>
      </c>
      <c r="O656" s="1" t="s">
        <v>21</v>
      </c>
      <c r="P656"/>
    </row>
    <row r="657" spans="1:16" x14ac:dyDescent="0.35">
      <c r="A657" s="1" t="s">
        <v>78</v>
      </c>
      <c r="B657" s="1" t="s">
        <v>16</v>
      </c>
      <c r="C657" s="2">
        <v>45540</v>
      </c>
      <c r="D657" s="1" t="s">
        <v>35</v>
      </c>
      <c r="E657" s="1" t="s">
        <v>58</v>
      </c>
      <c r="F657" s="1" t="s">
        <v>19</v>
      </c>
      <c r="G657" s="1" t="s">
        <v>20</v>
      </c>
      <c r="H657" s="1">
        <v>1</v>
      </c>
      <c r="I657" s="1">
        <v>1400</v>
      </c>
      <c r="J657" s="1">
        <v>2299</v>
      </c>
      <c r="K657" s="1">
        <v>10</v>
      </c>
      <c r="L657" s="1">
        <f>ROUNDDOWN(formatted_data[[#This Row],[Selling_Price]]*formatted_data[[#This Row],[Discount_%]]/100,0)</f>
        <v>229</v>
      </c>
      <c r="M657" s="1">
        <f>(formatted_data[[#This Row],[Selling_Price]]-formatted_data[[#This Row],[Discount_Amount]])*formatted_data[[#This Row],[Units]]</f>
        <v>2070</v>
      </c>
      <c r="N657" s="1">
        <f>formatted_data[[#This Row],[Total_Revenue]]-(formatted_data[[#This Row],[Cost_Price]]*formatted_data[[#This Row],[Units]])</f>
        <v>670</v>
      </c>
      <c r="O657" s="1" t="s">
        <v>33</v>
      </c>
      <c r="P657"/>
    </row>
    <row r="658" spans="1:16" x14ac:dyDescent="0.35">
      <c r="A658" s="1" t="s">
        <v>57</v>
      </c>
      <c r="B658" s="1" t="s">
        <v>27</v>
      </c>
      <c r="C658" s="2">
        <v>45473</v>
      </c>
      <c r="D658" s="1" t="s">
        <v>35</v>
      </c>
      <c r="E658" s="1" t="s">
        <v>58</v>
      </c>
      <c r="F658" s="1" t="s">
        <v>25</v>
      </c>
      <c r="G658" s="1" t="s">
        <v>19</v>
      </c>
      <c r="H658" s="1">
        <v>1</v>
      </c>
      <c r="I658" s="1">
        <v>598</v>
      </c>
      <c r="J658" s="1">
        <v>1099</v>
      </c>
      <c r="K658" s="1">
        <v>5</v>
      </c>
      <c r="L658" s="1">
        <f>ROUNDDOWN(formatted_data[[#This Row],[Selling_Price]]*formatted_data[[#This Row],[Discount_%]]/100,0)</f>
        <v>54</v>
      </c>
      <c r="M658" s="1">
        <f>(formatted_data[[#This Row],[Selling_Price]]-formatted_data[[#This Row],[Discount_Amount]])*formatted_data[[#This Row],[Units]]</f>
        <v>1045</v>
      </c>
      <c r="N658" s="1">
        <f>formatted_data[[#This Row],[Total_Revenue]]-(formatted_data[[#This Row],[Cost_Price]]*formatted_data[[#This Row],[Units]])</f>
        <v>447</v>
      </c>
      <c r="O658" s="1" t="s">
        <v>21</v>
      </c>
      <c r="P658"/>
    </row>
    <row r="659" spans="1:16" x14ac:dyDescent="0.35">
      <c r="A659" s="1" t="s">
        <v>40</v>
      </c>
      <c r="B659" s="1" t="s">
        <v>27</v>
      </c>
      <c r="C659" s="2">
        <v>45519</v>
      </c>
      <c r="D659" s="1" t="s">
        <v>17</v>
      </c>
      <c r="E659" s="1" t="s">
        <v>72</v>
      </c>
      <c r="F659" s="1" t="s">
        <v>25</v>
      </c>
      <c r="G659" s="1" t="s">
        <v>19</v>
      </c>
      <c r="H659" s="1">
        <v>5</v>
      </c>
      <c r="I659" s="1">
        <v>216</v>
      </c>
      <c r="J659" s="1">
        <v>399</v>
      </c>
      <c r="K659" s="1">
        <v>0</v>
      </c>
      <c r="L659" s="1">
        <f>ROUNDDOWN(formatted_data[[#This Row],[Selling_Price]]*formatted_data[[#This Row],[Discount_%]]/100,0)</f>
        <v>0</v>
      </c>
      <c r="M659" s="1">
        <f>(formatted_data[[#This Row],[Selling_Price]]-formatted_data[[#This Row],[Discount_Amount]])*formatted_data[[#This Row],[Units]]</f>
        <v>1995</v>
      </c>
      <c r="N659" s="1">
        <f>formatted_data[[#This Row],[Total_Revenue]]-(formatted_data[[#This Row],[Cost_Price]]*formatted_data[[#This Row],[Units]])</f>
        <v>915</v>
      </c>
      <c r="O659" s="1" t="s">
        <v>21</v>
      </c>
      <c r="P659"/>
    </row>
    <row r="660" spans="1:16" x14ac:dyDescent="0.35">
      <c r="A660" s="1" t="s">
        <v>101</v>
      </c>
      <c r="B660" s="1" t="s">
        <v>16</v>
      </c>
      <c r="C660" s="2">
        <v>45653</v>
      </c>
      <c r="D660" s="1" t="s">
        <v>31</v>
      </c>
      <c r="E660" s="1" t="s">
        <v>32</v>
      </c>
      <c r="F660" s="1" t="s">
        <v>25</v>
      </c>
      <c r="G660" s="1" t="s">
        <v>19</v>
      </c>
      <c r="H660" s="1">
        <v>1</v>
      </c>
      <c r="I660" s="1">
        <v>684</v>
      </c>
      <c r="J660" s="1">
        <v>1199</v>
      </c>
      <c r="K660" s="1">
        <v>0</v>
      </c>
      <c r="L660" s="1">
        <f>ROUNDDOWN(formatted_data[[#This Row],[Selling_Price]]*formatted_data[[#This Row],[Discount_%]]/100,0)</f>
        <v>0</v>
      </c>
      <c r="M660" s="1">
        <f>(formatted_data[[#This Row],[Selling_Price]]-formatted_data[[#This Row],[Discount_Amount]])*formatted_data[[#This Row],[Units]]</f>
        <v>1199</v>
      </c>
      <c r="N660" s="1">
        <f>formatted_data[[#This Row],[Total_Revenue]]-(formatted_data[[#This Row],[Cost_Price]]*formatted_data[[#This Row],[Units]])</f>
        <v>515</v>
      </c>
      <c r="O660" s="1" t="s">
        <v>21</v>
      </c>
      <c r="P660"/>
    </row>
    <row r="661" spans="1:16" x14ac:dyDescent="0.35">
      <c r="A661" s="1" t="s">
        <v>59</v>
      </c>
      <c r="B661" s="1" t="s">
        <v>27</v>
      </c>
      <c r="C661" s="2">
        <v>45499</v>
      </c>
      <c r="D661" s="1" t="s">
        <v>23</v>
      </c>
      <c r="E661" s="1" t="s">
        <v>24</v>
      </c>
      <c r="F661" s="1" t="s">
        <v>25</v>
      </c>
      <c r="G661" s="1" t="s">
        <v>19</v>
      </c>
      <c r="H661" s="1">
        <v>3</v>
      </c>
      <c r="I661" s="1">
        <v>470</v>
      </c>
      <c r="J661" s="1">
        <v>899</v>
      </c>
      <c r="K661" s="1">
        <v>5</v>
      </c>
      <c r="L661" s="1">
        <f>ROUNDDOWN(formatted_data[[#This Row],[Selling_Price]]*formatted_data[[#This Row],[Discount_%]]/100,0)</f>
        <v>44</v>
      </c>
      <c r="M661" s="1">
        <f>(formatted_data[[#This Row],[Selling_Price]]-formatted_data[[#This Row],[Discount_Amount]])*formatted_data[[#This Row],[Units]]</f>
        <v>2565</v>
      </c>
      <c r="N661" s="1">
        <f>formatted_data[[#This Row],[Total_Revenue]]-(formatted_data[[#This Row],[Cost_Price]]*formatted_data[[#This Row],[Units]])</f>
        <v>1155</v>
      </c>
      <c r="O661" s="1" t="s">
        <v>21</v>
      </c>
      <c r="P661"/>
    </row>
    <row r="662" spans="1:16" x14ac:dyDescent="0.35">
      <c r="A662" s="1" t="s">
        <v>42</v>
      </c>
      <c r="B662" s="1" t="s">
        <v>27</v>
      </c>
      <c r="C662" s="2">
        <v>45638</v>
      </c>
      <c r="D662" s="1" t="s">
        <v>31</v>
      </c>
      <c r="E662" s="1" t="s">
        <v>32</v>
      </c>
      <c r="F662" s="1" t="s">
        <v>19</v>
      </c>
      <c r="G662" s="1" t="s">
        <v>19</v>
      </c>
      <c r="H662" s="1">
        <v>1</v>
      </c>
      <c r="I662" s="1">
        <v>648</v>
      </c>
      <c r="J662" s="1">
        <v>999</v>
      </c>
      <c r="K662" s="1">
        <v>0</v>
      </c>
      <c r="L662" s="1">
        <f>ROUNDDOWN(formatted_data[[#This Row],[Selling_Price]]*formatted_data[[#This Row],[Discount_%]]/100,0)</f>
        <v>0</v>
      </c>
      <c r="M662" s="1">
        <f>(formatted_data[[#This Row],[Selling_Price]]-formatted_data[[#This Row],[Discount_Amount]])*formatted_data[[#This Row],[Units]]</f>
        <v>999</v>
      </c>
      <c r="N662" s="1">
        <f>formatted_data[[#This Row],[Total_Revenue]]-(formatted_data[[#This Row],[Cost_Price]]*formatted_data[[#This Row],[Units]])</f>
        <v>351</v>
      </c>
      <c r="O662" s="1" t="s">
        <v>33</v>
      </c>
      <c r="P662"/>
    </row>
    <row r="663" spans="1:16" x14ac:dyDescent="0.35">
      <c r="A663" s="1" t="s">
        <v>105</v>
      </c>
      <c r="B663" s="1" t="s">
        <v>16</v>
      </c>
      <c r="C663" s="2">
        <v>45540</v>
      </c>
      <c r="D663" s="1" t="s">
        <v>31</v>
      </c>
      <c r="E663" s="1" t="s">
        <v>32</v>
      </c>
      <c r="F663" s="1" t="s">
        <v>37</v>
      </c>
      <c r="G663" s="1" t="s">
        <v>19</v>
      </c>
      <c r="H663" s="1">
        <v>4</v>
      </c>
      <c r="I663" s="1">
        <v>634</v>
      </c>
      <c r="J663" s="1">
        <v>899</v>
      </c>
      <c r="K663" s="1">
        <v>0</v>
      </c>
      <c r="L663" s="1">
        <f>ROUNDDOWN(formatted_data[[#This Row],[Selling_Price]]*formatted_data[[#This Row],[Discount_%]]/100,0)</f>
        <v>0</v>
      </c>
      <c r="M663" s="1">
        <f>(formatted_data[[#This Row],[Selling_Price]]-formatted_data[[#This Row],[Discount_Amount]])*formatted_data[[#This Row],[Units]]</f>
        <v>3596</v>
      </c>
      <c r="N663" s="1">
        <f>formatted_data[[#This Row],[Total_Revenue]]-(formatted_data[[#This Row],[Cost_Price]]*formatted_data[[#This Row],[Units]])</f>
        <v>1060</v>
      </c>
      <c r="O663" s="1" t="s">
        <v>21</v>
      </c>
      <c r="P663"/>
    </row>
    <row r="664" spans="1:16" x14ac:dyDescent="0.35">
      <c r="A664" s="1" t="s">
        <v>86</v>
      </c>
      <c r="B664" s="1" t="s">
        <v>27</v>
      </c>
      <c r="C664" s="2">
        <v>45586</v>
      </c>
      <c r="D664" s="1" t="s">
        <v>23</v>
      </c>
      <c r="E664" s="1" t="s">
        <v>43</v>
      </c>
      <c r="F664" s="1" t="s">
        <v>25</v>
      </c>
      <c r="G664" s="1" t="s">
        <v>20</v>
      </c>
      <c r="H664" s="1">
        <v>1</v>
      </c>
      <c r="I664" s="1">
        <v>1823</v>
      </c>
      <c r="J664" s="1">
        <v>2499</v>
      </c>
      <c r="K664" s="1">
        <v>20</v>
      </c>
      <c r="L664" s="1">
        <f>ROUNDDOWN(formatted_data[[#This Row],[Selling_Price]]*formatted_data[[#This Row],[Discount_%]]/100,0)</f>
        <v>499</v>
      </c>
      <c r="M664" s="1">
        <f>(formatted_data[[#This Row],[Selling_Price]]-formatted_data[[#This Row],[Discount_Amount]])*formatted_data[[#This Row],[Units]]</f>
        <v>2000</v>
      </c>
      <c r="N664" s="1">
        <f>formatted_data[[#This Row],[Total_Revenue]]-(formatted_data[[#This Row],[Cost_Price]]*formatted_data[[#This Row],[Units]])</f>
        <v>177</v>
      </c>
      <c r="O664" s="1" t="s">
        <v>33</v>
      </c>
      <c r="P664"/>
    </row>
    <row r="665" spans="1:16" x14ac:dyDescent="0.35">
      <c r="A665" s="1" t="s">
        <v>81</v>
      </c>
      <c r="B665" s="1" t="s">
        <v>27</v>
      </c>
      <c r="C665" s="2">
        <v>45448</v>
      </c>
      <c r="D665" s="1" t="s">
        <v>35</v>
      </c>
      <c r="E665" s="1" t="s">
        <v>39</v>
      </c>
      <c r="F665" s="1" t="s">
        <v>19</v>
      </c>
      <c r="G665" s="1" t="s">
        <v>20</v>
      </c>
      <c r="H665" s="1">
        <v>2</v>
      </c>
      <c r="I665" s="1">
        <v>624</v>
      </c>
      <c r="J665" s="1">
        <v>899</v>
      </c>
      <c r="K665" s="1">
        <v>20</v>
      </c>
      <c r="L665" s="1">
        <f>ROUNDDOWN(formatted_data[[#This Row],[Selling_Price]]*formatted_data[[#This Row],[Discount_%]]/100,0)</f>
        <v>179</v>
      </c>
      <c r="M665" s="1">
        <f>(formatted_data[[#This Row],[Selling_Price]]-formatted_data[[#This Row],[Discount_Amount]])*formatted_data[[#This Row],[Units]]</f>
        <v>1440</v>
      </c>
      <c r="N665" s="1">
        <f>formatted_data[[#This Row],[Total_Revenue]]-(formatted_data[[#This Row],[Cost_Price]]*formatted_data[[#This Row],[Units]])</f>
        <v>192</v>
      </c>
      <c r="O665" s="1" t="s">
        <v>21</v>
      </c>
      <c r="P665"/>
    </row>
    <row r="666" spans="1:16" x14ac:dyDescent="0.35">
      <c r="A666" s="1" t="s">
        <v>75</v>
      </c>
      <c r="B666" s="1" t="s">
        <v>27</v>
      </c>
      <c r="C666" s="2">
        <v>45502</v>
      </c>
      <c r="D666" s="1" t="s">
        <v>17</v>
      </c>
      <c r="E666" s="1" t="s">
        <v>18</v>
      </c>
      <c r="F666" s="1" t="s">
        <v>37</v>
      </c>
      <c r="G666" s="1" t="s">
        <v>20</v>
      </c>
      <c r="H666" s="1">
        <v>3</v>
      </c>
      <c r="I666" s="1">
        <v>295</v>
      </c>
      <c r="J666" s="1">
        <v>399</v>
      </c>
      <c r="K666" s="1">
        <v>0</v>
      </c>
      <c r="L666" s="1">
        <f>ROUNDDOWN(formatted_data[[#This Row],[Selling_Price]]*formatted_data[[#This Row],[Discount_%]]/100,0)</f>
        <v>0</v>
      </c>
      <c r="M666" s="1">
        <f>(formatted_data[[#This Row],[Selling_Price]]-formatted_data[[#This Row],[Discount_Amount]])*formatted_data[[#This Row],[Units]]</f>
        <v>1197</v>
      </c>
      <c r="N666" s="1">
        <f>formatted_data[[#This Row],[Total_Revenue]]-(formatted_data[[#This Row],[Cost_Price]]*formatted_data[[#This Row],[Units]])</f>
        <v>312</v>
      </c>
      <c r="O666" s="1" t="s">
        <v>21</v>
      </c>
      <c r="P666"/>
    </row>
    <row r="667" spans="1:16" x14ac:dyDescent="0.35">
      <c r="A667" s="1" t="s">
        <v>94</v>
      </c>
      <c r="B667" s="1" t="s">
        <v>16</v>
      </c>
      <c r="C667" s="2">
        <v>45649</v>
      </c>
      <c r="D667" s="1" t="s">
        <v>17</v>
      </c>
      <c r="E667" s="1" t="s">
        <v>55</v>
      </c>
      <c r="F667" s="1" t="s">
        <v>37</v>
      </c>
      <c r="G667" s="1" t="s">
        <v>19</v>
      </c>
      <c r="H667" s="1">
        <v>4</v>
      </c>
      <c r="I667" s="1">
        <v>446</v>
      </c>
      <c r="J667" s="1">
        <v>699</v>
      </c>
      <c r="K667" s="1">
        <v>0</v>
      </c>
      <c r="L667" s="1">
        <f>ROUNDDOWN(formatted_data[[#This Row],[Selling_Price]]*formatted_data[[#This Row],[Discount_%]]/100,0)</f>
        <v>0</v>
      </c>
      <c r="M667" s="1">
        <f>(formatted_data[[#This Row],[Selling_Price]]-formatted_data[[#This Row],[Discount_Amount]])*formatted_data[[#This Row],[Units]]</f>
        <v>2796</v>
      </c>
      <c r="N667" s="1">
        <f>formatted_data[[#This Row],[Total_Revenue]]-(formatted_data[[#This Row],[Cost_Price]]*formatted_data[[#This Row],[Units]])</f>
        <v>1012</v>
      </c>
      <c r="O667" s="1" t="s">
        <v>21</v>
      </c>
      <c r="P667"/>
    </row>
    <row r="668" spans="1:16" x14ac:dyDescent="0.35">
      <c r="A668" s="1" t="s">
        <v>81</v>
      </c>
      <c r="B668" s="1" t="s">
        <v>27</v>
      </c>
      <c r="C668" s="2">
        <v>45466</v>
      </c>
      <c r="D668" s="1" t="s">
        <v>17</v>
      </c>
      <c r="E668" s="1" t="s">
        <v>48</v>
      </c>
      <c r="F668" s="1" t="s">
        <v>25</v>
      </c>
      <c r="G668" s="1" t="s">
        <v>19</v>
      </c>
      <c r="H668" s="1">
        <v>2</v>
      </c>
      <c r="I668" s="1">
        <v>217</v>
      </c>
      <c r="J668" s="1">
        <v>299</v>
      </c>
      <c r="K668" s="1">
        <v>0</v>
      </c>
      <c r="L668" s="1">
        <f>ROUNDDOWN(formatted_data[[#This Row],[Selling_Price]]*formatted_data[[#This Row],[Discount_%]]/100,0)</f>
        <v>0</v>
      </c>
      <c r="M668" s="1">
        <f>(formatted_data[[#This Row],[Selling_Price]]-formatted_data[[#This Row],[Discount_Amount]])*formatted_data[[#This Row],[Units]]</f>
        <v>598</v>
      </c>
      <c r="N668" s="1">
        <f>formatted_data[[#This Row],[Total_Revenue]]-(formatted_data[[#This Row],[Cost_Price]]*formatted_data[[#This Row],[Units]])</f>
        <v>164</v>
      </c>
      <c r="O668" s="1" t="s">
        <v>33</v>
      </c>
      <c r="P668"/>
    </row>
    <row r="669" spans="1:16" x14ac:dyDescent="0.35">
      <c r="A669" s="1" t="s">
        <v>47</v>
      </c>
      <c r="B669" s="1" t="s">
        <v>16</v>
      </c>
      <c r="C669" s="2">
        <v>45566</v>
      </c>
      <c r="D669" s="1" t="s">
        <v>23</v>
      </c>
      <c r="E669" s="1" t="s">
        <v>24</v>
      </c>
      <c r="F669" s="1" t="s">
        <v>37</v>
      </c>
      <c r="G669" s="1" t="s">
        <v>19</v>
      </c>
      <c r="H669" s="1">
        <v>1</v>
      </c>
      <c r="I669" s="1">
        <v>1246</v>
      </c>
      <c r="J669" s="1">
        <v>2199</v>
      </c>
      <c r="K669" s="1">
        <v>5</v>
      </c>
      <c r="L669" s="1">
        <f>ROUNDDOWN(formatted_data[[#This Row],[Selling_Price]]*formatted_data[[#This Row],[Discount_%]]/100,0)</f>
        <v>109</v>
      </c>
      <c r="M669" s="1">
        <f>(formatted_data[[#This Row],[Selling_Price]]-formatted_data[[#This Row],[Discount_Amount]])*formatted_data[[#This Row],[Units]]</f>
        <v>2090</v>
      </c>
      <c r="N669" s="1">
        <f>formatted_data[[#This Row],[Total_Revenue]]-(formatted_data[[#This Row],[Cost_Price]]*formatted_data[[#This Row],[Units]])</f>
        <v>844</v>
      </c>
      <c r="O669" s="1" t="s">
        <v>21</v>
      </c>
      <c r="P669"/>
    </row>
    <row r="670" spans="1:16" x14ac:dyDescent="0.35">
      <c r="A670" s="1" t="s">
        <v>85</v>
      </c>
      <c r="B670" s="1" t="s">
        <v>27</v>
      </c>
      <c r="C670" s="2">
        <v>45542</v>
      </c>
      <c r="D670" s="1" t="s">
        <v>35</v>
      </c>
      <c r="E670" s="1" t="s">
        <v>41</v>
      </c>
      <c r="F670" s="1" t="s">
        <v>19</v>
      </c>
      <c r="G670" s="1" t="s">
        <v>20</v>
      </c>
      <c r="H670" s="1">
        <v>4</v>
      </c>
      <c r="I670" s="1">
        <v>866</v>
      </c>
      <c r="J670" s="1">
        <v>1199</v>
      </c>
      <c r="K670" s="1">
        <v>15</v>
      </c>
      <c r="L670" s="1">
        <f>ROUNDDOWN(formatted_data[[#This Row],[Selling_Price]]*formatted_data[[#This Row],[Discount_%]]/100,0)</f>
        <v>179</v>
      </c>
      <c r="M670" s="1">
        <f>(formatted_data[[#This Row],[Selling_Price]]-formatted_data[[#This Row],[Discount_Amount]])*formatted_data[[#This Row],[Units]]</f>
        <v>4080</v>
      </c>
      <c r="N670" s="1">
        <f>formatted_data[[#This Row],[Total_Revenue]]-(formatted_data[[#This Row],[Cost_Price]]*formatted_data[[#This Row],[Units]])</f>
        <v>616</v>
      </c>
      <c r="O670" s="1" t="s">
        <v>21</v>
      </c>
      <c r="P670"/>
    </row>
    <row r="671" spans="1:16" x14ac:dyDescent="0.35">
      <c r="A671" s="1" t="s">
        <v>62</v>
      </c>
      <c r="B671" s="1" t="s">
        <v>16</v>
      </c>
      <c r="C671" s="2">
        <v>45554</v>
      </c>
      <c r="D671" s="1" t="s">
        <v>28</v>
      </c>
      <c r="E671" s="1" t="s">
        <v>29</v>
      </c>
      <c r="F671" s="1" t="s">
        <v>25</v>
      </c>
      <c r="G671" s="1" t="s">
        <v>20</v>
      </c>
      <c r="H671" s="1">
        <v>1</v>
      </c>
      <c r="I671" s="1">
        <v>542</v>
      </c>
      <c r="J671" s="1">
        <v>799</v>
      </c>
      <c r="K671" s="1">
        <v>20</v>
      </c>
      <c r="L671" s="1">
        <f>ROUNDDOWN(formatted_data[[#This Row],[Selling_Price]]*formatted_data[[#This Row],[Discount_%]]/100,0)</f>
        <v>159</v>
      </c>
      <c r="M671" s="1">
        <f>(formatted_data[[#This Row],[Selling_Price]]-formatted_data[[#This Row],[Discount_Amount]])*formatted_data[[#This Row],[Units]]</f>
        <v>640</v>
      </c>
      <c r="N671" s="1">
        <f>formatted_data[[#This Row],[Total_Revenue]]-(formatted_data[[#This Row],[Cost_Price]]*formatted_data[[#This Row],[Units]])</f>
        <v>98</v>
      </c>
      <c r="O671" s="1" t="s">
        <v>21</v>
      </c>
      <c r="P671"/>
    </row>
    <row r="672" spans="1:16" x14ac:dyDescent="0.35">
      <c r="A672" s="1" t="s">
        <v>52</v>
      </c>
      <c r="B672" s="1" t="s">
        <v>27</v>
      </c>
      <c r="C672" s="2">
        <v>45577</v>
      </c>
      <c r="D672" s="1" t="s">
        <v>28</v>
      </c>
      <c r="E672" s="1" t="s">
        <v>45</v>
      </c>
      <c r="F672" s="1" t="s">
        <v>19</v>
      </c>
      <c r="G672" s="1" t="s">
        <v>20</v>
      </c>
      <c r="H672" s="1">
        <v>1</v>
      </c>
      <c r="I672" s="1">
        <v>509</v>
      </c>
      <c r="J672" s="1">
        <v>799</v>
      </c>
      <c r="K672" s="1">
        <v>15</v>
      </c>
      <c r="L672" s="1">
        <f>ROUNDDOWN(formatted_data[[#This Row],[Selling_Price]]*formatted_data[[#This Row],[Discount_%]]/100,0)</f>
        <v>119</v>
      </c>
      <c r="M672" s="1">
        <f>(formatted_data[[#This Row],[Selling_Price]]-formatted_data[[#This Row],[Discount_Amount]])*formatted_data[[#This Row],[Units]]</f>
        <v>680</v>
      </c>
      <c r="N672" s="1">
        <f>formatted_data[[#This Row],[Total_Revenue]]-(formatted_data[[#This Row],[Cost_Price]]*formatted_data[[#This Row],[Units]])</f>
        <v>171</v>
      </c>
      <c r="O672" s="1" t="s">
        <v>21</v>
      </c>
      <c r="P672"/>
    </row>
    <row r="673" spans="1:16" x14ac:dyDescent="0.35">
      <c r="A673" s="1" t="s">
        <v>91</v>
      </c>
      <c r="B673" s="1" t="s">
        <v>16</v>
      </c>
      <c r="C673" s="2">
        <v>45631</v>
      </c>
      <c r="D673" s="1" t="s">
        <v>31</v>
      </c>
      <c r="E673" s="1" t="s">
        <v>76</v>
      </c>
      <c r="F673" s="1" t="s">
        <v>19</v>
      </c>
      <c r="G673" s="1" t="s">
        <v>19</v>
      </c>
      <c r="H673" s="1">
        <v>5</v>
      </c>
      <c r="I673" s="1">
        <v>557</v>
      </c>
      <c r="J673" s="1">
        <v>999</v>
      </c>
      <c r="K673" s="1">
        <v>0</v>
      </c>
      <c r="L673" s="1">
        <f>ROUNDDOWN(formatted_data[[#This Row],[Selling_Price]]*formatted_data[[#This Row],[Discount_%]]/100,0)</f>
        <v>0</v>
      </c>
      <c r="M673" s="1">
        <f>(formatted_data[[#This Row],[Selling_Price]]-formatted_data[[#This Row],[Discount_Amount]])*formatted_data[[#This Row],[Units]]</f>
        <v>4995</v>
      </c>
      <c r="N673" s="1">
        <f>formatted_data[[#This Row],[Total_Revenue]]-(formatted_data[[#This Row],[Cost_Price]]*formatted_data[[#This Row],[Units]])</f>
        <v>2210</v>
      </c>
      <c r="O673" s="1" t="s">
        <v>21</v>
      </c>
      <c r="P673"/>
    </row>
    <row r="674" spans="1:16" x14ac:dyDescent="0.35">
      <c r="A674" s="1" t="s">
        <v>91</v>
      </c>
      <c r="B674" s="1" t="s">
        <v>16</v>
      </c>
      <c r="C674" s="2">
        <v>45565</v>
      </c>
      <c r="D674" s="1" t="s">
        <v>23</v>
      </c>
      <c r="E674" s="1" t="s">
        <v>43</v>
      </c>
      <c r="F674" s="1" t="s">
        <v>25</v>
      </c>
      <c r="G674" s="1" t="s">
        <v>19</v>
      </c>
      <c r="H674" s="1">
        <v>1</v>
      </c>
      <c r="I674" s="1">
        <v>1589</v>
      </c>
      <c r="J674" s="1">
        <v>2199</v>
      </c>
      <c r="K674" s="1">
        <v>10</v>
      </c>
      <c r="L674" s="1">
        <f>ROUNDDOWN(formatted_data[[#This Row],[Selling_Price]]*formatted_data[[#This Row],[Discount_%]]/100,0)</f>
        <v>219</v>
      </c>
      <c r="M674" s="1">
        <f>(formatted_data[[#This Row],[Selling_Price]]-formatted_data[[#This Row],[Discount_Amount]])*formatted_data[[#This Row],[Units]]</f>
        <v>1980</v>
      </c>
      <c r="N674" s="1">
        <f>formatted_data[[#This Row],[Total_Revenue]]-(formatted_data[[#This Row],[Cost_Price]]*formatted_data[[#This Row],[Units]])</f>
        <v>391</v>
      </c>
      <c r="O674" s="1" t="s">
        <v>21</v>
      </c>
      <c r="P674"/>
    </row>
    <row r="675" spans="1:16" x14ac:dyDescent="0.35">
      <c r="A675" s="1" t="s">
        <v>101</v>
      </c>
      <c r="B675" s="1" t="s">
        <v>16</v>
      </c>
      <c r="C675" s="2">
        <v>45558</v>
      </c>
      <c r="D675" s="1" t="s">
        <v>31</v>
      </c>
      <c r="E675" s="1" t="s">
        <v>76</v>
      </c>
      <c r="F675" s="1" t="s">
        <v>25</v>
      </c>
      <c r="G675" s="1" t="s">
        <v>20</v>
      </c>
      <c r="H675" s="1">
        <v>2</v>
      </c>
      <c r="I675" s="1">
        <v>731</v>
      </c>
      <c r="J675" s="1">
        <v>999</v>
      </c>
      <c r="K675" s="1">
        <v>0</v>
      </c>
      <c r="L675" s="1">
        <f>ROUNDDOWN(formatted_data[[#This Row],[Selling_Price]]*formatted_data[[#This Row],[Discount_%]]/100,0)</f>
        <v>0</v>
      </c>
      <c r="M675" s="1">
        <f>(formatted_data[[#This Row],[Selling_Price]]-formatted_data[[#This Row],[Discount_Amount]])*formatted_data[[#This Row],[Units]]</f>
        <v>1998</v>
      </c>
      <c r="N675" s="1">
        <f>formatted_data[[#This Row],[Total_Revenue]]-(formatted_data[[#This Row],[Cost_Price]]*formatted_data[[#This Row],[Units]])</f>
        <v>536</v>
      </c>
      <c r="O675" s="1" t="s">
        <v>33</v>
      </c>
      <c r="P675"/>
    </row>
    <row r="676" spans="1:16" x14ac:dyDescent="0.35">
      <c r="A676" s="1" t="s">
        <v>56</v>
      </c>
      <c r="B676" s="1" t="s">
        <v>27</v>
      </c>
      <c r="C676" s="2">
        <v>45595</v>
      </c>
      <c r="D676" s="1" t="s">
        <v>23</v>
      </c>
      <c r="E676" s="1" t="s">
        <v>24</v>
      </c>
      <c r="F676" s="1" t="s">
        <v>37</v>
      </c>
      <c r="G676" s="1" t="s">
        <v>19</v>
      </c>
      <c r="H676" s="1">
        <v>1</v>
      </c>
      <c r="I676" s="1">
        <v>1082</v>
      </c>
      <c r="J676" s="1">
        <v>1499</v>
      </c>
      <c r="K676" s="1">
        <v>20</v>
      </c>
      <c r="L676" s="1">
        <f>ROUNDDOWN(formatted_data[[#This Row],[Selling_Price]]*formatted_data[[#This Row],[Discount_%]]/100,0)</f>
        <v>299</v>
      </c>
      <c r="M676" s="1">
        <f>(formatted_data[[#This Row],[Selling_Price]]-formatted_data[[#This Row],[Discount_Amount]])*formatted_data[[#This Row],[Units]]</f>
        <v>1200</v>
      </c>
      <c r="N676" s="1">
        <f>formatted_data[[#This Row],[Total_Revenue]]-(formatted_data[[#This Row],[Cost_Price]]*formatted_data[[#This Row],[Units]])</f>
        <v>118</v>
      </c>
      <c r="O676" s="1" t="s">
        <v>21</v>
      </c>
      <c r="P676"/>
    </row>
    <row r="677" spans="1:16" x14ac:dyDescent="0.35">
      <c r="A677" s="1" t="s">
        <v>51</v>
      </c>
      <c r="B677" s="1" t="s">
        <v>16</v>
      </c>
      <c r="C677" s="2">
        <v>45578</v>
      </c>
      <c r="D677" s="1" t="s">
        <v>23</v>
      </c>
      <c r="E677" s="1" t="s">
        <v>24</v>
      </c>
      <c r="F677" s="1" t="s">
        <v>25</v>
      </c>
      <c r="G677" s="1" t="s">
        <v>20</v>
      </c>
      <c r="H677" s="1">
        <v>5</v>
      </c>
      <c r="I677" s="1">
        <v>741</v>
      </c>
      <c r="J677" s="1">
        <v>1199</v>
      </c>
      <c r="K677" s="1">
        <v>15</v>
      </c>
      <c r="L677" s="1">
        <f>ROUNDDOWN(formatted_data[[#This Row],[Selling_Price]]*formatted_data[[#This Row],[Discount_%]]/100,0)</f>
        <v>179</v>
      </c>
      <c r="M677" s="1">
        <f>(formatted_data[[#This Row],[Selling_Price]]-formatted_data[[#This Row],[Discount_Amount]])*formatted_data[[#This Row],[Units]]</f>
        <v>5100</v>
      </c>
      <c r="N677" s="1">
        <f>formatted_data[[#This Row],[Total_Revenue]]-(formatted_data[[#This Row],[Cost_Price]]*formatted_data[[#This Row],[Units]])</f>
        <v>1395</v>
      </c>
      <c r="O677" s="1" t="s">
        <v>21</v>
      </c>
      <c r="P677"/>
    </row>
    <row r="678" spans="1:16" x14ac:dyDescent="0.35">
      <c r="A678" s="1" t="s">
        <v>108</v>
      </c>
      <c r="B678" s="1" t="s">
        <v>27</v>
      </c>
      <c r="C678" s="2">
        <v>45601</v>
      </c>
      <c r="D678" s="1" t="s">
        <v>35</v>
      </c>
      <c r="E678" s="1" t="s">
        <v>41</v>
      </c>
      <c r="F678" s="1" t="s">
        <v>37</v>
      </c>
      <c r="G678" s="1" t="s">
        <v>19</v>
      </c>
      <c r="H678" s="1">
        <v>5</v>
      </c>
      <c r="I678" s="1">
        <v>699</v>
      </c>
      <c r="J678" s="1">
        <v>1299</v>
      </c>
      <c r="K678" s="1">
        <v>20</v>
      </c>
      <c r="L678" s="1">
        <f>ROUNDDOWN(formatted_data[[#This Row],[Selling_Price]]*formatted_data[[#This Row],[Discount_%]]/100,0)</f>
        <v>259</v>
      </c>
      <c r="M678" s="1">
        <f>(formatted_data[[#This Row],[Selling_Price]]-formatted_data[[#This Row],[Discount_Amount]])*formatted_data[[#This Row],[Units]]</f>
        <v>5200</v>
      </c>
      <c r="N678" s="1">
        <f>formatted_data[[#This Row],[Total_Revenue]]-(formatted_data[[#This Row],[Cost_Price]]*formatted_data[[#This Row],[Units]])</f>
        <v>1705</v>
      </c>
      <c r="O678" s="1" t="s">
        <v>21</v>
      </c>
      <c r="P678"/>
    </row>
    <row r="679" spans="1:16" x14ac:dyDescent="0.35">
      <c r="A679" s="1" t="s">
        <v>85</v>
      </c>
      <c r="B679" s="1" t="s">
        <v>27</v>
      </c>
      <c r="C679" s="2">
        <v>45534</v>
      </c>
      <c r="D679" s="1" t="s">
        <v>35</v>
      </c>
      <c r="E679" s="1" t="s">
        <v>50</v>
      </c>
      <c r="F679" s="1" t="s">
        <v>25</v>
      </c>
      <c r="G679" s="1" t="s">
        <v>20</v>
      </c>
      <c r="H679" s="1">
        <v>5</v>
      </c>
      <c r="I679" s="1">
        <v>646</v>
      </c>
      <c r="J679" s="1">
        <v>999</v>
      </c>
      <c r="K679" s="1">
        <v>20</v>
      </c>
      <c r="L679" s="1">
        <f>ROUNDDOWN(formatted_data[[#This Row],[Selling_Price]]*formatted_data[[#This Row],[Discount_%]]/100,0)</f>
        <v>199</v>
      </c>
      <c r="M679" s="1">
        <f>(formatted_data[[#This Row],[Selling_Price]]-formatted_data[[#This Row],[Discount_Amount]])*formatted_data[[#This Row],[Units]]</f>
        <v>4000</v>
      </c>
      <c r="N679" s="1">
        <f>formatted_data[[#This Row],[Total_Revenue]]-(formatted_data[[#This Row],[Cost_Price]]*formatted_data[[#This Row],[Units]])</f>
        <v>770</v>
      </c>
      <c r="O679" s="1" t="s">
        <v>33</v>
      </c>
      <c r="P679"/>
    </row>
    <row r="680" spans="1:16" x14ac:dyDescent="0.35">
      <c r="A680" s="1" t="s">
        <v>97</v>
      </c>
      <c r="B680" s="1" t="s">
        <v>16</v>
      </c>
      <c r="C680" s="2">
        <v>45649</v>
      </c>
      <c r="D680" s="1" t="s">
        <v>28</v>
      </c>
      <c r="E680" s="1" t="s">
        <v>29</v>
      </c>
      <c r="F680" s="1" t="s">
        <v>37</v>
      </c>
      <c r="G680" s="1" t="s">
        <v>19</v>
      </c>
      <c r="H680" s="1">
        <v>1</v>
      </c>
      <c r="I680" s="1">
        <v>263</v>
      </c>
      <c r="J680" s="1">
        <v>499</v>
      </c>
      <c r="K680" s="1">
        <v>10</v>
      </c>
      <c r="L680" s="1">
        <f>ROUNDDOWN(formatted_data[[#This Row],[Selling_Price]]*formatted_data[[#This Row],[Discount_%]]/100,0)</f>
        <v>49</v>
      </c>
      <c r="M680" s="1">
        <f>(formatted_data[[#This Row],[Selling_Price]]-formatted_data[[#This Row],[Discount_Amount]])*formatted_data[[#This Row],[Units]]</f>
        <v>450</v>
      </c>
      <c r="N680" s="1">
        <f>formatted_data[[#This Row],[Total_Revenue]]-(formatted_data[[#This Row],[Cost_Price]]*formatted_data[[#This Row],[Units]])</f>
        <v>187</v>
      </c>
      <c r="O680" s="1" t="s">
        <v>21</v>
      </c>
      <c r="P680"/>
    </row>
    <row r="681" spans="1:16" x14ac:dyDescent="0.35">
      <c r="A681" s="1" t="s">
        <v>46</v>
      </c>
      <c r="B681" s="1" t="s">
        <v>16</v>
      </c>
      <c r="C681" s="2">
        <v>45487</v>
      </c>
      <c r="D681" s="1" t="s">
        <v>31</v>
      </c>
      <c r="E681" s="1" t="s">
        <v>76</v>
      </c>
      <c r="F681" s="1" t="s">
        <v>25</v>
      </c>
      <c r="G681" s="1" t="s">
        <v>20</v>
      </c>
      <c r="H681" s="1">
        <v>5</v>
      </c>
      <c r="I681" s="1">
        <v>413</v>
      </c>
      <c r="J681" s="1">
        <v>699</v>
      </c>
      <c r="K681" s="1">
        <v>0</v>
      </c>
      <c r="L681" s="1">
        <f>ROUNDDOWN(formatted_data[[#This Row],[Selling_Price]]*formatted_data[[#This Row],[Discount_%]]/100,0)</f>
        <v>0</v>
      </c>
      <c r="M681" s="1">
        <f>(formatted_data[[#This Row],[Selling_Price]]-formatted_data[[#This Row],[Discount_Amount]])*formatted_data[[#This Row],[Units]]</f>
        <v>3495</v>
      </c>
      <c r="N681" s="1">
        <f>formatted_data[[#This Row],[Total_Revenue]]-(formatted_data[[#This Row],[Cost_Price]]*formatted_data[[#This Row],[Units]])</f>
        <v>1430</v>
      </c>
      <c r="O681" s="1" t="s">
        <v>21</v>
      </c>
      <c r="P681"/>
    </row>
    <row r="682" spans="1:16" x14ac:dyDescent="0.35">
      <c r="A682" s="1" t="s">
        <v>52</v>
      </c>
      <c r="B682" s="1" t="s">
        <v>27</v>
      </c>
      <c r="C682" s="2">
        <v>45533</v>
      </c>
      <c r="D682" s="1" t="s">
        <v>35</v>
      </c>
      <c r="E682" s="1" t="s">
        <v>87</v>
      </c>
      <c r="F682" s="1" t="s">
        <v>37</v>
      </c>
      <c r="G682" s="1" t="s">
        <v>19</v>
      </c>
      <c r="H682" s="1">
        <v>3</v>
      </c>
      <c r="I682" s="1">
        <v>1751</v>
      </c>
      <c r="J682" s="1">
        <v>2699</v>
      </c>
      <c r="K682" s="1">
        <v>5</v>
      </c>
      <c r="L682" s="1">
        <f>ROUNDDOWN(formatted_data[[#This Row],[Selling_Price]]*formatted_data[[#This Row],[Discount_%]]/100,0)</f>
        <v>134</v>
      </c>
      <c r="M682" s="1">
        <f>(formatted_data[[#This Row],[Selling_Price]]-formatted_data[[#This Row],[Discount_Amount]])*formatted_data[[#This Row],[Units]]</f>
        <v>7695</v>
      </c>
      <c r="N682" s="1">
        <f>formatted_data[[#This Row],[Total_Revenue]]-(formatted_data[[#This Row],[Cost_Price]]*formatted_data[[#This Row],[Units]])</f>
        <v>2442</v>
      </c>
      <c r="O682" s="1" t="s">
        <v>33</v>
      </c>
      <c r="P682"/>
    </row>
    <row r="683" spans="1:16" x14ac:dyDescent="0.35">
      <c r="A683" s="1" t="s">
        <v>89</v>
      </c>
      <c r="B683" s="1" t="s">
        <v>16</v>
      </c>
      <c r="C683" s="2">
        <v>45447</v>
      </c>
      <c r="D683" s="1" t="s">
        <v>28</v>
      </c>
      <c r="E683" s="1" t="s">
        <v>29</v>
      </c>
      <c r="F683" s="1" t="s">
        <v>25</v>
      </c>
      <c r="G683" s="1" t="s">
        <v>20</v>
      </c>
      <c r="H683" s="1">
        <v>1</v>
      </c>
      <c r="I683" s="1">
        <v>419</v>
      </c>
      <c r="J683" s="1">
        <v>699</v>
      </c>
      <c r="K683" s="1">
        <v>10</v>
      </c>
      <c r="L683" s="1">
        <f>ROUNDDOWN(formatted_data[[#This Row],[Selling_Price]]*formatted_data[[#This Row],[Discount_%]]/100,0)</f>
        <v>69</v>
      </c>
      <c r="M683" s="1">
        <f>(formatted_data[[#This Row],[Selling_Price]]-formatted_data[[#This Row],[Discount_Amount]])*formatted_data[[#This Row],[Units]]</f>
        <v>630</v>
      </c>
      <c r="N683" s="1">
        <f>formatted_data[[#This Row],[Total_Revenue]]-(formatted_data[[#This Row],[Cost_Price]]*formatted_data[[#This Row],[Units]])</f>
        <v>211</v>
      </c>
      <c r="O683" s="1" t="s">
        <v>21</v>
      </c>
      <c r="P683"/>
    </row>
    <row r="684" spans="1:16" x14ac:dyDescent="0.35">
      <c r="A684" s="1" t="s">
        <v>49</v>
      </c>
      <c r="B684" s="1" t="s">
        <v>27</v>
      </c>
      <c r="C684" s="2">
        <v>45654</v>
      </c>
      <c r="D684" s="1" t="s">
        <v>31</v>
      </c>
      <c r="E684" s="1" t="s">
        <v>76</v>
      </c>
      <c r="F684" s="1" t="s">
        <v>37</v>
      </c>
      <c r="G684" s="1" t="s">
        <v>19</v>
      </c>
      <c r="H684" s="1">
        <v>2</v>
      </c>
      <c r="I684" s="1">
        <v>791</v>
      </c>
      <c r="J684" s="1">
        <v>1499</v>
      </c>
      <c r="K684" s="1">
        <v>0</v>
      </c>
      <c r="L684" s="1">
        <f>ROUNDDOWN(formatted_data[[#This Row],[Selling_Price]]*formatted_data[[#This Row],[Discount_%]]/100,0)</f>
        <v>0</v>
      </c>
      <c r="M684" s="1">
        <f>(formatted_data[[#This Row],[Selling_Price]]-formatted_data[[#This Row],[Discount_Amount]])*formatted_data[[#This Row],[Units]]</f>
        <v>2998</v>
      </c>
      <c r="N684" s="1">
        <f>formatted_data[[#This Row],[Total_Revenue]]-(formatted_data[[#This Row],[Cost_Price]]*formatted_data[[#This Row],[Units]])</f>
        <v>1416</v>
      </c>
      <c r="O684" s="1" t="s">
        <v>21</v>
      </c>
      <c r="P684"/>
    </row>
    <row r="685" spans="1:16" x14ac:dyDescent="0.35">
      <c r="A685" s="1" t="s">
        <v>91</v>
      </c>
      <c r="B685" s="1" t="s">
        <v>16</v>
      </c>
      <c r="C685" s="2">
        <v>45611</v>
      </c>
      <c r="D685" s="1" t="s">
        <v>28</v>
      </c>
      <c r="E685" s="1" t="s">
        <v>45</v>
      </c>
      <c r="F685" s="1" t="s">
        <v>19</v>
      </c>
      <c r="G685" s="1" t="s">
        <v>19</v>
      </c>
      <c r="H685" s="1">
        <v>1</v>
      </c>
      <c r="I685" s="1">
        <v>1488</v>
      </c>
      <c r="J685" s="1">
        <v>2299</v>
      </c>
      <c r="K685" s="1">
        <v>20</v>
      </c>
      <c r="L685" s="1">
        <f>ROUNDDOWN(formatted_data[[#This Row],[Selling_Price]]*formatted_data[[#This Row],[Discount_%]]/100,0)</f>
        <v>459</v>
      </c>
      <c r="M685" s="1">
        <f>(formatted_data[[#This Row],[Selling_Price]]-formatted_data[[#This Row],[Discount_Amount]])*formatted_data[[#This Row],[Units]]</f>
        <v>1840</v>
      </c>
      <c r="N685" s="1">
        <f>formatted_data[[#This Row],[Total_Revenue]]-(formatted_data[[#This Row],[Cost_Price]]*formatted_data[[#This Row],[Units]])</f>
        <v>352</v>
      </c>
      <c r="O685" s="1" t="s">
        <v>33</v>
      </c>
      <c r="P685"/>
    </row>
    <row r="686" spans="1:16" x14ac:dyDescent="0.35">
      <c r="A686" s="1" t="s">
        <v>68</v>
      </c>
      <c r="B686" s="1" t="s">
        <v>16</v>
      </c>
      <c r="C686" s="2">
        <v>45576</v>
      </c>
      <c r="D686" s="1" t="s">
        <v>31</v>
      </c>
      <c r="E686" s="1" t="s">
        <v>76</v>
      </c>
      <c r="F686" s="1" t="s">
        <v>25</v>
      </c>
      <c r="G686" s="1" t="s">
        <v>20</v>
      </c>
      <c r="H686" s="1">
        <v>3</v>
      </c>
      <c r="I686" s="1">
        <v>432</v>
      </c>
      <c r="J686" s="1">
        <v>799</v>
      </c>
      <c r="K686" s="1">
        <v>0</v>
      </c>
      <c r="L686" s="1">
        <f>ROUNDDOWN(formatted_data[[#This Row],[Selling_Price]]*formatted_data[[#This Row],[Discount_%]]/100,0)</f>
        <v>0</v>
      </c>
      <c r="M686" s="1">
        <f>(formatted_data[[#This Row],[Selling_Price]]-formatted_data[[#This Row],[Discount_Amount]])*formatted_data[[#This Row],[Units]]</f>
        <v>2397</v>
      </c>
      <c r="N686" s="1">
        <f>formatted_data[[#This Row],[Total_Revenue]]-(formatted_data[[#This Row],[Cost_Price]]*formatted_data[[#This Row],[Units]])</f>
        <v>1101</v>
      </c>
      <c r="O686" s="1" t="s">
        <v>33</v>
      </c>
      <c r="P686"/>
    </row>
    <row r="687" spans="1:16" x14ac:dyDescent="0.35">
      <c r="A687" s="1" t="s">
        <v>106</v>
      </c>
      <c r="B687" s="1" t="s">
        <v>27</v>
      </c>
      <c r="C687" s="2">
        <v>45620</v>
      </c>
      <c r="D687" s="1" t="s">
        <v>23</v>
      </c>
      <c r="E687" s="1" t="s">
        <v>24</v>
      </c>
      <c r="F687" s="1" t="s">
        <v>37</v>
      </c>
      <c r="G687" s="1" t="s">
        <v>20</v>
      </c>
      <c r="H687" s="1">
        <v>2</v>
      </c>
      <c r="I687" s="1">
        <v>785</v>
      </c>
      <c r="J687" s="1">
        <v>1499</v>
      </c>
      <c r="K687" s="1">
        <v>15</v>
      </c>
      <c r="L687" s="1">
        <f>ROUNDDOWN(formatted_data[[#This Row],[Selling_Price]]*formatted_data[[#This Row],[Discount_%]]/100,0)</f>
        <v>224</v>
      </c>
      <c r="M687" s="1">
        <f>(formatted_data[[#This Row],[Selling_Price]]-formatted_data[[#This Row],[Discount_Amount]])*formatted_data[[#This Row],[Units]]</f>
        <v>2550</v>
      </c>
      <c r="N687" s="1">
        <f>formatted_data[[#This Row],[Total_Revenue]]-(formatted_data[[#This Row],[Cost_Price]]*formatted_data[[#This Row],[Units]])</f>
        <v>980</v>
      </c>
      <c r="O687" s="1" t="s">
        <v>21</v>
      </c>
      <c r="P687"/>
    </row>
    <row r="688" spans="1:16" x14ac:dyDescent="0.35">
      <c r="A688" s="1" t="s">
        <v>40</v>
      </c>
      <c r="B688" s="1" t="s">
        <v>27</v>
      </c>
      <c r="C688" s="2">
        <v>45543</v>
      </c>
      <c r="D688" s="1" t="s">
        <v>28</v>
      </c>
      <c r="E688" s="1" t="s">
        <v>45</v>
      </c>
      <c r="F688" s="1" t="s">
        <v>25</v>
      </c>
      <c r="G688" s="1" t="s">
        <v>19</v>
      </c>
      <c r="H688" s="1">
        <v>5</v>
      </c>
      <c r="I688" s="1">
        <v>857</v>
      </c>
      <c r="J688" s="1">
        <v>1199</v>
      </c>
      <c r="K688" s="1">
        <v>15</v>
      </c>
      <c r="L688" s="1">
        <f>ROUNDDOWN(formatted_data[[#This Row],[Selling_Price]]*formatted_data[[#This Row],[Discount_%]]/100,0)</f>
        <v>179</v>
      </c>
      <c r="M688" s="1">
        <f>(formatted_data[[#This Row],[Selling_Price]]-formatted_data[[#This Row],[Discount_Amount]])*formatted_data[[#This Row],[Units]]</f>
        <v>5100</v>
      </c>
      <c r="N688" s="1">
        <f>formatted_data[[#This Row],[Total_Revenue]]-(formatted_data[[#This Row],[Cost_Price]]*formatted_data[[#This Row],[Units]])</f>
        <v>815</v>
      </c>
      <c r="O688" s="1" t="s">
        <v>21</v>
      </c>
      <c r="P688"/>
    </row>
    <row r="689" spans="1:16" x14ac:dyDescent="0.35">
      <c r="A689" s="1" t="s">
        <v>52</v>
      </c>
      <c r="B689" s="1" t="s">
        <v>27</v>
      </c>
      <c r="C689" s="2">
        <v>45479</v>
      </c>
      <c r="D689" s="1" t="s">
        <v>35</v>
      </c>
      <c r="E689" s="1" t="s">
        <v>36</v>
      </c>
      <c r="F689" s="1" t="s">
        <v>19</v>
      </c>
      <c r="G689" s="1" t="s">
        <v>19</v>
      </c>
      <c r="H689" s="1">
        <v>5</v>
      </c>
      <c r="I689" s="1">
        <v>348</v>
      </c>
      <c r="J689" s="1">
        <v>499</v>
      </c>
      <c r="K689" s="1">
        <v>10</v>
      </c>
      <c r="L689" s="1">
        <f>ROUNDDOWN(formatted_data[[#This Row],[Selling_Price]]*formatted_data[[#This Row],[Discount_%]]/100,0)</f>
        <v>49</v>
      </c>
      <c r="M689" s="1">
        <f>(formatted_data[[#This Row],[Selling_Price]]-formatted_data[[#This Row],[Discount_Amount]])*formatted_data[[#This Row],[Units]]</f>
        <v>2250</v>
      </c>
      <c r="N689" s="1">
        <f>formatted_data[[#This Row],[Total_Revenue]]-(formatted_data[[#This Row],[Cost_Price]]*formatted_data[[#This Row],[Units]])</f>
        <v>510</v>
      </c>
      <c r="O689" s="1" t="s">
        <v>21</v>
      </c>
      <c r="P689"/>
    </row>
    <row r="690" spans="1:16" x14ac:dyDescent="0.35">
      <c r="A690" s="1" t="s">
        <v>84</v>
      </c>
      <c r="B690" s="1" t="s">
        <v>27</v>
      </c>
      <c r="C690" s="2">
        <v>45505</v>
      </c>
      <c r="D690" s="1" t="s">
        <v>35</v>
      </c>
      <c r="E690" s="1" t="s">
        <v>41</v>
      </c>
      <c r="F690" s="1" t="s">
        <v>37</v>
      </c>
      <c r="G690" s="1" t="s">
        <v>20</v>
      </c>
      <c r="H690" s="1">
        <v>1</v>
      </c>
      <c r="I690" s="1">
        <v>380</v>
      </c>
      <c r="J690" s="1">
        <v>699</v>
      </c>
      <c r="K690" s="1">
        <v>20</v>
      </c>
      <c r="L690" s="1">
        <f>ROUNDDOWN(formatted_data[[#This Row],[Selling_Price]]*formatted_data[[#This Row],[Discount_%]]/100,0)</f>
        <v>139</v>
      </c>
      <c r="M690" s="1">
        <f>(formatted_data[[#This Row],[Selling_Price]]-formatted_data[[#This Row],[Discount_Amount]])*formatted_data[[#This Row],[Units]]</f>
        <v>560</v>
      </c>
      <c r="N690" s="1">
        <f>formatted_data[[#This Row],[Total_Revenue]]-(formatted_data[[#This Row],[Cost_Price]]*formatted_data[[#This Row],[Units]])</f>
        <v>180</v>
      </c>
      <c r="O690" s="1" t="s">
        <v>21</v>
      </c>
      <c r="P690"/>
    </row>
    <row r="691" spans="1:16" x14ac:dyDescent="0.35">
      <c r="A691" s="1" t="s">
        <v>105</v>
      </c>
      <c r="B691" s="1" t="s">
        <v>16</v>
      </c>
      <c r="C691" s="2">
        <v>45469</v>
      </c>
      <c r="D691" s="1" t="s">
        <v>23</v>
      </c>
      <c r="E691" s="1" t="s">
        <v>24</v>
      </c>
      <c r="F691" s="1" t="s">
        <v>37</v>
      </c>
      <c r="G691" s="1" t="s">
        <v>19</v>
      </c>
      <c r="H691" s="1">
        <v>2</v>
      </c>
      <c r="I691" s="1">
        <v>1200</v>
      </c>
      <c r="J691" s="1">
        <v>2199</v>
      </c>
      <c r="K691" s="1">
        <v>5</v>
      </c>
      <c r="L691" s="1">
        <f>ROUNDDOWN(formatted_data[[#This Row],[Selling_Price]]*formatted_data[[#This Row],[Discount_%]]/100,0)</f>
        <v>109</v>
      </c>
      <c r="M691" s="1">
        <f>(formatted_data[[#This Row],[Selling_Price]]-formatted_data[[#This Row],[Discount_Amount]])*formatted_data[[#This Row],[Units]]</f>
        <v>4180</v>
      </c>
      <c r="N691" s="1">
        <f>formatted_data[[#This Row],[Total_Revenue]]-(formatted_data[[#This Row],[Cost_Price]]*formatted_data[[#This Row],[Units]])</f>
        <v>1780</v>
      </c>
      <c r="O691" s="1" t="s">
        <v>21</v>
      </c>
      <c r="P691"/>
    </row>
    <row r="692" spans="1:16" x14ac:dyDescent="0.35">
      <c r="A692" s="1" t="s">
        <v>46</v>
      </c>
      <c r="B692" s="1" t="s">
        <v>16</v>
      </c>
      <c r="C692" s="2">
        <v>45494</v>
      </c>
      <c r="D692" s="1" t="s">
        <v>35</v>
      </c>
      <c r="E692" s="1" t="s">
        <v>41</v>
      </c>
      <c r="F692" s="1" t="s">
        <v>37</v>
      </c>
      <c r="G692" s="1" t="s">
        <v>20</v>
      </c>
      <c r="H692" s="1">
        <v>5</v>
      </c>
      <c r="I692" s="1">
        <v>687</v>
      </c>
      <c r="J692" s="1">
        <v>1099</v>
      </c>
      <c r="K692" s="1">
        <v>5</v>
      </c>
      <c r="L692" s="1">
        <f>ROUNDDOWN(formatted_data[[#This Row],[Selling_Price]]*formatted_data[[#This Row],[Discount_%]]/100,0)</f>
        <v>54</v>
      </c>
      <c r="M692" s="1">
        <f>(formatted_data[[#This Row],[Selling_Price]]-formatted_data[[#This Row],[Discount_Amount]])*formatted_data[[#This Row],[Units]]</f>
        <v>5225</v>
      </c>
      <c r="N692" s="1">
        <f>formatted_data[[#This Row],[Total_Revenue]]-(formatted_data[[#This Row],[Cost_Price]]*formatted_data[[#This Row],[Units]])</f>
        <v>1790</v>
      </c>
      <c r="O692" s="1" t="s">
        <v>21</v>
      </c>
      <c r="P692"/>
    </row>
    <row r="693" spans="1:16" x14ac:dyDescent="0.35">
      <c r="A693" s="1" t="s">
        <v>96</v>
      </c>
      <c r="B693" s="1" t="s">
        <v>16</v>
      </c>
      <c r="C693" s="2">
        <v>45646</v>
      </c>
      <c r="D693" s="1" t="s">
        <v>31</v>
      </c>
      <c r="E693" s="1" t="s">
        <v>32</v>
      </c>
      <c r="F693" s="1" t="s">
        <v>25</v>
      </c>
      <c r="G693" s="1" t="s">
        <v>20</v>
      </c>
      <c r="H693" s="1">
        <v>2</v>
      </c>
      <c r="I693" s="1">
        <v>471</v>
      </c>
      <c r="J693" s="1">
        <v>899</v>
      </c>
      <c r="K693" s="1">
        <v>0</v>
      </c>
      <c r="L693" s="1">
        <f>ROUNDDOWN(formatted_data[[#This Row],[Selling_Price]]*formatted_data[[#This Row],[Discount_%]]/100,0)</f>
        <v>0</v>
      </c>
      <c r="M693" s="1">
        <f>(formatted_data[[#This Row],[Selling_Price]]-formatted_data[[#This Row],[Discount_Amount]])*formatted_data[[#This Row],[Units]]</f>
        <v>1798</v>
      </c>
      <c r="N693" s="1">
        <f>formatted_data[[#This Row],[Total_Revenue]]-(formatted_data[[#This Row],[Cost_Price]]*formatted_data[[#This Row],[Units]])</f>
        <v>856</v>
      </c>
      <c r="O693" s="1" t="s">
        <v>21</v>
      </c>
      <c r="P693"/>
    </row>
    <row r="694" spans="1:16" x14ac:dyDescent="0.35">
      <c r="A694" s="1" t="s">
        <v>63</v>
      </c>
      <c r="B694" s="1" t="s">
        <v>27</v>
      </c>
      <c r="C694" s="2">
        <v>45515</v>
      </c>
      <c r="D694" s="1" t="s">
        <v>28</v>
      </c>
      <c r="E694" s="1" t="s">
        <v>45</v>
      </c>
      <c r="F694" s="1" t="s">
        <v>19</v>
      </c>
      <c r="G694" s="1" t="s">
        <v>19</v>
      </c>
      <c r="H694" s="1">
        <v>1</v>
      </c>
      <c r="I694" s="1">
        <v>897</v>
      </c>
      <c r="J694" s="1">
        <v>1699</v>
      </c>
      <c r="K694" s="1">
        <v>10</v>
      </c>
      <c r="L694" s="1">
        <f>ROUNDDOWN(formatted_data[[#This Row],[Selling_Price]]*formatted_data[[#This Row],[Discount_%]]/100,0)</f>
        <v>169</v>
      </c>
      <c r="M694" s="1">
        <f>(formatted_data[[#This Row],[Selling_Price]]-formatted_data[[#This Row],[Discount_Amount]])*formatted_data[[#This Row],[Units]]</f>
        <v>1530</v>
      </c>
      <c r="N694" s="1">
        <f>formatted_data[[#This Row],[Total_Revenue]]-(formatted_data[[#This Row],[Cost_Price]]*formatted_data[[#This Row],[Units]])</f>
        <v>633</v>
      </c>
      <c r="O694" s="1" t="s">
        <v>21</v>
      </c>
      <c r="P694"/>
    </row>
    <row r="695" spans="1:16" x14ac:dyDescent="0.35">
      <c r="A695" s="1" t="s">
        <v>63</v>
      </c>
      <c r="B695" s="1" t="s">
        <v>27</v>
      </c>
      <c r="C695" s="2">
        <v>45648</v>
      </c>
      <c r="D695" s="1" t="s">
        <v>17</v>
      </c>
      <c r="E695" s="1" t="s">
        <v>72</v>
      </c>
      <c r="F695" s="1" t="s">
        <v>19</v>
      </c>
      <c r="G695" s="1" t="s">
        <v>20</v>
      </c>
      <c r="H695" s="1">
        <v>4</v>
      </c>
      <c r="I695" s="1">
        <v>293</v>
      </c>
      <c r="J695" s="1">
        <v>399</v>
      </c>
      <c r="K695" s="1">
        <v>0</v>
      </c>
      <c r="L695" s="1">
        <f>ROUNDDOWN(formatted_data[[#This Row],[Selling_Price]]*formatted_data[[#This Row],[Discount_%]]/100,0)</f>
        <v>0</v>
      </c>
      <c r="M695" s="1">
        <f>(formatted_data[[#This Row],[Selling_Price]]-formatted_data[[#This Row],[Discount_Amount]])*formatted_data[[#This Row],[Units]]</f>
        <v>1596</v>
      </c>
      <c r="N695" s="1">
        <f>formatted_data[[#This Row],[Total_Revenue]]-(formatted_data[[#This Row],[Cost_Price]]*formatted_data[[#This Row],[Units]])</f>
        <v>424</v>
      </c>
      <c r="O695" s="1" t="s">
        <v>21</v>
      </c>
      <c r="P695"/>
    </row>
    <row r="696" spans="1:16" x14ac:dyDescent="0.35">
      <c r="A696" s="1" t="s">
        <v>80</v>
      </c>
      <c r="B696" s="1" t="s">
        <v>27</v>
      </c>
      <c r="C696" s="2">
        <v>45491</v>
      </c>
      <c r="D696" s="1" t="s">
        <v>35</v>
      </c>
      <c r="E696" s="1" t="s">
        <v>58</v>
      </c>
      <c r="F696" s="1" t="s">
        <v>37</v>
      </c>
      <c r="G696" s="1" t="s">
        <v>19</v>
      </c>
      <c r="H696" s="1">
        <v>4</v>
      </c>
      <c r="I696" s="1">
        <v>813</v>
      </c>
      <c r="J696" s="1">
        <v>1299</v>
      </c>
      <c r="K696" s="1">
        <v>20</v>
      </c>
      <c r="L696" s="1">
        <f>ROUNDDOWN(formatted_data[[#This Row],[Selling_Price]]*formatted_data[[#This Row],[Discount_%]]/100,0)</f>
        <v>259</v>
      </c>
      <c r="M696" s="1">
        <f>(formatted_data[[#This Row],[Selling_Price]]-formatted_data[[#This Row],[Discount_Amount]])*formatted_data[[#This Row],[Units]]</f>
        <v>4160</v>
      </c>
      <c r="N696" s="1">
        <f>formatted_data[[#This Row],[Total_Revenue]]-(formatted_data[[#This Row],[Cost_Price]]*formatted_data[[#This Row],[Units]])</f>
        <v>908</v>
      </c>
      <c r="O696" s="1" t="s">
        <v>21</v>
      </c>
      <c r="P696"/>
    </row>
    <row r="697" spans="1:16" x14ac:dyDescent="0.35">
      <c r="A697" s="1" t="s">
        <v>86</v>
      </c>
      <c r="B697" s="1" t="s">
        <v>27</v>
      </c>
      <c r="C697" s="2">
        <v>45454</v>
      </c>
      <c r="D697" s="1" t="s">
        <v>17</v>
      </c>
      <c r="E697" s="1" t="s">
        <v>18</v>
      </c>
      <c r="F697" s="1" t="s">
        <v>25</v>
      </c>
      <c r="G697" s="1" t="s">
        <v>20</v>
      </c>
      <c r="H697" s="1">
        <v>2</v>
      </c>
      <c r="I697" s="1">
        <v>313</v>
      </c>
      <c r="J697" s="1">
        <v>499</v>
      </c>
      <c r="K697" s="1">
        <v>0</v>
      </c>
      <c r="L697" s="1">
        <f>ROUNDDOWN(formatted_data[[#This Row],[Selling_Price]]*formatted_data[[#This Row],[Discount_%]]/100,0)</f>
        <v>0</v>
      </c>
      <c r="M697" s="1">
        <f>(formatted_data[[#This Row],[Selling_Price]]-formatted_data[[#This Row],[Discount_Amount]])*formatted_data[[#This Row],[Units]]</f>
        <v>998</v>
      </c>
      <c r="N697" s="1">
        <f>formatted_data[[#This Row],[Total_Revenue]]-(formatted_data[[#This Row],[Cost_Price]]*formatted_data[[#This Row],[Units]])</f>
        <v>372</v>
      </c>
      <c r="O697" s="1" t="s">
        <v>33</v>
      </c>
      <c r="P697"/>
    </row>
    <row r="698" spans="1:16" x14ac:dyDescent="0.35">
      <c r="A698" s="1" t="s">
        <v>68</v>
      </c>
      <c r="B698" s="1" t="s">
        <v>16</v>
      </c>
      <c r="C698" s="2">
        <v>45556</v>
      </c>
      <c r="D698" s="1" t="s">
        <v>31</v>
      </c>
      <c r="E698" s="1" t="s">
        <v>76</v>
      </c>
      <c r="F698" s="1" t="s">
        <v>37</v>
      </c>
      <c r="G698" s="1" t="s">
        <v>20</v>
      </c>
      <c r="H698" s="1">
        <v>3</v>
      </c>
      <c r="I698" s="1">
        <v>446</v>
      </c>
      <c r="J698" s="1">
        <v>799</v>
      </c>
      <c r="K698" s="1">
        <v>0</v>
      </c>
      <c r="L698" s="1">
        <f>ROUNDDOWN(formatted_data[[#This Row],[Selling_Price]]*formatted_data[[#This Row],[Discount_%]]/100,0)</f>
        <v>0</v>
      </c>
      <c r="M698" s="1">
        <f>(formatted_data[[#This Row],[Selling_Price]]-formatted_data[[#This Row],[Discount_Amount]])*formatted_data[[#This Row],[Units]]</f>
        <v>2397</v>
      </c>
      <c r="N698" s="1">
        <f>formatted_data[[#This Row],[Total_Revenue]]-(formatted_data[[#This Row],[Cost_Price]]*formatted_data[[#This Row],[Units]])</f>
        <v>1059</v>
      </c>
      <c r="O698" s="1" t="s">
        <v>21</v>
      </c>
      <c r="P698"/>
    </row>
    <row r="699" spans="1:16" x14ac:dyDescent="0.35">
      <c r="A699" s="1" t="s">
        <v>86</v>
      </c>
      <c r="B699" s="1" t="s">
        <v>27</v>
      </c>
      <c r="C699" s="2">
        <v>45620</v>
      </c>
      <c r="D699" s="1" t="s">
        <v>17</v>
      </c>
      <c r="E699" s="1" t="s">
        <v>18</v>
      </c>
      <c r="F699" s="1" t="s">
        <v>19</v>
      </c>
      <c r="G699" s="1" t="s">
        <v>19</v>
      </c>
      <c r="H699" s="1">
        <v>1</v>
      </c>
      <c r="I699" s="1">
        <v>226</v>
      </c>
      <c r="J699" s="1">
        <v>399</v>
      </c>
      <c r="K699" s="1">
        <v>0</v>
      </c>
      <c r="L699" s="1">
        <f>ROUNDDOWN(formatted_data[[#This Row],[Selling_Price]]*formatted_data[[#This Row],[Discount_%]]/100,0)</f>
        <v>0</v>
      </c>
      <c r="M699" s="1">
        <f>(formatted_data[[#This Row],[Selling_Price]]-formatted_data[[#This Row],[Discount_Amount]])*formatted_data[[#This Row],[Units]]</f>
        <v>399</v>
      </c>
      <c r="N699" s="1">
        <f>formatted_data[[#This Row],[Total_Revenue]]-(formatted_data[[#This Row],[Cost_Price]]*formatted_data[[#This Row],[Units]])</f>
        <v>173</v>
      </c>
      <c r="O699" s="1" t="s">
        <v>21</v>
      </c>
      <c r="P699"/>
    </row>
    <row r="700" spans="1:16" x14ac:dyDescent="0.35">
      <c r="A700" s="1" t="s">
        <v>64</v>
      </c>
      <c r="B700" s="1" t="s">
        <v>16</v>
      </c>
      <c r="C700" s="2">
        <v>45514</v>
      </c>
      <c r="D700" s="1" t="s">
        <v>35</v>
      </c>
      <c r="E700" s="1" t="s">
        <v>36</v>
      </c>
      <c r="F700" s="1" t="s">
        <v>37</v>
      </c>
      <c r="G700" s="1" t="s">
        <v>19</v>
      </c>
      <c r="H700" s="1">
        <v>5</v>
      </c>
      <c r="I700" s="1">
        <v>283</v>
      </c>
      <c r="J700" s="1">
        <v>499</v>
      </c>
      <c r="K700" s="1">
        <v>10</v>
      </c>
      <c r="L700" s="1">
        <f>ROUNDDOWN(formatted_data[[#This Row],[Selling_Price]]*formatted_data[[#This Row],[Discount_%]]/100,0)</f>
        <v>49</v>
      </c>
      <c r="M700" s="1">
        <f>(formatted_data[[#This Row],[Selling_Price]]-formatted_data[[#This Row],[Discount_Amount]])*formatted_data[[#This Row],[Units]]</f>
        <v>2250</v>
      </c>
      <c r="N700" s="1">
        <f>formatted_data[[#This Row],[Total_Revenue]]-(formatted_data[[#This Row],[Cost_Price]]*formatted_data[[#This Row],[Units]])</f>
        <v>835</v>
      </c>
      <c r="O700" s="1" t="s">
        <v>21</v>
      </c>
      <c r="P700"/>
    </row>
    <row r="701" spans="1:16" x14ac:dyDescent="0.35">
      <c r="A701" s="1" t="s">
        <v>101</v>
      </c>
      <c r="B701" s="1" t="s">
        <v>16</v>
      </c>
      <c r="C701" s="2">
        <v>45479</v>
      </c>
      <c r="D701" s="1" t="s">
        <v>35</v>
      </c>
      <c r="E701" s="1" t="s">
        <v>41</v>
      </c>
      <c r="F701" s="1" t="s">
        <v>19</v>
      </c>
      <c r="G701" s="1" t="s">
        <v>19</v>
      </c>
      <c r="H701" s="1">
        <v>1</v>
      </c>
      <c r="I701" s="1">
        <v>361</v>
      </c>
      <c r="J701" s="1">
        <v>599</v>
      </c>
      <c r="K701" s="1">
        <v>10</v>
      </c>
      <c r="L701" s="1">
        <f>ROUNDDOWN(formatted_data[[#This Row],[Selling_Price]]*formatted_data[[#This Row],[Discount_%]]/100,0)</f>
        <v>59</v>
      </c>
      <c r="M701" s="1">
        <f>(formatted_data[[#This Row],[Selling_Price]]-formatted_data[[#This Row],[Discount_Amount]])*formatted_data[[#This Row],[Units]]</f>
        <v>540</v>
      </c>
      <c r="N701" s="1">
        <f>formatted_data[[#This Row],[Total_Revenue]]-(formatted_data[[#This Row],[Cost_Price]]*formatted_data[[#This Row],[Units]])</f>
        <v>179</v>
      </c>
      <c r="O701" s="1" t="s">
        <v>21</v>
      </c>
      <c r="P701"/>
    </row>
    <row r="702" spans="1:16" x14ac:dyDescent="0.35">
      <c r="A702" s="1" t="s">
        <v>22</v>
      </c>
      <c r="B702" s="1" t="s">
        <v>16</v>
      </c>
      <c r="C702" s="2">
        <v>45577</v>
      </c>
      <c r="D702" s="1" t="s">
        <v>23</v>
      </c>
      <c r="E702" s="1" t="s">
        <v>24</v>
      </c>
      <c r="F702" s="1" t="s">
        <v>37</v>
      </c>
      <c r="G702" s="1" t="s">
        <v>19</v>
      </c>
      <c r="H702" s="1">
        <v>1</v>
      </c>
      <c r="I702" s="1">
        <v>1192</v>
      </c>
      <c r="J702" s="1">
        <v>1899</v>
      </c>
      <c r="K702" s="1">
        <v>20</v>
      </c>
      <c r="L702" s="1">
        <f>ROUNDDOWN(formatted_data[[#This Row],[Selling_Price]]*formatted_data[[#This Row],[Discount_%]]/100,0)</f>
        <v>379</v>
      </c>
      <c r="M702" s="1">
        <f>(formatted_data[[#This Row],[Selling_Price]]-formatted_data[[#This Row],[Discount_Amount]])*formatted_data[[#This Row],[Units]]</f>
        <v>1520</v>
      </c>
      <c r="N702" s="1">
        <f>formatted_data[[#This Row],[Total_Revenue]]-(formatted_data[[#This Row],[Cost_Price]]*formatted_data[[#This Row],[Units]])</f>
        <v>328</v>
      </c>
      <c r="O702" s="1" t="s">
        <v>33</v>
      </c>
      <c r="P702"/>
    </row>
    <row r="703" spans="1:16" x14ac:dyDescent="0.35">
      <c r="A703" s="1" t="s">
        <v>64</v>
      </c>
      <c r="B703" s="1" t="s">
        <v>16</v>
      </c>
      <c r="C703" s="2">
        <v>45493</v>
      </c>
      <c r="D703" s="1" t="s">
        <v>17</v>
      </c>
      <c r="E703" s="1" t="s">
        <v>55</v>
      </c>
      <c r="F703" s="1" t="s">
        <v>25</v>
      </c>
      <c r="G703" s="1" t="s">
        <v>20</v>
      </c>
      <c r="H703" s="1">
        <v>4</v>
      </c>
      <c r="I703" s="1">
        <v>376</v>
      </c>
      <c r="J703" s="1">
        <v>699</v>
      </c>
      <c r="K703" s="1">
        <v>0</v>
      </c>
      <c r="L703" s="1">
        <f>ROUNDDOWN(formatted_data[[#This Row],[Selling_Price]]*formatted_data[[#This Row],[Discount_%]]/100,0)</f>
        <v>0</v>
      </c>
      <c r="M703" s="1">
        <f>(formatted_data[[#This Row],[Selling_Price]]-formatted_data[[#This Row],[Discount_Amount]])*formatted_data[[#This Row],[Units]]</f>
        <v>2796</v>
      </c>
      <c r="N703" s="1">
        <f>formatted_data[[#This Row],[Total_Revenue]]-(formatted_data[[#This Row],[Cost_Price]]*formatted_data[[#This Row],[Units]])</f>
        <v>1292</v>
      </c>
      <c r="O703" s="1" t="s">
        <v>21</v>
      </c>
      <c r="P703"/>
    </row>
    <row r="704" spans="1:16" x14ac:dyDescent="0.35">
      <c r="A704" s="1" t="s">
        <v>79</v>
      </c>
      <c r="B704" s="1" t="s">
        <v>16</v>
      </c>
      <c r="C704" s="2">
        <v>45485</v>
      </c>
      <c r="D704" s="1" t="s">
        <v>23</v>
      </c>
      <c r="E704" s="1" t="s">
        <v>24</v>
      </c>
      <c r="F704" s="1" t="s">
        <v>19</v>
      </c>
      <c r="G704" s="1" t="s">
        <v>19</v>
      </c>
      <c r="H704" s="1">
        <v>1</v>
      </c>
      <c r="I704" s="1">
        <v>686</v>
      </c>
      <c r="J704" s="1">
        <v>999</v>
      </c>
      <c r="K704" s="1">
        <v>15</v>
      </c>
      <c r="L704" s="1">
        <f>ROUNDDOWN(formatted_data[[#This Row],[Selling_Price]]*formatted_data[[#This Row],[Discount_%]]/100,0)</f>
        <v>149</v>
      </c>
      <c r="M704" s="1">
        <f>(formatted_data[[#This Row],[Selling_Price]]-formatted_data[[#This Row],[Discount_Amount]])*formatted_data[[#This Row],[Units]]</f>
        <v>850</v>
      </c>
      <c r="N704" s="1">
        <f>formatted_data[[#This Row],[Total_Revenue]]-(formatted_data[[#This Row],[Cost_Price]]*formatted_data[[#This Row],[Units]])</f>
        <v>164</v>
      </c>
      <c r="O704" s="1" t="s">
        <v>21</v>
      </c>
      <c r="P704"/>
    </row>
    <row r="705" spans="1:16" x14ac:dyDescent="0.35">
      <c r="A705" s="1" t="s">
        <v>66</v>
      </c>
      <c r="B705" s="1" t="s">
        <v>27</v>
      </c>
      <c r="C705" s="2">
        <v>45532</v>
      </c>
      <c r="D705" s="1" t="s">
        <v>23</v>
      </c>
      <c r="E705" s="1" t="s">
        <v>24</v>
      </c>
      <c r="F705" s="1" t="s">
        <v>25</v>
      </c>
      <c r="G705" s="1" t="s">
        <v>19</v>
      </c>
      <c r="H705" s="1">
        <v>2</v>
      </c>
      <c r="I705" s="1">
        <v>1543</v>
      </c>
      <c r="J705" s="1">
        <v>2199</v>
      </c>
      <c r="K705" s="1">
        <v>5</v>
      </c>
      <c r="L705" s="1">
        <f>ROUNDDOWN(formatted_data[[#This Row],[Selling_Price]]*formatted_data[[#This Row],[Discount_%]]/100,0)</f>
        <v>109</v>
      </c>
      <c r="M705" s="1">
        <f>(formatted_data[[#This Row],[Selling_Price]]-formatted_data[[#This Row],[Discount_Amount]])*formatted_data[[#This Row],[Units]]</f>
        <v>4180</v>
      </c>
      <c r="N705" s="1">
        <f>formatted_data[[#This Row],[Total_Revenue]]-(formatted_data[[#This Row],[Cost_Price]]*formatted_data[[#This Row],[Units]])</f>
        <v>1094</v>
      </c>
      <c r="O705" s="1" t="s">
        <v>33</v>
      </c>
      <c r="P705"/>
    </row>
    <row r="706" spans="1:16" x14ac:dyDescent="0.35">
      <c r="A706" s="1" t="s">
        <v>84</v>
      </c>
      <c r="B706" s="1" t="s">
        <v>27</v>
      </c>
      <c r="C706" s="2">
        <v>45470</v>
      </c>
      <c r="D706" s="1" t="s">
        <v>28</v>
      </c>
      <c r="E706" s="1" t="s">
        <v>45</v>
      </c>
      <c r="F706" s="1" t="s">
        <v>25</v>
      </c>
      <c r="G706" s="1" t="s">
        <v>20</v>
      </c>
      <c r="H706" s="1">
        <v>1</v>
      </c>
      <c r="I706" s="1">
        <v>838</v>
      </c>
      <c r="J706" s="1">
        <v>1499</v>
      </c>
      <c r="K706" s="1">
        <v>20</v>
      </c>
      <c r="L706" s="1">
        <f>ROUNDDOWN(formatted_data[[#This Row],[Selling_Price]]*formatted_data[[#This Row],[Discount_%]]/100,0)</f>
        <v>299</v>
      </c>
      <c r="M706" s="1">
        <f>(formatted_data[[#This Row],[Selling_Price]]-formatted_data[[#This Row],[Discount_Amount]])*formatted_data[[#This Row],[Units]]</f>
        <v>1200</v>
      </c>
      <c r="N706" s="1">
        <f>formatted_data[[#This Row],[Total_Revenue]]-(formatted_data[[#This Row],[Cost_Price]]*formatted_data[[#This Row],[Units]])</f>
        <v>362</v>
      </c>
      <c r="O706" s="1" t="s">
        <v>21</v>
      </c>
      <c r="P706"/>
    </row>
    <row r="707" spans="1:16" x14ac:dyDescent="0.35">
      <c r="A707" s="1" t="s">
        <v>73</v>
      </c>
      <c r="B707" s="1" t="s">
        <v>16</v>
      </c>
      <c r="C707" s="2">
        <v>45471</v>
      </c>
      <c r="D707" s="1" t="s">
        <v>17</v>
      </c>
      <c r="E707" s="1" t="s">
        <v>18</v>
      </c>
      <c r="F707" s="1" t="s">
        <v>25</v>
      </c>
      <c r="G707" s="1" t="s">
        <v>20</v>
      </c>
      <c r="H707" s="1">
        <v>4</v>
      </c>
      <c r="I707" s="1">
        <v>201</v>
      </c>
      <c r="J707" s="1">
        <v>299</v>
      </c>
      <c r="K707" s="1">
        <v>0</v>
      </c>
      <c r="L707" s="1">
        <f>ROUNDDOWN(formatted_data[[#This Row],[Selling_Price]]*formatted_data[[#This Row],[Discount_%]]/100,0)</f>
        <v>0</v>
      </c>
      <c r="M707" s="1">
        <f>(formatted_data[[#This Row],[Selling_Price]]-formatted_data[[#This Row],[Discount_Amount]])*formatted_data[[#This Row],[Units]]</f>
        <v>1196</v>
      </c>
      <c r="N707" s="1">
        <f>formatted_data[[#This Row],[Total_Revenue]]-(formatted_data[[#This Row],[Cost_Price]]*formatted_data[[#This Row],[Units]])</f>
        <v>392</v>
      </c>
      <c r="O707" s="1" t="s">
        <v>21</v>
      </c>
      <c r="P707"/>
    </row>
    <row r="708" spans="1:16" x14ac:dyDescent="0.35">
      <c r="A708" s="1" t="s">
        <v>95</v>
      </c>
      <c r="B708" s="1" t="s">
        <v>27</v>
      </c>
      <c r="C708" s="2">
        <v>45657</v>
      </c>
      <c r="D708" s="1" t="s">
        <v>17</v>
      </c>
      <c r="E708" s="1" t="s">
        <v>55</v>
      </c>
      <c r="F708" s="1" t="s">
        <v>25</v>
      </c>
      <c r="G708" s="1" t="s">
        <v>20</v>
      </c>
      <c r="H708" s="1">
        <v>2</v>
      </c>
      <c r="I708" s="1">
        <v>364</v>
      </c>
      <c r="J708" s="1">
        <v>599</v>
      </c>
      <c r="K708" s="1">
        <v>0</v>
      </c>
      <c r="L708" s="1">
        <f>ROUNDDOWN(formatted_data[[#This Row],[Selling_Price]]*formatted_data[[#This Row],[Discount_%]]/100,0)</f>
        <v>0</v>
      </c>
      <c r="M708" s="1">
        <f>(formatted_data[[#This Row],[Selling_Price]]-formatted_data[[#This Row],[Discount_Amount]])*formatted_data[[#This Row],[Units]]</f>
        <v>1198</v>
      </c>
      <c r="N708" s="1">
        <f>formatted_data[[#This Row],[Total_Revenue]]-(formatted_data[[#This Row],[Cost_Price]]*formatted_data[[#This Row],[Units]])</f>
        <v>470</v>
      </c>
      <c r="O708" s="1" t="s">
        <v>33</v>
      </c>
      <c r="P708"/>
    </row>
    <row r="709" spans="1:16" x14ac:dyDescent="0.35">
      <c r="A709" s="1" t="s">
        <v>51</v>
      </c>
      <c r="B709" s="1" t="s">
        <v>16</v>
      </c>
      <c r="C709" s="2">
        <v>45549</v>
      </c>
      <c r="D709" s="1" t="s">
        <v>35</v>
      </c>
      <c r="E709" s="1" t="s">
        <v>41</v>
      </c>
      <c r="F709" s="1" t="s">
        <v>19</v>
      </c>
      <c r="G709" s="1" t="s">
        <v>19</v>
      </c>
      <c r="H709" s="1">
        <v>1</v>
      </c>
      <c r="I709" s="1">
        <v>640</v>
      </c>
      <c r="J709" s="1">
        <v>899</v>
      </c>
      <c r="K709" s="1">
        <v>5</v>
      </c>
      <c r="L709" s="1">
        <f>ROUNDDOWN(formatted_data[[#This Row],[Selling_Price]]*formatted_data[[#This Row],[Discount_%]]/100,0)</f>
        <v>44</v>
      </c>
      <c r="M709" s="1">
        <f>(formatted_data[[#This Row],[Selling_Price]]-formatted_data[[#This Row],[Discount_Amount]])*formatted_data[[#This Row],[Units]]</f>
        <v>855</v>
      </c>
      <c r="N709" s="1">
        <f>formatted_data[[#This Row],[Total_Revenue]]-(formatted_data[[#This Row],[Cost_Price]]*formatted_data[[#This Row],[Units]])</f>
        <v>215</v>
      </c>
      <c r="O709" s="1" t="s">
        <v>21</v>
      </c>
      <c r="P709"/>
    </row>
    <row r="710" spans="1:16" x14ac:dyDescent="0.35">
      <c r="A710" s="1" t="s">
        <v>70</v>
      </c>
      <c r="B710" s="1" t="s">
        <v>27</v>
      </c>
      <c r="C710" s="2">
        <v>45536</v>
      </c>
      <c r="D710" s="1" t="s">
        <v>17</v>
      </c>
      <c r="E710" s="1" t="s">
        <v>48</v>
      </c>
      <c r="F710" s="1" t="s">
        <v>37</v>
      </c>
      <c r="G710" s="1" t="s">
        <v>20</v>
      </c>
      <c r="H710" s="1">
        <v>1</v>
      </c>
      <c r="I710" s="1">
        <v>219</v>
      </c>
      <c r="J710" s="1">
        <v>399</v>
      </c>
      <c r="K710" s="1">
        <v>0</v>
      </c>
      <c r="L710" s="1">
        <f>ROUNDDOWN(formatted_data[[#This Row],[Selling_Price]]*formatted_data[[#This Row],[Discount_%]]/100,0)</f>
        <v>0</v>
      </c>
      <c r="M710" s="1">
        <f>(formatted_data[[#This Row],[Selling_Price]]-formatted_data[[#This Row],[Discount_Amount]])*formatted_data[[#This Row],[Units]]</f>
        <v>399</v>
      </c>
      <c r="N710" s="1">
        <f>formatted_data[[#This Row],[Total_Revenue]]-(formatted_data[[#This Row],[Cost_Price]]*formatted_data[[#This Row],[Units]])</f>
        <v>180</v>
      </c>
      <c r="O710" s="1" t="s">
        <v>21</v>
      </c>
      <c r="P710"/>
    </row>
    <row r="711" spans="1:16" x14ac:dyDescent="0.35">
      <c r="A711" s="1" t="s">
        <v>67</v>
      </c>
      <c r="B711" s="1" t="s">
        <v>27</v>
      </c>
      <c r="C711" s="2">
        <v>45518</v>
      </c>
      <c r="D711" s="1" t="s">
        <v>35</v>
      </c>
      <c r="E711" s="1" t="s">
        <v>36</v>
      </c>
      <c r="F711" s="1" t="s">
        <v>37</v>
      </c>
      <c r="G711" s="1" t="s">
        <v>19</v>
      </c>
      <c r="H711" s="1">
        <v>2</v>
      </c>
      <c r="I711" s="1">
        <v>397</v>
      </c>
      <c r="J711" s="1">
        <v>599</v>
      </c>
      <c r="K711" s="1">
        <v>5</v>
      </c>
      <c r="L711" s="1">
        <f>ROUNDDOWN(formatted_data[[#This Row],[Selling_Price]]*formatted_data[[#This Row],[Discount_%]]/100,0)</f>
        <v>29</v>
      </c>
      <c r="M711" s="1">
        <f>(formatted_data[[#This Row],[Selling_Price]]-formatted_data[[#This Row],[Discount_Amount]])*formatted_data[[#This Row],[Units]]</f>
        <v>1140</v>
      </c>
      <c r="N711" s="1">
        <f>formatted_data[[#This Row],[Total_Revenue]]-(formatted_data[[#This Row],[Cost_Price]]*formatted_data[[#This Row],[Units]])</f>
        <v>346</v>
      </c>
      <c r="O711" s="1" t="s">
        <v>21</v>
      </c>
      <c r="P711"/>
    </row>
    <row r="712" spans="1:16" x14ac:dyDescent="0.35">
      <c r="A712" s="1" t="s">
        <v>61</v>
      </c>
      <c r="B712" s="1" t="s">
        <v>27</v>
      </c>
      <c r="C712" s="2">
        <v>45480</v>
      </c>
      <c r="D712" s="1" t="s">
        <v>28</v>
      </c>
      <c r="E712" s="1" t="s">
        <v>29</v>
      </c>
      <c r="F712" s="1" t="s">
        <v>25</v>
      </c>
      <c r="G712" s="1" t="s">
        <v>20</v>
      </c>
      <c r="H712" s="1">
        <v>2</v>
      </c>
      <c r="I712" s="1">
        <v>374</v>
      </c>
      <c r="J712" s="1">
        <v>599</v>
      </c>
      <c r="K712" s="1">
        <v>20</v>
      </c>
      <c r="L712" s="1">
        <f>ROUNDDOWN(formatted_data[[#This Row],[Selling_Price]]*formatted_data[[#This Row],[Discount_%]]/100,0)</f>
        <v>119</v>
      </c>
      <c r="M712" s="1">
        <f>(formatted_data[[#This Row],[Selling_Price]]-formatted_data[[#This Row],[Discount_Amount]])*formatted_data[[#This Row],[Units]]</f>
        <v>960</v>
      </c>
      <c r="N712" s="1">
        <f>formatted_data[[#This Row],[Total_Revenue]]-(formatted_data[[#This Row],[Cost_Price]]*formatted_data[[#This Row],[Units]])</f>
        <v>212</v>
      </c>
      <c r="O712" s="1" t="s">
        <v>21</v>
      </c>
      <c r="P712"/>
    </row>
    <row r="713" spans="1:16" x14ac:dyDescent="0.35">
      <c r="A713" s="1" t="s">
        <v>82</v>
      </c>
      <c r="B713" s="1" t="s">
        <v>27</v>
      </c>
      <c r="C713" s="2">
        <v>45473</v>
      </c>
      <c r="D713" s="1" t="s">
        <v>31</v>
      </c>
      <c r="E713" s="1" t="s">
        <v>32</v>
      </c>
      <c r="F713" s="1" t="s">
        <v>37</v>
      </c>
      <c r="G713" s="1" t="s">
        <v>20</v>
      </c>
      <c r="H713" s="1">
        <v>2</v>
      </c>
      <c r="I713" s="1">
        <v>1079</v>
      </c>
      <c r="J713" s="1">
        <v>1499</v>
      </c>
      <c r="K713" s="1">
        <v>0</v>
      </c>
      <c r="L713" s="1">
        <f>ROUNDDOWN(formatted_data[[#This Row],[Selling_Price]]*formatted_data[[#This Row],[Discount_%]]/100,0)</f>
        <v>0</v>
      </c>
      <c r="M713" s="1">
        <f>(formatted_data[[#This Row],[Selling_Price]]-formatted_data[[#This Row],[Discount_Amount]])*formatted_data[[#This Row],[Units]]</f>
        <v>2998</v>
      </c>
      <c r="N713" s="1">
        <f>formatted_data[[#This Row],[Total_Revenue]]-(formatted_data[[#This Row],[Cost_Price]]*formatted_data[[#This Row],[Units]])</f>
        <v>840</v>
      </c>
      <c r="O713" s="1" t="s">
        <v>21</v>
      </c>
      <c r="P713"/>
    </row>
    <row r="714" spans="1:16" x14ac:dyDescent="0.35">
      <c r="A714" s="1" t="s">
        <v>102</v>
      </c>
      <c r="B714" s="1" t="s">
        <v>27</v>
      </c>
      <c r="C714" s="2">
        <v>45506</v>
      </c>
      <c r="D714" s="1" t="s">
        <v>31</v>
      </c>
      <c r="E714" s="1" t="s">
        <v>32</v>
      </c>
      <c r="F714" s="1" t="s">
        <v>37</v>
      </c>
      <c r="G714" s="1" t="s">
        <v>20</v>
      </c>
      <c r="H714" s="1">
        <v>1</v>
      </c>
      <c r="I714" s="1">
        <v>723</v>
      </c>
      <c r="J714" s="1">
        <v>1199</v>
      </c>
      <c r="K714" s="1">
        <v>0</v>
      </c>
      <c r="L714" s="1">
        <f>ROUNDDOWN(formatted_data[[#This Row],[Selling_Price]]*formatted_data[[#This Row],[Discount_%]]/100,0)</f>
        <v>0</v>
      </c>
      <c r="M714" s="1">
        <f>(formatted_data[[#This Row],[Selling_Price]]-formatted_data[[#This Row],[Discount_Amount]])*formatted_data[[#This Row],[Units]]</f>
        <v>1199</v>
      </c>
      <c r="N714" s="1">
        <f>formatted_data[[#This Row],[Total_Revenue]]-(formatted_data[[#This Row],[Cost_Price]]*formatted_data[[#This Row],[Units]])</f>
        <v>476</v>
      </c>
      <c r="O714" s="1" t="s">
        <v>21</v>
      </c>
      <c r="P714"/>
    </row>
    <row r="715" spans="1:16" x14ac:dyDescent="0.35">
      <c r="A715" s="1" t="s">
        <v>102</v>
      </c>
      <c r="B715" s="1" t="s">
        <v>27</v>
      </c>
      <c r="C715" s="2">
        <v>45452</v>
      </c>
      <c r="D715" s="1" t="s">
        <v>28</v>
      </c>
      <c r="E715" s="1" t="s">
        <v>45</v>
      </c>
      <c r="F715" s="1" t="s">
        <v>19</v>
      </c>
      <c r="G715" s="1" t="s">
        <v>20</v>
      </c>
      <c r="H715" s="1">
        <v>1</v>
      </c>
      <c r="I715" s="1">
        <v>535</v>
      </c>
      <c r="J715" s="1">
        <v>999</v>
      </c>
      <c r="K715" s="1">
        <v>15</v>
      </c>
      <c r="L715" s="1">
        <f>ROUNDDOWN(formatted_data[[#This Row],[Selling_Price]]*formatted_data[[#This Row],[Discount_%]]/100,0)</f>
        <v>149</v>
      </c>
      <c r="M715" s="1">
        <f>(formatted_data[[#This Row],[Selling_Price]]-formatted_data[[#This Row],[Discount_Amount]])*formatted_data[[#This Row],[Units]]</f>
        <v>850</v>
      </c>
      <c r="N715" s="1">
        <f>formatted_data[[#This Row],[Total_Revenue]]-(formatted_data[[#This Row],[Cost_Price]]*formatted_data[[#This Row],[Units]])</f>
        <v>315</v>
      </c>
      <c r="O715" s="1" t="s">
        <v>21</v>
      </c>
      <c r="P715"/>
    </row>
    <row r="716" spans="1:16" x14ac:dyDescent="0.35">
      <c r="A716" s="1" t="s">
        <v>77</v>
      </c>
      <c r="B716" s="1" t="s">
        <v>27</v>
      </c>
      <c r="C716" s="2">
        <v>45579</v>
      </c>
      <c r="D716" s="1" t="s">
        <v>23</v>
      </c>
      <c r="E716" s="1" t="s">
        <v>24</v>
      </c>
      <c r="F716" s="1" t="s">
        <v>25</v>
      </c>
      <c r="G716" s="1" t="s">
        <v>20</v>
      </c>
      <c r="H716" s="1">
        <v>5</v>
      </c>
      <c r="I716" s="1">
        <v>797</v>
      </c>
      <c r="J716" s="1">
        <v>1299</v>
      </c>
      <c r="K716" s="1">
        <v>5</v>
      </c>
      <c r="L716" s="1">
        <f>ROUNDDOWN(formatted_data[[#This Row],[Selling_Price]]*formatted_data[[#This Row],[Discount_%]]/100,0)</f>
        <v>64</v>
      </c>
      <c r="M716" s="1">
        <f>(formatted_data[[#This Row],[Selling_Price]]-formatted_data[[#This Row],[Discount_Amount]])*formatted_data[[#This Row],[Units]]</f>
        <v>6175</v>
      </c>
      <c r="N716" s="1">
        <f>formatted_data[[#This Row],[Total_Revenue]]-(formatted_data[[#This Row],[Cost_Price]]*formatted_data[[#This Row],[Units]])</f>
        <v>2190</v>
      </c>
      <c r="O716" s="1" t="s">
        <v>21</v>
      </c>
      <c r="P716"/>
    </row>
    <row r="717" spans="1:16" x14ac:dyDescent="0.35">
      <c r="A717" s="1" t="s">
        <v>93</v>
      </c>
      <c r="B717" s="1" t="s">
        <v>16</v>
      </c>
      <c r="C717" s="2">
        <v>45515</v>
      </c>
      <c r="D717" s="1" t="s">
        <v>23</v>
      </c>
      <c r="E717" s="1" t="s">
        <v>43</v>
      </c>
      <c r="F717" s="1" t="s">
        <v>19</v>
      </c>
      <c r="G717" s="1" t="s">
        <v>19</v>
      </c>
      <c r="H717" s="1">
        <v>1</v>
      </c>
      <c r="I717" s="1">
        <v>1887</v>
      </c>
      <c r="J717" s="1">
        <v>2799</v>
      </c>
      <c r="K717" s="1">
        <v>20</v>
      </c>
      <c r="L717" s="1">
        <f>ROUNDDOWN(formatted_data[[#This Row],[Selling_Price]]*formatted_data[[#This Row],[Discount_%]]/100,0)</f>
        <v>559</v>
      </c>
      <c r="M717" s="1">
        <f>(formatted_data[[#This Row],[Selling_Price]]-formatted_data[[#This Row],[Discount_Amount]])*formatted_data[[#This Row],[Units]]</f>
        <v>2240</v>
      </c>
      <c r="N717" s="1">
        <f>formatted_data[[#This Row],[Total_Revenue]]-(formatted_data[[#This Row],[Cost_Price]]*formatted_data[[#This Row],[Units]])</f>
        <v>353</v>
      </c>
      <c r="O717" s="1" t="s">
        <v>33</v>
      </c>
      <c r="P717"/>
    </row>
    <row r="718" spans="1:16" x14ac:dyDescent="0.35">
      <c r="A718" s="1" t="s">
        <v>46</v>
      </c>
      <c r="B718" s="1" t="s">
        <v>16</v>
      </c>
      <c r="C718" s="2">
        <v>45536</v>
      </c>
      <c r="D718" s="1" t="s">
        <v>31</v>
      </c>
      <c r="E718" s="1" t="s">
        <v>32</v>
      </c>
      <c r="F718" s="1" t="s">
        <v>37</v>
      </c>
      <c r="G718" s="1" t="s">
        <v>19</v>
      </c>
      <c r="H718" s="1">
        <v>1</v>
      </c>
      <c r="I718" s="1">
        <v>602</v>
      </c>
      <c r="J718" s="1">
        <v>1199</v>
      </c>
      <c r="K718" s="1">
        <v>0</v>
      </c>
      <c r="L718" s="1">
        <f>ROUNDDOWN(formatted_data[[#This Row],[Selling_Price]]*formatted_data[[#This Row],[Discount_%]]/100,0)</f>
        <v>0</v>
      </c>
      <c r="M718" s="1">
        <f>(formatted_data[[#This Row],[Selling_Price]]-formatted_data[[#This Row],[Discount_Amount]])*formatted_data[[#This Row],[Units]]</f>
        <v>1199</v>
      </c>
      <c r="N718" s="1">
        <f>formatted_data[[#This Row],[Total_Revenue]]-(formatted_data[[#This Row],[Cost_Price]]*formatted_data[[#This Row],[Units]])</f>
        <v>597</v>
      </c>
      <c r="O718" s="1" t="s">
        <v>21</v>
      </c>
      <c r="P718"/>
    </row>
    <row r="719" spans="1:16" x14ac:dyDescent="0.35">
      <c r="A719" s="1" t="s">
        <v>75</v>
      </c>
      <c r="B719" s="1" t="s">
        <v>27</v>
      </c>
      <c r="C719" s="2">
        <v>45551</v>
      </c>
      <c r="D719" s="1" t="s">
        <v>23</v>
      </c>
      <c r="E719" s="1" t="s">
        <v>24</v>
      </c>
      <c r="F719" s="1" t="s">
        <v>25</v>
      </c>
      <c r="G719" s="1" t="s">
        <v>19</v>
      </c>
      <c r="H719" s="1">
        <v>2</v>
      </c>
      <c r="I719" s="1">
        <v>1003</v>
      </c>
      <c r="J719" s="1">
        <v>1499</v>
      </c>
      <c r="K719" s="1">
        <v>20</v>
      </c>
      <c r="L719" s="1">
        <f>ROUNDDOWN(formatted_data[[#This Row],[Selling_Price]]*formatted_data[[#This Row],[Discount_%]]/100,0)</f>
        <v>299</v>
      </c>
      <c r="M719" s="1">
        <f>(formatted_data[[#This Row],[Selling_Price]]-formatted_data[[#This Row],[Discount_Amount]])*formatted_data[[#This Row],[Units]]</f>
        <v>2400</v>
      </c>
      <c r="N719" s="1">
        <f>formatted_data[[#This Row],[Total_Revenue]]-(formatted_data[[#This Row],[Cost_Price]]*formatted_data[[#This Row],[Units]])</f>
        <v>394</v>
      </c>
      <c r="O719" s="1" t="s">
        <v>21</v>
      </c>
      <c r="P719"/>
    </row>
    <row r="720" spans="1:16" x14ac:dyDescent="0.35">
      <c r="A720" s="1" t="s">
        <v>108</v>
      </c>
      <c r="B720" s="1" t="s">
        <v>27</v>
      </c>
      <c r="C720" s="2">
        <v>45474</v>
      </c>
      <c r="D720" s="1" t="s">
        <v>17</v>
      </c>
      <c r="E720" s="1" t="s">
        <v>48</v>
      </c>
      <c r="F720" s="1" t="s">
        <v>37</v>
      </c>
      <c r="G720" s="1" t="s">
        <v>20</v>
      </c>
      <c r="H720" s="1">
        <v>2</v>
      </c>
      <c r="I720" s="1">
        <v>197</v>
      </c>
      <c r="J720" s="1">
        <v>299</v>
      </c>
      <c r="K720" s="1">
        <v>0</v>
      </c>
      <c r="L720" s="1">
        <f>ROUNDDOWN(formatted_data[[#This Row],[Selling_Price]]*formatted_data[[#This Row],[Discount_%]]/100,0)</f>
        <v>0</v>
      </c>
      <c r="M720" s="1">
        <f>(formatted_data[[#This Row],[Selling_Price]]-formatted_data[[#This Row],[Discount_Amount]])*formatted_data[[#This Row],[Units]]</f>
        <v>598</v>
      </c>
      <c r="N720" s="1">
        <f>formatted_data[[#This Row],[Total_Revenue]]-(formatted_data[[#This Row],[Cost_Price]]*formatted_data[[#This Row],[Units]])</f>
        <v>204</v>
      </c>
      <c r="O720" s="1" t="s">
        <v>33</v>
      </c>
      <c r="P720"/>
    </row>
    <row r="721" spans="1:16" x14ac:dyDescent="0.35">
      <c r="A721" s="1" t="s">
        <v>81</v>
      </c>
      <c r="B721" s="1" t="s">
        <v>27</v>
      </c>
      <c r="C721" s="2">
        <v>45459</v>
      </c>
      <c r="D721" s="1" t="s">
        <v>23</v>
      </c>
      <c r="E721" s="1" t="s">
        <v>24</v>
      </c>
      <c r="F721" s="1" t="s">
        <v>25</v>
      </c>
      <c r="G721" s="1" t="s">
        <v>19</v>
      </c>
      <c r="H721" s="1">
        <v>1</v>
      </c>
      <c r="I721" s="1">
        <v>662</v>
      </c>
      <c r="J721" s="1">
        <v>899</v>
      </c>
      <c r="K721" s="1">
        <v>5</v>
      </c>
      <c r="L721" s="1">
        <f>ROUNDDOWN(formatted_data[[#This Row],[Selling_Price]]*formatted_data[[#This Row],[Discount_%]]/100,0)</f>
        <v>44</v>
      </c>
      <c r="M721" s="1">
        <f>(formatted_data[[#This Row],[Selling_Price]]-formatted_data[[#This Row],[Discount_Amount]])*formatted_data[[#This Row],[Units]]</f>
        <v>855</v>
      </c>
      <c r="N721" s="1">
        <f>formatted_data[[#This Row],[Total_Revenue]]-(formatted_data[[#This Row],[Cost_Price]]*formatted_data[[#This Row],[Units]])</f>
        <v>193</v>
      </c>
      <c r="O721" s="1" t="s">
        <v>21</v>
      </c>
      <c r="P721"/>
    </row>
    <row r="722" spans="1:16" x14ac:dyDescent="0.35">
      <c r="A722" s="1" t="s">
        <v>64</v>
      </c>
      <c r="B722" s="1" t="s">
        <v>16</v>
      </c>
      <c r="C722" s="2">
        <v>45519</v>
      </c>
      <c r="D722" s="1" t="s">
        <v>28</v>
      </c>
      <c r="E722" s="1" t="s">
        <v>45</v>
      </c>
      <c r="F722" s="1" t="s">
        <v>19</v>
      </c>
      <c r="G722" s="1" t="s">
        <v>20</v>
      </c>
      <c r="H722" s="1">
        <v>1</v>
      </c>
      <c r="I722" s="1">
        <v>655</v>
      </c>
      <c r="J722" s="1">
        <v>1199</v>
      </c>
      <c r="K722" s="1">
        <v>15</v>
      </c>
      <c r="L722" s="1">
        <f>ROUNDDOWN(formatted_data[[#This Row],[Selling_Price]]*formatted_data[[#This Row],[Discount_%]]/100,0)</f>
        <v>179</v>
      </c>
      <c r="M722" s="1">
        <f>(formatted_data[[#This Row],[Selling_Price]]-formatted_data[[#This Row],[Discount_Amount]])*formatted_data[[#This Row],[Units]]</f>
        <v>1020</v>
      </c>
      <c r="N722" s="1">
        <f>formatted_data[[#This Row],[Total_Revenue]]-(formatted_data[[#This Row],[Cost_Price]]*formatted_data[[#This Row],[Units]])</f>
        <v>365</v>
      </c>
      <c r="O722" s="1" t="s">
        <v>21</v>
      </c>
      <c r="P722"/>
    </row>
    <row r="723" spans="1:16" x14ac:dyDescent="0.35">
      <c r="A723" s="1" t="s">
        <v>77</v>
      </c>
      <c r="B723" s="1" t="s">
        <v>27</v>
      </c>
      <c r="C723" s="2">
        <v>45622</v>
      </c>
      <c r="D723" s="1" t="s">
        <v>17</v>
      </c>
      <c r="E723" s="1" t="s">
        <v>55</v>
      </c>
      <c r="F723" s="1" t="s">
        <v>25</v>
      </c>
      <c r="G723" s="1" t="s">
        <v>20</v>
      </c>
      <c r="H723" s="1">
        <v>1</v>
      </c>
      <c r="I723" s="1">
        <v>309</v>
      </c>
      <c r="J723" s="1">
        <v>499</v>
      </c>
      <c r="K723" s="1">
        <v>0</v>
      </c>
      <c r="L723" s="1">
        <f>ROUNDDOWN(formatted_data[[#This Row],[Selling_Price]]*formatted_data[[#This Row],[Discount_%]]/100,0)</f>
        <v>0</v>
      </c>
      <c r="M723" s="1">
        <f>(formatted_data[[#This Row],[Selling_Price]]-formatted_data[[#This Row],[Discount_Amount]])*formatted_data[[#This Row],[Units]]</f>
        <v>499</v>
      </c>
      <c r="N723" s="1">
        <f>formatted_data[[#This Row],[Total_Revenue]]-(formatted_data[[#This Row],[Cost_Price]]*formatted_data[[#This Row],[Units]])</f>
        <v>190</v>
      </c>
      <c r="O723" s="1" t="s">
        <v>21</v>
      </c>
      <c r="P723"/>
    </row>
    <row r="724" spans="1:16" x14ac:dyDescent="0.35">
      <c r="A724" s="1" t="s">
        <v>94</v>
      </c>
      <c r="B724" s="1" t="s">
        <v>16</v>
      </c>
      <c r="C724" s="2">
        <v>45647</v>
      </c>
      <c r="D724" s="1" t="s">
        <v>35</v>
      </c>
      <c r="E724" s="1" t="s">
        <v>41</v>
      </c>
      <c r="F724" s="1" t="s">
        <v>19</v>
      </c>
      <c r="G724" s="1" t="s">
        <v>20</v>
      </c>
      <c r="H724" s="1">
        <v>1</v>
      </c>
      <c r="I724" s="1">
        <v>789</v>
      </c>
      <c r="J724" s="1">
        <v>1199</v>
      </c>
      <c r="K724" s="1">
        <v>15</v>
      </c>
      <c r="L724" s="1">
        <f>ROUNDDOWN(formatted_data[[#This Row],[Selling_Price]]*formatted_data[[#This Row],[Discount_%]]/100,0)</f>
        <v>179</v>
      </c>
      <c r="M724" s="1">
        <f>(formatted_data[[#This Row],[Selling_Price]]-formatted_data[[#This Row],[Discount_Amount]])*formatted_data[[#This Row],[Units]]</f>
        <v>1020</v>
      </c>
      <c r="N724" s="1">
        <f>formatted_data[[#This Row],[Total_Revenue]]-(formatted_data[[#This Row],[Cost_Price]]*formatted_data[[#This Row],[Units]])</f>
        <v>231</v>
      </c>
      <c r="O724" s="1" t="s">
        <v>21</v>
      </c>
      <c r="P724"/>
    </row>
    <row r="725" spans="1:16" x14ac:dyDescent="0.35">
      <c r="A725" s="1" t="s">
        <v>97</v>
      </c>
      <c r="B725" s="1" t="s">
        <v>16</v>
      </c>
      <c r="C725" s="2">
        <v>45598</v>
      </c>
      <c r="D725" s="1" t="s">
        <v>35</v>
      </c>
      <c r="E725" s="1" t="s">
        <v>58</v>
      </c>
      <c r="F725" s="1" t="s">
        <v>19</v>
      </c>
      <c r="G725" s="1" t="s">
        <v>19</v>
      </c>
      <c r="H725" s="1">
        <v>5</v>
      </c>
      <c r="I725" s="1">
        <v>756</v>
      </c>
      <c r="J725" s="1">
        <v>1199</v>
      </c>
      <c r="K725" s="1">
        <v>15</v>
      </c>
      <c r="L725" s="1">
        <f>ROUNDDOWN(formatted_data[[#This Row],[Selling_Price]]*formatted_data[[#This Row],[Discount_%]]/100,0)</f>
        <v>179</v>
      </c>
      <c r="M725" s="1">
        <f>(formatted_data[[#This Row],[Selling_Price]]-formatted_data[[#This Row],[Discount_Amount]])*formatted_data[[#This Row],[Units]]</f>
        <v>5100</v>
      </c>
      <c r="N725" s="1">
        <f>formatted_data[[#This Row],[Total_Revenue]]-(formatted_data[[#This Row],[Cost_Price]]*formatted_data[[#This Row],[Units]])</f>
        <v>1320</v>
      </c>
      <c r="O725" s="1" t="s">
        <v>21</v>
      </c>
      <c r="P725"/>
    </row>
    <row r="726" spans="1:16" x14ac:dyDescent="0.35">
      <c r="A726" s="1" t="s">
        <v>63</v>
      </c>
      <c r="B726" s="1" t="s">
        <v>27</v>
      </c>
      <c r="C726" s="2">
        <v>45627</v>
      </c>
      <c r="D726" s="1" t="s">
        <v>35</v>
      </c>
      <c r="E726" s="1" t="s">
        <v>39</v>
      </c>
      <c r="F726" s="1" t="s">
        <v>37</v>
      </c>
      <c r="G726" s="1" t="s">
        <v>20</v>
      </c>
      <c r="H726" s="1">
        <v>4</v>
      </c>
      <c r="I726" s="1">
        <v>953</v>
      </c>
      <c r="J726" s="1">
        <v>1699</v>
      </c>
      <c r="K726" s="1">
        <v>20</v>
      </c>
      <c r="L726" s="1">
        <f>ROUNDDOWN(formatted_data[[#This Row],[Selling_Price]]*formatted_data[[#This Row],[Discount_%]]/100,0)</f>
        <v>339</v>
      </c>
      <c r="M726" s="1">
        <f>(formatted_data[[#This Row],[Selling_Price]]-formatted_data[[#This Row],[Discount_Amount]])*formatted_data[[#This Row],[Units]]</f>
        <v>5440</v>
      </c>
      <c r="N726" s="1">
        <f>formatted_data[[#This Row],[Total_Revenue]]-(formatted_data[[#This Row],[Cost_Price]]*formatted_data[[#This Row],[Units]])</f>
        <v>1628</v>
      </c>
      <c r="O726" s="1" t="s">
        <v>33</v>
      </c>
      <c r="P726"/>
    </row>
    <row r="727" spans="1:16" x14ac:dyDescent="0.35">
      <c r="A727" s="1" t="s">
        <v>30</v>
      </c>
      <c r="B727" s="1" t="s">
        <v>16</v>
      </c>
      <c r="C727" s="2">
        <v>45478</v>
      </c>
      <c r="D727" s="1" t="s">
        <v>17</v>
      </c>
      <c r="E727" s="1" t="s">
        <v>48</v>
      </c>
      <c r="F727" s="1" t="s">
        <v>19</v>
      </c>
      <c r="G727" s="1" t="s">
        <v>19</v>
      </c>
      <c r="H727" s="1">
        <v>2</v>
      </c>
      <c r="I727" s="1">
        <v>188</v>
      </c>
      <c r="J727" s="1">
        <v>299</v>
      </c>
      <c r="K727" s="1">
        <v>0</v>
      </c>
      <c r="L727" s="1">
        <f>ROUNDDOWN(formatted_data[[#This Row],[Selling_Price]]*formatted_data[[#This Row],[Discount_%]]/100,0)</f>
        <v>0</v>
      </c>
      <c r="M727" s="1">
        <f>(formatted_data[[#This Row],[Selling_Price]]-formatted_data[[#This Row],[Discount_Amount]])*formatted_data[[#This Row],[Units]]</f>
        <v>598</v>
      </c>
      <c r="N727" s="1">
        <f>formatted_data[[#This Row],[Total_Revenue]]-(formatted_data[[#This Row],[Cost_Price]]*formatted_data[[#This Row],[Units]])</f>
        <v>222</v>
      </c>
      <c r="O727" s="1" t="s">
        <v>21</v>
      </c>
      <c r="P727"/>
    </row>
    <row r="728" spans="1:16" x14ac:dyDescent="0.35">
      <c r="A728" s="1" t="s">
        <v>62</v>
      </c>
      <c r="B728" s="1" t="s">
        <v>16</v>
      </c>
      <c r="C728" s="2">
        <v>45523</v>
      </c>
      <c r="D728" s="1" t="s">
        <v>23</v>
      </c>
      <c r="E728" s="1" t="s">
        <v>43</v>
      </c>
      <c r="F728" s="1" t="s">
        <v>37</v>
      </c>
      <c r="G728" s="1" t="s">
        <v>20</v>
      </c>
      <c r="H728" s="1">
        <v>1</v>
      </c>
      <c r="I728" s="1">
        <v>1231</v>
      </c>
      <c r="J728" s="1">
        <v>2399</v>
      </c>
      <c r="K728" s="1">
        <v>15</v>
      </c>
      <c r="L728" s="1">
        <f>ROUNDDOWN(formatted_data[[#This Row],[Selling_Price]]*formatted_data[[#This Row],[Discount_%]]/100,0)</f>
        <v>359</v>
      </c>
      <c r="M728" s="1">
        <f>(formatted_data[[#This Row],[Selling_Price]]-formatted_data[[#This Row],[Discount_Amount]])*formatted_data[[#This Row],[Units]]</f>
        <v>2040</v>
      </c>
      <c r="N728" s="1">
        <f>formatted_data[[#This Row],[Total_Revenue]]-(formatted_data[[#This Row],[Cost_Price]]*formatted_data[[#This Row],[Units]])</f>
        <v>809</v>
      </c>
      <c r="O728" s="1" t="s">
        <v>21</v>
      </c>
      <c r="P728"/>
    </row>
    <row r="729" spans="1:16" x14ac:dyDescent="0.35">
      <c r="A729" s="1" t="s">
        <v>57</v>
      </c>
      <c r="B729" s="1" t="s">
        <v>27</v>
      </c>
      <c r="C729" s="2">
        <v>45567</v>
      </c>
      <c r="D729" s="1" t="s">
        <v>31</v>
      </c>
      <c r="E729" s="1" t="s">
        <v>76</v>
      </c>
      <c r="F729" s="1" t="s">
        <v>19</v>
      </c>
      <c r="G729" s="1" t="s">
        <v>20</v>
      </c>
      <c r="H729" s="1">
        <v>1</v>
      </c>
      <c r="I729" s="1">
        <v>1112</v>
      </c>
      <c r="J729" s="1">
        <v>1499</v>
      </c>
      <c r="K729" s="1">
        <v>0</v>
      </c>
      <c r="L729" s="1">
        <f>ROUNDDOWN(formatted_data[[#This Row],[Selling_Price]]*formatted_data[[#This Row],[Discount_%]]/100,0)</f>
        <v>0</v>
      </c>
      <c r="M729" s="1">
        <f>(formatted_data[[#This Row],[Selling_Price]]-formatted_data[[#This Row],[Discount_Amount]])*formatted_data[[#This Row],[Units]]</f>
        <v>1499</v>
      </c>
      <c r="N729" s="1">
        <f>formatted_data[[#This Row],[Total_Revenue]]-(formatted_data[[#This Row],[Cost_Price]]*formatted_data[[#This Row],[Units]])</f>
        <v>387</v>
      </c>
      <c r="O729" s="1" t="s">
        <v>21</v>
      </c>
      <c r="P729"/>
    </row>
    <row r="730" spans="1:16" x14ac:dyDescent="0.35">
      <c r="A730" s="1" t="s">
        <v>94</v>
      </c>
      <c r="B730" s="1" t="s">
        <v>16</v>
      </c>
      <c r="C730" s="2">
        <v>45566</v>
      </c>
      <c r="D730" s="1" t="s">
        <v>23</v>
      </c>
      <c r="E730" s="1" t="s">
        <v>43</v>
      </c>
      <c r="F730" s="1" t="s">
        <v>37</v>
      </c>
      <c r="G730" s="1" t="s">
        <v>20</v>
      </c>
      <c r="H730" s="1">
        <v>1</v>
      </c>
      <c r="I730" s="1">
        <v>1304</v>
      </c>
      <c r="J730" s="1">
        <v>2299</v>
      </c>
      <c r="K730" s="1">
        <v>10</v>
      </c>
      <c r="L730" s="1">
        <f>ROUNDDOWN(formatted_data[[#This Row],[Selling_Price]]*formatted_data[[#This Row],[Discount_%]]/100,0)</f>
        <v>229</v>
      </c>
      <c r="M730" s="1">
        <f>(formatted_data[[#This Row],[Selling_Price]]-formatted_data[[#This Row],[Discount_Amount]])*formatted_data[[#This Row],[Units]]</f>
        <v>2070</v>
      </c>
      <c r="N730" s="1">
        <f>formatted_data[[#This Row],[Total_Revenue]]-(formatted_data[[#This Row],[Cost_Price]]*formatted_data[[#This Row],[Units]])</f>
        <v>766</v>
      </c>
      <c r="O730" s="1" t="s">
        <v>33</v>
      </c>
      <c r="P730"/>
    </row>
    <row r="731" spans="1:16" x14ac:dyDescent="0.35">
      <c r="A731" s="1" t="s">
        <v>59</v>
      </c>
      <c r="B731" s="1" t="s">
        <v>27</v>
      </c>
      <c r="C731" s="2">
        <v>45452</v>
      </c>
      <c r="D731" s="1" t="s">
        <v>35</v>
      </c>
      <c r="E731" s="1" t="s">
        <v>36</v>
      </c>
      <c r="F731" s="1" t="s">
        <v>37</v>
      </c>
      <c r="G731" s="1" t="s">
        <v>20</v>
      </c>
      <c r="H731" s="1">
        <v>1</v>
      </c>
      <c r="I731" s="1">
        <v>373</v>
      </c>
      <c r="J731" s="1">
        <v>499</v>
      </c>
      <c r="K731" s="1">
        <v>5</v>
      </c>
      <c r="L731" s="1">
        <f>ROUNDDOWN(formatted_data[[#This Row],[Selling_Price]]*formatted_data[[#This Row],[Discount_%]]/100,0)</f>
        <v>24</v>
      </c>
      <c r="M731" s="1">
        <f>(formatted_data[[#This Row],[Selling_Price]]-formatted_data[[#This Row],[Discount_Amount]])*formatted_data[[#This Row],[Units]]</f>
        <v>475</v>
      </c>
      <c r="N731" s="1">
        <f>formatted_data[[#This Row],[Total_Revenue]]-(formatted_data[[#This Row],[Cost_Price]]*formatted_data[[#This Row],[Units]])</f>
        <v>102</v>
      </c>
      <c r="O731" s="1" t="s">
        <v>21</v>
      </c>
      <c r="P731"/>
    </row>
    <row r="732" spans="1:16" x14ac:dyDescent="0.35">
      <c r="A732" s="1" t="s">
        <v>73</v>
      </c>
      <c r="B732" s="1" t="s">
        <v>16</v>
      </c>
      <c r="C732" s="2">
        <v>45532</v>
      </c>
      <c r="D732" s="1" t="s">
        <v>17</v>
      </c>
      <c r="E732" s="1" t="s">
        <v>72</v>
      </c>
      <c r="F732" s="1" t="s">
        <v>19</v>
      </c>
      <c r="G732" s="1" t="s">
        <v>20</v>
      </c>
      <c r="H732" s="1">
        <v>2</v>
      </c>
      <c r="I732" s="1">
        <v>285</v>
      </c>
      <c r="J732" s="1">
        <v>399</v>
      </c>
      <c r="K732" s="1">
        <v>0</v>
      </c>
      <c r="L732" s="1">
        <f>ROUNDDOWN(formatted_data[[#This Row],[Selling_Price]]*formatted_data[[#This Row],[Discount_%]]/100,0)</f>
        <v>0</v>
      </c>
      <c r="M732" s="1">
        <f>(formatted_data[[#This Row],[Selling_Price]]-formatted_data[[#This Row],[Discount_Amount]])*formatted_data[[#This Row],[Units]]</f>
        <v>798</v>
      </c>
      <c r="N732" s="1">
        <f>formatted_data[[#This Row],[Total_Revenue]]-(formatted_data[[#This Row],[Cost_Price]]*formatted_data[[#This Row],[Units]])</f>
        <v>228</v>
      </c>
      <c r="O732" s="1" t="s">
        <v>21</v>
      </c>
      <c r="P732"/>
    </row>
    <row r="733" spans="1:16" x14ac:dyDescent="0.35">
      <c r="A733" s="1" t="s">
        <v>85</v>
      </c>
      <c r="B733" s="1" t="s">
        <v>27</v>
      </c>
      <c r="C733" s="2">
        <v>45458</v>
      </c>
      <c r="D733" s="1" t="s">
        <v>28</v>
      </c>
      <c r="E733" s="1" t="s">
        <v>45</v>
      </c>
      <c r="F733" s="1" t="s">
        <v>37</v>
      </c>
      <c r="G733" s="1" t="s">
        <v>19</v>
      </c>
      <c r="H733" s="1">
        <v>3</v>
      </c>
      <c r="I733" s="1">
        <v>849</v>
      </c>
      <c r="J733" s="1">
        <v>1499</v>
      </c>
      <c r="K733" s="1">
        <v>20</v>
      </c>
      <c r="L733" s="1">
        <f>ROUNDDOWN(formatted_data[[#This Row],[Selling_Price]]*formatted_data[[#This Row],[Discount_%]]/100,0)</f>
        <v>299</v>
      </c>
      <c r="M733" s="1">
        <f>(formatted_data[[#This Row],[Selling_Price]]-formatted_data[[#This Row],[Discount_Amount]])*formatted_data[[#This Row],[Units]]</f>
        <v>3600</v>
      </c>
      <c r="N733" s="1">
        <f>formatted_data[[#This Row],[Total_Revenue]]-(formatted_data[[#This Row],[Cost_Price]]*formatted_data[[#This Row],[Units]])</f>
        <v>1053</v>
      </c>
      <c r="O733" s="1" t="s">
        <v>21</v>
      </c>
      <c r="P733"/>
    </row>
    <row r="734" spans="1:16" x14ac:dyDescent="0.35">
      <c r="A734" s="1" t="s">
        <v>75</v>
      </c>
      <c r="B734" s="1" t="s">
        <v>27</v>
      </c>
      <c r="C734" s="2">
        <v>45506</v>
      </c>
      <c r="D734" s="1" t="s">
        <v>31</v>
      </c>
      <c r="E734" s="1" t="s">
        <v>76</v>
      </c>
      <c r="F734" s="1" t="s">
        <v>37</v>
      </c>
      <c r="G734" s="1" t="s">
        <v>20</v>
      </c>
      <c r="H734" s="1">
        <v>1</v>
      </c>
      <c r="I734" s="1">
        <v>384</v>
      </c>
      <c r="J734" s="1">
        <v>699</v>
      </c>
      <c r="K734" s="1">
        <v>0</v>
      </c>
      <c r="L734" s="1">
        <f>ROUNDDOWN(formatted_data[[#This Row],[Selling_Price]]*formatted_data[[#This Row],[Discount_%]]/100,0)</f>
        <v>0</v>
      </c>
      <c r="M734" s="1">
        <f>(formatted_data[[#This Row],[Selling_Price]]-formatted_data[[#This Row],[Discount_Amount]])*formatted_data[[#This Row],[Units]]</f>
        <v>699</v>
      </c>
      <c r="N734" s="1">
        <f>formatted_data[[#This Row],[Total_Revenue]]-(formatted_data[[#This Row],[Cost_Price]]*formatted_data[[#This Row],[Units]])</f>
        <v>315</v>
      </c>
      <c r="O734" s="1" t="s">
        <v>33</v>
      </c>
      <c r="P734"/>
    </row>
    <row r="735" spans="1:16" x14ac:dyDescent="0.35">
      <c r="A735" s="1" t="s">
        <v>49</v>
      </c>
      <c r="B735" s="1" t="s">
        <v>27</v>
      </c>
      <c r="C735" s="2">
        <v>45561</v>
      </c>
      <c r="D735" s="1" t="s">
        <v>17</v>
      </c>
      <c r="E735" s="1" t="s">
        <v>55</v>
      </c>
      <c r="F735" s="1" t="s">
        <v>19</v>
      </c>
      <c r="G735" s="1" t="s">
        <v>19</v>
      </c>
      <c r="H735" s="1">
        <v>1</v>
      </c>
      <c r="I735" s="1">
        <v>400</v>
      </c>
      <c r="J735" s="1">
        <v>699</v>
      </c>
      <c r="K735" s="1">
        <v>0</v>
      </c>
      <c r="L735" s="1">
        <f>ROUNDDOWN(formatted_data[[#This Row],[Selling_Price]]*formatted_data[[#This Row],[Discount_%]]/100,0)</f>
        <v>0</v>
      </c>
      <c r="M735" s="1">
        <f>(formatted_data[[#This Row],[Selling_Price]]-formatted_data[[#This Row],[Discount_Amount]])*formatted_data[[#This Row],[Units]]</f>
        <v>699</v>
      </c>
      <c r="N735" s="1">
        <f>formatted_data[[#This Row],[Total_Revenue]]-(formatted_data[[#This Row],[Cost_Price]]*formatted_data[[#This Row],[Units]])</f>
        <v>299</v>
      </c>
      <c r="O735" s="1" t="s">
        <v>33</v>
      </c>
      <c r="P735"/>
    </row>
    <row r="736" spans="1:16" x14ac:dyDescent="0.35">
      <c r="A736" s="1" t="s">
        <v>88</v>
      </c>
      <c r="B736" s="1" t="s">
        <v>27</v>
      </c>
      <c r="C736" s="2">
        <v>45561</v>
      </c>
      <c r="D736" s="1" t="s">
        <v>31</v>
      </c>
      <c r="E736" s="1" t="s">
        <v>76</v>
      </c>
      <c r="F736" s="1" t="s">
        <v>37</v>
      </c>
      <c r="G736" s="1" t="s">
        <v>20</v>
      </c>
      <c r="H736" s="1">
        <v>1</v>
      </c>
      <c r="I736" s="1">
        <v>711</v>
      </c>
      <c r="J736" s="1">
        <v>999</v>
      </c>
      <c r="K736" s="1">
        <v>0</v>
      </c>
      <c r="L736" s="1">
        <f>ROUNDDOWN(formatted_data[[#This Row],[Selling_Price]]*formatted_data[[#This Row],[Discount_%]]/100,0)</f>
        <v>0</v>
      </c>
      <c r="M736" s="1">
        <f>(formatted_data[[#This Row],[Selling_Price]]-formatted_data[[#This Row],[Discount_Amount]])*formatted_data[[#This Row],[Units]]</f>
        <v>999</v>
      </c>
      <c r="N736" s="1">
        <f>formatted_data[[#This Row],[Total_Revenue]]-(formatted_data[[#This Row],[Cost_Price]]*formatted_data[[#This Row],[Units]])</f>
        <v>288</v>
      </c>
      <c r="O736" s="1" t="s">
        <v>21</v>
      </c>
      <c r="P736"/>
    </row>
    <row r="737" spans="1:16" x14ac:dyDescent="0.35">
      <c r="A737" s="1" t="s">
        <v>91</v>
      </c>
      <c r="B737" s="1" t="s">
        <v>16</v>
      </c>
      <c r="C737" s="2">
        <v>45615</v>
      </c>
      <c r="D737" s="1" t="s">
        <v>23</v>
      </c>
      <c r="E737" s="1" t="s">
        <v>24</v>
      </c>
      <c r="F737" s="1" t="s">
        <v>37</v>
      </c>
      <c r="G737" s="1" t="s">
        <v>19</v>
      </c>
      <c r="H737" s="1">
        <v>2</v>
      </c>
      <c r="I737" s="1">
        <v>760</v>
      </c>
      <c r="J737" s="1">
        <v>1499</v>
      </c>
      <c r="K737" s="1">
        <v>15</v>
      </c>
      <c r="L737" s="1">
        <f>ROUNDDOWN(formatted_data[[#This Row],[Selling_Price]]*formatted_data[[#This Row],[Discount_%]]/100,0)</f>
        <v>224</v>
      </c>
      <c r="M737" s="1">
        <f>(formatted_data[[#This Row],[Selling_Price]]-formatted_data[[#This Row],[Discount_Amount]])*formatted_data[[#This Row],[Units]]</f>
        <v>2550</v>
      </c>
      <c r="N737" s="1">
        <f>formatted_data[[#This Row],[Total_Revenue]]-(formatted_data[[#This Row],[Cost_Price]]*formatted_data[[#This Row],[Units]])</f>
        <v>1030</v>
      </c>
      <c r="O737" s="1" t="s">
        <v>21</v>
      </c>
      <c r="P737"/>
    </row>
    <row r="738" spans="1:16" x14ac:dyDescent="0.35">
      <c r="A738" s="1" t="s">
        <v>56</v>
      </c>
      <c r="B738" s="1" t="s">
        <v>27</v>
      </c>
      <c r="C738" s="2">
        <v>45561</v>
      </c>
      <c r="D738" s="1" t="s">
        <v>35</v>
      </c>
      <c r="E738" s="1" t="s">
        <v>50</v>
      </c>
      <c r="F738" s="1" t="s">
        <v>25</v>
      </c>
      <c r="G738" s="1" t="s">
        <v>20</v>
      </c>
      <c r="H738" s="1">
        <v>1</v>
      </c>
      <c r="I738" s="1">
        <v>1156</v>
      </c>
      <c r="J738" s="1">
        <v>1599</v>
      </c>
      <c r="K738" s="1">
        <v>5</v>
      </c>
      <c r="L738" s="1">
        <f>ROUNDDOWN(formatted_data[[#This Row],[Selling_Price]]*formatted_data[[#This Row],[Discount_%]]/100,0)</f>
        <v>79</v>
      </c>
      <c r="M738" s="1">
        <f>(formatted_data[[#This Row],[Selling_Price]]-formatted_data[[#This Row],[Discount_Amount]])*formatted_data[[#This Row],[Units]]</f>
        <v>1520</v>
      </c>
      <c r="N738" s="1">
        <f>formatted_data[[#This Row],[Total_Revenue]]-(formatted_data[[#This Row],[Cost_Price]]*formatted_data[[#This Row],[Units]])</f>
        <v>364</v>
      </c>
      <c r="O738" s="1" t="s">
        <v>21</v>
      </c>
      <c r="P738"/>
    </row>
    <row r="739" spans="1:16" x14ac:dyDescent="0.35">
      <c r="A739" s="1" t="s">
        <v>106</v>
      </c>
      <c r="B739" s="1" t="s">
        <v>27</v>
      </c>
      <c r="C739" s="2">
        <v>45598</v>
      </c>
      <c r="D739" s="1" t="s">
        <v>35</v>
      </c>
      <c r="E739" s="1" t="s">
        <v>58</v>
      </c>
      <c r="F739" s="1" t="s">
        <v>25</v>
      </c>
      <c r="G739" s="1" t="s">
        <v>19</v>
      </c>
      <c r="H739" s="1">
        <v>2</v>
      </c>
      <c r="I739" s="1">
        <v>866</v>
      </c>
      <c r="J739" s="1">
        <v>1299</v>
      </c>
      <c r="K739" s="1">
        <v>20</v>
      </c>
      <c r="L739" s="1">
        <f>ROUNDDOWN(formatted_data[[#This Row],[Selling_Price]]*formatted_data[[#This Row],[Discount_%]]/100,0)</f>
        <v>259</v>
      </c>
      <c r="M739" s="1">
        <f>(formatted_data[[#This Row],[Selling_Price]]-formatted_data[[#This Row],[Discount_Amount]])*formatted_data[[#This Row],[Units]]</f>
        <v>2080</v>
      </c>
      <c r="N739" s="1">
        <f>formatted_data[[#This Row],[Total_Revenue]]-(formatted_data[[#This Row],[Cost_Price]]*formatted_data[[#This Row],[Units]])</f>
        <v>348</v>
      </c>
      <c r="O739" s="1" t="s">
        <v>21</v>
      </c>
      <c r="P739"/>
    </row>
    <row r="740" spans="1:16" x14ac:dyDescent="0.35">
      <c r="A740" s="1" t="s">
        <v>68</v>
      </c>
      <c r="B740" s="1" t="s">
        <v>16</v>
      </c>
      <c r="C740" s="2">
        <v>45490</v>
      </c>
      <c r="D740" s="1" t="s">
        <v>23</v>
      </c>
      <c r="E740" s="1" t="s">
        <v>24</v>
      </c>
      <c r="F740" s="1" t="s">
        <v>19</v>
      </c>
      <c r="G740" s="1" t="s">
        <v>19</v>
      </c>
      <c r="H740" s="1">
        <v>5</v>
      </c>
      <c r="I740" s="1">
        <v>924</v>
      </c>
      <c r="J740" s="1">
        <v>1499</v>
      </c>
      <c r="K740" s="1">
        <v>15</v>
      </c>
      <c r="L740" s="1">
        <f>ROUNDDOWN(formatted_data[[#This Row],[Selling_Price]]*formatted_data[[#This Row],[Discount_%]]/100,0)</f>
        <v>224</v>
      </c>
      <c r="M740" s="1">
        <f>(formatted_data[[#This Row],[Selling_Price]]-formatted_data[[#This Row],[Discount_Amount]])*formatted_data[[#This Row],[Units]]</f>
        <v>6375</v>
      </c>
      <c r="N740" s="1">
        <f>formatted_data[[#This Row],[Total_Revenue]]-(formatted_data[[#This Row],[Cost_Price]]*formatted_data[[#This Row],[Units]])</f>
        <v>1755</v>
      </c>
      <c r="O740" s="1" t="s">
        <v>21</v>
      </c>
      <c r="P740"/>
    </row>
    <row r="741" spans="1:16" x14ac:dyDescent="0.35">
      <c r="A741" s="1" t="s">
        <v>102</v>
      </c>
      <c r="B741" s="1" t="s">
        <v>27</v>
      </c>
      <c r="C741" s="2">
        <v>45485</v>
      </c>
      <c r="D741" s="1" t="s">
        <v>17</v>
      </c>
      <c r="E741" s="1" t="s">
        <v>48</v>
      </c>
      <c r="F741" s="1" t="s">
        <v>19</v>
      </c>
      <c r="G741" s="1" t="s">
        <v>19</v>
      </c>
      <c r="H741" s="1">
        <v>1</v>
      </c>
      <c r="I741" s="1">
        <v>371</v>
      </c>
      <c r="J741" s="1">
        <v>499</v>
      </c>
      <c r="K741" s="1">
        <v>0</v>
      </c>
      <c r="L741" s="1">
        <f>ROUNDDOWN(formatted_data[[#This Row],[Selling_Price]]*formatted_data[[#This Row],[Discount_%]]/100,0)</f>
        <v>0</v>
      </c>
      <c r="M741" s="1">
        <f>(formatted_data[[#This Row],[Selling_Price]]-formatted_data[[#This Row],[Discount_Amount]])*formatted_data[[#This Row],[Units]]</f>
        <v>499</v>
      </c>
      <c r="N741" s="1">
        <f>formatted_data[[#This Row],[Total_Revenue]]-(formatted_data[[#This Row],[Cost_Price]]*formatted_data[[#This Row],[Units]])</f>
        <v>128</v>
      </c>
      <c r="O741" s="1" t="s">
        <v>33</v>
      </c>
      <c r="P741"/>
    </row>
    <row r="742" spans="1:16" x14ac:dyDescent="0.35">
      <c r="A742" s="1" t="s">
        <v>46</v>
      </c>
      <c r="B742" s="1" t="s">
        <v>16</v>
      </c>
      <c r="C742" s="2">
        <v>45471</v>
      </c>
      <c r="D742" s="1" t="s">
        <v>31</v>
      </c>
      <c r="E742" s="1" t="s">
        <v>32</v>
      </c>
      <c r="F742" s="1" t="s">
        <v>19</v>
      </c>
      <c r="G742" s="1" t="s">
        <v>19</v>
      </c>
      <c r="H742" s="1">
        <v>1</v>
      </c>
      <c r="I742" s="1">
        <v>1036</v>
      </c>
      <c r="J742" s="1">
        <v>1499</v>
      </c>
      <c r="K742" s="1">
        <v>0</v>
      </c>
      <c r="L742" s="1">
        <f>ROUNDDOWN(formatted_data[[#This Row],[Selling_Price]]*formatted_data[[#This Row],[Discount_%]]/100,0)</f>
        <v>0</v>
      </c>
      <c r="M742" s="1">
        <f>(formatted_data[[#This Row],[Selling_Price]]-formatted_data[[#This Row],[Discount_Amount]])*formatted_data[[#This Row],[Units]]</f>
        <v>1499</v>
      </c>
      <c r="N742" s="1">
        <f>formatted_data[[#This Row],[Total_Revenue]]-(formatted_data[[#This Row],[Cost_Price]]*formatted_data[[#This Row],[Units]])</f>
        <v>463</v>
      </c>
      <c r="O742" s="1" t="s">
        <v>21</v>
      </c>
      <c r="P742"/>
    </row>
    <row r="743" spans="1:16" x14ac:dyDescent="0.35">
      <c r="A743" s="1" t="s">
        <v>96</v>
      </c>
      <c r="B743" s="1" t="s">
        <v>16</v>
      </c>
      <c r="C743" s="2">
        <v>45582</v>
      </c>
      <c r="D743" s="1" t="s">
        <v>31</v>
      </c>
      <c r="E743" s="1" t="s">
        <v>76</v>
      </c>
      <c r="F743" s="1" t="s">
        <v>25</v>
      </c>
      <c r="G743" s="1" t="s">
        <v>20</v>
      </c>
      <c r="H743" s="1">
        <v>1</v>
      </c>
      <c r="I743" s="1">
        <v>891</v>
      </c>
      <c r="J743" s="1">
        <v>1199</v>
      </c>
      <c r="K743" s="1">
        <v>0</v>
      </c>
      <c r="L743" s="1">
        <f>ROUNDDOWN(formatted_data[[#This Row],[Selling_Price]]*formatted_data[[#This Row],[Discount_%]]/100,0)</f>
        <v>0</v>
      </c>
      <c r="M743" s="1">
        <f>(formatted_data[[#This Row],[Selling_Price]]-formatted_data[[#This Row],[Discount_Amount]])*formatted_data[[#This Row],[Units]]</f>
        <v>1199</v>
      </c>
      <c r="N743" s="1">
        <f>formatted_data[[#This Row],[Total_Revenue]]-(formatted_data[[#This Row],[Cost_Price]]*formatted_data[[#This Row],[Units]])</f>
        <v>308</v>
      </c>
      <c r="O743" s="1" t="s">
        <v>21</v>
      </c>
      <c r="P743"/>
    </row>
    <row r="744" spans="1:16" x14ac:dyDescent="0.35">
      <c r="A744" s="1" t="s">
        <v>75</v>
      </c>
      <c r="B744" s="1" t="s">
        <v>27</v>
      </c>
      <c r="C744" s="2">
        <v>45543</v>
      </c>
      <c r="D744" s="1" t="s">
        <v>31</v>
      </c>
      <c r="E744" s="1" t="s">
        <v>32</v>
      </c>
      <c r="F744" s="1" t="s">
        <v>19</v>
      </c>
      <c r="G744" s="1" t="s">
        <v>19</v>
      </c>
      <c r="H744" s="1">
        <v>1</v>
      </c>
      <c r="I744" s="1">
        <v>657</v>
      </c>
      <c r="J744" s="1">
        <v>999</v>
      </c>
      <c r="K744" s="1">
        <v>0</v>
      </c>
      <c r="L744" s="1">
        <f>ROUNDDOWN(formatted_data[[#This Row],[Selling_Price]]*formatted_data[[#This Row],[Discount_%]]/100,0)</f>
        <v>0</v>
      </c>
      <c r="M744" s="1">
        <f>(formatted_data[[#This Row],[Selling_Price]]-formatted_data[[#This Row],[Discount_Amount]])*formatted_data[[#This Row],[Units]]</f>
        <v>999</v>
      </c>
      <c r="N744" s="1">
        <f>formatted_data[[#This Row],[Total_Revenue]]-(formatted_data[[#This Row],[Cost_Price]]*formatted_data[[#This Row],[Units]])</f>
        <v>342</v>
      </c>
      <c r="O744" s="1" t="s">
        <v>21</v>
      </c>
      <c r="P744"/>
    </row>
    <row r="745" spans="1:16" x14ac:dyDescent="0.35">
      <c r="A745" s="1" t="s">
        <v>54</v>
      </c>
      <c r="B745" s="1" t="s">
        <v>27</v>
      </c>
      <c r="C745" s="2">
        <v>45559</v>
      </c>
      <c r="D745" s="1" t="s">
        <v>17</v>
      </c>
      <c r="E745" s="1" t="s">
        <v>55</v>
      </c>
      <c r="F745" s="1" t="s">
        <v>37</v>
      </c>
      <c r="G745" s="1" t="s">
        <v>19</v>
      </c>
      <c r="H745" s="1">
        <v>4</v>
      </c>
      <c r="I745" s="1">
        <v>243</v>
      </c>
      <c r="J745" s="1">
        <v>399</v>
      </c>
      <c r="K745" s="1">
        <v>0</v>
      </c>
      <c r="L745" s="1">
        <f>ROUNDDOWN(formatted_data[[#This Row],[Selling_Price]]*formatted_data[[#This Row],[Discount_%]]/100,0)</f>
        <v>0</v>
      </c>
      <c r="M745" s="1">
        <f>(formatted_data[[#This Row],[Selling_Price]]-formatted_data[[#This Row],[Discount_Amount]])*formatted_data[[#This Row],[Units]]</f>
        <v>1596</v>
      </c>
      <c r="N745" s="1">
        <f>formatted_data[[#This Row],[Total_Revenue]]-(formatted_data[[#This Row],[Cost_Price]]*formatted_data[[#This Row],[Units]])</f>
        <v>624</v>
      </c>
      <c r="O745" s="1" t="s">
        <v>21</v>
      </c>
      <c r="P745"/>
    </row>
    <row r="746" spans="1:16" x14ac:dyDescent="0.35">
      <c r="A746" s="1" t="s">
        <v>70</v>
      </c>
      <c r="B746" s="1" t="s">
        <v>27</v>
      </c>
      <c r="C746" s="2">
        <v>45548</v>
      </c>
      <c r="D746" s="1" t="s">
        <v>31</v>
      </c>
      <c r="E746" s="1" t="s">
        <v>32</v>
      </c>
      <c r="F746" s="1" t="s">
        <v>19</v>
      </c>
      <c r="G746" s="1" t="s">
        <v>19</v>
      </c>
      <c r="H746" s="1">
        <v>4</v>
      </c>
      <c r="I746" s="1">
        <v>798</v>
      </c>
      <c r="J746" s="1">
        <v>1399</v>
      </c>
      <c r="K746" s="1">
        <v>0</v>
      </c>
      <c r="L746" s="1">
        <f>ROUNDDOWN(formatted_data[[#This Row],[Selling_Price]]*formatted_data[[#This Row],[Discount_%]]/100,0)</f>
        <v>0</v>
      </c>
      <c r="M746" s="1">
        <f>(formatted_data[[#This Row],[Selling_Price]]-formatted_data[[#This Row],[Discount_Amount]])*formatted_data[[#This Row],[Units]]</f>
        <v>5596</v>
      </c>
      <c r="N746" s="1">
        <f>formatted_data[[#This Row],[Total_Revenue]]-(formatted_data[[#This Row],[Cost_Price]]*formatted_data[[#This Row],[Units]])</f>
        <v>2404</v>
      </c>
      <c r="O746" s="1" t="s">
        <v>21</v>
      </c>
      <c r="P746"/>
    </row>
    <row r="747" spans="1:16" x14ac:dyDescent="0.35">
      <c r="A747" s="1" t="s">
        <v>86</v>
      </c>
      <c r="B747" s="1" t="s">
        <v>27</v>
      </c>
      <c r="C747" s="2">
        <v>45487</v>
      </c>
      <c r="D747" s="1" t="s">
        <v>28</v>
      </c>
      <c r="E747" s="1" t="s">
        <v>29</v>
      </c>
      <c r="F747" s="1" t="s">
        <v>25</v>
      </c>
      <c r="G747" s="1" t="s">
        <v>19</v>
      </c>
      <c r="H747" s="1">
        <v>4</v>
      </c>
      <c r="I747" s="1">
        <v>385</v>
      </c>
      <c r="J747" s="1">
        <v>699</v>
      </c>
      <c r="K747" s="1">
        <v>10</v>
      </c>
      <c r="L747" s="1">
        <f>ROUNDDOWN(formatted_data[[#This Row],[Selling_Price]]*formatted_data[[#This Row],[Discount_%]]/100,0)</f>
        <v>69</v>
      </c>
      <c r="M747" s="1">
        <f>(formatted_data[[#This Row],[Selling_Price]]-formatted_data[[#This Row],[Discount_Amount]])*formatted_data[[#This Row],[Units]]</f>
        <v>2520</v>
      </c>
      <c r="N747" s="1">
        <f>formatted_data[[#This Row],[Total_Revenue]]-(formatted_data[[#This Row],[Cost_Price]]*formatted_data[[#This Row],[Units]])</f>
        <v>980</v>
      </c>
      <c r="O747" s="1" t="s">
        <v>21</v>
      </c>
      <c r="P747"/>
    </row>
    <row r="748" spans="1:16" x14ac:dyDescent="0.35">
      <c r="A748" s="1" t="s">
        <v>94</v>
      </c>
      <c r="B748" s="1" t="s">
        <v>16</v>
      </c>
      <c r="C748" s="2">
        <v>45638</v>
      </c>
      <c r="D748" s="1" t="s">
        <v>17</v>
      </c>
      <c r="E748" s="1" t="s">
        <v>55</v>
      </c>
      <c r="F748" s="1" t="s">
        <v>25</v>
      </c>
      <c r="G748" s="1" t="s">
        <v>20</v>
      </c>
      <c r="H748" s="1">
        <v>1</v>
      </c>
      <c r="I748" s="1">
        <v>275</v>
      </c>
      <c r="J748" s="1">
        <v>499</v>
      </c>
      <c r="K748" s="1">
        <v>0</v>
      </c>
      <c r="L748" s="1">
        <f>ROUNDDOWN(formatted_data[[#This Row],[Selling_Price]]*formatted_data[[#This Row],[Discount_%]]/100,0)</f>
        <v>0</v>
      </c>
      <c r="M748" s="1">
        <f>(formatted_data[[#This Row],[Selling_Price]]-formatted_data[[#This Row],[Discount_Amount]])*formatted_data[[#This Row],[Units]]</f>
        <v>499</v>
      </c>
      <c r="N748" s="1">
        <f>formatted_data[[#This Row],[Total_Revenue]]-(formatted_data[[#This Row],[Cost_Price]]*formatted_data[[#This Row],[Units]])</f>
        <v>224</v>
      </c>
      <c r="O748" s="1" t="s">
        <v>21</v>
      </c>
      <c r="P748"/>
    </row>
    <row r="749" spans="1:16" x14ac:dyDescent="0.35">
      <c r="A749" s="1" t="s">
        <v>97</v>
      </c>
      <c r="B749" s="1" t="s">
        <v>16</v>
      </c>
      <c r="C749" s="2">
        <v>45627</v>
      </c>
      <c r="D749" s="1" t="s">
        <v>35</v>
      </c>
      <c r="E749" s="1" t="s">
        <v>41</v>
      </c>
      <c r="F749" s="1" t="s">
        <v>25</v>
      </c>
      <c r="G749" s="1" t="s">
        <v>20</v>
      </c>
      <c r="H749" s="1">
        <v>1</v>
      </c>
      <c r="I749" s="1">
        <v>319</v>
      </c>
      <c r="J749" s="1">
        <v>599</v>
      </c>
      <c r="K749" s="1">
        <v>5</v>
      </c>
      <c r="L749" s="1">
        <f>ROUNDDOWN(formatted_data[[#This Row],[Selling_Price]]*formatted_data[[#This Row],[Discount_%]]/100,0)</f>
        <v>29</v>
      </c>
      <c r="M749" s="1">
        <f>(formatted_data[[#This Row],[Selling_Price]]-formatted_data[[#This Row],[Discount_Amount]])*formatted_data[[#This Row],[Units]]</f>
        <v>570</v>
      </c>
      <c r="N749" s="1">
        <f>formatted_data[[#This Row],[Total_Revenue]]-(formatted_data[[#This Row],[Cost_Price]]*formatted_data[[#This Row],[Units]])</f>
        <v>251</v>
      </c>
      <c r="O749" s="1" t="s">
        <v>21</v>
      </c>
      <c r="P749"/>
    </row>
    <row r="750" spans="1:16" x14ac:dyDescent="0.35">
      <c r="A750" s="1" t="s">
        <v>64</v>
      </c>
      <c r="B750" s="1" t="s">
        <v>16</v>
      </c>
      <c r="C750" s="2">
        <v>45561</v>
      </c>
      <c r="D750" s="1" t="s">
        <v>17</v>
      </c>
      <c r="E750" s="1" t="s">
        <v>72</v>
      </c>
      <c r="F750" s="1" t="s">
        <v>37</v>
      </c>
      <c r="G750" s="1" t="s">
        <v>19</v>
      </c>
      <c r="H750" s="1">
        <v>1</v>
      </c>
      <c r="I750" s="1">
        <v>364</v>
      </c>
      <c r="J750" s="1">
        <v>499</v>
      </c>
      <c r="K750" s="1">
        <v>0</v>
      </c>
      <c r="L750" s="1">
        <f>ROUNDDOWN(formatted_data[[#This Row],[Selling_Price]]*formatted_data[[#This Row],[Discount_%]]/100,0)</f>
        <v>0</v>
      </c>
      <c r="M750" s="1">
        <f>(formatted_data[[#This Row],[Selling_Price]]-formatted_data[[#This Row],[Discount_Amount]])*formatted_data[[#This Row],[Units]]</f>
        <v>499</v>
      </c>
      <c r="N750" s="1">
        <f>formatted_data[[#This Row],[Total_Revenue]]-(formatted_data[[#This Row],[Cost_Price]]*formatted_data[[#This Row],[Units]])</f>
        <v>135</v>
      </c>
      <c r="O750" s="1" t="s">
        <v>33</v>
      </c>
      <c r="P750"/>
    </row>
    <row r="751" spans="1:16" x14ac:dyDescent="0.35">
      <c r="A751" s="1" t="s">
        <v>88</v>
      </c>
      <c r="B751" s="1" t="s">
        <v>27</v>
      </c>
      <c r="C751" s="2">
        <v>45474</v>
      </c>
      <c r="D751" s="1" t="s">
        <v>28</v>
      </c>
      <c r="E751" s="1" t="s">
        <v>45</v>
      </c>
      <c r="F751" s="1" t="s">
        <v>19</v>
      </c>
      <c r="G751" s="1" t="s">
        <v>20</v>
      </c>
      <c r="H751" s="1">
        <v>5</v>
      </c>
      <c r="I751" s="1">
        <v>907</v>
      </c>
      <c r="J751" s="1">
        <v>1499</v>
      </c>
      <c r="K751" s="1">
        <v>20</v>
      </c>
      <c r="L751" s="1">
        <f>ROUNDDOWN(formatted_data[[#This Row],[Selling_Price]]*formatted_data[[#This Row],[Discount_%]]/100,0)</f>
        <v>299</v>
      </c>
      <c r="M751" s="1">
        <f>(formatted_data[[#This Row],[Selling_Price]]-formatted_data[[#This Row],[Discount_Amount]])*formatted_data[[#This Row],[Units]]</f>
        <v>6000</v>
      </c>
      <c r="N751" s="1">
        <f>formatted_data[[#This Row],[Total_Revenue]]-(formatted_data[[#This Row],[Cost_Price]]*formatted_data[[#This Row],[Units]])</f>
        <v>1465</v>
      </c>
      <c r="O751" s="1" t="s">
        <v>21</v>
      </c>
      <c r="P751"/>
    </row>
    <row r="752" spans="1:16" x14ac:dyDescent="0.35">
      <c r="A752" s="1" t="s">
        <v>90</v>
      </c>
      <c r="B752" s="1" t="s">
        <v>27</v>
      </c>
      <c r="C752" s="2">
        <v>45451</v>
      </c>
      <c r="D752" s="1" t="s">
        <v>31</v>
      </c>
      <c r="E752" s="1" t="s">
        <v>32</v>
      </c>
      <c r="F752" s="1" t="s">
        <v>25</v>
      </c>
      <c r="G752" s="1" t="s">
        <v>19</v>
      </c>
      <c r="H752" s="1">
        <v>2</v>
      </c>
      <c r="I752" s="1">
        <v>845</v>
      </c>
      <c r="J752" s="1">
        <v>1199</v>
      </c>
      <c r="K752" s="1">
        <v>0</v>
      </c>
      <c r="L752" s="1">
        <f>ROUNDDOWN(formatted_data[[#This Row],[Selling_Price]]*formatted_data[[#This Row],[Discount_%]]/100,0)</f>
        <v>0</v>
      </c>
      <c r="M752" s="1">
        <f>(formatted_data[[#This Row],[Selling_Price]]-formatted_data[[#This Row],[Discount_Amount]])*formatted_data[[#This Row],[Units]]</f>
        <v>2398</v>
      </c>
      <c r="N752" s="1">
        <f>formatted_data[[#This Row],[Total_Revenue]]-(formatted_data[[#This Row],[Cost_Price]]*formatted_data[[#This Row],[Units]])</f>
        <v>708</v>
      </c>
      <c r="O752" s="1" t="s">
        <v>21</v>
      </c>
      <c r="P752"/>
    </row>
    <row r="753" spans="1:16" x14ac:dyDescent="0.35">
      <c r="A753" s="1" t="s">
        <v>82</v>
      </c>
      <c r="B753" s="1" t="s">
        <v>27</v>
      </c>
      <c r="C753" s="2">
        <v>45591</v>
      </c>
      <c r="D753" s="1" t="s">
        <v>17</v>
      </c>
      <c r="E753" s="1" t="s">
        <v>72</v>
      </c>
      <c r="F753" s="1" t="s">
        <v>19</v>
      </c>
      <c r="G753" s="1" t="s">
        <v>19</v>
      </c>
      <c r="H753" s="1">
        <v>4</v>
      </c>
      <c r="I753" s="1">
        <v>320</v>
      </c>
      <c r="J753" s="1">
        <v>499</v>
      </c>
      <c r="K753" s="1">
        <v>0</v>
      </c>
      <c r="L753" s="1">
        <f>ROUNDDOWN(formatted_data[[#This Row],[Selling_Price]]*formatted_data[[#This Row],[Discount_%]]/100,0)</f>
        <v>0</v>
      </c>
      <c r="M753" s="1">
        <f>(formatted_data[[#This Row],[Selling_Price]]-formatted_data[[#This Row],[Discount_Amount]])*formatted_data[[#This Row],[Units]]</f>
        <v>1996</v>
      </c>
      <c r="N753" s="1">
        <f>formatted_data[[#This Row],[Total_Revenue]]-(formatted_data[[#This Row],[Cost_Price]]*formatted_data[[#This Row],[Units]])</f>
        <v>716</v>
      </c>
      <c r="O753" s="1" t="s">
        <v>33</v>
      </c>
      <c r="P753"/>
    </row>
    <row r="754" spans="1:16" x14ac:dyDescent="0.35">
      <c r="A754" s="1" t="s">
        <v>104</v>
      </c>
      <c r="B754" s="1" t="s">
        <v>27</v>
      </c>
      <c r="C754" s="2">
        <v>45592</v>
      </c>
      <c r="D754" s="1" t="s">
        <v>23</v>
      </c>
      <c r="E754" s="1" t="s">
        <v>43</v>
      </c>
      <c r="F754" s="1" t="s">
        <v>37</v>
      </c>
      <c r="G754" s="1" t="s">
        <v>19</v>
      </c>
      <c r="H754" s="1">
        <v>2</v>
      </c>
      <c r="I754" s="1">
        <v>1441</v>
      </c>
      <c r="J754" s="1">
        <v>2299</v>
      </c>
      <c r="K754" s="1">
        <v>10</v>
      </c>
      <c r="L754" s="1">
        <f>ROUNDDOWN(formatted_data[[#This Row],[Selling_Price]]*formatted_data[[#This Row],[Discount_%]]/100,0)</f>
        <v>229</v>
      </c>
      <c r="M754" s="1">
        <f>(formatted_data[[#This Row],[Selling_Price]]-formatted_data[[#This Row],[Discount_Amount]])*formatted_data[[#This Row],[Units]]</f>
        <v>4140</v>
      </c>
      <c r="N754" s="1">
        <f>formatted_data[[#This Row],[Total_Revenue]]-(formatted_data[[#This Row],[Cost_Price]]*formatted_data[[#This Row],[Units]])</f>
        <v>1258</v>
      </c>
      <c r="O754" s="1" t="s">
        <v>21</v>
      </c>
      <c r="P754"/>
    </row>
    <row r="755" spans="1:16" x14ac:dyDescent="0.35">
      <c r="A755" s="1" t="s">
        <v>38</v>
      </c>
      <c r="B755" s="1" t="s">
        <v>27</v>
      </c>
      <c r="C755" s="2">
        <v>45479</v>
      </c>
      <c r="D755" s="1" t="s">
        <v>31</v>
      </c>
      <c r="E755" s="1" t="s">
        <v>32</v>
      </c>
      <c r="F755" s="1" t="s">
        <v>37</v>
      </c>
      <c r="G755" s="1" t="s">
        <v>20</v>
      </c>
      <c r="H755" s="1">
        <v>1</v>
      </c>
      <c r="I755" s="1">
        <v>971</v>
      </c>
      <c r="J755" s="1">
        <v>1499</v>
      </c>
      <c r="K755" s="1">
        <v>0</v>
      </c>
      <c r="L755" s="1">
        <f>ROUNDDOWN(formatted_data[[#This Row],[Selling_Price]]*formatted_data[[#This Row],[Discount_%]]/100,0)</f>
        <v>0</v>
      </c>
      <c r="M755" s="1">
        <f>(formatted_data[[#This Row],[Selling_Price]]-formatted_data[[#This Row],[Discount_Amount]])*formatted_data[[#This Row],[Units]]</f>
        <v>1499</v>
      </c>
      <c r="N755" s="1">
        <f>formatted_data[[#This Row],[Total_Revenue]]-(formatted_data[[#This Row],[Cost_Price]]*formatted_data[[#This Row],[Units]])</f>
        <v>528</v>
      </c>
      <c r="O755" s="1" t="s">
        <v>21</v>
      </c>
      <c r="P755"/>
    </row>
    <row r="756" spans="1:16" x14ac:dyDescent="0.35">
      <c r="A756" s="1" t="s">
        <v>83</v>
      </c>
      <c r="B756" s="1" t="s">
        <v>27</v>
      </c>
      <c r="C756" s="2">
        <v>45565</v>
      </c>
      <c r="D756" s="1" t="s">
        <v>23</v>
      </c>
      <c r="E756" s="1" t="s">
        <v>24</v>
      </c>
      <c r="F756" s="1" t="s">
        <v>25</v>
      </c>
      <c r="G756" s="1" t="s">
        <v>20</v>
      </c>
      <c r="H756" s="1">
        <v>1</v>
      </c>
      <c r="I756" s="1">
        <v>1167</v>
      </c>
      <c r="J756" s="1">
        <v>1799</v>
      </c>
      <c r="K756" s="1">
        <v>15</v>
      </c>
      <c r="L756" s="1">
        <f>ROUNDDOWN(formatted_data[[#This Row],[Selling_Price]]*formatted_data[[#This Row],[Discount_%]]/100,0)</f>
        <v>269</v>
      </c>
      <c r="M756" s="1">
        <f>(formatted_data[[#This Row],[Selling_Price]]-formatted_data[[#This Row],[Discount_Amount]])*formatted_data[[#This Row],[Units]]</f>
        <v>1530</v>
      </c>
      <c r="N756" s="1">
        <f>formatted_data[[#This Row],[Total_Revenue]]-(formatted_data[[#This Row],[Cost_Price]]*formatted_data[[#This Row],[Units]])</f>
        <v>363</v>
      </c>
      <c r="O756" s="1" t="s">
        <v>33</v>
      </c>
      <c r="P756"/>
    </row>
    <row r="757" spans="1:16" x14ac:dyDescent="0.35">
      <c r="A757" s="1" t="s">
        <v>88</v>
      </c>
      <c r="B757" s="1" t="s">
        <v>27</v>
      </c>
      <c r="C757" s="2">
        <v>45487</v>
      </c>
      <c r="D757" s="1" t="s">
        <v>35</v>
      </c>
      <c r="E757" s="1" t="s">
        <v>39</v>
      </c>
      <c r="F757" s="1" t="s">
        <v>19</v>
      </c>
      <c r="G757" s="1" t="s">
        <v>20</v>
      </c>
      <c r="H757" s="1">
        <v>2</v>
      </c>
      <c r="I757" s="1">
        <v>1107</v>
      </c>
      <c r="J757" s="1">
        <v>1599</v>
      </c>
      <c r="K757" s="1">
        <v>15</v>
      </c>
      <c r="L757" s="1">
        <f>ROUNDDOWN(formatted_data[[#This Row],[Selling_Price]]*formatted_data[[#This Row],[Discount_%]]/100,0)</f>
        <v>239</v>
      </c>
      <c r="M757" s="1">
        <f>(formatted_data[[#This Row],[Selling_Price]]-formatted_data[[#This Row],[Discount_Amount]])*formatted_data[[#This Row],[Units]]</f>
        <v>2720</v>
      </c>
      <c r="N757" s="1">
        <f>formatted_data[[#This Row],[Total_Revenue]]-(formatted_data[[#This Row],[Cost_Price]]*formatted_data[[#This Row],[Units]])</f>
        <v>506</v>
      </c>
      <c r="O757" s="1" t="s">
        <v>21</v>
      </c>
      <c r="P757"/>
    </row>
    <row r="758" spans="1:16" x14ac:dyDescent="0.35">
      <c r="A758" s="1" t="s">
        <v>107</v>
      </c>
      <c r="B758" s="1" t="s">
        <v>27</v>
      </c>
      <c r="C758" s="2">
        <v>45494</v>
      </c>
      <c r="D758" s="1" t="s">
        <v>17</v>
      </c>
      <c r="E758" s="1" t="s">
        <v>48</v>
      </c>
      <c r="F758" s="1" t="s">
        <v>37</v>
      </c>
      <c r="G758" s="1" t="s">
        <v>19</v>
      </c>
      <c r="H758" s="1">
        <v>2</v>
      </c>
      <c r="I758" s="1">
        <v>303</v>
      </c>
      <c r="J758" s="1">
        <v>499</v>
      </c>
      <c r="K758" s="1">
        <v>0</v>
      </c>
      <c r="L758" s="1">
        <f>ROUNDDOWN(formatted_data[[#This Row],[Selling_Price]]*formatted_data[[#This Row],[Discount_%]]/100,0)</f>
        <v>0</v>
      </c>
      <c r="M758" s="1">
        <f>(formatted_data[[#This Row],[Selling_Price]]-formatted_data[[#This Row],[Discount_Amount]])*formatted_data[[#This Row],[Units]]</f>
        <v>998</v>
      </c>
      <c r="N758" s="1">
        <f>formatted_data[[#This Row],[Total_Revenue]]-(formatted_data[[#This Row],[Cost_Price]]*formatted_data[[#This Row],[Units]])</f>
        <v>392</v>
      </c>
      <c r="O758" s="1" t="s">
        <v>21</v>
      </c>
      <c r="P758"/>
    </row>
    <row r="759" spans="1:16" x14ac:dyDescent="0.35">
      <c r="A759" s="1" t="s">
        <v>92</v>
      </c>
      <c r="B759" s="1" t="s">
        <v>27</v>
      </c>
      <c r="C759" s="2">
        <v>45626</v>
      </c>
      <c r="D759" s="1" t="s">
        <v>31</v>
      </c>
      <c r="E759" s="1" t="s">
        <v>32</v>
      </c>
      <c r="F759" s="1" t="s">
        <v>19</v>
      </c>
      <c r="G759" s="1" t="s">
        <v>20</v>
      </c>
      <c r="H759" s="1">
        <v>2</v>
      </c>
      <c r="I759" s="1">
        <v>705</v>
      </c>
      <c r="J759" s="1">
        <v>999</v>
      </c>
      <c r="K759" s="1">
        <v>0</v>
      </c>
      <c r="L759" s="1">
        <f>ROUNDDOWN(formatted_data[[#This Row],[Selling_Price]]*formatted_data[[#This Row],[Discount_%]]/100,0)</f>
        <v>0</v>
      </c>
      <c r="M759" s="1">
        <f>(formatted_data[[#This Row],[Selling_Price]]-formatted_data[[#This Row],[Discount_Amount]])*formatted_data[[#This Row],[Units]]</f>
        <v>1998</v>
      </c>
      <c r="N759" s="1">
        <f>formatted_data[[#This Row],[Total_Revenue]]-(formatted_data[[#This Row],[Cost_Price]]*formatted_data[[#This Row],[Units]])</f>
        <v>588</v>
      </c>
      <c r="O759" s="1" t="s">
        <v>33</v>
      </c>
      <c r="P759"/>
    </row>
    <row r="760" spans="1:16" x14ac:dyDescent="0.35">
      <c r="A760" s="1" t="s">
        <v>80</v>
      </c>
      <c r="B760" s="1" t="s">
        <v>27</v>
      </c>
      <c r="C760" s="2">
        <v>45565</v>
      </c>
      <c r="D760" s="1" t="s">
        <v>23</v>
      </c>
      <c r="E760" s="1" t="s">
        <v>24</v>
      </c>
      <c r="F760" s="1" t="s">
        <v>19</v>
      </c>
      <c r="G760" s="1" t="s">
        <v>20</v>
      </c>
      <c r="H760" s="1">
        <v>5</v>
      </c>
      <c r="I760" s="1">
        <v>749</v>
      </c>
      <c r="J760" s="1">
        <v>999</v>
      </c>
      <c r="K760" s="1">
        <v>15</v>
      </c>
      <c r="L760" s="1">
        <f>ROUNDDOWN(formatted_data[[#This Row],[Selling_Price]]*formatted_data[[#This Row],[Discount_%]]/100,0)</f>
        <v>149</v>
      </c>
      <c r="M760" s="1">
        <f>(formatted_data[[#This Row],[Selling_Price]]-formatted_data[[#This Row],[Discount_Amount]])*formatted_data[[#This Row],[Units]]</f>
        <v>4250</v>
      </c>
      <c r="N760" s="1">
        <f>formatted_data[[#This Row],[Total_Revenue]]-(formatted_data[[#This Row],[Cost_Price]]*formatted_data[[#This Row],[Units]])</f>
        <v>505</v>
      </c>
      <c r="O760" s="1" t="s">
        <v>33</v>
      </c>
      <c r="P760"/>
    </row>
    <row r="761" spans="1:16" x14ac:dyDescent="0.35">
      <c r="A761" s="1" t="s">
        <v>109</v>
      </c>
      <c r="B761" s="1" t="s">
        <v>16</v>
      </c>
      <c r="C761" s="2">
        <v>45632</v>
      </c>
      <c r="D761" s="1" t="s">
        <v>28</v>
      </c>
      <c r="E761" s="1" t="s">
        <v>29</v>
      </c>
      <c r="F761" s="1" t="s">
        <v>37</v>
      </c>
      <c r="G761" s="1" t="s">
        <v>20</v>
      </c>
      <c r="H761" s="1">
        <v>5</v>
      </c>
      <c r="I761" s="1">
        <v>517</v>
      </c>
      <c r="J761" s="1">
        <v>799</v>
      </c>
      <c r="K761" s="1">
        <v>20</v>
      </c>
      <c r="L761" s="1">
        <f>ROUNDDOWN(formatted_data[[#This Row],[Selling_Price]]*formatted_data[[#This Row],[Discount_%]]/100,0)</f>
        <v>159</v>
      </c>
      <c r="M761" s="1">
        <f>(formatted_data[[#This Row],[Selling_Price]]-formatted_data[[#This Row],[Discount_Amount]])*formatted_data[[#This Row],[Units]]</f>
        <v>3200</v>
      </c>
      <c r="N761" s="1">
        <f>formatted_data[[#This Row],[Total_Revenue]]-(formatted_data[[#This Row],[Cost_Price]]*formatted_data[[#This Row],[Units]])</f>
        <v>615</v>
      </c>
      <c r="O761" s="1" t="s">
        <v>33</v>
      </c>
      <c r="P761"/>
    </row>
    <row r="762" spans="1:16" x14ac:dyDescent="0.35">
      <c r="A762" s="1" t="s">
        <v>79</v>
      </c>
      <c r="B762" s="1" t="s">
        <v>16</v>
      </c>
      <c r="C762" s="2">
        <v>45550</v>
      </c>
      <c r="D762" s="1" t="s">
        <v>23</v>
      </c>
      <c r="E762" s="1" t="s">
        <v>24</v>
      </c>
      <c r="F762" s="1" t="s">
        <v>37</v>
      </c>
      <c r="G762" s="1" t="s">
        <v>20</v>
      </c>
      <c r="H762" s="1">
        <v>4</v>
      </c>
      <c r="I762" s="1">
        <v>1047</v>
      </c>
      <c r="J762" s="1">
        <v>1699</v>
      </c>
      <c r="K762" s="1">
        <v>10</v>
      </c>
      <c r="L762" s="1">
        <f>ROUNDDOWN(formatted_data[[#This Row],[Selling_Price]]*formatted_data[[#This Row],[Discount_%]]/100,0)</f>
        <v>169</v>
      </c>
      <c r="M762" s="1">
        <f>(formatted_data[[#This Row],[Selling_Price]]-formatted_data[[#This Row],[Discount_Amount]])*formatted_data[[#This Row],[Units]]</f>
        <v>6120</v>
      </c>
      <c r="N762" s="1">
        <f>formatted_data[[#This Row],[Total_Revenue]]-(formatted_data[[#This Row],[Cost_Price]]*formatted_data[[#This Row],[Units]])</f>
        <v>1932</v>
      </c>
      <c r="O762" s="1" t="s">
        <v>33</v>
      </c>
      <c r="P762"/>
    </row>
    <row r="763" spans="1:16" x14ac:dyDescent="0.35">
      <c r="A763" s="1" t="s">
        <v>75</v>
      </c>
      <c r="B763" s="1" t="s">
        <v>27</v>
      </c>
      <c r="C763" s="2">
        <v>45627</v>
      </c>
      <c r="D763" s="1" t="s">
        <v>31</v>
      </c>
      <c r="E763" s="1" t="s">
        <v>32</v>
      </c>
      <c r="F763" s="1" t="s">
        <v>19</v>
      </c>
      <c r="G763" s="1" t="s">
        <v>19</v>
      </c>
      <c r="H763" s="1">
        <v>2</v>
      </c>
      <c r="I763" s="1">
        <v>807</v>
      </c>
      <c r="J763" s="1">
        <v>1199</v>
      </c>
      <c r="K763" s="1">
        <v>0</v>
      </c>
      <c r="L763" s="1">
        <f>ROUNDDOWN(formatted_data[[#This Row],[Selling_Price]]*formatted_data[[#This Row],[Discount_%]]/100,0)</f>
        <v>0</v>
      </c>
      <c r="M763" s="1">
        <f>(formatted_data[[#This Row],[Selling_Price]]-formatted_data[[#This Row],[Discount_Amount]])*formatted_data[[#This Row],[Units]]</f>
        <v>2398</v>
      </c>
      <c r="N763" s="1">
        <f>formatted_data[[#This Row],[Total_Revenue]]-(formatted_data[[#This Row],[Cost_Price]]*formatted_data[[#This Row],[Units]])</f>
        <v>784</v>
      </c>
      <c r="O763" s="1" t="s">
        <v>21</v>
      </c>
      <c r="P763"/>
    </row>
    <row r="764" spans="1:16" x14ac:dyDescent="0.35">
      <c r="A764" s="1" t="s">
        <v>74</v>
      </c>
      <c r="B764" s="1" t="s">
        <v>16</v>
      </c>
      <c r="C764" s="2">
        <v>45468</v>
      </c>
      <c r="D764" s="1" t="s">
        <v>23</v>
      </c>
      <c r="E764" s="1" t="s">
        <v>24</v>
      </c>
      <c r="F764" s="1" t="s">
        <v>19</v>
      </c>
      <c r="G764" s="1" t="s">
        <v>20</v>
      </c>
      <c r="H764" s="1">
        <v>3</v>
      </c>
      <c r="I764" s="1">
        <v>533</v>
      </c>
      <c r="J764" s="1">
        <v>899</v>
      </c>
      <c r="K764" s="1">
        <v>10</v>
      </c>
      <c r="L764" s="1">
        <f>ROUNDDOWN(formatted_data[[#This Row],[Selling_Price]]*formatted_data[[#This Row],[Discount_%]]/100,0)</f>
        <v>89</v>
      </c>
      <c r="M764" s="1">
        <f>(formatted_data[[#This Row],[Selling_Price]]-formatted_data[[#This Row],[Discount_Amount]])*formatted_data[[#This Row],[Units]]</f>
        <v>2430</v>
      </c>
      <c r="N764" s="1">
        <f>formatted_data[[#This Row],[Total_Revenue]]-(formatted_data[[#This Row],[Cost_Price]]*formatted_data[[#This Row],[Units]])</f>
        <v>831</v>
      </c>
      <c r="O764" s="1" t="s">
        <v>21</v>
      </c>
      <c r="P764"/>
    </row>
    <row r="765" spans="1:16" x14ac:dyDescent="0.35">
      <c r="A765" s="1" t="s">
        <v>67</v>
      </c>
      <c r="B765" s="1" t="s">
        <v>27</v>
      </c>
      <c r="C765" s="2">
        <v>45480</v>
      </c>
      <c r="D765" s="1" t="s">
        <v>17</v>
      </c>
      <c r="E765" s="1" t="s">
        <v>55</v>
      </c>
      <c r="F765" s="1" t="s">
        <v>25</v>
      </c>
      <c r="G765" s="1" t="s">
        <v>19</v>
      </c>
      <c r="H765" s="1">
        <v>2</v>
      </c>
      <c r="I765" s="1">
        <v>216</v>
      </c>
      <c r="J765" s="1">
        <v>299</v>
      </c>
      <c r="K765" s="1">
        <v>0</v>
      </c>
      <c r="L765" s="1">
        <f>ROUNDDOWN(formatted_data[[#This Row],[Selling_Price]]*formatted_data[[#This Row],[Discount_%]]/100,0)</f>
        <v>0</v>
      </c>
      <c r="M765" s="1">
        <f>(formatted_data[[#This Row],[Selling_Price]]-formatted_data[[#This Row],[Discount_Amount]])*formatted_data[[#This Row],[Units]]</f>
        <v>598</v>
      </c>
      <c r="N765" s="1">
        <f>formatted_data[[#This Row],[Total_Revenue]]-(formatted_data[[#This Row],[Cost_Price]]*formatted_data[[#This Row],[Units]])</f>
        <v>166</v>
      </c>
      <c r="O765" s="1" t="s">
        <v>21</v>
      </c>
      <c r="P765"/>
    </row>
    <row r="766" spans="1:16" x14ac:dyDescent="0.35">
      <c r="A766" s="1" t="s">
        <v>68</v>
      </c>
      <c r="B766" s="1" t="s">
        <v>16</v>
      </c>
      <c r="C766" s="2">
        <v>45591</v>
      </c>
      <c r="D766" s="1" t="s">
        <v>31</v>
      </c>
      <c r="E766" s="1" t="s">
        <v>32</v>
      </c>
      <c r="F766" s="1" t="s">
        <v>19</v>
      </c>
      <c r="G766" s="1" t="s">
        <v>20</v>
      </c>
      <c r="H766" s="1">
        <v>2</v>
      </c>
      <c r="I766" s="1">
        <v>516</v>
      </c>
      <c r="J766" s="1">
        <v>999</v>
      </c>
      <c r="K766" s="1">
        <v>0</v>
      </c>
      <c r="L766" s="1">
        <f>ROUNDDOWN(formatted_data[[#This Row],[Selling_Price]]*formatted_data[[#This Row],[Discount_%]]/100,0)</f>
        <v>0</v>
      </c>
      <c r="M766" s="1">
        <f>(formatted_data[[#This Row],[Selling_Price]]-formatted_data[[#This Row],[Discount_Amount]])*formatted_data[[#This Row],[Units]]</f>
        <v>1998</v>
      </c>
      <c r="N766" s="1">
        <f>formatted_data[[#This Row],[Total_Revenue]]-(formatted_data[[#This Row],[Cost_Price]]*formatted_data[[#This Row],[Units]])</f>
        <v>966</v>
      </c>
      <c r="O766" s="1" t="s">
        <v>21</v>
      </c>
      <c r="P766"/>
    </row>
    <row r="767" spans="1:16" x14ac:dyDescent="0.35">
      <c r="A767" s="1" t="s">
        <v>56</v>
      </c>
      <c r="B767" s="1" t="s">
        <v>27</v>
      </c>
      <c r="C767" s="2">
        <v>45474</v>
      </c>
      <c r="D767" s="1" t="s">
        <v>35</v>
      </c>
      <c r="E767" s="1" t="s">
        <v>50</v>
      </c>
      <c r="F767" s="1" t="s">
        <v>19</v>
      </c>
      <c r="G767" s="1" t="s">
        <v>19</v>
      </c>
      <c r="H767" s="1">
        <v>1</v>
      </c>
      <c r="I767" s="1">
        <v>895</v>
      </c>
      <c r="J767" s="1">
        <v>1299</v>
      </c>
      <c r="K767" s="1">
        <v>20</v>
      </c>
      <c r="L767" s="1">
        <f>ROUNDDOWN(formatted_data[[#This Row],[Selling_Price]]*formatted_data[[#This Row],[Discount_%]]/100,0)</f>
        <v>259</v>
      </c>
      <c r="M767" s="1">
        <f>(formatted_data[[#This Row],[Selling_Price]]-formatted_data[[#This Row],[Discount_Amount]])*formatted_data[[#This Row],[Units]]</f>
        <v>1040</v>
      </c>
      <c r="N767" s="1">
        <f>formatted_data[[#This Row],[Total_Revenue]]-(formatted_data[[#This Row],[Cost_Price]]*formatted_data[[#This Row],[Units]])</f>
        <v>145</v>
      </c>
      <c r="O767" s="1" t="s">
        <v>33</v>
      </c>
      <c r="P767"/>
    </row>
    <row r="768" spans="1:16" x14ac:dyDescent="0.35">
      <c r="A768" s="1" t="s">
        <v>54</v>
      </c>
      <c r="B768" s="1" t="s">
        <v>27</v>
      </c>
      <c r="C768" s="2">
        <v>45495</v>
      </c>
      <c r="D768" s="1" t="s">
        <v>31</v>
      </c>
      <c r="E768" s="1" t="s">
        <v>32</v>
      </c>
      <c r="F768" s="1" t="s">
        <v>19</v>
      </c>
      <c r="G768" s="1" t="s">
        <v>19</v>
      </c>
      <c r="H768" s="1">
        <v>1</v>
      </c>
      <c r="I768" s="1">
        <v>886</v>
      </c>
      <c r="J768" s="1">
        <v>1199</v>
      </c>
      <c r="K768" s="1">
        <v>0</v>
      </c>
      <c r="L768" s="1">
        <f>ROUNDDOWN(formatted_data[[#This Row],[Selling_Price]]*formatted_data[[#This Row],[Discount_%]]/100,0)</f>
        <v>0</v>
      </c>
      <c r="M768" s="1">
        <f>(formatted_data[[#This Row],[Selling_Price]]-formatted_data[[#This Row],[Discount_Amount]])*formatted_data[[#This Row],[Units]]</f>
        <v>1199</v>
      </c>
      <c r="N768" s="1">
        <f>formatted_data[[#This Row],[Total_Revenue]]-(formatted_data[[#This Row],[Cost_Price]]*formatted_data[[#This Row],[Units]])</f>
        <v>313</v>
      </c>
      <c r="O768" s="1" t="s">
        <v>21</v>
      </c>
      <c r="P768"/>
    </row>
    <row r="769" spans="1:16" x14ac:dyDescent="0.35">
      <c r="A769" s="1" t="s">
        <v>101</v>
      </c>
      <c r="B769" s="1" t="s">
        <v>16</v>
      </c>
      <c r="C769" s="2">
        <v>45556</v>
      </c>
      <c r="D769" s="1" t="s">
        <v>28</v>
      </c>
      <c r="E769" s="1" t="s">
        <v>45</v>
      </c>
      <c r="F769" s="1" t="s">
        <v>37</v>
      </c>
      <c r="G769" s="1" t="s">
        <v>20</v>
      </c>
      <c r="H769" s="1">
        <v>1</v>
      </c>
      <c r="I769" s="1">
        <v>483</v>
      </c>
      <c r="J769" s="1">
        <v>799</v>
      </c>
      <c r="K769" s="1">
        <v>15</v>
      </c>
      <c r="L769" s="1">
        <f>ROUNDDOWN(formatted_data[[#This Row],[Selling_Price]]*formatted_data[[#This Row],[Discount_%]]/100,0)</f>
        <v>119</v>
      </c>
      <c r="M769" s="1">
        <f>(formatted_data[[#This Row],[Selling_Price]]-formatted_data[[#This Row],[Discount_Amount]])*formatted_data[[#This Row],[Units]]</f>
        <v>680</v>
      </c>
      <c r="N769" s="1">
        <f>formatted_data[[#This Row],[Total_Revenue]]-(formatted_data[[#This Row],[Cost_Price]]*formatted_data[[#This Row],[Units]])</f>
        <v>197</v>
      </c>
      <c r="O769" s="1" t="s">
        <v>21</v>
      </c>
      <c r="P769"/>
    </row>
    <row r="770" spans="1:16" x14ac:dyDescent="0.35">
      <c r="A770" s="1" t="s">
        <v>40</v>
      </c>
      <c r="B770" s="1" t="s">
        <v>27</v>
      </c>
      <c r="C770" s="2">
        <v>45583</v>
      </c>
      <c r="D770" s="1" t="s">
        <v>28</v>
      </c>
      <c r="E770" s="1" t="s">
        <v>29</v>
      </c>
      <c r="F770" s="1" t="s">
        <v>25</v>
      </c>
      <c r="G770" s="1" t="s">
        <v>20</v>
      </c>
      <c r="H770" s="1">
        <v>4</v>
      </c>
      <c r="I770" s="1">
        <v>497</v>
      </c>
      <c r="J770" s="1">
        <v>799</v>
      </c>
      <c r="K770" s="1">
        <v>15</v>
      </c>
      <c r="L770" s="1">
        <f>ROUNDDOWN(formatted_data[[#This Row],[Selling_Price]]*formatted_data[[#This Row],[Discount_%]]/100,0)</f>
        <v>119</v>
      </c>
      <c r="M770" s="1">
        <f>(formatted_data[[#This Row],[Selling_Price]]-formatted_data[[#This Row],[Discount_Amount]])*formatted_data[[#This Row],[Units]]</f>
        <v>2720</v>
      </c>
      <c r="N770" s="1">
        <f>formatted_data[[#This Row],[Total_Revenue]]-(formatted_data[[#This Row],[Cost_Price]]*formatted_data[[#This Row],[Units]])</f>
        <v>732</v>
      </c>
      <c r="O770" s="1" t="s">
        <v>21</v>
      </c>
      <c r="P770"/>
    </row>
    <row r="771" spans="1:16" x14ac:dyDescent="0.35">
      <c r="A771" s="1" t="s">
        <v>22</v>
      </c>
      <c r="B771" s="1" t="s">
        <v>16</v>
      </c>
      <c r="C771" s="2">
        <v>45500</v>
      </c>
      <c r="D771" s="1" t="s">
        <v>23</v>
      </c>
      <c r="E771" s="1" t="s">
        <v>43</v>
      </c>
      <c r="F771" s="1" t="s">
        <v>25</v>
      </c>
      <c r="G771" s="1" t="s">
        <v>19</v>
      </c>
      <c r="H771" s="1">
        <v>2</v>
      </c>
      <c r="I771" s="1">
        <v>2675</v>
      </c>
      <c r="J771" s="1">
        <v>3799</v>
      </c>
      <c r="K771" s="1">
        <v>20</v>
      </c>
      <c r="L771" s="1">
        <f>ROUNDDOWN(formatted_data[[#This Row],[Selling_Price]]*formatted_data[[#This Row],[Discount_%]]/100,0)</f>
        <v>759</v>
      </c>
      <c r="M771" s="1">
        <f>(formatted_data[[#This Row],[Selling_Price]]-formatted_data[[#This Row],[Discount_Amount]])*formatted_data[[#This Row],[Units]]</f>
        <v>6080</v>
      </c>
      <c r="N771" s="1">
        <f>formatted_data[[#This Row],[Total_Revenue]]-(formatted_data[[#This Row],[Cost_Price]]*formatted_data[[#This Row],[Units]])</f>
        <v>730</v>
      </c>
      <c r="O771" s="1" t="s">
        <v>21</v>
      </c>
      <c r="P771"/>
    </row>
    <row r="772" spans="1:16" x14ac:dyDescent="0.35">
      <c r="A772" s="1" t="s">
        <v>61</v>
      </c>
      <c r="B772" s="1" t="s">
        <v>27</v>
      </c>
      <c r="C772" s="2">
        <v>45479</v>
      </c>
      <c r="D772" s="1" t="s">
        <v>28</v>
      </c>
      <c r="E772" s="1" t="s">
        <v>29</v>
      </c>
      <c r="F772" s="1" t="s">
        <v>37</v>
      </c>
      <c r="G772" s="1" t="s">
        <v>20</v>
      </c>
      <c r="H772" s="1">
        <v>2</v>
      </c>
      <c r="I772" s="1">
        <v>373</v>
      </c>
      <c r="J772" s="1">
        <v>599</v>
      </c>
      <c r="K772" s="1">
        <v>5</v>
      </c>
      <c r="L772" s="1">
        <f>ROUNDDOWN(formatted_data[[#This Row],[Selling_Price]]*formatted_data[[#This Row],[Discount_%]]/100,0)</f>
        <v>29</v>
      </c>
      <c r="M772" s="1">
        <f>(formatted_data[[#This Row],[Selling_Price]]-formatted_data[[#This Row],[Discount_Amount]])*formatted_data[[#This Row],[Units]]</f>
        <v>1140</v>
      </c>
      <c r="N772" s="1">
        <f>formatted_data[[#This Row],[Total_Revenue]]-(formatted_data[[#This Row],[Cost_Price]]*formatted_data[[#This Row],[Units]])</f>
        <v>394</v>
      </c>
      <c r="O772" s="1" t="s">
        <v>33</v>
      </c>
      <c r="P772"/>
    </row>
    <row r="773" spans="1:16" x14ac:dyDescent="0.35">
      <c r="A773" s="1" t="s">
        <v>65</v>
      </c>
      <c r="B773" s="1" t="s">
        <v>16</v>
      </c>
      <c r="C773" s="2">
        <v>45617</v>
      </c>
      <c r="D773" s="1" t="s">
        <v>35</v>
      </c>
      <c r="E773" s="1" t="s">
        <v>36</v>
      </c>
      <c r="F773" s="1" t="s">
        <v>19</v>
      </c>
      <c r="G773" s="1" t="s">
        <v>20</v>
      </c>
      <c r="H773" s="1">
        <v>1</v>
      </c>
      <c r="I773" s="1">
        <v>278</v>
      </c>
      <c r="J773" s="1">
        <v>399</v>
      </c>
      <c r="K773" s="1">
        <v>20</v>
      </c>
      <c r="L773" s="1">
        <f>ROUNDDOWN(formatted_data[[#This Row],[Selling_Price]]*formatted_data[[#This Row],[Discount_%]]/100,0)</f>
        <v>79</v>
      </c>
      <c r="M773" s="1">
        <f>(formatted_data[[#This Row],[Selling_Price]]-formatted_data[[#This Row],[Discount_Amount]])*formatted_data[[#This Row],[Units]]</f>
        <v>320</v>
      </c>
      <c r="N773" s="1">
        <f>formatted_data[[#This Row],[Total_Revenue]]-(formatted_data[[#This Row],[Cost_Price]]*formatted_data[[#This Row],[Units]])</f>
        <v>42</v>
      </c>
      <c r="O773" s="1" t="s">
        <v>33</v>
      </c>
      <c r="P773"/>
    </row>
    <row r="774" spans="1:16" x14ac:dyDescent="0.35">
      <c r="A774" s="1" t="s">
        <v>97</v>
      </c>
      <c r="B774" s="1" t="s">
        <v>16</v>
      </c>
      <c r="C774" s="2">
        <v>45481</v>
      </c>
      <c r="D774" s="1" t="s">
        <v>23</v>
      </c>
      <c r="E774" s="1" t="s">
        <v>24</v>
      </c>
      <c r="F774" s="1" t="s">
        <v>25</v>
      </c>
      <c r="G774" s="1" t="s">
        <v>19</v>
      </c>
      <c r="H774" s="1">
        <v>4</v>
      </c>
      <c r="I774" s="1">
        <v>560</v>
      </c>
      <c r="J774" s="1">
        <v>999</v>
      </c>
      <c r="K774" s="1">
        <v>20</v>
      </c>
      <c r="L774" s="1">
        <f>ROUNDDOWN(formatted_data[[#This Row],[Selling_Price]]*formatted_data[[#This Row],[Discount_%]]/100,0)</f>
        <v>199</v>
      </c>
      <c r="M774" s="1">
        <f>(formatted_data[[#This Row],[Selling_Price]]-formatted_data[[#This Row],[Discount_Amount]])*formatted_data[[#This Row],[Units]]</f>
        <v>3200</v>
      </c>
      <c r="N774" s="1">
        <f>formatted_data[[#This Row],[Total_Revenue]]-(formatted_data[[#This Row],[Cost_Price]]*formatted_data[[#This Row],[Units]])</f>
        <v>960</v>
      </c>
      <c r="O774" s="1" t="s">
        <v>21</v>
      </c>
      <c r="P774"/>
    </row>
    <row r="775" spans="1:16" x14ac:dyDescent="0.35">
      <c r="A775" s="1" t="s">
        <v>94</v>
      </c>
      <c r="B775" s="1" t="s">
        <v>16</v>
      </c>
      <c r="C775" s="2">
        <v>45527</v>
      </c>
      <c r="D775" s="1" t="s">
        <v>28</v>
      </c>
      <c r="E775" s="1" t="s">
        <v>29</v>
      </c>
      <c r="F775" s="1" t="s">
        <v>37</v>
      </c>
      <c r="G775" s="1" t="s">
        <v>19</v>
      </c>
      <c r="H775" s="1">
        <v>5</v>
      </c>
      <c r="I775" s="1">
        <v>285</v>
      </c>
      <c r="J775" s="1">
        <v>499</v>
      </c>
      <c r="K775" s="1">
        <v>20</v>
      </c>
      <c r="L775" s="1">
        <f>ROUNDDOWN(formatted_data[[#This Row],[Selling_Price]]*formatted_data[[#This Row],[Discount_%]]/100,0)</f>
        <v>99</v>
      </c>
      <c r="M775" s="1">
        <f>(formatted_data[[#This Row],[Selling_Price]]-formatted_data[[#This Row],[Discount_Amount]])*formatted_data[[#This Row],[Units]]</f>
        <v>2000</v>
      </c>
      <c r="N775" s="1">
        <f>formatted_data[[#This Row],[Total_Revenue]]-(formatted_data[[#This Row],[Cost_Price]]*formatted_data[[#This Row],[Units]])</f>
        <v>575</v>
      </c>
      <c r="O775" s="1" t="s">
        <v>33</v>
      </c>
      <c r="P775"/>
    </row>
    <row r="776" spans="1:16" x14ac:dyDescent="0.35">
      <c r="A776" s="1" t="s">
        <v>77</v>
      </c>
      <c r="B776" s="1" t="s">
        <v>27</v>
      </c>
      <c r="C776" s="2">
        <v>45556</v>
      </c>
      <c r="D776" s="1" t="s">
        <v>31</v>
      </c>
      <c r="E776" s="1" t="s">
        <v>76</v>
      </c>
      <c r="F776" s="1" t="s">
        <v>19</v>
      </c>
      <c r="G776" s="1" t="s">
        <v>20</v>
      </c>
      <c r="H776" s="1">
        <v>5</v>
      </c>
      <c r="I776" s="1">
        <v>493</v>
      </c>
      <c r="J776" s="1">
        <v>699</v>
      </c>
      <c r="K776" s="1">
        <v>0</v>
      </c>
      <c r="L776" s="1">
        <f>ROUNDDOWN(formatted_data[[#This Row],[Selling_Price]]*formatted_data[[#This Row],[Discount_%]]/100,0)</f>
        <v>0</v>
      </c>
      <c r="M776" s="1">
        <f>(formatted_data[[#This Row],[Selling_Price]]-formatted_data[[#This Row],[Discount_Amount]])*formatted_data[[#This Row],[Units]]</f>
        <v>3495</v>
      </c>
      <c r="N776" s="1">
        <f>formatted_data[[#This Row],[Total_Revenue]]-(formatted_data[[#This Row],[Cost_Price]]*formatted_data[[#This Row],[Units]])</f>
        <v>1030</v>
      </c>
      <c r="O776" s="1" t="s">
        <v>21</v>
      </c>
      <c r="P776"/>
    </row>
    <row r="777" spans="1:16" x14ac:dyDescent="0.35">
      <c r="A777" s="1" t="s">
        <v>86</v>
      </c>
      <c r="B777" s="1" t="s">
        <v>27</v>
      </c>
      <c r="C777" s="2">
        <v>45493</v>
      </c>
      <c r="D777" s="1" t="s">
        <v>28</v>
      </c>
      <c r="E777" s="1" t="s">
        <v>29</v>
      </c>
      <c r="F777" s="1" t="s">
        <v>19</v>
      </c>
      <c r="G777" s="1" t="s">
        <v>19</v>
      </c>
      <c r="H777" s="1">
        <v>2</v>
      </c>
      <c r="I777" s="1">
        <v>521</v>
      </c>
      <c r="J777" s="1">
        <v>699</v>
      </c>
      <c r="K777" s="1">
        <v>20</v>
      </c>
      <c r="L777" s="1">
        <f>ROUNDDOWN(formatted_data[[#This Row],[Selling_Price]]*formatted_data[[#This Row],[Discount_%]]/100,0)</f>
        <v>139</v>
      </c>
      <c r="M777" s="1">
        <f>(formatted_data[[#This Row],[Selling_Price]]-formatted_data[[#This Row],[Discount_Amount]])*formatted_data[[#This Row],[Units]]</f>
        <v>1120</v>
      </c>
      <c r="N777" s="1">
        <f>formatted_data[[#This Row],[Total_Revenue]]-(formatted_data[[#This Row],[Cost_Price]]*formatted_data[[#This Row],[Units]])</f>
        <v>78</v>
      </c>
      <c r="O777" s="1" t="s">
        <v>21</v>
      </c>
      <c r="P777"/>
    </row>
    <row r="778" spans="1:16" x14ac:dyDescent="0.35">
      <c r="A778" s="1" t="s">
        <v>40</v>
      </c>
      <c r="B778" s="1" t="s">
        <v>27</v>
      </c>
      <c r="C778" s="2">
        <v>45599</v>
      </c>
      <c r="D778" s="1" t="s">
        <v>17</v>
      </c>
      <c r="E778" s="1" t="s">
        <v>72</v>
      </c>
      <c r="F778" s="1" t="s">
        <v>37</v>
      </c>
      <c r="G778" s="1" t="s">
        <v>20</v>
      </c>
      <c r="H778" s="1">
        <v>1</v>
      </c>
      <c r="I778" s="1">
        <v>222</v>
      </c>
      <c r="J778" s="1">
        <v>399</v>
      </c>
      <c r="K778" s="1">
        <v>0</v>
      </c>
      <c r="L778" s="1">
        <f>ROUNDDOWN(formatted_data[[#This Row],[Selling_Price]]*formatted_data[[#This Row],[Discount_%]]/100,0)</f>
        <v>0</v>
      </c>
      <c r="M778" s="1">
        <f>(formatted_data[[#This Row],[Selling_Price]]-formatted_data[[#This Row],[Discount_Amount]])*formatted_data[[#This Row],[Units]]</f>
        <v>399</v>
      </c>
      <c r="N778" s="1">
        <f>formatted_data[[#This Row],[Total_Revenue]]-(formatted_data[[#This Row],[Cost_Price]]*formatted_data[[#This Row],[Units]])</f>
        <v>177</v>
      </c>
      <c r="O778" s="1" t="s">
        <v>21</v>
      </c>
      <c r="P778"/>
    </row>
    <row r="779" spans="1:16" x14ac:dyDescent="0.35">
      <c r="A779" s="1" t="s">
        <v>85</v>
      </c>
      <c r="B779" s="1" t="s">
        <v>27</v>
      </c>
      <c r="C779" s="2">
        <v>45612</v>
      </c>
      <c r="D779" s="1" t="s">
        <v>28</v>
      </c>
      <c r="E779" s="1" t="s">
        <v>45</v>
      </c>
      <c r="F779" s="1" t="s">
        <v>37</v>
      </c>
      <c r="G779" s="1" t="s">
        <v>20</v>
      </c>
      <c r="H779" s="1">
        <v>5</v>
      </c>
      <c r="I779" s="1">
        <v>547</v>
      </c>
      <c r="J779" s="1">
        <v>799</v>
      </c>
      <c r="K779" s="1">
        <v>15</v>
      </c>
      <c r="L779" s="1">
        <f>ROUNDDOWN(formatted_data[[#This Row],[Selling_Price]]*formatted_data[[#This Row],[Discount_%]]/100,0)</f>
        <v>119</v>
      </c>
      <c r="M779" s="1">
        <f>(formatted_data[[#This Row],[Selling_Price]]-formatted_data[[#This Row],[Discount_Amount]])*formatted_data[[#This Row],[Units]]</f>
        <v>3400</v>
      </c>
      <c r="N779" s="1">
        <f>formatted_data[[#This Row],[Total_Revenue]]-(formatted_data[[#This Row],[Cost_Price]]*formatted_data[[#This Row],[Units]])</f>
        <v>665</v>
      </c>
      <c r="O779" s="1" t="s">
        <v>21</v>
      </c>
      <c r="P779"/>
    </row>
    <row r="780" spans="1:16" x14ac:dyDescent="0.35">
      <c r="A780" s="1" t="s">
        <v>104</v>
      </c>
      <c r="B780" s="1" t="s">
        <v>27</v>
      </c>
      <c r="C780" s="2">
        <v>45486</v>
      </c>
      <c r="D780" s="1" t="s">
        <v>23</v>
      </c>
      <c r="E780" s="1" t="s">
        <v>24</v>
      </c>
      <c r="F780" s="1" t="s">
        <v>25</v>
      </c>
      <c r="G780" s="1" t="s">
        <v>20</v>
      </c>
      <c r="H780" s="1">
        <v>4</v>
      </c>
      <c r="I780" s="1">
        <v>1003</v>
      </c>
      <c r="J780" s="1">
        <v>1499</v>
      </c>
      <c r="K780" s="1">
        <v>15</v>
      </c>
      <c r="L780" s="1">
        <f>ROUNDDOWN(formatted_data[[#This Row],[Selling_Price]]*formatted_data[[#This Row],[Discount_%]]/100,0)</f>
        <v>224</v>
      </c>
      <c r="M780" s="1">
        <f>(formatted_data[[#This Row],[Selling_Price]]-formatted_data[[#This Row],[Discount_Amount]])*formatted_data[[#This Row],[Units]]</f>
        <v>5100</v>
      </c>
      <c r="N780" s="1">
        <f>formatted_data[[#This Row],[Total_Revenue]]-(formatted_data[[#This Row],[Cost_Price]]*formatted_data[[#This Row],[Units]])</f>
        <v>1088</v>
      </c>
      <c r="O780" s="1" t="s">
        <v>21</v>
      </c>
      <c r="P780"/>
    </row>
    <row r="781" spans="1:16" x14ac:dyDescent="0.35">
      <c r="A781" s="1" t="s">
        <v>61</v>
      </c>
      <c r="B781" s="1" t="s">
        <v>27</v>
      </c>
      <c r="C781" s="2">
        <v>45613</v>
      </c>
      <c r="D781" s="1" t="s">
        <v>17</v>
      </c>
      <c r="E781" s="1" t="s">
        <v>72</v>
      </c>
      <c r="F781" s="1" t="s">
        <v>25</v>
      </c>
      <c r="G781" s="1" t="s">
        <v>19</v>
      </c>
      <c r="H781" s="1">
        <v>3</v>
      </c>
      <c r="I781" s="1">
        <v>295</v>
      </c>
      <c r="J781" s="1">
        <v>499</v>
      </c>
      <c r="K781" s="1">
        <v>0</v>
      </c>
      <c r="L781" s="1">
        <f>ROUNDDOWN(formatted_data[[#This Row],[Selling_Price]]*formatted_data[[#This Row],[Discount_%]]/100,0)</f>
        <v>0</v>
      </c>
      <c r="M781" s="1">
        <f>(formatted_data[[#This Row],[Selling_Price]]-formatted_data[[#This Row],[Discount_Amount]])*formatted_data[[#This Row],[Units]]</f>
        <v>1497</v>
      </c>
      <c r="N781" s="1">
        <f>formatted_data[[#This Row],[Total_Revenue]]-(formatted_data[[#This Row],[Cost_Price]]*formatted_data[[#This Row],[Units]])</f>
        <v>612</v>
      </c>
      <c r="O781" s="1" t="s">
        <v>21</v>
      </c>
      <c r="P781"/>
    </row>
    <row r="782" spans="1:16" x14ac:dyDescent="0.35">
      <c r="A782" s="1" t="s">
        <v>74</v>
      </c>
      <c r="B782" s="1" t="s">
        <v>16</v>
      </c>
      <c r="C782" s="2">
        <v>45479</v>
      </c>
      <c r="D782" s="1" t="s">
        <v>35</v>
      </c>
      <c r="E782" s="1" t="s">
        <v>58</v>
      </c>
      <c r="F782" s="1" t="s">
        <v>19</v>
      </c>
      <c r="G782" s="1" t="s">
        <v>19</v>
      </c>
      <c r="H782" s="1">
        <v>3</v>
      </c>
      <c r="I782" s="1">
        <v>552</v>
      </c>
      <c r="J782" s="1">
        <v>1099</v>
      </c>
      <c r="K782" s="1">
        <v>5</v>
      </c>
      <c r="L782" s="1">
        <f>ROUNDDOWN(formatted_data[[#This Row],[Selling_Price]]*formatted_data[[#This Row],[Discount_%]]/100,0)</f>
        <v>54</v>
      </c>
      <c r="M782" s="1">
        <f>(formatted_data[[#This Row],[Selling_Price]]-formatted_data[[#This Row],[Discount_Amount]])*formatted_data[[#This Row],[Units]]</f>
        <v>3135</v>
      </c>
      <c r="N782" s="1">
        <f>formatted_data[[#This Row],[Total_Revenue]]-(formatted_data[[#This Row],[Cost_Price]]*formatted_data[[#This Row],[Units]])</f>
        <v>1479</v>
      </c>
      <c r="O782" s="1" t="s">
        <v>21</v>
      </c>
      <c r="P782"/>
    </row>
    <row r="783" spans="1:16" x14ac:dyDescent="0.35">
      <c r="A783" s="1" t="s">
        <v>66</v>
      </c>
      <c r="B783" s="1" t="s">
        <v>27</v>
      </c>
      <c r="C783" s="2">
        <v>45654</v>
      </c>
      <c r="D783" s="1" t="s">
        <v>17</v>
      </c>
      <c r="E783" s="1" t="s">
        <v>72</v>
      </c>
      <c r="F783" s="1" t="s">
        <v>19</v>
      </c>
      <c r="G783" s="1" t="s">
        <v>19</v>
      </c>
      <c r="H783" s="1">
        <v>2</v>
      </c>
      <c r="I783" s="1">
        <v>273</v>
      </c>
      <c r="J783" s="1">
        <v>499</v>
      </c>
      <c r="K783" s="1">
        <v>0</v>
      </c>
      <c r="L783" s="1">
        <f>ROUNDDOWN(formatted_data[[#This Row],[Selling_Price]]*formatted_data[[#This Row],[Discount_%]]/100,0)</f>
        <v>0</v>
      </c>
      <c r="M783" s="1">
        <f>(formatted_data[[#This Row],[Selling_Price]]-formatted_data[[#This Row],[Discount_Amount]])*formatted_data[[#This Row],[Units]]</f>
        <v>998</v>
      </c>
      <c r="N783" s="1">
        <f>formatted_data[[#This Row],[Total_Revenue]]-(formatted_data[[#This Row],[Cost_Price]]*formatted_data[[#This Row],[Units]])</f>
        <v>452</v>
      </c>
      <c r="O783" s="1" t="s">
        <v>21</v>
      </c>
      <c r="P783"/>
    </row>
    <row r="784" spans="1:16" x14ac:dyDescent="0.35">
      <c r="A784" s="1" t="s">
        <v>75</v>
      </c>
      <c r="B784" s="1" t="s">
        <v>27</v>
      </c>
      <c r="C784" s="2">
        <v>45484</v>
      </c>
      <c r="D784" s="1" t="s">
        <v>28</v>
      </c>
      <c r="E784" s="1" t="s">
        <v>45</v>
      </c>
      <c r="F784" s="1" t="s">
        <v>37</v>
      </c>
      <c r="G784" s="1" t="s">
        <v>20</v>
      </c>
      <c r="H784" s="1">
        <v>2</v>
      </c>
      <c r="I784" s="1">
        <v>740</v>
      </c>
      <c r="J784" s="1">
        <v>1399</v>
      </c>
      <c r="K784" s="1">
        <v>10</v>
      </c>
      <c r="L784" s="1">
        <f>ROUNDDOWN(formatted_data[[#This Row],[Selling_Price]]*formatted_data[[#This Row],[Discount_%]]/100,0)</f>
        <v>139</v>
      </c>
      <c r="M784" s="1">
        <f>(formatted_data[[#This Row],[Selling_Price]]-formatted_data[[#This Row],[Discount_Amount]])*formatted_data[[#This Row],[Units]]</f>
        <v>2520</v>
      </c>
      <c r="N784" s="1">
        <f>formatted_data[[#This Row],[Total_Revenue]]-(formatted_data[[#This Row],[Cost_Price]]*formatted_data[[#This Row],[Units]])</f>
        <v>1040</v>
      </c>
      <c r="O784" s="1" t="s">
        <v>21</v>
      </c>
      <c r="P784"/>
    </row>
    <row r="785" spans="1:16" x14ac:dyDescent="0.35">
      <c r="A785" s="1" t="s">
        <v>96</v>
      </c>
      <c r="B785" s="1" t="s">
        <v>16</v>
      </c>
      <c r="C785" s="2">
        <v>45531</v>
      </c>
      <c r="D785" s="1" t="s">
        <v>23</v>
      </c>
      <c r="E785" s="1" t="s">
        <v>43</v>
      </c>
      <c r="F785" s="1" t="s">
        <v>25</v>
      </c>
      <c r="G785" s="1" t="s">
        <v>19</v>
      </c>
      <c r="H785" s="1">
        <v>2</v>
      </c>
      <c r="I785" s="1">
        <v>2047</v>
      </c>
      <c r="J785" s="1">
        <v>3699</v>
      </c>
      <c r="K785" s="1">
        <v>5</v>
      </c>
      <c r="L785" s="1">
        <f>ROUNDDOWN(formatted_data[[#This Row],[Selling_Price]]*formatted_data[[#This Row],[Discount_%]]/100,0)</f>
        <v>184</v>
      </c>
      <c r="M785" s="1">
        <f>(formatted_data[[#This Row],[Selling_Price]]-formatted_data[[#This Row],[Discount_Amount]])*formatted_data[[#This Row],[Units]]</f>
        <v>7030</v>
      </c>
      <c r="N785" s="1">
        <f>formatted_data[[#This Row],[Total_Revenue]]-(formatted_data[[#This Row],[Cost_Price]]*formatted_data[[#This Row],[Units]])</f>
        <v>2936</v>
      </c>
      <c r="O785" s="1" t="s">
        <v>21</v>
      </c>
      <c r="P785"/>
    </row>
    <row r="786" spans="1:16" x14ac:dyDescent="0.35">
      <c r="A786" s="1" t="s">
        <v>66</v>
      </c>
      <c r="B786" s="1" t="s">
        <v>27</v>
      </c>
      <c r="C786" s="2">
        <v>45509</v>
      </c>
      <c r="D786" s="1" t="s">
        <v>28</v>
      </c>
      <c r="E786" s="1" t="s">
        <v>29</v>
      </c>
      <c r="F786" s="1" t="s">
        <v>37</v>
      </c>
      <c r="G786" s="1" t="s">
        <v>20</v>
      </c>
      <c r="H786" s="1">
        <v>5</v>
      </c>
      <c r="I786" s="1">
        <v>311</v>
      </c>
      <c r="J786" s="1">
        <v>599</v>
      </c>
      <c r="K786" s="1">
        <v>15</v>
      </c>
      <c r="L786" s="1">
        <f>ROUNDDOWN(formatted_data[[#This Row],[Selling_Price]]*formatted_data[[#This Row],[Discount_%]]/100,0)</f>
        <v>89</v>
      </c>
      <c r="M786" s="1">
        <f>(formatted_data[[#This Row],[Selling_Price]]-formatted_data[[#This Row],[Discount_Amount]])*formatted_data[[#This Row],[Units]]</f>
        <v>2550</v>
      </c>
      <c r="N786" s="1">
        <f>formatted_data[[#This Row],[Total_Revenue]]-(formatted_data[[#This Row],[Cost_Price]]*formatted_data[[#This Row],[Units]])</f>
        <v>995</v>
      </c>
      <c r="O786" s="1" t="s">
        <v>21</v>
      </c>
      <c r="P786"/>
    </row>
    <row r="787" spans="1:16" x14ac:dyDescent="0.35">
      <c r="A787" s="1" t="s">
        <v>22</v>
      </c>
      <c r="B787" s="1" t="s">
        <v>16</v>
      </c>
      <c r="C787" s="2">
        <v>45559</v>
      </c>
      <c r="D787" s="1" t="s">
        <v>28</v>
      </c>
      <c r="E787" s="1" t="s">
        <v>29</v>
      </c>
      <c r="F787" s="1" t="s">
        <v>19</v>
      </c>
      <c r="G787" s="1" t="s">
        <v>19</v>
      </c>
      <c r="H787" s="1">
        <v>2</v>
      </c>
      <c r="I787" s="1">
        <v>310</v>
      </c>
      <c r="J787" s="1">
        <v>499</v>
      </c>
      <c r="K787" s="1">
        <v>5</v>
      </c>
      <c r="L787" s="1">
        <f>ROUNDDOWN(formatted_data[[#This Row],[Selling_Price]]*formatted_data[[#This Row],[Discount_%]]/100,0)</f>
        <v>24</v>
      </c>
      <c r="M787" s="1">
        <f>(formatted_data[[#This Row],[Selling_Price]]-formatted_data[[#This Row],[Discount_Amount]])*formatted_data[[#This Row],[Units]]</f>
        <v>950</v>
      </c>
      <c r="N787" s="1">
        <f>formatted_data[[#This Row],[Total_Revenue]]-(formatted_data[[#This Row],[Cost_Price]]*formatted_data[[#This Row],[Units]])</f>
        <v>330</v>
      </c>
      <c r="O787" s="1" t="s">
        <v>21</v>
      </c>
      <c r="P787"/>
    </row>
    <row r="788" spans="1:16" x14ac:dyDescent="0.35">
      <c r="A788" s="1" t="s">
        <v>74</v>
      </c>
      <c r="B788" s="1" t="s">
        <v>16</v>
      </c>
      <c r="C788" s="2">
        <v>45521</v>
      </c>
      <c r="D788" s="1" t="s">
        <v>17</v>
      </c>
      <c r="E788" s="1" t="s">
        <v>55</v>
      </c>
      <c r="F788" s="1" t="s">
        <v>37</v>
      </c>
      <c r="G788" s="1" t="s">
        <v>19</v>
      </c>
      <c r="H788" s="1">
        <v>2</v>
      </c>
      <c r="I788" s="1">
        <v>345</v>
      </c>
      <c r="J788" s="1">
        <v>499</v>
      </c>
      <c r="K788" s="1">
        <v>0</v>
      </c>
      <c r="L788" s="1">
        <f>ROUNDDOWN(formatted_data[[#This Row],[Selling_Price]]*formatted_data[[#This Row],[Discount_%]]/100,0)</f>
        <v>0</v>
      </c>
      <c r="M788" s="1">
        <f>(formatted_data[[#This Row],[Selling_Price]]-formatted_data[[#This Row],[Discount_Amount]])*formatted_data[[#This Row],[Units]]</f>
        <v>998</v>
      </c>
      <c r="N788" s="1">
        <f>formatted_data[[#This Row],[Total_Revenue]]-(formatted_data[[#This Row],[Cost_Price]]*formatted_data[[#This Row],[Units]])</f>
        <v>308</v>
      </c>
      <c r="O788" s="1" t="s">
        <v>21</v>
      </c>
      <c r="P788"/>
    </row>
    <row r="789" spans="1:16" x14ac:dyDescent="0.35">
      <c r="A789" s="1" t="s">
        <v>99</v>
      </c>
      <c r="B789" s="1" t="s">
        <v>27</v>
      </c>
      <c r="C789" s="2">
        <v>45615</v>
      </c>
      <c r="D789" s="1" t="s">
        <v>28</v>
      </c>
      <c r="E789" s="1" t="s">
        <v>45</v>
      </c>
      <c r="F789" s="1" t="s">
        <v>37</v>
      </c>
      <c r="G789" s="1" t="s">
        <v>20</v>
      </c>
      <c r="H789" s="1">
        <v>2</v>
      </c>
      <c r="I789" s="1">
        <v>984</v>
      </c>
      <c r="J789" s="1">
        <v>1499</v>
      </c>
      <c r="K789" s="1">
        <v>15</v>
      </c>
      <c r="L789" s="1">
        <f>ROUNDDOWN(formatted_data[[#This Row],[Selling_Price]]*formatted_data[[#This Row],[Discount_%]]/100,0)</f>
        <v>224</v>
      </c>
      <c r="M789" s="1">
        <f>(formatted_data[[#This Row],[Selling_Price]]-formatted_data[[#This Row],[Discount_Amount]])*formatted_data[[#This Row],[Units]]</f>
        <v>2550</v>
      </c>
      <c r="N789" s="1">
        <f>formatted_data[[#This Row],[Total_Revenue]]-(formatted_data[[#This Row],[Cost_Price]]*formatted_data[[#This Row],[Units]])</f>
        <v>582</v>
      </c>
      <c r="O789" s="1" t="s">
        <v>21</v>
      </c>
      <c r="P789"/>
    </row>
    <row r="790" spans="1:16" x14ac:dyDescent="0.35">
      <c r="A790" s="1" t="s">
        <v>64</v>
      </c>
      <c r="B790" s="1" t="s">
        <v>16</v>
      </c>
      <c r="C790" s="2">
        <v>45619</v>
      </c>
      <c r="D790" s="1" t="s">
        <v>35</v>
      </c>
      <c r="E790" s="1" t="s">
        <v>58</v>
      </c>
      <c r="F790" s="1" t="s">
        <v>19</v>
      </c>
      <c r="G790" s="1" t="s">
        <v>19</v>
      </c>
      <c r="H790" s="1">
        <v>1</v>
      </c>
      <c r="I790" s="1">
        <v>1222</v>
      </c>
      <c r="J790" s="1">
        <v>1899</v>
      </c>
      <c r="K790" s="1">
        <v>20</v>
      </c>
      <c r="L790" s="1">
        <f>ROUNDDOWN(formatted_data[[#This Row],[Selling_Price]]*formatted_data[[#This Row],[Discount_%]]/100,0)</f>
        <v>379</v>
      </c>
      <c r="M790" s="1">
        <f>(formatted_data[[#This Row],[Selling_Price]]-formatted_data[[#This Row],[Discount_Amount]])*formatted_data[[#This Row],[Units]]</f>
        <v>1520</v>
      </c>
      <c r="N790" s="1">
        <f>formatted_data[[#This Row],[Total_Revenue]]-(formatted_data[[#This Row],[Cost_Price]]*formatted_data[[#This Row],[Units]])</f>
        <v>298</v>
      </c>
      <c r="O790" s="1" t="s">
        <v>21</v>
      </c>
      <c r="P790"/>
    </row>
    <row r="791" spans="1:16" x14ac:dyDescent="0.35">
      <c r="A791" s="1" t="s">
        <v>63</v>
      </c>
      <c r="B791" s="1" t="s">
        <v>27</v>
      </c>
      <c r="C791" s="2">
        <v>45546</v>
      </c>
      <c r="D791" s="1" t="s">
        <v>35</v>
      </c>
      <c r="E791" s="1" t="s">
        <v>58</v>
      </c>
      <c r="F791" s="1" t="s">
        <v>19</v>
      </c>
      <c r="G791" s="1" t="s">
        <v>19</v>
      </c>
      <c r="H791" s="1">
        <v>4</v>
      </c>
      <c r="I791" s="1">
        <v>868</v>
      </c>
      <c r="J791" s="1">
        <v>1199</v>
      </c>
      <c r="K791" s="1">
        <v>10</v>
      </c>
      <c r="L791" s="1">
        <f>ROUNDDOWN(formatted_data[[#This Row],[Selling_Price]]*formatted_data[[#This Row],[Discount_%]]/100,0)</f>
        <v>119</v>
      </c>
      <c r="M791" s="1">
        <f>(formatted_data[[#This Row],[Selling_Price]]-formatted_data[[#This Row],[Discount_Amount]])*formatted_data[[#This Row],[Units]]</f>
        <v>4320</v>
      </c>
      <c r="N791" s="1">
        <f>formatted_data[[#This Row],[Total_Revenue]]-(formatted_data[[#This Row],[Cost_Price]]*formatted_data[[#This Row],[Units]])</f>
        <v>848</v>
      </c>
      <c r="O791" s="1" t="s">
        <v>21</v>
      </c>
      <c r="P791"/>
    </row>
    <row r="792" spans="1:16" x14ac:dyDescent="0.35">
      <c r="A792" s="1" t="s">
        <v>108</v>
      </c>
      <c r="B792" s="1" t="s">
        <v>27</v>
      </c>
      <c r="C792" s="2">
        <v>45536</v>
      </c>
      <c r="D792" s="1" t="s">
        <v>31</v>
      </c>
      <c r="E792" s="1" t="s">
        <v>76</v>
      </c>
      <c r="F792" s="1" t="s">
        <v>37</v>
      </c>
      <c r="G792" s="1" t="s">
        <v>19</v>
      </c>
      <c r="H792" s="1">
        <v>4</v>
      </c>
      <c r="I792" s="1">
        <v>830</v>
      </c>
      <c r="J792" s="1">
        <v>1499</v>
      </c>
      <c r="K792" s="1">
        <v>0</v>
      </c>
      <c r="L792" s="1">
        <f>ROUNDDOWN(formatted_data[[#This Row],[Selling_Price]]*formatted_data[[#This Row],[Discount_%]]/100,0)</f>
        <v>0</v>
      </c>
      <c r="M792" s="1">
        <f>(formatted_data[[#This Row],[Selling_Price]]-formatted_data[[#This Row],[Discount_Amount]])*formatted_data[[#This Row],[Units]]</f>
        <v>5996</v>
      </c>
      <c r="N792" s="1">
        <f>formatted_data[[#This Row],[Total_Revenue]]-(formatted_data[[#This Row],[Cost_Price]]*formatted_data[[#This Row],[Units]])</f>
        <v>2676</v>
      </c>
      <c r="O792" s="1" t="s">
        <v>21</v>
      </c>
      <c r="P792"/>
    </row>
    <row r="793" spans="1:16" x14ac:dyDescent="0.35">
      <c r="A793" s="1" t="s">
        <v>51</v>
      </c>
      <c r="B793" s="1" t="s">
        <v>16</v>
      </c>
      <c r="C793" s="2">
        <v>45452</v>
      </c>
      <c r="D793" s="1" t="s">
        <v>17</v>
      </c>
      <c r="E793" s="1" t="s">
        <v>18</v>
      </c>
      <c r="F793" s="1" t="s">
        <v>19</v>
      </c>
      <c r="G793" s="1" t="s">
        <v>20</v>
      </c>
      <c r="H793" s="1">
        <v>4</v>
      </c>
      <c r="I793" s="1">
        <v>197</v>
      </c>
      <c r="J793" s="1">
        <v>299</v>
      </c>
      <c r="K793" s="1">
        <v>0</v>
      </c>
      <c r="L793" s="1">
        <f>ROUNDDOWN(formatted_data[[#This Row],[Selling_Price]]*formatted_data[[#This Row],[Discount_%]]/100,0)</f>
        <v>0</v>
      </c>
      <c r="M793" s="1">
        <f>(formatted_data[[#This Row],[Selling_Price]]-formatted_data[[#This Row],[Discount_Amount]])*formatted_data[[#This Row],[Units]]</f>
        <v>1196</v>
      </c>
      <c r="N793" s="1">
        <f>formatted_data[[#This Row],[Total_Revenue]]-(formatted_data[[#This Row],[Cost_Price]]*formatted_data[[#This Row],[Units]])</f>
        <v>408</v>
      </c>
      <c r="O793" s="1" t="s">
        <v>21</v>
      </c>
      <c r="P793"/>
    </row>
    <row r="794" spans="1:16" x14ac:dyDescent="0.35">
      <c r="A794" s="1" t="s">
        <v>94</v>
      </c>
      <c r="B794" s="1" t="s">
        <v>16</v>
      </c>
      <c r="C794" s="2">
        <v>45630</v>
      </c>
      <c r="D794" s="1" t="s">
        <v>23</v>
      </c>
      <c r="E794" s="1" t="s">
        <v>24</v>
      </c>
      <c r="F794" s="1" t="s">
        <v>19</v>
      </c>
      <c r="G794" s="1" t="s">
        <v>19</v>
      </c>
      <c r="H794" s="1">
        <v>4</v>
      </c>
      <c r="I794" s="1">
        <v>847</v>
      </c>
      <c r="J794" s="1">
        <v>1199</v>
      </c>
      <c r="K794" s="1">
        <v>15</v>
      </c>
      <c r="L794" s="1">
        <f>ROUNDDOWN(formatted_data[[#This Row],[Selling_Price]]*formatted_data[[#This Row],[Discount_%]]/100,0)</f>
        <v>179</v>
      </c>
      <c r="M794" s="1">
        <f>(formatted_data[[#This Row],[Selling_Price]]-formatted_data[[#This Row],[Discount_Amount]])*formatted_data[[#This Row],[Units]]</f>
        <v>4080</v>
      </c>
      <c r="N794" s="1">
        <f>formatted_data[[#This Row],[Total_Revenue]]-(formatted_data[[#This Row],[Cost_Price]]*formatted_data[[#This Row],[Units]])</f>
        <v>692</v>
      </c>
      <c r="O794" s="1" t="s">
        <v>21</v>
      </c>
      <c r="P794"/>
    </row>
    <row r="795" spans="1:16" x14ac:dyDescent="0.35">
      <c r="A795" s="1" t="s">
        <v>26</v>
      </c>
      <c r="B795" s="1" t="s">
        <v>27</v>
      </c>
      <c r="C795" s="2">
        <v>45510</v>
      </c>
      <c r="D795" s="1" t="s">
        <v>31</v>
      </c>
      <c r="E795" s="1" t="s">
        <v>32</v>
      </c>
      <c r="F795" s="1" t="s">
        <v>37</v>
      </c>
      <c r="G795" s="1" t="s">
        <v>20</v>
      </c>
      <c r="H795" s="1">
        <v>1</v>
      </c>
      <c r="I795" s="1">
        <v>877</v>
      </c>
      <c r="J795" s="1">
        <v>1399</v>
      </c>
      <c r="K795" s="1">
        <v>0</v>
      </c>
      <c r="L795" s="1">
        <f>ROUNDDOWN(formatted_data[[#This Row],[Selling_Price]]*formatted_data[[#This Row],[Discount_%]]/100,0)</f>
        <v>0</v>
      </c>
      <c r="M795" s="1">
        <f>(formatted_data[[#This Row],[Selling_Price]]-formatted_data[[#This Row],[Discount_Amount]])*formatted_data[[#This Row],[Units]]</f>
        <v>1399</v>
      </c>
      <c r="N795" s="1">
        <f>formatted_data[[#This Row],[Total_Revenue]]-(formatted_data[[#This Row],[Cost_Price]]*formatted_data[[#This Row],[Units]])</f>
        <v>522</v>
      </c>
      <c r="O795" s="1" t="s">
        <v>21</v>
      </c>
      <c r="P795"/>
    </row>
    <row r="796" spans="1:16" x14ac:dyDescent="0.35">
      <c r="A796" s="1" t="s">
        <v>30</v>
      </c>
      <c r="B796" s="1" t="s">
        <v>16</v>
      </c>
      <c r="C796" s="2">
        <v>45561</v>
      </c>
      <c r="D796" s="1" t="s">
        <v>35</v>
      </c>
      <c r="E796" s="1" t="s">
        <v>58</v>
      </c>
      <c r="F796" s="1" t="s">
        <v>19</v>
      </c>
      <c r="G796" s="1" t="s">
        <v>20</v>
      </c>
      <c r="H796" s="1">
        <v>3</v>
      </c>
      <c r="I796" s="1">
        <v>954</v>
      </c>
      <c r="J796" s="1">
        <v>1699</v>
      </c>
      <c r="K796" s="1">
        <v>10</v>
      </c>
      <c r="L796" s="1">
        <f>ROUNDDOWN(formatted_data[[#This Row],[Selling_Price]]*formatted_data[[#This Row],[Discount_%]]/100,0)</f>
        <v>169</v>
      </c>
      <c r="M796" s="1">
        <f>(formatted_data[[#This Row],[Selling_Price]]-formatted_data[[#This Row],[Discount_Amount]])*formatted_data[[#This Row],[Units]]</f>
        <v>4590</v>
      </c>
      <c r="N796" s="1">
        <f>formatted_data[[#This Row],[Total_Revenue]]-(formatted_data[[#This Row],[Cost_Price]]*formatted_data[[#This Row],[Units]])</f>
        <v>1728</v>
      </c>
      <c r="O796" s="1" t="s">
        <v>33</v>
      </c>
      <c r="P796"/>
    </row>
    <row r="797" spans="1:16" x14ac:dyDescent="0.35">
      <c r="A797" s="1" t="s">
        <v>56</v>
      </c>
      <c r="B797" s="1" t="s">
        <v>27</v>
      </c>
      <c r="C797" s="2">
        <v>45531</v>
      </c>
      <c r="D797" s="1" t="s">
        <v>23</v>
      </c>
      <c r="E797" s="1" t="s">
        <v>24</v>
      </c>
      <c r="F797" s="1" t="s">
        <v>25</v>
      </c>
      <c r="G797" s="1" t="s">
        <v>19</v>
      </c>
      <c r="H797" s="1">
        <v>1</v>
      </c>
      <c r="I797" s="1">
        <v>483</v>
      </c>
      <c r="J797" s="1">
        <v>899</v>
      </c>
      <c r="K797" s="1">
        <v>5</v>
      </c>
      <c r="L797" s="1">
        <f>ROUNDDOWN(formatted_data[[#This Row],[Selling_Price]]*formatted_data[[#This Row],[Discount_%]]/100,0)</f>
        <v>44</v>
      </c>
      <c r="M797" s="1">
        <f>(formatted_data[[#This Row],[Selling_Price]]-formatted_data[[#This Row],[Discount_Amount]])*formatted_data[[#This Row],[Units]]</f>
        <v>855</v>
      </c>
      <c r="N797" s="1">
        <f>formatted_data[[#This Row],[Total_Revenue]]-(formatted_data[[#This Row],[Cost_Price]]*formatted_data[[#This Row],[Units]])</f>
        <v>372</v>
      </c>
      <c r="O797" s="1" t="s">
        <v>21</v>
      </c>
      <c r="P797"/>
    </row>
    <row r="798" spans="1:16" x14ac:dyDescent="0.35">
      <c r="A798" s="1" t="s">
        <v>40</v>
      </c>
      <c r="B798" s="1" t="s">
        <v>27</v>
      </c>
      <c r="C798" s="2">
        <v>45623</v>
      </c>
      <c r="D798" s="1" t="s">
        <v>31</v>
      </c>
      <c r="E798" s="1" t="s">
        <v>76</v>
      </c>
      <c r="F798" s="1" t="s">
        <v>25</v>
      </c>
      <c r="G798" s="1" t="s">
        <v>19</v>
      </c>
      <c r="H798" s="1">
        <v>3</v>
      </c>
      <c r="I798" s="1">
        <v>679</v>
      </c>
      <c r="J798" s="1">
        <v>999</v>
      </c>
      <c r="K798" s="1">
        <v>0</v>
      </c>
      <c r="L798" s="1">
        <f>ROUNDDOWN(formatted_data[[#This Row],[Selling_Price]]*formatted_data[[#This Row],[Discount_%]]/100,0)</f>
        <v>0</v>
      </c>
      <c r="M798" s="1">
        <f>(formatted_data[[#This Row],[Selling_Price]]-formatted_data[[#This Row],[Discount_Amount]])*formatted_data[[#This Row],[Units]]</f>
        <v>2997</v>
      </c>
      <c r="N798" s="1">
        <f>formatted_data[[#This Row],[Total_Revenue]]-(formatted_data[[#This Row],[Cost_Price]]*formatted_data[[#This Row],[Units]])</f>
        <v>960</v>
      </c>
      <c r="O798" s="1" t="s">
        <v>33</v>
      </c>
      <c r="P798"/>
    </row>
    <row r="799" spans="1:16" x14ac:dyDescent="0.35">
      <c r="A799" s="1" t="s">
        <v>90</v>
      </c>
      <c r="B799" s="1" t="s">
        <v>27</v>
      </c>
      <c r="C799" s="2">
        <v>45545</v>
      </c>
      <c r="D799" s="1" t="s">
        <v>28</v>
      </c>
      <c r="E799" s="1" t="s">
        <v>45</v>
      </c>
      <c r="F799" s="1" t="s">
        <v>25</v>
      </c>
      <c r="G799" s="1" t="s">
        <v>20</v>
      </c>
      <c r="H799" s="1">
        <v>4</v>
      </c>
      <c r="I799" s="1">
        <v>1590</v>
      </c>
      <c r="J799" s="1">
        <v>2199</v>
      </c>
      <c r="K799" s="1">
        <v>15</v>
      </c>
      <c r="L799" s="1">
        <f>ROUNDDOWN(formatted_data[[#This Row],[Selling_Price]]*formatted_data[[#This Row],[Discount_%]]/100,0)</f>
        <v>329</v>
      </c>
      <c r="M799" s="1">
        <f>(formatted_data[[#This Row],[Selling_Price]]-formatted_data[[#This Row],[Discount_Amount]])*formatted_data[[#This Row],[Units]]</f>
        <v>7480</v>
      </c>
      <c r="N799" s="1">
        <f>formatted_data[[#This Row],[Total_Revenue]]-(formatted_data[[#This Row],[Cost_Price]]*formatted_data[[#This Row],[Units]])</f>
        <v>1120</v>
      </c>
      <c r="O799" s="1" t="s">
        <v>21</v>
      </c>
      <c r="P799"/>
    </row>
    <row r="800" spans="1:16" x14ac:dyDescent="0.35">
      <c r="A800" s="1" t="s">
        <v>94</v>
      </c>
      <c r="B800" s="1" t="s">
        <v>16</v>
      </c>
      <c r="C800" s="2">
        <v>45631</v>
      </c>
      <c r="D800" s="1" t="s">
        <v>17</v>
      </c>
      <c r="E800" s="1" t="s">
        <v>72</v>
      </c>
      <c r="F800" s="1" t="s">
        <v>19</v>
      </c>
      <c r="G800" s="1" t="s">
        <v>20</v>
      </c>
      <c r="H800" s="1">
        <v>1</v>
      </c>
      <c r="I800" s="1">
        <v>254</v>
      </c>
      <c r="J800" s="1">
        <v>399</v>
      </c>
      <c r="K800" s="1">
        <v>0</v>
      </c>
      <c r="L800" s="1">
        <f>ROUNDDOWN(formatted_data[[#This Row],[Selling_Price]]*formatted_data[[#This Row],[Discount_%]]/100,0)</f>
        <v>0</v>
      </c>
      <c r="M800" s="1">
        <f>(formatted_data[[#This Row],[Selling_Price]]-formatted_data[[#This Row],[Discount_Amount]])*formatted_data[[#This Row],[Units]]</f>
        <v>399</v>
      </c>
      <c r="N800" s="1">
        <f>formatted_data[[#This Row],[Total_Revenue]]-(formatted_data[[#This Row],[Cost_Price]]*formatted_data[[#This Row],[Units]])</f>
        <v>145</v>
      </c>
      <c r="O800" s="1" t="s">
        <v>33</v>
      </c>
      <c r="P800"/>
    </row>
    <row r="801" spans="1:16" x14ac:dyDescent="0.35">
      <c r="A801" s="1" t="s">
        <v>104</v>
      </c>
      <c r="B801" s="1" t="s">
        <v>27</v>
      </c>
      <c r="C801" s="2">
        <v>45557</v>
      </c>
      <c r="D801" s="1" t="s">
        <v>31</v>
      </c>
      <c r="E801" s="1" t="s">
        <v>76</v>
      </c>
      <c r="F801" s="1" t="s">
        <v>25</v>
      </c>
      <c r="G801" s="1" t="s">
        <v>20</v>
      </c>
      <c r="H801" s="1">
        <v>5</v>
      </c>
      <c r="I801" s="1">
        <v>655</v>
      </c>
      <c r="J801" s="1">
        <v>999</v>
      </c>
      <c r="K801" s="1">
        <v>0</v>
      </c>
      <c r="L801" s="1">
        <f>ROUNDDOWN(formatted_data[[#This Row],[Selling_Price]]*formatted_data[[#This Row],[Discount_%]]/100,0)</f>
        <v>0</v>
      </c>
      <c r="M801" s="1">
        <f>(formatted_data[[#This Row],[Selling_Price]]-formatted_data[[#This Row],[Discount_Amount]])*formatted_data[[#This Row],[Units]]</f>
        <v>4995</v>
      </c>
      <c r="N801" s="1">
        <f>formatted_data[[#This Row],[Total_Revenue]]-(formatted_data[[#This Row],[Cost_Price]]*formatted_data[[#This Row],[Units]])</f>
        <v>1720</v>
      </c>
      <c r="O801" s="1" t="s">
        <v>33</v>
      </c>
      <c r="P801"/>
    </row>
    <row r="802" spans="1:16" x14ac:dyDescent="0.35">
      <c r="A802" s="1" t="s">
        <v>96</v>
      </c>
      <c r="B802" s="1" t="s">
        <v>16</v>
      </c>
      <c r="C802" s="2">
        <v>45589</v>
      </c>
      <c r="D802" s="1" t="s">
        <v>28</v>
      </c>
      <c r="E802" s="1" t="s">
        <v>45</v>
      </c>
      <c r="F802" s="1" t="s">
        <v>25</v>
      </c>
      <c r="G802" s="1" t="s">
        <v>19</v>
      </c>
      <c r="H802" s="1">
        <v>5</v>
      </c>
      <c r="I802" s="1">
        <v>736</v>
      </c>
      <c r="J802" s="1">
        <v>1199</v>
      </c>
      <c r="K802" s="1">
        <v>10</v>
      </c>
      <c r="L802" s="1">
        <f>ROUNDDOWN(formatted_data[[#This Row],[Selling_Price]]*formatted_data[[#This Row],[Discount_%]]/100,0)</f>
        <v>119</v>
      </c>
      <c r="M802" s="1">
        <f>(formatted_data[[#This Row],[Selling_Price]]-formatted_data[[#This Row],[Discount_Amount]])*formatted_data[[#This Row],[Units]]</f>
        <v>5400</v>
      </c>
      <c r="N802" s="1">
        <f>formatted_data[[#This Row],[Total_Revenue]]-(formatted_data[[#This Row],[Cost_Price]]*formatted_data[[#This Row],[Units]])</f>
        <v>1720</v>
      </c>
      <c r="O802" s="1" t="s">
        <v>21</v>
      </c>
      <c r="P802"/>
    </row>
    <row r="803" spans="1:16" x14ac:dyDescent="0.35">
      <c r="A803" s="1" t="s">
        <v>106</v>
      </c>
      <c r="B803" s="1" t="s">
        <v>27</v>
      </c>
      <c r="C803" s="2">
        <v>45481</v>
      </c>
      <c r="D803" s="1" t="s">
        <v>31</v>
      </c>
      <c r="E803" s="1" t="s">
        <v>32</v>
      </c>
      <c r="F803" s="1" t="s">
        <v>19</v>
      </c>
      <c r="G803" s="1" t="s">
        <v>19</v>
      </c>
      <c r="H803" s="1">
        <v>1</v>
      </c>
      <c r="I803" s="1">
        <v>649</v>
      </c>
      <c r="J803" s="1">
        <v>1199</v>
      </c>
      <c r="K803" s="1">
        <v>0</v>
      </c>
      <c r="L803" s="1">
        <f>ROUNDDOWN(formatted_data[[#This Row],[Selling_Price]]*formatted_data[[#This Row],[Discount_%]]/100,0)</f>
        <v>0</v>
      </c>
      <c r="M803" s="1">
        <f>(formatted_data[[#This Row],[Selling_Price]]-formatted_data[[#This Row],[Discount_Amount]])*formatted_data[[#This Row],[Units]]</f>
        <v>1199</v>
      </c>
      <c r="N803" s="1">
        <f>formatted_data[[#This Row],[Total_Revenue]]-(formatted_data[[#This Row],[Cost_Price]]*formatted_data[[#This Row],[Units]])</f>
        <v>550</v>
      </c>
      <c r="O803" s="1" t="s">
        <v>33</v>
      </c>
      <c r="P803"/>
    </row>
    <row r="804" spans="1:16" x14ac:dyDescent="0.35">
      <c r="A804" s="1" t="s">
        <v>42</v>
      </c>
      <c r="B804" s="1" t="s">
        <v>27</v>
      </c>
      <c r="C804" s="2">
        <v>45554</v>
      </c>
      <c r="D804" s="1" t="s">
        <v>17</v>
      </c>
      <c r="E804" s="1" t="s">
        <v>55</v>
      </c>
      <c r="F804" s="1" t="s">
        <v>19</v>
      </c>
      <c r="G804" s="1" t="s">
        <v>19</v>
      </c>
      <c r="H804" s="1">
        <v>4</v>
      </c>
      <c r="I804" s="1">
        <v>209</v>
      </c>
      <c r="J804" s="1">
        <v>299</v>
      </c>
      <c r="K804" s="1">
        <v>0</v>
      </c>
      <c r="L804" s="1">
        <f>ROUNDDOWN(formatted_data[[#This Row],[Selling_Price]]*formatted_data[[#This Row],[Discount_%]]/100,0)</f>
        <v>0</v>
      </c>
      <c r="M804" s="1">
        <f>(formatted_data[[#This Row],[Selling_Price]]-formatted_data[[#This Row],[Discount_Amount]])*formatted_data[[#This Row],[Units]]</f>
        <v>1196</v>
      </c>
      <c r="N804" s="1">
        <f>formatted_data[[#This Row],[Total_Revenue]]-(formatted_data[[#This Row],[Cost_Price]]*formatted_data[[#This Row],[Units]])</f>
        <v>360</v>
      </c>
      <c r="O804" s="1" t="s">
        <v>21</v>
      </c>
      <c r="P804"/>
    </row>
    <row r="805" spans="1:16" x14ac:dyDescent="0.35">
      <c r="A805" s="1" t="s">
        <v>102</v>
      </c>
      <c r="B805" s="1" t="s">
        <v>27</v>
      </c>
      <c r="C805" s="2">
        <v>45584</v>
      </c>
      <c r="D805" s="1" t="s">
        <v>17</v>
      </c>
      <c r="E805" s="1" t="s">
        <v>72</v>
      </c>
      <c r="F805" s="1" t="s">
        <v>19</v>
      </c>
      <c r="G805" s="1" t="s">
        <v>20</v>
      </c>
      <c r="H805" s="1">
        <v>1</v>
      </c>
      <c r="I805" s="1">
        <v>274</v>
      </c>
      <c r="J805" s="1">
        <v>399</v>
      </c>
      <c r="K805" s="1">
        <v>0</v>
      </c>
      <c r="L805" s="1">
        <f>ROUNDDOWN(formatted_data[[#This Row],[Selling_Price]]*formatted_data[[#This Row],[Discount_%]]/100,0)</f>
        <v>0</v>
      </c>
      <c r="M805" s="1">
        <f>(formatted_data[[#This Row],[Selling_Price]]-formatted_data[[#This Row],[Discount_Amount]])*formatted_data[[#This Row],[Units]]</f>
        <v>399</v>
      </c>
      <c r="N805" s="1">
        <f>formatted_data[[#This Row],[Total_Revenue]]-(formatted_data[[#This Row],[Cost_Price]]*formatted_data[[#This Row],[Units]])</f>
        <v>125</v>
      </c>
      <c r="O805" s="1" t="s">
        <v>21</v>
      </c>
      <c r="P805"/>
    </row>
    <row r="806" spans="1:16" x14ac:dyDescent="0.35">
      <c r="A806" s="1" t="s">
        <v>97</v>
      </c>
      <c r="B806" s="1" t="s">
        <v>16</v>
      </c>
      <c r="C806" s="2">
        <v>45546</v>
      </c>
      <c r="D806" s="1" t="s">
        <v>35</v>
      </c>
      <c r="E806" s="1" t="s">
        <v>41</v>
      </c>
      <c r="F806" s="1" t="s">
        <v>37</v>
      </c>
      <c r="G806" s="1" t="s">
        <v>20</v>
      </c>
      <c r="H806" s="1">
        <v>4</v>
      </c>
      <c r="I806" s="1">
        <v>303</v>
      </c>
      <c r="J806" s="1">
        <v>599</v>
      </c>
      <c r="K806" s="1">
        <v>10</v>
      </c>
      <c r="L806" s="1">
        <f>ROUNDDOWN(formatted_data[[#This Row],[Selling_Price]]*formatted_data[[#This Row],[Discount_%]]/100,0)</f>
        <v>59</v>
      </c>
      <c r="M806" s="1">
        <f>(formatted_data[[#This Row],[Selling_Price]]-formatted_data[[#This Row],[Discount_Amount]])*formatted_data[[#This Row],[Units]]</f>
        <v>2160</v>
      </c>
      <c r="N806" s="1">
        <f>formatted_data[[#This Row],[Total_Revenue]]-(formatted_data[[#This Row],[Cost_Price]]*formatted_data[[#This Row],[Units]])</f>
        <v>948</v>
      </c>
      <c r="O806" s="1" t="s">
        <v>21</v>
      </c>
      <c r="P806"/>
    </row>
    <row r="807" spans="1:16" x14ac:dyDescent="0.35">
      <c r="A807" s="1" t="s">
        <v>57</v>
      </c>
      <c r="B807" s="1" t="s">
        <v>27</v>
      </c>
      <c r="C807" s="2">
        <v>45599</v>
      </c>
      <c r="D807" s="1" t="s">
        <v>35</v>
      </c>
      <c r="E807" s="1" t="s">
        <v>39</v>
      </c>
      <c r="F807" s="1" t="s">
        <v>37</v>
      </c>
      <c r="G807" s="1" t="s">
        <v>19</v>
      </c>
      <c r="H807" s="1">
        <v>2</v>
      </c>
      <c r="I807" s="1">
        <v>540</v>
      </c>
      <c r="J807" s="1">
        <v>799</v>
      </c>
      <c r="K807" s="1">
        <v>10</v>
      </c>
      <c r="L807" s="1">
        <f>ROUNDDOWN(formatted_data[[#This Row],[Selling_Price]]*formatted_data[[#This Row],[Discount_%]]/100,0)</f>
        <v>79</v>
      </c>
      <c r="M807" s="1">
        <f>(formatted_data[[#This Row],[Selling_Price]]-formatted_data[[#This Row],[Discount_Amount]])*formatted_data[[#This Row],[Units]]</f>
        <v>1440</v>
      </c>
      <c r="N807" s="1">
        <f>formatted_data[[#This Row],[Total_Revenue]]-(formatted_data[[#This Row],[Cost_Price]]*formatted_data[[#This Row],[Units]])</f>
        <v>360</v>
      </c>
      <c r="O807" s="1" t="s">
        <v>33</v>
      </c>
      <c r="P807"/>
    </row>
    <row r="808" spans="1:16" x14ac:dyDescent="0.35">
      <c r="A808" s="1" t="s">
        <v>97</v>
      </c>
      <c r="B808" s="1" t="s">
        <v>16</v>
      </c>
      <c r="C808" s="2">
        <v>45656</v>
      </c>
      <c r="D808" s="1" t="s">
        <v>17</v>
      </c>
      <c r="E808" s="1" t="s">
        <v>18</v>
      </c>
      <c r="F808" s="1" t="s">
        <v>19</v>
      </c>
      <c r="G808" s="1" t="s">
        <v>20</v>
      </c>
      <c r="H808" s="1">
        <v>5</v>
      </c>
      <c r="I808" s="1">
        <v>216</v>
      </c>
      <c r="J808" s="1">
        <v>299</v>
      </c>
      <c r="K808" s="1">
        <v>0</v>
      </c>
      <c r="L808" s="1">
        <f>ROUNDDOWN(formatted_data[[#This Row],[Selling_Price]]*formatted_data[[#This Row],[Discount_%]]/100,0)</f>
        <v>0</v>
      </c>
      <c r="M808" s="1">
        <f>(formatted_data[[#This Row],[Selling_Price]]-formatted_data[[#This Row],[Discount_Amount]])*formatted_data[[#This Row],[Units]]</f>
        <v>1495</v>
      </c>
      <c r="N808" s="1">
        <f>formatted_data[[#This Row],[Total_Revenue]]-(formatted_data[[#This Row],[Cost_Price]]*formatted_data[[#This Row],[Units]])</f>
        <v>415</v>
      </c>
      <c r="O808" s="1" t="s">
        <v>33</v>
      </c>
      <c r="P808"/>
    </row>
    <row r="809" spans="1:16" x14ac:dyDescent="0.35">
      <c r="A809" s="1" t="s">
        <v>105</v>
      </c>
      <c r="B809" s="1" t="s">
        <v>16</v>
      </c>
      <c r="C809" s="2">
        <v>45568</v>
      </c>
      <c r="D809" s="1" t="s">
        <v>35</v>
      </c>
      <c r="E809" s="1" t="s">
        <v>41</v>
      </c>
      <c r="F809" s="1" t="s">
        <v>37</v>
      </c>
      <c r="G809" s="1" t="s">
        <v>19</v>
      </c>
      <c r="H809" s="1">
        <v>3</v>
      </c>
      <c r="I809" s="1">
        <v>884</v>
      </c>
      <c r="J809" s="1">
        <v>1299</v>
      </c>
      <c r="K809" s="1">
        <v>20</v>
      </c>
      <c r="L809" s="1">
        <f>ROUNDDOWN(formatted_data[[#This Row],[Selling_Price]]*formatted_data[[#This Row],[Discount_%]]/100,0)</f>
        <v>259</v>
      </c>
      <c r="M809" s="1">
        <f>(formatted_data[[#This Row],[Selling_Price]]-formatted_data[[#This Row],[Discount_Amount]])*formatted_data[[#This Row],[Units]]</f>
        <v>3120</v>
      </c>
      <c r="N809" s="1">
        <f>formatted_data[[#This Row],[Total_Revenue]]-(formatted_data[[#This Row],[Cost_Price]]*formatted_data[[#This Row],[Units]])</f>
        <v>468</v>
      </c>
      <c r="O809" s="1" t="s">
        <v>21</v>
      </c>
      <c r="P809"/>
    </row>
    <row r="810" spans="1:16" x14ac:dyDescent="0.35">
      <c r="A810" s="1" t="s">
        <v>75</v>
      </c>
      <c r="B810" s="1" t="s">
        <v>27</v>
      </c>
      <c r="C810" s="2">
        <v>45521</v>
      </c>
      <c r="D810" s="1" t="s">
        <v>23</v>
      </c>
      <c r="E810" s="1" t="s">
        <v>43</v>
      </c>
      <c r="F810" s="1" t="s">
        <v>25</v>
      </c>
      <c r="G810" s="1" t="s">
        <v>19</v>
      </c>
      <c r="H810" s="1">
        <v>3</v>
      </c>
      <c r="I810" s="1">
        <v>2979</v>
      </c>
      <c r="J810" s="1">
        <v>4199</v>
      </c>
      <c r="K810" s="1">
        <v>15</v>
      </c>
      <c r="L810" s="1">
        <f>ROUNDDOWN(formatted_data[[#This Row],[Selling_Price]]*formatted_data[[#This Row],[Discount_%]]/100,0)</f>
        <v>629</v>
      </c>
      <c r="M810" s="1">
        <f>(formatted_data[[#This Row],[Selling_Price]]-formatted_data[[#This Row],[Discount_Amount]])*formatted_data[[#This Row],[Units]]</f>
        <v>10710</v>
      </c>
      <c r="N810" s="1">
        <f>formatted_data[[#This Row],[Total_Revenue]]-(formatted_data[[#This Row],[Cost_Price]]*formatted_data[[#This Row],[Units]])</f>
        <v>1773</v>
      </c>
      <c r="O810" s="1" t="s">
        <v>33</v>
      </c>
      <c r="P810"/>
    </row>
    <row r="811" spans="1:16" x14ac:dyDescent="0.35">
      <c r="A811" s="1" t="s">
        <v>90</v>
      </c>
      <c r="B811" s="1" t="s">
        <v>27</v>
      </c>
      <c r="C811" s="2">
        <v>45626</v>
      </c>
      <c r="D811" s="1" t="s">
        <v>31</v>
      </c>
      <c r="E811" s="1" t="s">
        <v>76</v>
      </c>
      <c r="F811" s="1" t="s">
        <v>25</v>
      </c>
      <c r="G811" s="1" t="s">
        <v>20</v>
      </c>
      <c r="H811" s="1">
        <v>1</v>
      </c>
      <c r="I811" s="1">
        <v>407</v>
      </c>
      <c r="J811" s="1">
        <v>799</v>
      </c>
      <c r="K811" s="1">
        <v>0</v>
      </c>
      <c r="L811" s="1">
        <f>ROUNDDOWN(formatted_data[[#This Row],[Selling_Price]]*formatted_data[[#This Row],[Discount_%]]/100,0)</f>
        <v>0</v>
      </c>
      <c r="M811" s="1">
        <f>(formatted_data[[#This Row],[Selling_Price]]-formatted_data[[#This Row],[Discount_Amount]])*formatted_data[[#This Row],[Units]]</f>
        <v>799</v>
      </c>
      <c r="N811" s="1">
        <f>formatted_data[[#This Row],[Total_Revenue]]-(formatted_data[[#This Row],[Cost_Price]]*formatted_data[[#This Row],[Units]])</f>
        <v>392</v>
      </c>
      <c r="O811" s="1" t="s">
        <v>21</v>
      </c>
      <c r="P811"/>
    </row>
    <row r="812" spans="1:16" x14ac:dyDescent="0.35">
      <c r="A812" s="1" t="s">
        <v>103</v>
      </c>
      <c r="B812" s="1" t="s">
        <v>16</v>
      </c>
      <c r="C812" s="2">
        <v>45472</v>
      </c>
      <c r="D812" s="1" t="s">
        <v>28</v>
      </c>
      <c r="E812" s="1" t="s">
        <v>29</v>
      </c>
      <c r="F812" s="1" t="s">
        <v>37</v>
      </c>
      <c r="G812" s="1" t="s">
        <v>19</v>
      </c>
      <c r="H812" s="1">
        <v>1</v>
      </c>
      <c r="I812" s="1">
        <v>324</v>
      </c>
      <c r="J812" s="1">
        <v>599</v>
      </c>
      <c r="K812" s="1">
        <v>20</v>
      </c>
      <c r="L812" s="1">
        <f>ROUNDDOWN(formatted_data[[#This Row],[Selling_Price]]*formatted_data[[#This Row],[Discount_%]]/100,0)</f>
        <v>119</v>
      </c>
      <c r="M812" s="1">
        <f>(formatted_data[[#This Row],[Selling_Price]]-formatted_data[[#This Row],[Discount_Amount]])*formatted_data[[#This Row],[Units]]</f>
        <v>480</v>
      </c>
      <c r="N812" s="1">
        <f>formatted_data[[#This Row],[Total_Revenue]]-(formatted_data[[#This Row],[Cost_Price]]*formatted_data[[#This Row],[Units]])</f>
        <v>156</v>
      </c>
      <c r="O812" s="1" t="s">
        <v>21</v>
      </c>
      <c r="P812"/>
    </row>
    <row r="813" spans="1:16" x14ac:dyDescent="0.35">
      <c r="A813" s="1" t="s">
        <v>73</v>
      </c>
      <c r="B813" s="1" t="s">
        <v>16</v>
      </c>
      <c r="C813" s="2">
        <v>45652</v>
      </c>
      <c r="D813" s="1" t="s">
        <v>35</v>
      </c>
      <c r="E813" s="1" t="s">
        <v>36</v>
      </c>
      <c r="F813" s="1" t="s">
        <v>37</v>
      </c>
      <c r="G813" s="1" t="s">
        <v>19</v>
      </c>
      <c r="H813" s="1">
        <v>1</v>
      </c>
      <c r="I813" s="1">
        <v>319</v>
      </c>
      <c r="J813" s="1">
        <v>599</v>
      </c>
      <c r="K813" s="1">
        <v>15</v>
      </c>
      <c r="L813" s="1">
        <f>ROUNDDOWN(formatted_data[[#This Row],[Selling_Price]]*formatted_data[[#This Row],[Discount_%]]/100,0)</f>
        <v>89</v>
      </c>
      <c r="M813" s="1">
        <f>(formatted_data[[#This Row],[Selling_Price]]-formatted_data[[#This Row],[Discount_Amount]])*formatted_data[[#This Row],[Units]]</f>
        <v>510</v>
      </c>
      <c r="N813" s="1">
        <f>formatted_data[[#This Row],[Total_Revenue]]-(formatted_data[[#This Row],[Cost_Price]]*formatted_data[[#This Row],[Units]])</f>
        <v>191</v>
      </c>
      <c r="O813" s="1" t="s">
        <v>33</v>
      </c>
      <c r="P813"/>
    </row>
    <row r="814" spans="1:16" x14ac:dyDescent="0.35">
      <c r="A814" s="1" t="s">
        <v>83</v>
      </c>
      <c r="B814" s="1" t="s">
        <v>27</v>
      </c>
      <c r="C814" s="2">
        <v>45479</v>
      </c>
      <c r="D814" s="1" t="s">
        <v>17</v>
      </c>
      <c r="E814" s="1" t="s">
        <v>72</v>
      </c>
      <c r="F814" s="1" t="s">
        <v>19</v>
      </c>
      <c r="G814" s="1" t="s">
        <v>19</v>
      </c>
      <c r="H814" s="1">
        <v>5</v>
      </c>
      <c r="I814" s="1">
        <v>285</v>
      </c>
      <c r="J814" s="1">
        <v>399</v>
      </c>
      <c r="K814" s="1">
        <v>0</v>
      </c>
      <c r="L814" s="1">
        <f>ROUNDDOWN(formatted_data[[#This Row],[Selling_Price]]*formatted_data[[#This Row],[Discount_%]]/100,0)</f>
        <v>0</v>
      </c>
      <c r="M814" s="1">
        <f>(formatted_data[[#This Row],[Selling_Price]]-formatted_data[[#This Row],[Discount_Amount]])*formatted_data[[#This Row],[Units]]</f>
        <v>1995</v>
      </c>
      <c r="N814" s="1">
        <f>formatted_data[[#This Row],[Total_Revenue]]-(formatted_data[[#This Row],[Cost_Price]]*formatted_data[[#This Row],[Units]])</f>
        <v>570</v>
      </c>
      <c r="O814" s="1" t="s">
        <v>21</v>
      </c>
      <c r="P814"/>
    </row>
    <row r="815" spans="1:16" x14ac:dyDescent="0.35">
      <c r="A815" s="1" t="s">
        <v>59</v>
      </c>
      <c r="B815" s="1" t="s">
        <v>27</v>
      </c>
      <c r="C815" s="2">
        <v>45508</v>
      </c>
      <c r="D815" s="1" t="s">
        <v>23</v>
      </c>
      <c r="E815" s="1" t="s">
        <v>24</v>
      </c>
      <c r="F815" s="1" t="s">
        <v>25</v>
      </c>
      <c r="G815" s="1" t="s">
        <v>19</v>
      </c>
      <c r="H815" s="1">
        <v>3</v>
      </c>
      <c r="I815" s="1">
        <v>796</v>
      </c>
      <c r="J815" s="1">
        <v>1199</v>
      </c>
      <c r="K815" s="1">
        <v>10</v>
      </c>
      <c r="L815" s="1">
        <f>ROUNDDOWN(formatted_data[[#This Row],[Selling_Price]]*formatted_data[[#This Row],[Discount_%]]/100,0)</f>
        <v>119</v>
      </c>
      <c r="M815" s="1">
        <f>(formatted_data[[#This Row],[Selling_Price]]-formatted_data[[#This Row],[Discount_Amount]])*formatted_data[[#This Row],[Units]]</f>
        <v>3240</v>
      </c>
      <c r="N815" s="1">
        <f>formatted_data[[#This Row],[Total_Revenue]]-(formatted_data[[#This Row],[Cost_Price]]*formatted_data[[#This Row],[Units]])</f>
        <v>852</v>
      </c>
      <c r="O815" s="1" t="s">
        <v>21</v>
      </c>
      <c r="P815"/>
    </row>
    <row r="816" spans="1:16" x14ac:dyDescent="0.35">
      <c r="A816" s="1" t="s">
        <v>40</v>
      </c>
      <c r="B816" s="1" t="s">
        <v>27</v>
      </c>
      <c r="C816" s="2">
        <v>45456</v>
      </c>
      <c r="D816" s="1" t="s">
        <v>35</v>
      </c>
      <c r="E816" s="1" t="s">
        <v>87</v>
      </c>
      <c r="F816" s="1" t="s">
        <v>25</v>
      </c>
      <c r="G816" s="1" t="s">
        <v>20</v>
      </c>
      <c r="H816" s="1">
        <v>1</v>
      </c>
      <c r="I816" s="1">
        <v>1275</v>
      </c>
      <c r="J816" s="1">
        <v>2299</v>
      </c>
      <c r="K816" s="1">
        <v>10</v>
      </c>
      <c r="L816" s="1">
        <f>ROUNDDOWN(formatted_data[[#This Row],[Selling_Price]]*formatted_data[[#This Row],[Discount_%]]/100,0)</f>
        <v>229</v>
      </c>
      <c r="M816" s="1">
        <f>(formatted_data[[#This Row],[Selling_Price]]-formatted_data[[#This Row],[Discount_Amount]])*formatted_data[[#This Row],[Units]]</f>
        <v>2070</v>
      </c>
      <c r="N816" s="1">
        <f>formatted_data[[#This Row],[Total_Revenue]]-(formatted_data[[#This Row],[Cost_Price]]*formatted_data[[#This Row],[Units]])</f>
        <v>795</v>
      </c>
      <c r="O816" s="1" t="s">
        <v>21</v>
      </c>
      <c r="P816"/>
    </row>
    <row r="817" spans="1:16" x14ac:dyDescent="0.35">
      <c r="A817" s="1" t="s">
        <v>34</v>
      </c>
      <c r="B817" s="1" t="s">
        <v>27</v>
      </c>
      <c r="C817" s="2">
        <v>45484</v>
      </c>
      <c r="D817" s="1" t="s">
        <v>23</v>
      </c>
      <c r="E817" s="1" t="s">
        <v>24</v>
      </c>
      <c r="F817" s="1" t="s">
        <v>37</v>
      </c>
      <c r="G817" s="1" t="s">
        <v>20</v>
      </c>
      <c r="H817" s="1">
        <v>1</v>
      </c>
      <c r="I817" s="1">
        <v>484</v>
      </c>
      <c r="J817" s="1">
        <v>899</v>
      </c>
      <c r="K817" s="1">
        <v>10</v>
      </c>
      <c r="L817" s="1">
        <f>ROUNDDOWN(formatted_data[[#This Row],[Selling_Price]]*formatted_data[[#This Row],[Discount_%]]/100,0)</f>
        <v>89</v>
      </c>
      <c r="M817" s="1">
        <f>(formatted_data[[#This Row],[Selling_Price]]-formatted_data[[#This Row],[Discount_Amount]])*formatted_data[[#This Row],[Units]]</f>
        <v>810</v>
      </c>
      <c r="N817" s="1">
        <f>formatted_data[[#This Row],[Total_Revenue]]-(formatted_data[[#This Row],[Cost_Price]]*formatted_data[[#This Row],[Units]])</f>
        <v>326</v>
      </c>
      <c r="O817" s="1" t="s">
        <v>21</v>
      </c>
      <c r="P817"/>
    </row>
    <row r="818" spans="1:16" x14ac:dyDescent="0.35">
      <c r="A818" s="1" t="s">
        <v>84</v>
      </c>
      <c r="B818" s="1" t="s">
        <v>27</v>
      </c>
      <c r="C818" s="2">
        <v>45522</v>
      </c>
      <c r="D818" s="1" t="s">
        <v>31</v>
      </c>
      <c r="E818" s="1" t="s">
        <v>76</v>
      </c>
      <c r="F818" s="1" t="s">
        <v>19</v>
      </c>
      <c r="G818" s="1" t="s">
        <v>19</v>
      </c>
      <c r="H818" s="1">
        <v>1</v>
      </c>
      <c r="I818" s="1">
        <v>1038</v>
      </c>
      <c r="J818" s="1">
        <v>1499</v>
      </c>
      <c r="K818" s="1">
        <v>0</v>
      </c>
      <c r="L818" s="1">
        <f>ROUNDDOWN(formatted_data[[#This Row],[Selling_Price]]*formatted_data[[#This Row],[Discount_%]]/100,0)</f>
        <v>0</v>
      </c>
      <c r="M818" s="1">
        <f>(formatted_data[[#This Row],[Selling_Price]]-formatted_data[[#This Row],[Discount_Amount]])*formatted_data[[#This Row],[Units]]</f>
        <v>1499</v>
      </c>
      <c r="N818" s="1">
        <f>formatted_data[[#This Row],[Total_Revenue]]-(formatted_data[[#This Row],[Cost_Price]]*formatted_data[[#This Row],[Units]])</f>
        <v>461</v>
      </c>
      <c r="O818" s="1" t="s">
        <v>21</v>
      </c>
      <c r="P818"/>
    </row>
    <row r="819" spans="1:16" x14ac:dyDescent="0.35">
      <c r="A819" s="1" t="s">
        <v>65</v>
      </c>
      <c r="B819" s="1" t="s">
        <v>16</v>
      </c>
      <c r="C819" s="2">
        <v>45450</v>
      </c>
      <c r="D819" s="1" t="s">
        <v>17</v>
      </c>
      <c r="E819" s="1" t="s">
        <v>48</v>
      </c>
      <c r="F819" s="1" t="s">
        <v>19</v>
      </c>
      <c r="G819" s="1" t="s">
        <v>20</v>
      </c>
      <c r="H819" s="1">
        <v>2</v>
      </c>
      <c r="I819" s="1">
        <v>246</v>
      </c>
      <c r="J819" s="1">
        <v>399</v>
      </c>
      <c r="K819" s="1">
        <v>0</v>
      </c>
      <c r="L819" s="1">
        <f>ROUNDDOWN(formatted_data[[#This Row],[Selling_Price]]*formatted_data[[#This Row],[Discount_%]]/100,0)</f>
        <v>0</v>
      </c>
      <c r="M819" s="1">
        <f>(formatted_data[[#This Row],[Selling_Price]]-formatted_data[[#This Row],[Discount_Amount]])*formatted_data[[#This Row],[Units]]</f>
        <v>798</v>
      </c>
      <c r="N819" s="1">
        <f>formatted_data[[#This Row],[Total_Revenue]]-(formatted_data[[#This Row],[Cost_Price]]*formatted_data[[#This Row],[Units]])</f>
        <v>306</v>
      </c>
      <c r="O819" s="1" t="s">
        <v>21</v>
      </c>
      <c r="P819"/>
    </row>
    <row r="820" spans="1:16" x14ac:dyDescent="0.35">
      <c r="A820" s="1" t="s">
        <v>102</v>
      </c>
      <c r="B820" s="1" t="s">
        <v>27</v>
      </c>
      <c r="C820" s="2">
        <v>45600</v>
      </c>
      <c r="D820" s="1" t="s">
        <v>35</v>
      </c>
      <c r="E820" s="1" t="s">
        <v>41</v>
      </c>
      <c r="F820" s="1" t="s">
        <v>19</v>
      </c>
      <c r="G820" s="1" t="s">
        <v>19</v>
      </c>
      <c r="H820" s="1">
        <v>2</v>
      </c>
      <c r="I820" s="1">
        <v>408</v>
      </c>
      <c r="J820" s="1">
        <v>599</v>
      </c>
      <c r="K820" s="1">
        <v>10</v>
      </c>
      <c r="L820" s="1">
        <f>ROUNDDOWN(formatted_data[[#This Row],[Selling_Price]]*formatted_data[[#This Row],[Discount_%]]/100,0)</f>
        <v>59</v>
      </c>
      <c r="M820" s="1">
        <f>(formatted_data[[#This Row],[Selling_Price]]-formatted_data[[#This Row],[Discount_Amount]])*formatted_data[[#This Row],[Units]]</f>
        <v>1080</v>
      </c>
      <c r="N820" s="1">
        <f>formatted_data[[#This Row],[Total_Revenue]]-(formatted_data[[#This Row],[Cost_Price]]*formatted_data[[#This Row],[Units]])</f>
        <v>264</v>
      </c>
      <c r="O820" s="1" t="s">
        <v>33</v>
      </c>
      <c r="P820"/>
    </row>
    <row r="821" spans="1:16" x14ac:dyDescent="0.35">
      <c r="A821" s="1" t="s">
        <v>109</v>
      </c>
      <c r="B821" s="1" t="s">
        <v>16</v>
      </c>
      <c r="C821" s="2">
        <v>45585</v>
      </c>
      <c r="D821" s="1" t="s">
        <v>28</v>
      </c>
      <c r="E821" s="1" t="s">
        <v>45</v>
      </c>
      <c r="F821" s="1" t="s">
        <v>19</v>
      </c>
      <c r="G821" s="1" t="s">
        <v>19</v>
      </c>
      <c r="H821" s="1">
        <v>1</v>
      </c>
      <c r="I821" s="1">
        <v>669</v>
      </c>
      <c r="J821" s="1">
        <v>1299</v>
      </c>
      <c r="K821" s="1">
        <v>20</v>
      </c>
      <c r="L821" s="1">
        <f>ROUNDDOWN(formatted_data[[#This Row],[Selling_Price]]*formatted_data[[#This Row],[Discount_%]]/100,0)</f>
        <v>259</v>
      </c>
      <c r="M821" s="1">
        <f>(formatted_data[[#This Row],[Selling_Price]]-formatted_data[[#This Row],[Discount_Amount]])*formatted_data[[#This Row],[Units]]</f>
        <v>1040</v>
      </c>
      <c r="N821" s="1">
        <f>formatted_data[[#This Row],[Total_Revenue]]-(formatted_data[[#This Row],[Cost_Price]]*formatted_data[[#This Row],[Units]])</f>
        <v>371</v>
      </c>
      <c r="O821" s="1" t="s">
        <v>21</v>
      </c>
      <c r="P821"/>
    </row>
    <row r="822" spans="1:16" x14ac:dyDescent="0.35">
      <c r="A822" s="1" t="s">
        <v>47</v>
      </c>
      <c r="B822" s="1" t="s">
        <v>16</v>
      </c>
      <c r="C822" s="2">
        <v>45573</v>
      </c>
      <c r="D822" s="1" t="s">
        <v>23</v>
      </c>
      <c r="E822" s="1" t="s">
        <v>24</v>
      </c>
      <c r="F822" s="1" t="s">
        <v>25</v>
      </c>
      <c r="G822" s="1" t="s">
        <v>20</v>
      </c>
      <c r="H822" s="1">
        <v>1</v>
      </c>
      <c r="I822" s="1">
        <v>1245</v>
      </c>
      <c r="J822" s="1">
        <v>2199</v>
      </c>
      <c r="K822" s="1">
        <v>5</v>
      </c>
      <c r="L822" s="1">
        <f>ROUNDDOWN(formatted_data[[#This Row],[Selling_Price]]*formatted_data[[#This Row],[Discount_%]]/100,0)</f>
        <v>109</v>
      </c>
      <c r="M822" s="1">
        <f>(formatted_data[[#This Row],[Selling_Price]]-formatted_data[[#This Row],[Discount_Amount]])*formatted_data[[#This Row],[Units]]</f>
        <v>2090</v>
      </c>
      <c r="N822" s="1">
        <f>formatted_data[[#This Row],[Total_Revenue]]-(formatted_data[[#This Row],[Cost_Price]]*formatted_data[[#This Row],[Units]])</f>
        <v>845</v>
      </c>
      <c r="O822" s="1" t="s">
        <v>21</v>
      </c>
      <c r="P822"/>
    </row>
    <row r="823" spans="1:16" x14ac:dyDescent="0.35">
      <c r="A823" s="1" t="s">
        <v>83</v>
      </c>
      <c r="B823" s="1" t="s">
        <v>27</v>
      </c>
      <c r="C823" s="2">
        <v>45578</v>
      </c>
      <c r="D823" s="1" t="s">
        <v>23</v>
      </c>
      <c r="E823" s="1" t="s">
        <v>24</v>
      </c>
      <c r="F823" s="1" t="s">
        <v>25</v>
      </c>
      <c r="G823" s="1" t="s">
        <v>20</v>
      </c>
      <c r="H823" s="1">
        <v>4</v>
      </c>
      <c r="I823" s="1">
        <v>606</v>
      </c>
      <c r="J823" s="1">
        <v>999</v>
      </c>
      <c r="K823" s="1">
        <v>20</v>
      </c>
      <c r="L823" s="1">
        <f>ROUNDDOWN(formatted_data[[#This Row],[Selling_Price]]*formatted_data[[#This Row],[Discount_%]]/100,0)</f>
        <v>199</v>
      </c>
      <c r="M823" s="1">
        <f>(formatted_data[[#This Row],[Selling_Price]]-formatted_data[[#This Row],[Discount_Amount]])*formatted_data[[#This Row],[Units]]</f>
        <v>3200</v>
      </c>
      <c r="N823" s="1">
        <f>formatted_data[[#This Row],[Total_Revenue]]-(formatted_data[[#This Row],[Cost_Price]]*formatted_data[[#This Row],[Units]])</f>
        <v>776</v>
      </c>
      <c r="O823" s="1" t="s">
        <v>33</v>
      </c>
      <c r="P823"/>
    </row>
    <row r="824" spans="1:16" x14ac:dyDescent="0.35">
      <c r="A824" s="1" t="s">
        <v>81</v>
      </c>
      <c r="B824" s="1" t="s">
        <v>27</v>
      </c>
      <c r="C824" s="2">
        <v>45499</v>
      </c>
      <c r="D824" s="1" t="s">
        <v>31</v>
      </c>
      <c r="E824" s="1" t="s">
        <v>76</v>
      </c>
      <c r="F824" s="1" t="s">
        <v>37</v>
      </c>
      <c r="G824" s="1" t="s">
        <v>19</v>
      </c>
      <c r="H824" s="1">
        <v>3</v>
      </c>
      <c r="I824" s="1">
        <v>1121</v>
      </c>
      <c r="J824" s="1">
        <v>1499</v>
      </c>
      <c r="K824" s="1">
        <v>0</v>
      </c>
      <c r="L824" s="1">
        <f>ROUNDDOWN(formatted_data[[#This Row],[Selling_Price]]*formatted_data[[#This Row],[Discount_%]]/100,0)</f>
        <v>0</v>
      </c>
      <c r="M824" s="1">
        <f>(formatted_data[[#This Row],[Selling_Price]]-formatted_data[[#This Row],[Discount_Amount]])*formatted_data[[#This Row],[Units]]</f>
        <v>4497</v>
      </c>
      <c r="N824" s="1">
        <f>formatted_data[[#This Row],[Total_Revenue]]-(formatted_data[[#This Row],[Cost_Price]]*formatted_data[[#This Row],[Units]])</f>
        <v>1134</v>
      </c>
      <c r="O824" s="1" t="s">
        <v>21</v>
      </c>
      <c r="P824"/>
    </row>
    <row r="825" spans="1:16" x14ac:dyDescent="0.35">
      <c r="A825" s="1" t="s">
        <v>104</v>
      </c>
      <c r="B825" s="1" t="s">
        <v>27</v>
      </c>
      <c r="C825" s="2">
        <v>45529</v>
      </c>
      <c r="D825" s="1" t="s">
        <v>28</v>
      </c>
      <c r="E825" s="1" t="s">
        <v>29</v>
      </c>
      <c r="F825" s="1" t="s">
        <v>19</v>
      </c>
      <c r="G825" s="1" t="s">
        <v>20</v>
      </c>
      <c r="H825" s="1">
        <v>3</v>
      </c>
      <c r="I825" s="1">
        <v>439</v>
      </c>
      <c r="J825" s="1">
        <v>799</v>
      </c>
      <c r="K825" s="1">
        <v>15</v>
      </c>
      <c r="L825" s="1">
        <f>ROUNDDOWN(formatted_data[[#This Row],[Selling_Price]]*formatted_data[[#This Row],[Discount_%]]/100,0)</f>
        <v>119</v>
      </c>
      <c r="M825" s="1">
        <f>(formatted_data[[#This Row],[Selling_Price]]-formatted_data[[#This Row],[Discount_Amount]])*formatted_data[[#This Row],[Units]]</f>
        <v>2040</v>
      </c>
      <c r="N825" s="1">
        <f>formatted_data[[#This Row],[Total_Revenue]]-(formatted_data[[#This Row],[Cost_Price]]*formatted_data[[#This Row],[Units]])</f>
        <v>723</v>
      </c>
      <c r="O825" s="1" t="s">
        <v>21</v>
      </c>
      <c r="P825"/>
    </row>
    <row r="826" spans="1:16" x14ac:dyDescent="0.35">
      <c r="A826" s="1" t="s">
        <v>30</v>
      </c>
      <c r="B826" s="1" t="s">
        <v>16</v>
      </c>
      <c r="C826" s="2">
        <v>45447</v>
      </c>
      <c r="D826" s="1" t="s">
        <v>28</v>
      </c>
      <c r="E826" s="1" t="s">
        <v>29</v>
      </c>
      <c r="F826" s="1" t="s">
        <v>19</v>
      </c>
      <c r="G826" s="1" t="s">
        <v>20</v>
      </c>
      <c r="H826" s="1">
        <v>1</v>
      </c>
      <c r="I826" s="1">
        <v>382</v>
      </c>
      <c r="J826" s="1">
        <v>599</v>
      </c>
      <c r="K826" s="1">
        <v>15</v>
      </c>
      <c r="L826" s="1">
        <f>ROUNDDOWN(formatted_data[[#This Row],[Selling_Price]]*formatted_data[[#This Row],[Discount_%]]/100,0)</f>
        <v>89</v>
      </c>
      <c r="M826" s="1">
        <f>(formatted_data[[#This Row],[Selling_Price]]-formatted_data[[#This Row],[Discount_Amount]])*formatted_data[[#This Row],[Units]]</f>
        <v>510</v>
      </c>
      <c r="N826" s="1">
        <f>formatted_data[[#This Row],[Total_Revenue]]-(formatted_data[[#This Row],[Cost_Price]]*formatted_data[[#This Row],[Units]])</f>
        <v>128</v>
      </c>
      <c r="O826" s="1" t="s">
        <v>33</v>
      </c>
      <c r="P826"/>
    </row>
    <row r="827" spans="1:16" x14ac:dyDescent="0.35">
      <c r="A827" s="1" t="s">
        <v>74</v>
      </c>
      <c r="B827" s="1" t="s">
        <v>16</v>
      </c>
      <c r="C827" s="2">
        <v>45458</v>
      </c>
      <c r="D827" s="1" t="s">
        <v>17</v>
      </c>
      <c r="E827" s="1" t="s">
        <v>55</v>
      </c>
      <c r="F827" s="1" t="s">
        <v>37</v>
      </c>
      <c r="G827" s="1" t="s">
        <v>20</v>
      </c>
      <c r="H827" s="1">
        <v>4</v>
      </c>
      <c r="I827" s="1">
        <v>164</v>
      </c>
      <c r="J827" s="1">
        <v>299</v>
      </c>
      <c r="K827" s="1">
        <v>0</v>
      </c>
      <c r="L827" s="1">
        <f>ROUNDDOWN(formatted_data[[#This Row],[Selling_Price]]*formatted_data[[#This Row],[Discount_%]]/100,0)</f>
        <v>0</v>
      </c>
      <c r="M827" s="1">
        <f>(formatted_data[[#This Row],[Selling_Price]]-formatted_data[[#This Row],[Discount_Amount]])*formatted_data[[#This Row],[Units]]</f>
        <v>1196</v>
      </c>
      <c r="N827" s="1">
        <f>formatted_data[[#This Row],[Total_Revenue]]-(formatted_data[[#This Row],[Cost_Price]]*formatted_data[[#This Row],[Units]])</f>
        <v>540</v>
      </c>
      <c r="O827" s="1" t="s">
        <v>33</v>
      </c>
      <c r="P827"/>
    </row>
    <row r="828" spans="1:16" x14ac:dyDescent="0.35">
      <c r="A828" s="1" t="s">
        <v>54</v>
      </c>
      <c r="B828" s="1" t="s">
        <v>27</v>
      </c>
      <c r="C828" s="2">
        <v>45589</v>
      </c>
      <c r="D828" s="1" t="s">
        <v>23</v>
      </c>
      <c r="E828" s="1" t="s">
        <v>24</v>
      </c>
      <c r="F828" s="1" t="s">
        <v>19</v>
      </c>
      <c r="G828" s="1" t="s">
        <v>19</v>
      </c>
      <c r="H828" s="1">
        <v>1</v>
      </c>
      <c r="I828" s="1">
        <v>1443</v>
      </c>
      <c r="J828" s="1">
        <v>2399</v>
      </c>
      <c r="K828" s="1">
        <v>15</v>
      </c>
      <c r="L828" s="1">
        <f>ROUNDDOWN(formatted_data[[#This Row],[Selling_Price]]*formatted_data[[#This Row],[Discount_%]]/100,0)</f>
        <v>359</v>
      </c>
      <c r="M828" s="1">
        <f>(formatted_data[[#This Row],[Selling_Price]]-formatted_data[[#This Row],[Discount_Amount]])*formatted_data[[#This Row],[Units]]</f>
        <v>2040</v>
      </c>
      <c r="N828" s="1">
        <f>formatted_data[[#This Row],[Total_Revenue]]-(formatted_data[[#This Row],[Cost_Price]]*formatted_data[[#This Row],[Units]])</f>
        <v>597</v>
      </c>
      <c r="O828" s="1" t="s">
        <v>21</v>
      </c>
      <c r="P828"/>
    </row>
    <row r="829" spans="1:16" x14ac:dyDescent="0.35">
      <c r="A829" s="1" t="s">
        <v>98</v>
      </c>
      <c r="B829" s="1" t="s">
        <v>16</v>
      </c>
      <c r="C829" s="2">
        <v>45628</v>
      </c>
      <c r="D829" s="1" t="s">
        <v>28</v>
      </c>
      <c r="E829" s="1" t="s">
        <v>29</v>
      </c>
      <c r="F829" s="1" t="s">
        <v>37</v>
      </c>
      <c r="G829" s="1" t="s">
        <v>20</v>
      </c>
      <c r="H829" s="1">
        <v>4</v>
      </c>
      <c r="I829" s="1">
        <v>378</v>
      </c>
      <c r="J829" s="1">
        <v>699</v>
      </c>
      <c r="K829" s="1">
        <v>20</v>
      </c>
      <c r="L829" s="1">
        <f>ROUNDDOWN(formatted_data[[#This Row],[Selling_Price]]*formatted_data[[#This Row],[Discount_%]]/100,0)</f>
        <v>139</v>
      </c>
      <c r="M829" s="1">
        <f>(formatted_data[[#This Row],[Selling_Price]]-formatted_data[[#This Row],[Discount_Amount]])*formatted_data[[#This Row],[Units]]</f>
        <v>2240</v>
      </c>
      <c r="N829" s="1">
        <f>formatted_data[[#This Row],[Total_Revenue]]-(formatted_data[[#This Row],[Cost_Price]]*formatted_data[[#This Row],[Units]])</f>
        <v>728</v>
      </c>
      <c r="O829" s="1" t="s">
        <v>33</v>
      </c>
      <c r="P829"/>
    </row>
    <row r="830" spans="1:16" x14ac:dyDescent="0.35">
      <c r="A830" s="1" t="s">
        <v>22</v>
      </c>
      <c r="B830" s="1" t="s">
        <v>16</v>
      </c>
      <c r="C830" s="2">
        <v>45598</v>
      </c>
      <c r="D830" s="1" t="s">
        <v>28</v>
      </c>
      <c r="E830" s="1" t="s">
        <v>45</v>
      </c>
      <c r="F830" s="1" t="s">
        <v>25</v>
      </c>
      <c r="G830" s="1" t="s">
        <v>19</v>
      </c>
      <c r="H830" s="1">
        <v>1</v>
      </c>
      <c r="I830" s="1">
        <v>1121</v>
      </c>
      <c r="J830" s="1">
        <v>1699</v>
      </c>
      <c r="K830" s="1">
        <v>10</v>
      </c>
      <c r="L830" s="1">
        <f>ROUNDDOWN(formatted_data[[#This Row],[Selling_Price]]*formatted_data[[#This Row],[Discount_%]]/100,0)</f>
        <v>169</v>
      </c>
      <c r="M830" s="1">
        <f>(formatted_data[[#This Row],[Selling_Price]]-formatted_data[[#This Row],[Discount_Amount]])*formatted_data[[#This Row],[Units]]</f>
        <v>1530</v>
      </c>
      <c r="N830" s="1">
        <f>formatted_data[[#This Row],[Total_Revenue]]-(formatted_data[[#This Row],[Cost_Price]]*formatted_data[[#This Row],[Units]])</f>
        <v>409</v>
      </c>
      <c r="O830" s="1" t="s">
        <v>21</v>
      </c>
      <c r="P830"/>
    </row>
    <row r="831" spans="1:16" x14ac:dyDescent="0.35">
      <c r="A831" s="1" t="s">
        <v>47</v>
      </c>
      <c r="B831" s="1" t="s">
        <v>16</v>
      </c>
      <c r="C831" s="2">
        <v>45619</v>
      </c>
      <c r="D831" s="1" t="s">
        <v>17</v>
      </c>
      <c r="E831" s="1" t="s">
        <v>48</v>
      </c>
      <c r="F831" s="1" t="s">
        <v>25</v>
      </c>
      <c r="G831" s="1" t="s">
        <v>19</v>
      </c>
      <c r="H831" s="1">
        <v>2</v>
      </c>
      <c r="I831" s="1">
        <v>296</v>
      </c>
      <c r="J831" s="1">
        <v>399</v>
      </c>
      <c r="K831" s="1">
        <v>0</v>
      </c>
      <c r="L831" s="1">
        <f>ROUNDDOWN(formatted_data[[#This Row],[Selling_Price]]*formatted_data[[#This Row],[Discount_%]]/100,0)</f>
        <v>0</v>
      </c>
      <c r="M831" s="1">
        <f>(formatted_data[[#This Row],[Selling_Price]]-formatted_data[[#This Row],[Discount_Amount]])*formatted_data[[#This Row],[Units]]</f>
        <v>798</v>
      </c>
      <c r="N831" s="1">
        <f>formatted_data[[#This Row],[Total_Revenue]]-(formatted_data[[#This Row],[Cost_Price]]*formatted_data[[#This Row],[Units]])</f>
        <v>206</v>
      </c>
      <c r="O831" s="1" t="s">
        <v>21</v>
      </c>
      <c r="P831"/>
    </row>
    <row r="832" spans="1:16" x14ac:dyDescent="0.35">
      <c r="A832" s="1" t="s">
        <v>86</v>
      </c>
      <c r="B832" s="1" t="s">
        <v>27</v>
      </c>
      <c r="C832" s="2">
        <v>45507</v>
      </c>
      <c r="D832" s="1" t="s">
        <v>35</v>
      </c>
      <c r="E832" s="1" t="s">
        <v>100</v>
      </c>
      <c r="F832" s="1" t="s">
        <v>25</v>
      </c>
      <c r="G832" s="1" t="s">
        <v>20</v>
      </c>
      <c r="H832" s="1">
        <v>1</v>
      </c>
      <c r="I832" s="1">
        <v>804</v>
      </c>
      <c r="J832" s="1">
        <v>1199</v>
      </c>
      <c r="K832" s="1">
        <v>15</v>
      </c>
      <c r="L832" s="1">
        <f>ROUNDDOWN(formatted_data[[#This Row],[Selling_Price]]*formatted_data[[#This Row],[Discount_%]]/100,0)</f>
        <v>179</v>
      </c>
      <c r="M832" s="1">
        <f>(formatted_data[[#This Row],[Selling_Price]]-formatted_data[[#This Row],[Discount_Amount]])*formatted_data[[#This Row],[Units]]</f>
        <v>1020</v>
      </c>
      <c r="N832" s="1">
        <f>formatted_data[[#This Row],[Total_Revenue]]-(formatted_data[[#This Row],[Cost_Price]]*formatted_data[[#This Row],[Units]])</f>
        <v>216</v>
      </c>
      <c r="O832" s="1" t="s">
        <v>21</v>
      </c>
      <c r="P832"/>
    </row>
    <row r="833" spans="1:16" x14ac:dyDescent="0.35">
      <c r="A833" s="1" t="s">
        <v>75</v>
      </c>
      <c r="B833" s="1" t="s">
        <v>27</v>
      </c>
      <c r="C833" s="2">
        <v>45646</v>
      </c>
      <c r="D833" s="1" t="s">
        <v>17</v>
      </c>
      <c r="E833" s="1" t="s">
        <v>72</v>
      </c>
      <c r="F833" s="1" t="s">
        <v>37</v>
      </c>
      <c r="G833" s="1" t="s">
        <v>20</v>
      </c>
      <c r="H833" s="1">
        <v>1</v>
      </c>
      <c r="I833" s="1">
        <v>292</v>
      </c>
      <c r="J833" s="1">
        <v>499</v>
      </c>
      <c r="K833" s="1">
        <v>0</v>
      </c>
      <c r="L833" s="1">
        <f>ROUNDDOWN(formatted_data[[#This Row],[Selling_Price]]*formatted_data[[#This Row],[Discount_%]]/100,0)</f>
        <v>0</v>
      </c>
      <c r="M833" s="1">
        <f>(formatted_data[[#This Row],[Selling_Price]]-formatted_data[[#This Row],[Discount_Amount]])*formatted_data[[#This Row],[Units]]</f>
        <v>499</v>
      </c>
      <c r="N833" s="1">
        <f>formatted_data[[#This Row],[Total_Revenue]]-(formatted_data[[#This Row],[Cost_Price]]*formatted_data[[#This Row],[Units]])</f>
        <v>207</v>
      </c>
      <c r="O833" s="1" t="s">
        <v>21</v>
      </c>
      <c r="P833"/>
    </row>
    <row r="834" spans="1:16" x14ac:dyDescent="0.35">
      <c r="A834" s="1" t="s">
        <v>26</v>
      </c>
      <c r="B834" s="1" t="s">
        <v>27</v>
      </c>
      <c r="C834" s="2">
        <v>45458</v>
      </c>
      <c r="D834" s="1" t="s">
        <v>23</v>
      </c>
      <c r="E834" s="1" t="s">
        <v>43</v>
      </c>
      <c r="F834" s="1" t="s">
        <v>37</v>
      </c>
      <c r="G834" s="1" t="s">
        <v>20</v>
      </c>
      <c r="H834" s="1">
        <v>5</v>
      </c>
      <c r="I834" s="1">
        <v>2647</v>
      </c>
      <c r="J834" s="1">
        <v>4399</v>
      </c>
      <c r="K834" s="1">
        <v>20</v>
      </c>
      <c r="L834" s="1">
        <f>ROUNDDOWN(formatted_data[[#This Row],[Selling_Price]]*formatted_data[[#This Row],[Discount_%]]/100,0)</f>
        <v>879</v>
      </c>
      <c r="M834" s="1">
        <f>(formatted_data[[#This Row],[Selling_Price]]-formatted_data[[#This Row],[Discount_Amount]])*formatted_data[[#This Row],[Units]]</f>
        <v>17600</v>
      </c>
      <c r="N834" s="1">
        <f>formatted_data[[#This Row],[Total_Revenue]]-(formatted_data[[#This Row],[Cost_Price]]*formatted_data[[#This Row],[Units]])</f>
        <v>4365</v>
      </c>
      <c r="O834" s="1" t="s">
        <v>21</v>
      </c>
      <c r="P834"/>
    </row>
    <row r="835" spans="1:16" x14ac:dyDescent="0.35">
      <c r="A835" s="1" t="s">
        <v>66</v>
      </c>
      <c r="B835" s="1" t="s">
        <v>27</v>
      </c>
      <c r="C835" s="2">
        <v>45644</v>
      </c>
      <c r="D835" s="1" t="s">
        <v>28</v>
      </c>
      <c r="E835" s="1" t="s">
        <v>45</v>
      </c>
      <c r="F835" s="1" t="s">
        <v>37</v>
      </c>
      <c r="G835" s="1" t="s">
        <v>20</v>
      </c>
      <c r="H835" s="1">
        <v>1</v>
      </c>
      <c r="I835" s="1">
        <v>1173</v>
      </c>
      <c r="J835" s="1">
        <v>2299</v>
      </c>
      <c r="K835" s="1">
        <v>20</v>
      </c>
      <c r="L835" s="1">
        <f>ROUNDDOWN(formatted_data[[#This Row],[Selling_Price]]*formatted_data[[#This Row],[Discount_%]]/100,0)</f>
        <v>459</v>
      </c>
      <c r="M835" s="1">
        <f>(formatted_data[[#This Row],[Selling_Price]]-formatted_data[[#This Row],[Discount_Amount]])*formatted_data[[#This Row],[Units]]</f>
        <v>1840</v>
      </c>
      <c r="N835" s="1">
        <f>formatted_data[[#This Row],[Total_Revenue]]-(formatted_data[[#This Row],[Cost_Price]]*formatted_data[[#This Row],[Units]])</f>
        <v>667</v>
      </c>
      <c r="O835" s="1" t="s">
        <v>21</v>
      </c>
      <c r="P835"/>
    </row>
    <row r="836" spans="1:16" x14ac:dyDescent="0.35">
      <c r="A836" s="1" t="s">
        <v>60</v>
      </c>
      <c r="B836" s="1" t="s">
        <v>27</v>
      </c>
      <c r="C836" s="2">
        <v>45636</v>
      </c>
      <c r="D836" s="1" t="s">
        <v>35</v>
      </c>
      <c r="E836" s="1" t="s">
        <v>58</v>
      </c>
      <c r="F836" s="1" t="s">
        <v>25</v>
      </c>
      <c r="G836" s="1" t="s">
        <v>20</v>
      </c>
      <c r="H836" s="1">
        <v>1</v>
      </c>
      <c r="I836" s="1">
        <v>1129</v>
      </c>
      <c r="J836" s="1">
        <v>1699</v>
      </c>
      <c r="K836" s="1">
        <v>10</v>
      </c>
      <c r="L836" s="1">
        <f>ROUNDDOWN(formatted_data[[#This Row],[Selling_Price]]*formatted_data[[#This Row],[Discount_%]]/100,0)</f>
        <v>169</v>
      </c>
      <c r="M836" s="1">
        <f>(formatted_data[[#This Row],[Selling_Price]]-formatted_data[[#This Row],[Discount_Amount]])*formatted_data[[#This Row],[Units]]</f>
        <v>1530</v>
      </c>
      <c r="N836" s="1">
        <f>formatted_data[[#This Row],[Total_Revenue]]-(formatted_data[[#This Row],[Cost_Price]]*formatted_data[[#This Row],[Units]])</f>
        <v>401</v>
      </c>
      <c r="O836" s="1" t="s">
        <v>33</v>
      </c>
      <c r="P836"/>
    </row>
    <row r="837" spans="1:16" x14ac:dyDescent="0.35">
      <c r="A837" s="1" t="s">
        <v>94</v>
      </c>
      <c r="B837" s="1" t="s">
        <v>16</v>
      </c>
      <c r="C837" s="2">
        <v>45495</v>
      </c>
      <c r="D837" s="1" t="s">
        <v>23</v>
      </c>
      <c r="E837" s="1" t="s">
        <v>24</v>
      </c>
      <c r="F837" s="1" t="s">
        <v>25</v>
      </c>
      <c r="G837" s="1" t="s">
        <v>20</v>
      </c>
      <c r="H837" s="1">
        <v>2</v>
      </c>
      <c r="I837" s="1">
        <v>1036</v>
      </c>
      <c r="J837" s="1">
        <v>1399</v>
      </c>
      <c r="K837" s="1">
        <v>10</v>
      </c>
      <c r="L837" s="1">
        <f>ROUNDDOWN(formatted_data[[#This Row],[Selling_Price]]*formatted_data[[#This Row],[Discount_%]]/100,0)</f>
        <v>139</v>
      </c>
      <c r="M837" s="1">
        <f>(formatted_data[[#This Row],[Selling_Price]]-formatted_data[[#This Row],[Discount_Amount]])*formatted_data[[#This Row],[Units]]</f>
        <v>2520</v>
      </c>
      <c r="N837" s="1">
        <f>formatted_data[[#This Row],[Total_Revenue]]-(formatted_data[[#This Row],[Cost_Price]]*formatted_data[[#This Row],[Units]])</f>
        <v>448</v>
      </c>
      <c r="O837" s="1" t="s">
        <v>21</v>
      </c>
      <c r="P837"/>
    </row>
    <row r="838" spans="1:16" x14ac:dyDescent="0.35">
      <c r="A838" s="1" t="s">
        <v>26</v>
      </c>
      <c r="B838" s="1" t="s">
        <v>27</v>
      </c>
      <c r="C838" s="2">
        <v>45491</v>
      </c>
      <c r="D838" s="1" t="s">
        <v>31</v>
      </c>
      <c r="E838" s="1" t="s">
        <v>76</v>
      </c>
      <c r="F838" s="1" t="s">
        <v>19</v>
      </c>
      <c r="G838" s="1" t="s">
        <v>20</v>
      </c>
      <c r="H838" s="1">
        <v>1</v>
      </c>
      <c r="I838" s="1">
        <v>990</v>
      </c>
      <c r="J838" s="1">
        <v>1499</v>
      </c>
      <c r="K838" s="1">
        <v>0</v>
      </c>
      <c r="L838" s="1">
        <f>ROUNDDOWN(formatted_data[[#This Row],[Selling_Price]]*formatted_data[[#This Row],[Discount_%]]/100,0)</f>
        <v>0</v>
      </c>
      <c r="M838" s="1">
        <f>(formatted_data[[#This Row],[Selling_Price]]-formatted_data[[#This Row],[Discount_Amount]])*formatted_data[[#This Row],[Units]]</f>
        <v>1499</v>
      </c>
      <c r="N838" s="1">
        <f>formatted_data[[#This Row],[Total_Revenue]]-(formatted_data[[#This Row],[Cost_Price]]*formatted_data[[#This Row],[Units]])</f>
        <v>509</v>
      </c>
      <c r="O838" s="1" t="s">
        <v>21</v>
      </c>
      <c r="P838"/>
    </row>
    <row r="839" spans="1:16" x14ac:dyDescent="0.35">
      <c r="A839" s="1" t="s">
        <v>53</v>
      </c>
      <c r="B839" s="1" t="s">
        <v>27</v>
      </c>
      <c r="C839" s="2">
        <v>45483</v>
      </c>
      <c r="D839" s="1" t="s">
        <v>31</v>
      </c>
      <c r="E839" s="1" t="s">
        <v>76</v>
      </c>
      <c r="F839" s="1" t="s">
        <v>37</v>
      </c>
      <c r="G839" s="1" t="s">
        <v>20</v>
      </c>
      <c r="H839" s="1">
        <v>3</v>
      </c>
      <c r="I839" s="1">
        <v>562</v>
      </c>
      <c r="J839" s="1">
        <v>799</v>
      </c>
      <c r="K839" s="1">
        <v>0</v>
      </c>
      <c r="L839" s="1">
        <f>ROUNDDOWN(formatted_data[[#This Row],[Selling_Price]]*formatted_data[[#This Row],[Discount_%]]/100,0)</f>
        <v>0</v>
      </c>
      <c r="M839" s="1">
        <f>(formatted_data[[#This Row],[Selling_Price]]-formatted_data[[#This Row],[Discount_Amount]])*formatted_data[[#This Row],[Units]]</f>
        <v>2397</v>
      </c>
      <c r="N839" s="1">
        <f>formatted_data[[#This Row],[Total_Revenue]]-(formatted_data[[#This Row],[Cost_Price]]*formatted_data[[#This Row],[Units]])</f>
        <v>711</v>
      </c>
      <c r="O839" s="1" t="s">
        <v>21</v>
      </c>
      <c r="P839"/>
    </row>
    <row r="840" spans="1:16" x14ac:dyDescent="0.35">
      <c r="A840" s="1" t="s">
        <v>99</v>
      </c>
      <c r="B840" s="1" t="s">
        <v>27</v>
      </c>
      <c r="C840" s="2">
        <v>45502</v>
      </c>
      <c r="D840" s="1" t="s">
        <v>23</v>
      </c>
      <c r="E840" s="1" t="s">
        <v>43</v>
      </c>
      <c r="F840" s="1" t="s">
        <v>25</v>
      </c>
      <c r="G840" s="1" t="s">
        <v>20</v>
      </c>
      <c r="H840" s="1">
        <v>4</v>
      </c>
      <c r="I840" s="1">
        <v>1807</v>
      </c>
      <c r="J840" s="1">
        <v>2599</v>
      </c>
      <c r="K840" s="1">
        <v>15</v>
      </c>
      <c r="L840" s="1">
        <f>ROUNDDOWN(formatted_data[[#This Row],[Selling_Price]]*formatted_data[[#This Row],[Discount_%]]/100,0)</f>
        <v>389</v>
      </c>
      <c r="M840" s="1">
        <f>(formatted_data[[#This Row],[Selling_Price]]-formatted_data[[#This Row],[Discount_Amount]])*formatted_data[[#This Row],[Units]]</f>
        <v>8840</v>
      </c>
      <c r="N840" s="1">
        <f>formatted_data[[#This Row],[Total_Revenue]]-(formatted_data[[#This Row],[Cost_Price]]*formatted_data[[#This Row],[Units]])</f>
        <v>1612</v>
      </c>
      <c r="O840" s="1" t="s">
        <v>21</v>
      </c>
      <c r="P840"/>
    </row>
    <row r="841" spans="1:16" x14ac:dyDescent="0.35">
      <c r="A841" s="1" t="s">
        <v>91</v>
      </c>
      <c r="B841" s="1" t="s">
        <v>16</v>
      </c>
      <c r="C841" s="2">
        <v>45626</v>
      </c>
      <c r="D841" s="1" t="s">
        <v>28</v>
      </c>
      <c r="E841" s="1" t="s">
        <v>29</v>
      </c>
      <c r="F841" s="1" t="s">
        <v>25</v>
      </c>
      <c r="G841" s="1" t="s">
        <v>19</v>
      </c>
      <c r="H841" s="1">
        <v>3</v>
      </c>
      <c r="I841" s="1">
        <v>268</v>
      </c>
      <c r="J841" s="1">
        <v>499</v>
      </c>
      <c r="K841" s="1">
        <v>10</v>
      </c>
      <c r="L841" s="1">
        <f>ROUNDDOWN(formatted_data[[#This Row],[Selling_Price]]*formatted_data[[#This Row],[Discount_%]]/100,0)</f>
        <v>49</v>
      </c>
      <c r="M841" s="1">
        <f>(formatted_data[[#This Row],[Selling_Price]]-formatted_data[[#This Row],[Discount_Amount]])*formatted_data[[#This Row],[Units]]</f>
        <v>1350</v>
      </c>
      <c r="N841" s="1">
        <f>formatted_data[[#This Row],[Total_Revenue]]-(formatted_data[[#This Row],[Cost_Price]]*formatted_data[[#This Row],[Units]])</f>
        <v>546</v>
      </c>
      <c r="O841" s="1" t="s">
        <v>21</v>
      </c>
      <c r="P841"/>
    </row>
    <row r="842" spans="1:16" x14ac:dyDescent="0.35">
      <c r="A842" s="1" t="s">
        <v>84</v>
      </c>
      <c r="B842" s="1" t="s">
        <v>27</v>
      </c>
      <c r="C842" s="2">
        <v>45641</v>
      </c>
      <c r="D842" s="1" t="s">
        <v>23</v>
      </c>
      <c r="E842" s="1" t="s">
        <v>43</v>
      </c>
      <c r="F842" s="1" t="s">
        <v>25</v>
      </c>
      <c r="G842" s="1" t="s">
        <v>19</v>
      </c>
      <c r="H842" s="1">
        <v>5</v>
      </c>
      <c r="I842" s="1">
        <v>1288</v>
      </c>
      <c r="J842" s="1">
        <v>2299</v>
      </c>
      <c r="K842" s="1">
        <v>10</v>
      </c>
      <c r="L842" s="1">
        <f>ROUNDDOWN(formatted_data[[#This Row],[Selling_Price]]*formatted_data[[#This Row],[Discount_%]]/100,0)</f>
        <v>229</v>
      </c>
      <c r="M842" s="1">
        <f>(formatted_data[[#This Row],[Selling_Price]]-formatted_data[[#This Row],[Discount_Amount]])*formatted_data[[#This Row],[Units]]</f>
        <v>10350</v>
      </c>
      <c r="N842" s="1">
        <f>formatted_data[[#This Row],[Total_Revenue]]-(formatted_data[[#This Row],[Cost_Price]]*formatted_data[[#This Row],[Units]])</f>
        <v>3910</v>
      </c>
      <c r="O842" s="1" t="s">
        <v>21</v>
      </c>
      <c r="P842"/>
    </row>
    <row r="843" spans="1:16" x14ac:dyDescent="0.35">
      <c r="A843" s="1" t="s">
        <v>78</v>
      </c>
      <c r="B843" s="1" t="s">
        <v>16</v>
      </c>
      <c r="C843" s="2">
        <v>45527</v>
      </c>
      <c r="D843" s="1" t="s">
        <v>31</v>
      </c>
      <c r="E843" s="1" t="s">
        <v>32</v>
      </c>
      <c r="F843" s="1" t="s">
        <v>19</v>
      </c>
      <c r="G843" s="1" t="s">
        <v>19</v>
      </c>
      <c r="H843" s="1">
        <v>1</v>
      </c>
      <c r="I843" s="1">
        <v>1106</v>
      </c>
      <c r="J843" s="1">
        <v>1499</v>
      </c>
      <c r="K843" s="1">
        <v>0</v>
      </c>
      <c r="L843" s="1">
        <f>ROUNDDOWN(formatted_data[[#This Row],[Selling_Price]]*formatted_data[[#This Row],[Discount_%]]/100,0)</f>
        <v>0</v>
      </c>
      <c r="M843" s="1">
        <f>(formatted_data[[#This Row],[Selling_Price]]-formatted_data[[#This Row],[Discount_Amount]])*formatted_data[[#This Row],[Units]]</f>
        <v>1499</v>
      </c>
      <c r="N843" s="1">
        <f>formatted_data[[#This Row],[Total_Revenue]]-(formatted_data[[#This Row],[Cost_Price]]*formatted_data[[#This Row],[Units]])</f>
        <v>393</v>
      </c>
      <c r="O843" s="1" t="s">
        <v>33</v>
      </c>
      <c r="P843"/>
    </row>
    <row r="844" spans="1:16" x14ac:dyDescent="0.35">
      <c r="A844" s="1" t="s">
        <v>88</v>
      </c>
      <c r="B844" s="1" t="s">
        <v>27</v>
      </c>
      <c r="C844" s="2">
        <v>45612</v>
      </c>
      <c r="D844" s="1" t="s">
        <v>35</v>
      </c>
      <c r="E844" s="1" t="s">
        <v>58</v>
      </c>
      <c r="F844" s="1" t="s">
        <v>25</v>
      </c>
      <c r="G844" s="1" t="s">
        <v>19</v>
      </c>
      <c r="H844" s="1">
        <v>1</v>
      </c>
      <c r="I844" s="1">
        <v>1471</v>
      </c>
      <c r="J844" s="1">
        <v>2299</v>
      </c>
      <c r="K844" s="1">
        <v>10</v>
      </c>
      <c r="L844" s="1">
        <f>ROUNDDOWN(formatted_data[[#This Row],[Selling_Price]]*formatted_data[[#This Row],[Discount_%]]/100,0)</f>
        <v>229</v>
      </c>
      <c r="M844" s="1">
        <f>(formatted_data[[#This Row],[Selling_Price]]-formatted_data[[#This Row],[Discount_Amount]])*formatted_data[[#This Row],[Units]]</f>
        <v>2070</v>
      </c>
      <c r="N844" s="1">
        <f>formatted_data[[#This Row],[Total_Revenue]]-(formatted_data[[#This Row],[Cost_Price]]*formatted_data[[#This Row],[Units]])</f>
        <v>599</v>
      </c>
      <c r="O844" s="1" t="s">
        <v>21</v>
      </c>
      <c r="P844"/>
    </row>
    <row r="845" spans="1:16" x14ac:dyDescent="0.35">
      <c r="A845" s="1" t="s">
        <v>26</v>
      </c>
      <c r="B845" s="1" t="s">
        <v>27</v>
      </c>
      <c r="C845" s="2">
        <v>45603</v>
      </c>
      <c r="D845" s="1" t="s">
        <v>28</v>
      </c>
      <c r="E845" s="1" t="s">
        <v>29</v>
      </c>
      <c r="F845" s="1" t="s">
        <v>19</v>
      </c>
      <c r="G845" s="1" t="s">
        <v>20</v>
      </c>
      <c r="H845" s="1">
        <v>1</v>
      </c>
      <c r="I845" s="1">
        <v>304</v>
      </c>
      <c r="J845" s="1">
        <v>499</v>
      </c>
      <c r="K845" s="1">
        <v>10</v>
      </c>
      <c r="L845" s="1">
        <f>ROUNDDOWN(formatted_data[[#This Row],[Selling_Price]]*formatted_data[[#This Row],[Discount_%]]/100,0)</f>
        <v>49</v>
      </c>
      <c r="M845" s="1">
        <f>(formatted_data[[#This Row],[Selling_Price]]-formatted_data[[#This Row],[Discount_Amount]])*formatted_data[[#This Row],[Units]]</f>
        <v>450</v>
      </c>
      <c r="N845" s="1">
        <f>formatted_data[[#This Row],[Total_Revenue]]-(formatted_data[[#This Row],[Cost_Price]]*formatted_data[[#This Row],[Units]])</f>
        <v>146</v>
      </c>
      <c r="O845" s="1" t="s">
        <v>21</v>
      </c>
      <c r="P845"/>
    </row>
    <row r="846" spans="1:16" x14ac:dyDescent="0.35">
      <c r="A846" s="1" t="s">
        <v>71</v>
      </c>
      <c r="B846" s="1" t="s">
        <v>16</v>
      </c>
      <c r="C846" s="2">
        <v>45537</v>
      </c>
      <c r="D846" s="1" t="s">
        <v>31</v>
      </c>
      <c r="E846" s="1" t="s">
        <v>76</v>
      </c>
      <c r="F846" s="1" t="s">
        <v>19</v>
      </c>
      <c r="G846" s="1" t="s">
        <v>20</v>
      </c>
      <c r="H846" s="1">
        <v>1</v>
      </c>
      <c r="I846" s="1">
        <v>423</v>
      </c>
      <c r="J846" s="1">
        <v>699</v>
      </c>
      <c r="K846" s="1">
        <v>0</v>
      </c>
      <c r="L846" s="1">
        <f>ROUNDDOWN(formatted_data[[#This Row],[Selling_Price]]*formatted_data[[#This Row],[Discount_%]]/100,0)</f>
        <v>0</v>
      </c>
      <c r="M846" s="1">
        <f>(formatted_data[[#This Row],[Selling_Price]]-formatted_data[[#This Row],[Discount_Amount]])*formatted_data[[#This Row],[Units]]</f>
        <v>699</v>
      </c>
      <c r="N846" s="1">
        <f>formatted_data[[#This Row],[Total_Revenue]]-(formatted_data[[#This Row],[Cost_Price]]*formatted_data[[#This Row],[Units]])</f>
        <v>276</v>
      </c>
      <c r="O846" s="1" t="s">
        <v>21</v>
      </c>
      <c r="P846"/>
    </row>
    <row r="847" spans="1:16" x14ac:dyDescent="0.35">
      <c r="A847" s="1" t="s">
        <v>51</v>
      </c>
      <c r="B847" s="1" t="s">
        <v>16</v>
      </c>
      <c r="C847" s="2">
        <v>45505</v>
      </c>
      <c r="D847" s="1" t="s">
        <v>35</v>
      </c>
      <c r="E847" s="1" t="s">
        <v>39</v>
      </c>
      <c r="F847" s="1" t="s">
        <v>37</v>
      </c>
      <c r="G847" s="1" t="s">
        <v>19</v>
      </c>
      <c r="H847" s="1">
        <v>3</v>
      </c>
      <c r="I847" s="1">
        <v>1122</v>
      </c>
      <c r="J847" s="1">
        <v>1499</v>
      </c>
      <c r="K847" s="1">
        <v>10</v>
      </c>
      <c r="L847" s="1">
        <f>ROUNDDOWN(formatted_data[[#This Row],[Selling_Price]]*formatted_data[[#This Row],[Discount_%]]/100,0)</f>
        <v>149</v>
      </c>
      <c r="M847" s="1">
        <f>(formatted_data[[#This Row],[Selling_Price]]-formatted_data[[#This Row],[Discount_Amount]])*formatted_data[[#This Row],[Units]]</f>
        <v>4050</v>
      </c>
      <c r="N847" s="1">
        <f>formatted_data[[#This Row],[Total_Revenue]]-(formatted_data[[#This Row],[Cost_Price]]*formatted_data[[#This Row],[Units]])</f>
        <v>684</v>
      </c>
      <c r="O847" s="1" t="s">
        <v>33</v>
      </c>
      <c r="P847"/>
    </row>
    <row r="848" spans="1:16" x14ac:dyDescent="0.35">
      <c r="A848" s="1" t="s">
        <v>54</v>
      </c>
      <c r="B848" s="1" t="s">
        <v>27</v>
      </c>
      <c r="C848" s="2">
        <v>45620</v>
      </c>
      <c r="D848" s="1" t="s">
        <v>31</v>
      </c>
      <c r="E848" s="1" t="s">
        <v>32</v>
      </c>
      <c r="F848" s="1" t="s">
        <v>19</v>
      </c>
      <c r="G848" s="1" t="s">
        <v>19</v>
      </c>
      <c r="H848" s="1">
        <v>1</v>
      </c>
      <c r="I848" s="1">
        <v>545</v>
      </c>
      <c r="J848" s="1">
        <v>899</v>
      </c>
      <c r="K848" s="1">
        <v>0</v>
      </c>
      <c r="L848" s="1">
        <f>ROUNDDOWN(formatted_data[[#This Row],[Selling_Price]]*formatted_data[[#This Row],[Discount_%]]/100,0)</f>
        <v>0</v>
      </c>
      <c r="M848" s="1">
        <f>(formatted_data[[#This Row],[Selling_Price]]-formatted_data[[#This Row],[Discount_Amount]])*formatted_data[[#This Row],[Units]]</f>
        <v>899</v>
      </c>
      <c r="N848" s="1">
        <f>formatted_data[[#This Row],[Total_Revenue]]-(formatted_data[[#This Row],[Cost_Price]]*formatted_data[[#This Row],[Units]])</f>
        <v>354</v>
      </c>
      <c r="O848" s="1" t="s">
        <v>33</v>
      </c>
      <c r="P848"/>
    </row>
    <row r="849" spans="1:16" x14ac:dyDescent="0.35">
      <c r="A849" s="1" t="s">
        <v>26</v>
      </c>
      <c r="B849" s="1" t="s">
        <v>27</v>
      </c>
      <c r="C849" s="2">
        <v>45490</v>
      </c>
      <c r="D849" s="1" t="s">
        <v>31</v>
      </c>
      <c r="E849" s="1" t="s">
        <v>76</v>
      </c>
      <c r="F849" s="1" t="s">
        <v>25</v>
      </c>
      <c r="G849" s="1" t="s">
        <v>20</v>
      </c>
      <c r="H849" s="1">
        <v>1</v>
      </c>
      <c r="I849" s="1">
        <v>466</v>
      </c>
      <c r="J849" s="1">
        <v>799</v>
      </c>
      <c r="K849" s="1">
        <v>0</v>
      </c>
      <c r="L849" s="1">
        <f>ROUNDDOWN(formatted_data[[#This Row],[Selling_Price]]*formatted_data[[#This Row],[Discount_%]]/100,0)</f>
        <v>0</v>
      </c>
      <c r="M849" s="1">
        <f>(formatted_data[[#This Row],[Selling_Price]]-formatted_data[[#This Row],[Discount_Amount]])*formatted_data[[#This Row],[Units]]</f>
        <v>799</v>
      </c>
      <c r="N849" s="1">
        <f>formatted_data[[#This Row],[Total_Revenue]]-(formatted_data[[#This Row],[Cost_Price]]*formatted_data[[#This Row],[Units]])</f>
        <v>333</v>
      </c>
      <c r="O849" s="1" t="s">
        <v>21</v>
      </c>
      <c r="P849"/>
    </row>
    <row r="850" spans="1:16" x14ac:dyDescent="0.35">
      <c r="A850" s="1" t="s">
        <v>82</v>
      </c>
      <c r="B850" s="1" t="s">
        <v>27</v>
      </c>
      <c r="C850" s="2">
        <v>45562</v>
      </c>
      <c r="D850" s="1" t="s">
        <v>23</v>
      </c>
      <c r="E850" s="1" t="s">
        <v>43</v>
      </c>
      <c r="F850" s="1" t="s">
        <v>19</v>
      </c>
      <c r="G850" s="1" t="s">
        <v>20</v>
      </c>
      <c r="H850" s="1">
        <v>1</v>
      </c>
      <c r="I850" s="1">
        <v>2342</v>
      </c>
      <c r="J850" s="1">
        <v>4399</v>
      </c>
      <c r="K850" s="1">
        <v>20</v>
      </c>
      <c r="L850" s="1">
        <f>ROUNDDOWN(formatted_data[[#This Row],[Selling_Price]]*formatted_data[[#This Row],[Discount_%]]/100,0)</f>
        <v>879</v>
      </c>
      <c r="M850" s="1">
        <f>(formatted_data[[#This Row],[Selling_Price]]-formatted_data[[#This Row],[Discount_Amount]])*formatted_data[[#This Row],[Units]]</f>
        <v>3520</v>
      </c>
      <c r="N850" s="1">
        <f>formatted_data[[#This Row],[Total_Revenue]]-(formatted_data[[#This Row],[Cost_Price]]*formatted_data[[#This Row],[Units]])</f>
        <v>1178</v>
      </c>
      <c r="O850" s="1" t="s">
        <v>21</v>
      </c>
      <c r="P850"/>
    </row>
    <row r="851" spans="1:16" x14ac:dyDescent="0.35">
      <c r="A851" s="1" t="s">
        <v>78</v>
      </c>
      <c r="B851" s="1" t="s">
        <v>16</v>
      </c>
      <c r="C851" s="2">
        <v>45496</v>
      </c>
      <c r="D851" s="1" t="s">
        <v>35</v>
      </c>
      <c r="E851" s="1" t="s">
        <v>39</v>
      </c>
      <c r="F851" s="1" t="s">
        <v>37</v>
      </c>
      <c r="G851" s="1" t="s">
        <v>20</v>
      </c>
      <c r="H851" s="1">
        <v>1</v>
      </c>
      <c r="I851" s="1">
        <v>923</v>
      </c>
      <c r="J851" s="1">
        <v>1599</v>
      </c>
      <c r="K851" s="1">
        <v>15</v>
      </c>
      <c r="L851" s="1">
        <f>ROUNDDOWN(formatted_data[[#This Row],[Selling_Price]]*formatted_data[[#This Row],[Discount_%]]/100,0)</f>
        <v>239</v>
      </c>
      <c r="M851" s="1">
        <f>(formatted_data[[#This Row],[Selling_Price]]-formatted_data[[#This Row],[Discount_Amount]])*formatted_data[[#This Row],[Units]]</f>
        <v>1360</v>
      </c>
      <c r="N851" s="1">
        <f>formatted_data[[#This Row],[Total_Revenue]]-(formatted_data[[#This Row],[Cost_Price]]*formatted_data[[#This Row],[Units]])</f>
        <v>437</v>
      </c>
      <c r="O851" s="1" t="s">
        <v>21</v>
      </c>
      <c r="P851"/>
    </row>
    <row r="852" spans="1:16" x14ac:dyDescent="0.35">
      <c r="A852" s="1" t="s">
        <v>70</v>
      </c>
      <c r="B852" s="1" t="s">
        <v>27</v>
      </c>
      <c r="C852" s="2">
        <v>45500</v>
      </c>
      <c r="D852" s="1" t="s">
        <v>17</v>
      </c>
      <c r="E852" s="1" t="s">
        <v>55</v>
      </c>
      <c r="F852" s="1" t="s">
        <v>37</v>
      </c>
      <c r="G852" s="1" t="s">
        <v>20</v>
      </c>
      <c r="H852" s="1">
        <v>1</v>
      </c>
      <c r="I852" s="1">
        <v>315</v>
      </c>
      <c r="J852" s="1">
        <v>499</v>
      </c>
      <c r="K852" s="1">
        <v>0</v>
      </c>
      <c r="L852" s="1">
        <f>ROUNDDOWN(formatted_data[[#This Row],[Selling_Price]]*formatted_data[[#This Row],[Discount_%]]/100,0)</f>
        <v>0</v>
      </c>
      <c r="M852" s="1">
        <f>(formatted_data[[#This Row],[Selling_Price]]-formatted_data[[#This Row],[Discount_Amount]])*formatted_data[[#This Row],[Units]]</f>
        <v>499</v>
      </c>
      <c r="N852" s="1">
        <f>formatted_data[[#This Row],[Total_Revenue]]-(formatted_data[[#This Row],[Cost_Price]]*formatted_data[[#This Row],[Units]])</f>
        <v>184</v>
      </c>
      <c r="O852" s="1" t="s">
        <v>21</v>
      </c>
      <c r="P852"/>
    </row>
    <row r="853" spans="1:16" x14ac:dyDescent="0.35">
      <c r="A853" s="1" t="s">
        <v>62</v>
      </c>
      <c r="B853" s="1" t="s">
        <v>16</v>
      </c>
      <c r="C853" s="2">
        <v>45537</v>
      </c>
      <c r="D853" s="1" t="s">
        <v>28</v>
      </c>
      <c r="E853" s="1" t="s">
        <v>45</v>
      </c>
      <c r="F853" s="1" t="s">
        <v>37</v>
      </c>
      <c r="G853" s="1" t="s">
        <v>20</v>
      </c>
      <c r="H853" s="1">
        <v>1</v>
      </c>
      <c r="I853" s="1">
        <v>1056</v>
      </c>
      <c r="J853" s="1">
        <v>1999</v>
      </c>
      <c r="K853" s="1">
        <v>10</v>
      </c>
      <c r="L853" s="1">
        <f>ROUNDDOWN(formatted_data[[#This Row],[Selling_Price]]*formatted_data[[#This Row],[Discount_%]]/100,0)</f>
        <v>199</v>
      </c>
      <c r="M853" s="1">
        <f>(formatted_data[[#This Row],[Selling_Price]]-formatted_data[[#This Row],[Discount_Amount]])*formatted_data[[#This Row],[Units]]</f>
        <v>1800</v>
      </c>
      <c r="N853" s="1">
        <f>formatted_data[[#This Row],[Total_Revenue]]-(formatted_data[[#This Row],[Cost_Price]]*formatted_data[[#This Row],[Units]])</f>
        <v>744</v>
      </c>
      <c r="O853" s="1" t="s">
        <v>33</v>
      </c>
      <c r="P853"/>
    </row>
    <row r="854" spans="1:16" x14ac:dyDescent="0.35">
      <c r="A854" s="1" t="s">
        <v>82</v>
      </c>
      <c r="B854" s="1" t="s">
        <v>27</v>
      </c>
      <c r="C854" s="2">
        <v>45628</v>
      </c>
      <c r="D854" s="1" t="s">
        <v>17</v>
      </c>
      <c r="E854" s="1" t="s">
        <v>55</v>
      </c>
      <c r="F854" s="1" t="s">
        <v>37</v>
      </c>
      <c r="G854" s="1" t="s">
        <v>19</v>
      </c>
      <c r="H854" s="1">
        <v>1</v>
      </c>
      <c r="I854" s="1">
        <v>354</v>
      </c>
      <c r="J854" s="1">
        <v>499</v>
      </c>
      <c r="K854" s="1">
        <v>0</v>
      </c>
      <c r="L854" s="1">
        <f>ROUNDDOWN(formatted_data[[#This Row],[Selling_Price]]*formatted_data[[#This Row],[Discount_%]]/100,0)</f>
        <v>0</v>
      </c>
      <c r="M854" s="1">
        <f>(formatted_data[[#This Row],[Selling_Price]]-formatted_data[[#This Row],[Discount_Amount]])*formatted_data[[#This Row],[Units]]</f>
        <v>499</v>
      </c>
      <c r="N854" s="1">
        <f>formatted_data[[#This Row],[Total_Revenue]]-(formatted_data[[#This Row],[Cost_Price]]*formatted_data[[#This Row],[Units]])</f>
        <v>145</v>
      </c>
      <c r="O854" s="1" t="s">
        <v>21</v>
      </c>
      <c r="P854"/>
    </row>
    <row r="855" spans="1:16" x14ac:dyDescent="0.35">
      <c r="A855" s="1" t="s">
        <v>52</v>
      </c>
      <c r="B855" s="1" t="s">
        <v>27</v>
      </c>
      <c r="C855" s="2">
        <v>45621</v>
      </c>
      <c r="D855" s="1" t="s">
        <v>28</v>
      </c>
      <c r="E855" s="1" t="s">
        <v>29</v>
      </c>
      <c r="F855" s="1" t="s">
        <v>19</v>
      </c>
      <c r="G855" s="1" t="s">
        <v>20</v>
      </c>
      <c r="H855" s="1">
        <v>3</v>
      </c>
      <c r="I855" s="1">
        <v>364</v>
      </c>
      <c r="J855" s="1">
        <v>499</v>
      </c>
      <c r="K855" s="1">
        <v>10</v>
      </c>
      <c r="L855" s="1">
        <f>ROUNDDOWN(formatted_data[[#This Row],[Selling_Price]]*formatted_data[[#This Row],[Discount_%]]/100,0)</f>
        <v>49</v>
      </c>
      <c r="M855" s="1">
        <f>(formatted_data[[#This Row],[Selling_Price]]-formatted_data[[#This Row],[Discount_Amount]])*formatted_data[[#This Row],[Units]]</f>
        <v>1350</v>
      </c>
      <c r="N855" s="1">
        <f>formatted_data[[#This Row],[Total_Revenue]]-(formatted_data[[#This Row],[Cost_Price]]*formatted_data[[#This Row],[Units]])</f>
        <v>258</v>
      </c>
      <c r="O855" s="1" t="s">
        <v>21</v>
      </c>
      <c r="P855"/>
    </row>
    <row r="856" spans="1:16" x14ac:dyDescent="0.35">
      <c r="A856" s="1" t="s">
        <v>88</v>
      </c>
      <c r="B856" s="1" t="s">
        <v>27</v>
      </c>
      <c r="C856" s="2">
        <v>45565</v>
      </c>
      <c r="D856" s="1" t="s">
        <v>28</v>
      </c>
      <c r="E856" s="1" t="s">
        <v>45</v>
      </c>
      <c r="F856" s="1" t="s">
        <v>37</v>
      </c>
      <c r="G856" s="1" t="s">
        <v>19</v>
      </c>
      <c r="H856" s="1">
        <v>1</v>
      </c>
      <c r="I856" s="1">
        <v>851</v>
      </c>
      <c r="J856" s="1">
        <v>1199</v>
      </c>
      <c r="K856" s="1">
        <v>10</v>
      </c>
      <c r="L856" s="1">
        <f>ROUNDDOWN(formatted_data[[#This Row],[Selling_Price]]*formatted_data[[#This Row],[Discount_%]]/100,0)</f>
        <v>119</v>
      </c>
      <c r="M856" s="1">
        <f>(formatted_data[[#This Row],[Selling_Price]]-formatted_data[[#This Row],[Discount_Amount]])*formatted_data[[#This Row],[Units]]</f>
        <v>1080</v>
      </c>
      <c r="N856" s="1">
        <f>formatted_data[[#This Row],[Total_Revenue]]-(formatted_data[[#This Row],[Cost_Price]]*formatted_data[[#This Row],[Units]])</f>
        <v>229</v>
      </c>
      <c r="O856" s="1" t="s">
        <v>33</v>
      </c>
      <c r="P856"/>
    </row>
    <row r="857" spans="1:16" x14ac:dyDescent="0.35">
      <c r="A857" s="1" t="s">
        <v>38</v>
      </c>
      <c r="B857" s="1" t="s">
        <v>27</v>
      </c>
      <c r="C857" s="2">
        <v>45557</v>
      </c>
      <c r="D857" s="1" t="s">
        <v>23</v>
      </c>
      <c r="E857" s="1" t="s">
        <v>24</v>
      </c>
      <c r="F857" s="1" t="s">
        <v>37</v>
      </c>
      <c r="G857" s="1" t="s">
        <v>19</v>
      </c>
      <c r="H857" s="1">
        <v>1</v>
      </c>
      <c r="I857" s="1">
        <v>655</v>
      </c>
      <c r="J857" s="1">
        <v>999</v>
      </c>
      <c r="K857" s="1">
        <v>15</v>
      </c>
      <c r="L857" s="1">
        <f>ROUNDDOWN(formatted_data[[#This Row],[Selling_Price]]*formatted_data[[#This Row],[Discount_%]]/100,0)</f>
        <v>149</v>
      </c>
      <c r="M857" s="1">
        <f>(formatted_data[[#This Row],[Selling_Price]]-formatted_data[[#This Row],[Discount_Amount]])*formatted_data[[#This Row],[Units]]</f>
        <v>850</v>
      </c>
      <c r="N857" s="1">
        <f>formatted_data[[#This Row],[Total_Revenue]]-(formatted_data[[#This Row],[Cost_Price]]*formatted_data[[#This Row],[Units]])</f>
        <v>195</v>
      </c>
      <c r="O857" s="1" t="s">
        <v>21</v>
      </c>
      <c r="P857"/>
    </row>
    <row r="858" spans="1:16" x14ac:dyDescent="0.35">
      <c r="A858" s="1" t="s">
        <v>108</v>
      </c>
      <c r="B858" s="1" t="s">
        <v>27</v>
      </c>
      <c r="C858" s="2">
        <v>45462</v>
      </c>
      <c r="D858" s="1" t="s">
        <v>17</v>
      </c>
      <c r="E858" s="1" t="s">
        <v>18</v>
      </c>
      <c r="F858" s="1" t="s">
        <v>25</v>
      </c>
      <c r="G858" s="1" t="s">
        <v>20</v>
      </c>
      <c r="H858" s="1">
        <v>1</v>
      </c>
      <c r="I858" s="1">
        <v>319</v>
      </c>
      <c r="J858" s="1">
        <v>599</v>
      </c>
      <c r="K858" s="1">
        <v>0</v>
      </c>
      <c r="L858" s="1">
        <f>ROUNDDOWN(formatted_data[[#This Row],[Selling_Price]]*formatted_data[[#This Row],[Discount_%]]/100,0)</f>
        <v>0</v>
      </c>
      <c r="M858" s="1">
        <f>(formatted_data[[#This Row],[Selling_Price]]-formatted_data[[#This Row],[Discount_Amount]])*formatted_data[[#This Row],[Units]]</f>
        <v>599</v>
      </c>
      <c r="N858" s="1">
        <f>formatted_data[[#This Row],[Total_Revenue]]-(formatted_data[[#This Row],[Cost_Price]]*formatted_data[[#This Row],[Units]])</f>
        <v>280</v>
      </c>
      <c r="O858" s="1" t="s">
        <v>21</v>
      </c>
      <c r="P858"/>
    </row>
    <row r="859" spans="1:16" x14ac:dyDescent="0.35">
      <c r="A859" s="1" t="s">
        <v>68</v>
      </c>
      <c r="B859" s="1" t="s">
        <v>16</v>
      </c>
      <c r="C859" s="2">
        <v>45635</v>
      </c>
      <c r="D859" s="1" t="s">
        <v>23</v>
      </c>
      <c r="E859" s="1" t="s">
        <v>43</v>
      </c>
      <c r="F859" s="1" t="s">
        <v>37</v>
      </c>
      <c r="G859" s="1" t="s">
        <v>20</v>
      </c>
      <c r="H859" s="1">
        <v>1</v>
      </c>
      <c r="I859" s="1">
        <v>2730</v>
      </c>
      <c r="J859" s="1">
        <v>4399</v>
      </c>
      <c r="K859" s="1">
        <v>20</v>
      </c>
      <c r="L859" s="1">
        <f>ROUNDDOWN(formatted_data[[#This Row],[Selling_Price]]*formatted_data[[#This Row],[Discount_%]]/100,0)</f>
        <v>879</v>
      </c>
      <c r="M859" s="1">
        <f>(formatted_data[[#This Row],[Selling_Price]]-formatted_data[[#This Row],[Discount_Amount]])*formatted_data[[#This Row],[Units]]</f>
        <v>3520</v>
      </c>
      <c r="N859" s="1">
        <f>formatted_data[[#This Row],[Total_Revenue]]-(formatted_data[[#This Row],[Cost_Price]]*formatted_data[[#This Row],[Units]])</f>
        <v>790</v>
      </c>
      <c r="O859" s="1" t="s">
        <v>21</v>
      </c>
      <c r="P859"/>
    </row>
    <row r="860" spans="1:16" x14ac:dyDescent="0.35">
      <c r="A860" s="1" t="s">
        <v>40</v>
      </c>
      <c r="B860" s="1" t="s">
        <v>27</v>
      </c>
      <c r="C860" s="2">
        <v>45655</v>
      </c>
      <c r="D860" s="1" t="s">
        <v>17</v>
      </c>
      <c r="E860" s="1" t="s">
        <v>55</v>
      </c>
      <c r="F860" s="1" t="s">
        <v>25</v>
      </c>
      <c r="G860" s="1" t="s">
        <v>20</v>
      </c>
      <c r="H860" s="1">
        <v>2</v>
      </c>
      <c r="I860" s="1">
        <v>503</v>
      </c>
      <c r="J860" s="1">
        <v>799</v>
      </c>
      <c r="K860" s="1">
        <v>0</v>
      </c>
      <c r="L860" s="1">
        <f>ROUNDDOWN(formatted_data[[#This Row],[Selling_Price]]*formatted_data[[#This Row],[Discount_%]]/100,0)</f>
        <v>0</v>
      </c>
      <c r="M860" s="1">
        <f>(formatted_data[[#This Row],[Selling_Price]]-formatted_data[[#This Row],[Discount_Amount]])*formatted_data[[#This Row],[Units]]</f>
        <v>1598</v>
      </c>
      <c r="N860" s="1">
        <f>formatted_data[[#This Row],[Total_Revenue]]-(formatted_data[[#This Row],[Cost_Price]]*formatted_data[[#This Row],[Units]])</f>
        <v>592</v>
      </c>
      <c r="O860" s="1" t="s">
        <v>21</v>
      </c>
      <c r="P860"/>
    </row>
    <row r="861" spans="1:16" x14ac:dyDescent="0.35">
      <c r="A861" s="1" t="s">
        <v>59</v>
      </c>
      <c r="B861" s="1" t="s">
        <v>27</v>
      </c>
      <c r="C861" s="2">
        <v>45499</v>
      </c>
      <c r="D861" s="1" t="s">
        <v>17</v>
      </c>
      <c r="E861" s="1" t="s">
        <v>55</v>
      </c>
      <c r="F861" s="1" t="s">
        <v>37</v>
      </c>
      <c r="G861" s="1" t="s">
        <v>20</v>
      </c>
      <c r="H861" s="1">
        <v>2</v>
      </c>
      <c r="I861" s="1">
        <v>265</v>
      </c>
      <c r="J861" s="1">
        <v>499</v>
      </c>
      <c r="K861" s="1">
        <v>0</v>
      </c>
      <c r="L861" s="1">
        <f>ROUNDDOWN(formatted_data[[#This Row],[Selling_Price]]*formatted_data[[#This Row],[Discount_%]]/100,0)</f>
        <v>0</v>
      </c>
      <c r="M861" s="1">
        <f>(formatted_data[[#This Row],[Selling_Price]]-formatted_data[[#This Row],[Discount_Amount]])*formatted_data[[#This Row],[Units]]</f>
        <v>998</v>
      </c>
      <c r="N861" s="1">
        <f>formatted_data[[#This Row],[Total_Revenue]]-(formatted_data[[#This Row],[Cost_Price]]*formatted_data[[#This Row],[Units]])</f>
        <v>468</v>
      </c>
      <c r="O861" s="1" t="s">
        <v>33</v>
      </c>
      <c r="P861"/>
    </row>
    <row r="862" spans="1:16" x14ac:dyDescent="0.35">
      <c r="A862" s="1" t="s">
        <v>49</v>
      </c>
      <c r="B862" s="1" t="s">
        <v>27</v>
      </c>
      <c r="C862" s="2">
        <v>45499</v>
      </c>
      <c r="D862" s="1" t="s">
        <v>17</v>
      </c>
      <c r="E862" s="1" t="s">
        <v>55</v>
      </c>
      <c r="F862" s="1" t="s">
        <v>37</v>
      </c>
      <c r="G862" s="1" t="s">
        <v>20</v>
      </c>
      <c r="H862" s="1">
        <v>1</v>
      </c>
      <c r="I862" s="1">
        <v>501</v>
      </c>
      <c r="J862" s="1">
        <v>699</v>
      </c>
      <c r="K862" s="1">
        <v>0</v>
      </c>
      <c r="L862" s="1">
        <f>ROUNDDOWN(formatted_data[[#This Row],[Selling_Price]]*formatted_data[[#This Row],[Discount_%]]/100,0)</f>
        <v>0</v>
      </c>
      <c r="M862" s="1">
        <f>(formatted_data[[#This Row],[Selling_Price]]-formatted_data[[#This Row],[Discount_Amount]])*formatted_data[[#This Row],[Units]]</f>
        <v>699</v>
      </c>
      <c r="N862" s="1">
        <f>formatted_data[[#This Row],[Total_Revenue]]-(formatted_data[[#This Row],[Cost_Price]]*formatted_data[[#This Row],[Units]])</f>
        <v>198</v>
      </c>
      <c r="O862" s="1" t="s">
        <v>21</v>
      </c>
      <c r="P862"/>
    </row>
    <row r="863" spans="1:16" x14ac:dyDescent="0.35">
      <c r="A863" s="1" t="s">
        <v>91</v>
      </c>
      <c r="B863" s="1" t="s">
        <v>16</v>
      </c>
      <c r="C863" s="2">
        <v>45626</v>
      </c>
      <c r="D863" s="1" t="s">
        <v>17</v>
      </c>
      <c r="E863" s="1" t="s">
        <v>55</v>
      </c>
      <c r="F863" s="1" t="s">
        <v>19</v>
      </c>
      <c r="G863" s="1" t="s">
        <v>20</v>
      </c>
      <c r="H863" s="1">
        <v>5</v>
      </c>
      <c r="I863" s="1">
        <v>496</v>
      </c>
      <c r="J863" s="1">
        <v>699</v>
      </c>
      <c r="K863" s="1">
        <v>0</v>
      </c>
      <c r="L863" s="1">
        <f>ROUNDDOWN(formatted_data[[#This Row],[Selling_Price]]*formatted_data[[#This Row],[Discount_%]]/100,0)</f>
        <v>0</v>
      </c>
      <c r="M863" s="1">
        <f>(formatted_data[[#This Row],[Selling_Price]]-formatted_data[[#This Row],[Discount_Amount]])*formatted_data[[#This Row],[Units]]</f>
        <v>3495</v>
      </c>
      <c r="N863" s="1">
        <f>formatted_data[[#This Row],[Total_Revenue]]-(formatted_data[[#This Row],[Cost_Price]]*formatted_data[[#This Row],[Units]])</f>
        <v>1015</v>
      </c>
      <c r="O863" s="1" t="s">
        <v>21</v>
      </c>
      <c r="P863"/>
    </row>
    <row r="864" spans="1:16" x14ac:dyDescent="0.35">
      <c r="A864" s="1" t="s">
        <v>74</v>
      </c>
      <c r="B864" s="1" t="s">
        <v>16</v>
      </c>
      <c r="C864" s="2">
        <v>45619</v>
      </c>
      <c r="D864" s="1" t="s">
        <v>23</v>
      </c>
      <c r="E864" s="1" t="s">
        <v>24</v>
      </c>
      <c r="F864" s="1" t="s">
        <v>19</v>
      </c>
      <c r="G864" s="1" t="s">
        <v>20</v>
      </c>
      <c r="H864" s="1">
        <v>2</v>
      </c>
      <c r="I864" s="1">
        <v>658</v>
      </c>
      <c r="J864" s="1">
        <v>1299</v>
      </c>
      <c r="K864" s="1">
        <v>5</v>
      </c>
      <c r="L864" s="1">
        <f>ROUNDDOWN(formatted_data[[#This Row],[Selling_Price]]*formatted_data[[#This Row],[Discount_%]]/100,0)</f>
        <v>64</v>
      </c>
      <c r="M864" s="1">
        <f>(formatted_data[[#This Row],[Selling_Price]]-formatted_data[[#This Row],[Discount_Amount]])*formatted_data[[#This Row],[Units]]</f>
        <v>2470</v>
      </c>
      <c r="N864" s="1">
        <f>formatted_data[[#This Row],[Total_Revenue]]-(formatted_data[[#This Row],[Cost_Price]]*formatted_data[[#This Row],[Units]])</f>
        <v>1154</v>
      </c>
      <c r="O864" s="1" t="s">
        <v>21</v>
      </c>
      <c r="P864"/>
    </row>
    <row r="865" spans="1:16" x14ac:dyDescent="0.35">
      <c r="A865" s="1" t="s">
        <v>54</v>
      </c>
      <c r="B865" s="1" t="s">
        <v>27</v>
      </c>
      <c r="C865" s="2">
        <v>45524</v>
      </c>
      <c r="D865" s="1" t="s">
        <v>28</v>
      </c>
      <c r="E865" s="1" t="s">
        <v>45</v>
      </c>
      <c r="F865" s="1" t="s">
        <v>19</v>
      </c>
      <c r="G865" s="1" t="s">
        <v>20</v>
      </c>
      <c r="H865" s="1">
        <v>1</v>
      </c>
      <c r="I865" s="1">
        <v>1126</v>
      </c>
      <c r="J865" s="1">
        <v>1799</v>
      </c>
      <c r="K865" s="1">
        <v>15</v>
      </c>
      <c r="L865" s="1">
        <f>ROUNDDOWN(formatted_data[[#This Row],[Selling_Price]]*formatted_data[[#This Row],[Discount_%]]/100,0)</f>
        <v>269</v>
      </c>
      <c r="M865" s="1">
        <f>(formatted_data[[#This Row],[Selling_Price]]-formatted_data[[#This Row],[Discount_Amount]])*formatted_data[[#This Row],[Units]]</f>
        <v>1530</v>
      </c>
      <c r="N865" s="1">
        <f>formatted_data[[#This Row],[Total_Revenue]]-(formatted_data[[#This Row],[Cost_Price]]*formatted_data[[#This Row],[Units]])</f>
        <v>404</v>
      </c>
      <c r="O865" s="1" t="s">
        <v>21</v>
      </c>
      <c r="P865"/>
    </row>
    <row r="866" spans="1:16" x14ac:dyDescent="0.35">
      <c r="A866" s="1" t="s">
        <v>108</v>
      </c>
      <c r="B866" s="1" t="s">
        <v>27</v>
      </c>
      <c r="C866" s="2">
        <v>45554</v>
      </c>
      <c r="D866" s="1" t="s">
        <v>23</v>
      </c>
      <c r="E866" s="1" t="s">
        <v>24</v>
      </c>
      <c r="F866" s="1" t="s">
        <v>25</v>
      </c>
      <c r="G866" s="1" t="s">
        <v>20</v>
      </c>
      <c r="H866" s="1">
        <v>1</v>
      </c>
      <c r="I866" s="1">
        <v>614</v>
      </c>
      <c r="J866" s="1">
        <v>899</v>
      </c>
      <c r="K866" s="1">
        <v>5</v>
      </c>
      <c r="L866" s="1">
        <f>ROUNDDOWN(formatted_data[[#This Row],[Selling_Price]]*formatted_data[[#This Row],[Discount_%]]/100,0)</f>
        <v>44</v>
      </c>
      <c r="M866" s="1">
        <f>(formatted_data[[#This Row],[Selling_Price]]-formatted_data[[#This Row],[Discount_Amount]])*formatted_data[[#This Row],[Units]]</f>
        <v>855</v>
      </c>
      <c r="N866" s="1">
        <f>formatted_data[[#This Row],[Total_Revenue]]-(formatted_data[[#This Row],[Cost_Price]]*formatted_data[[#This Row],[Units]])</f>
        <v>241</v>
      </c>
      <c r="O866" s="1" t="s">
        <v>21</v>
      </c>
      <c r="P866"/>
    </row>
    <row r="867" spans="1:16" x14ac:dyDescent="0.35">
      <c r="A867" s="1" t="s">
        <v>98</v>
      </c>
      <c r="B867" s="1" t="s">
        <v>16</v>
      </c>
      <c r="C867" s="2">
        <v>45483</v>
      </c>
      <c r="D867" s="1" t="s">
        <v>28</v>
      </c>
      <c r="E867" s="1" t="s">
        <v>45</v>
      </c>
      <c r="F867" s="1" t="s">
        <v>19</v>
      </c>
      <c r="G867" s="1" t="s">
        <v>19</v>
      </c>
      <c r="H867" s="1">
        <v>1</v>
      </c>
      <c r="I867" s="1">
        <v>1017</v>
      </c>
      <c r="J867" s="1">
        <v>1699</v>
      </c>
      <c r="K867" s="1">
        <v>10</v>
      </c>
      <c r="L867" s="1">
        <f>ROUNDDOWN(formatted_data[[#This Row],[Selling_Price]]*formatted_data[[#This Row],[Discount_%]]/100,0)</f>
        <v>169</v>
      </c>
      <c r="M867" s="1">
        <f>(formatted_data[[#This Row],[Selling_Price]]-formatted_data[[#This Row],[Discount_Amount]])*formatted_data[[#This Row],[Units]]</f>
        <v>1530</v>
      </c>
      <c r="N867" s="1">
        <f>formatted_data[[#This Row],[Total_Revenue]]-(formatted_data[[#This Row],[Cost_Price]]*formatted_data[[#This Row],[Units]])</f>
        <v>513</v>
      </c>
      <c r="O867" s="1" t="s">
        <v>21</v>
      </c>
      <c r="P867"/>
    </row>
    <row r="868" spans="1:16" x14ac:dyDescent="0.35">
      <c r="A868" s="1" t="s">
        <v>68</v>
      </c>
      <c r="B868" s="1" t="s">
        <v>16</v>
      </c>
      <c r="C868" s="2">
        <v>45629</v>
      </c>
      <c r="D868" s="1" t="s">
        <v>28</v>
      </c>
      <c r="E868" s="1" t="s">
        <v>29</v>
      </c>
      <c r="F868" s="1" t="s">
        <v>19</v>
      </c>
      <c r="G868" s="1" t="s">
        <v>20</v>
      </c>
      <c r="H868" s="1">
        <v>1</v>
      </c>
      <c r="I868" s="1">
        <v>316</v>
      </c>
      <c r="J868" s="1">
        <v>599</v>
      </c>
      <c r="K868" s="1">
        <v>10</v>
      </c>
      <c r="L868" s="1">
        <f>ROUNDDOWN(formatted_data[[#This Row],[Selling_Price]]*formatted_data[[#This Row],[Discount_%]]/100,0)</f>
        <v>59</v>
      </c>
      <c r="M868" s="1">
        <f>(formatted_data[[#This Row],[Selling_Price]]-formatted_data[[#This Row],[Discount_Amount]])*formatted_data[[#This Row],[Units]]</f>
        <v>540</v>
      </c>
      <c r="N868" s="1">
        <f>formatted_data[[#This Row],[Total_Revenue]]-(formatted_data[[#This Row],[Cost_Price]]*formatted_data[[#This Row],[Units]])</f>
        <v>224</v>
      </c>
      <c r="O868" s="1" t="s">
        <v>33</v>
      </c>
      <c r="P868"/>
    </row>
    <row r="869" spans="1:16" x14ac:dyDescent="0.35">
      <c r="A869" s="1" t="s">
        <v>40</v>
      </c>
      <c r="B869" s="1" t="s">
        <v>27</v>
      </c>
      <c r="C869" s="2">
        <v>45598</v>
      </c>
      <c r="D869" s="1" t="s">
        <v>35</v>
      </c>
      <c r="E869" s="1" t="s">
        <v>50</v>
      </c>
      <c r="F869" s="1" t="s">
        <v>37</v>
      </c>
      <c r="G869" s="1" t="s">
        <v>19</v>
      </c>
      <c r="H869" s="1">
        <v>1</v>
      </c>
      <c r="I869" s="1">
        <v>767</v>
      </c>
      <c r="J869" s="1">
        <v>1199</v>
      </c>
      <c r="K869" s="1">
        <v>15</v>
      </c>
      <c r="L869" s="1">
        <f>ROUNDDOWN(formatted_data[[#This Row],[Selling_Price]]*formatted_data[[#This Row],[Discount_%]]/100,0)</f>
        <v>179</v>
      </c>
      <c r="M869" s="1">
        <f>(formatted_data[[#This Row],[Selling_Price]]-formatted_data[[#This Row],[Discount_Amount]])*formatted_data[[#This Row],[Units]]</f>
        <v>1020</v>
      </c>
      <c r="N869" s="1">
        <f>formatted_data[[#This Row],[Total_Revenue]]-(formatted_data[[#This Row],[Cost_Price]]*formatted_data[[#This Row],[Units]])</f>
        <v>253</v>
      </c>
      <c r="O869" s="1" t="s">
        <v>21</v>
      </c>
      <c r="P869"/>
    </row>
    <row r="870" spans="1:16" x14ac:dyDescent="0.35">
      <c r="A870" s="1" t="s">
        <v>98</v>
      </c>
      <c r="B870" s="1" t="s">
        <v>16</v>
      </c>
      <c r="C870" s="2">
        <v>45479</v>
      </c>
      <c r="D870" s="1" t="s">
        <v>17</v>
      </c>
      <c r="E870" s="1" t="s">
        <v>18</v>
      </c>
      <c r="F870" s="1" t="s">
        <v>19</v>
      </c>
      <c r="G870" s="1" t="s">
        <v>19</v>
      </c>
      <c r="H870" s="1">
        <v>3</v>
      </c>
      <c r="I870" s="1">
        <v>254</v>
      </c>
      <c r="J870" s="1">
        <v>399</v>
      </c>
      <c r="K870" s="1">
        <v>0</v>
      </c>
      <c r="L870" s="1">
        <f>ROUNDDOWN(formatted_data[[#This Row],[Selling_Price]]*formatted_data[[#This Row],[Discount_%]]/100,0)</f>
        <v>0</v>
      </c>
      <c r="M870" s="1">
        <f>(formatted_data[[#This Row],[Selling_Price]]-formatted_data[[#This Row],[Discount_Amount]])*formatted_data[[#This Row],[Units]]</f>
        <v>1197</v>
      </c>
      <c r="N870" s="1">
        <f>formatted_data[[#This Row],[Total_Revenue]]-(formatted_data[[#This Row],[Cost_Price]]*formatted_data[[#This Row],[Units]])</f>
        <v>435</v>
      </c>
      <c r="O870" s="1" t="s">
        <v>21</v>
      </c>
      <c r="P870"/>
    </row>
    <row r="871" spans="1:16" x14ac:dyDescent="0.35">
      <c r="A871" s="1" t="s">
        <v>94</v>
      </c>
      <c r="B871" s="1" t="s">
        <v>16</v>
      </c>
      <c r="C871" s="2">
        <v>45493</v>
      </c>
      <c r="D871" s="1" t="s">
        <v>35</v>
      </c>
      <c r="E871" s="1" t="s">
        <v>41</v>
      </c>
      <c r="F871" s="1" t="s">
        <v>25</v>
      </c>
      <c r="G871" s="1" t="s">
        <v>19</v>
      </c>
      <c r="H871" s="1">
        <v>1</v>
      </c>
      <c r="I871" s="1">
        <v>958</v>
      </c>
      <c r="J871" s="1">
        <v>1299</v>
      </c>
      <c r="K871" s="1">
        <v>20</v>
      </c>
      <c r="L871" s="1">
        <f>ROUNDDOWN(formatted_data[[#This Row],[Selling_Price]]*formatted_data[[#This Row],[Discount_%]]/100,0)</f>
        <v>259</v>
      </c>
      <c r="M871" s="1">
        <f>(formatted_data[[#This Row],[Selling_Price]]-formatted_data[[#This Row],[Discount_Amount]])*formatted_data[[#This Row],[Units]]</f>
        <v>1040</v>
      </c>
      <c r="N871" s="1">
        <f>formatted_data[[#This Row],[Total_Revenue]]-(formatted_data[[#This Row],[Cost_Price]]*formatted_data[[#This Row],[Units]])</f>
        <v>82</v>
      </c>
      <c r="O871" s="1" t="s">
        <v>21</v>
      </c>
      <c r="P871"/>
    </row>
    <row r="872" spans="1:16" x14ac:dyDescent="0.35">
      <c r="A872" s="1" t="s">
        <v>79</v>
      </c>
      <c r="B872" s="1" t="s">
        <v>16</v>
      </c>
      <c r="C872" s="2">
        <v>45634</v>
      </c>
      <c r="D872" s="1" t="s">
        <v>28</v>
      </c>
      <c r="E872" s="1" t="s">
        <v>29</v>
      </c>
      <c r="F872" s="1" t="s">
        <v>19</v>
      </c>
      <c r="G872" s="1" t="s">
        <v>19</v>
      </c>
      <c r="H872" s="1">
        <v>3</v>
      </c>
      <c r="I872" s="1">
        <v>569</v>
      </c>
      <c r="J872" s="1">
        <v>799</v>
      </c>
      <c r="K872" s="1">
        <v>20</v>
      </c>
      <c r="L872" s="1">
        <f>ROUNDDOWN(formatted_data[[#This Row],[Selling_Price]]*formatted_data[[#This Row],[Discount_%]]/100,0)</f>
        <v>159</v>
      </c>
      <c r="M872" s="1">
        <f>(formatted_data[[#This Row],[Selling_Price]]-formatted_data[[#This Row],[Discount_Amount]])*formatted_data[[#This Row],[Units]]</f>
        <v>1920</v>
      </c>
      <c r="N872" s="1">
        <f>formatted_data[[#This Row],[Total_Revenue]]-(formatted_data[[#This Row],[Cost_Price]]*formatted_data[[#This Row],[Units]])</f>
        <v>213</v>
      </c>
      <c r="O872" s="1" t="s">
        <v>33</v>
      </c>
      <c r="P872"/>
    </row>
    <row r="873" spans="1:16" x14ac:dyDescent="0.35">
      <c r="A873" s="1" t="s">
        <v>60</v>
      </c>
      <c r="B873" s="1" t="s">
        <v>27</v>
      </c>
      <c r="C873" s="2">
        <v>45528</v>
      </c>
      <c r="D873" s="1" t="s">
        <v>28</v>
      </c>
      <c r="E873" s="1" t="s">
        <v>29</v>
      </c>
      <c r="F873" s="1" t="s">
        <v>37</v>
      </c>
      <c r="G873" s="1" t="s">
        <v>20</v>
      </c>
      <c r="H873" s="1">
        <v>1</v>
      </c>
      <c r="I873" s="1">
        <v>330</v>
      </c>
      <c r="J873" s="1">
        <v>499</v>
      </c>
      <c r="K873" s="1">
        <v>20</v>
      </c>
      <c r="L873" s="1">
        <f>ROUNDDOWN(formatted_data[[#This Row],[Selling_Price]]*formatted_data[[#This Row],[Discount_%]]/100,0)</f>
        <v>99</v>
      </c>
      <c r="M873" s="1">
        <f>(formatted_data[[#This Row],[Selling_Price]]-formatted_data[[#This Row],[Discount_Amount]])*formatted_data[[#This Row],[Units]]</f>
        <v>400</v>
      </c>
      <c r="N873" s="1">
        <f>formatted_data[[#This Row],[Total_Revenue]]-(formatted_data[[#This Row],[Cost_Price]]*formatted_data[[#This Row],[Units]])</f>
        <v>70</v>
      </c>
      <c r="O873" s="1" t="s">
        <v>21</v>
      </c>
      <c r="P873"/>
    </row>
    <row r="874" spans="1:16" x14ac:dyDescent="0.35">
      <c r="A874" s="1" t="s">
        <v>95</v>
      </c>
      <c r="B874" s="1" t="s">
        <v>27</v>
      </c>
      <c r="C874" s="2">
        <v>45452</v>
      </c>
      <c r="D874" s="1" t="s">
        <v>35</v>
      </c>
      <c r="E874" s="1" t="s">
        <v>36</v>
      </c>
      <c r="F874" s="1" t="s">
        <v>25</v>
      </c>
      <c r="G874" s="1" t="s">
        <v>19</v>
      </c>
      <c r="H874" s="1">
        <v>1</v>
      </c>
      <c r="I874" s="1">
        <v>426</v>
      </c>
      <c r="J874" s="1">
        <v>599</v>
      </c>
      <c r="K874" s="1">
        <v>10</v>
      </c>
      <c r="L874" s="1">
        <f>ROUNDDOWN(formatted_data[[#This Row],[Selling_Price]]*formatted_data[[#This Row],[Discount_%]]/100,0)</f>
        <v>59</v>
      </c>
      <c r="M874" s="1">
        <f>(formatted_data[[#This Row],[Selling_Price]]-formatted_data[[#This Row],[Discount_Amount]])*formatted_data[[#This Row],[Units]]</f>
        <v>540</v>
      </c>
      <c r="N874" s="1">
        <f>formatted_data[[#This Row],[Total_Revenue]]-(formatted_data[[#This Row],[Cost_Price]]*formatted_data[[#This Row],[Units]])</f>
        <v>114</v>
      </c>
      <c r="O874" s="1" t="s">
        <v>21</v>
      </c>
      <c r="P874"/>
    </row>
    <row r="875" spans="1:16" x14ac:dyDescent="0.35">
      <c r="A875" s="1" t="s">
        <v>67</v>
      </c>
      <c r="B875" s="1" t="s">
        <v>27</v>
      </c>
      <c r="C875" s="2">
        <v>45632</v>
      </c>
      <c r="D875" s="1" t="s">
        <v>17</v>
      </c>
      <c r="E875" s="1" t="s">
        <v>18</v>
      </c>
      <c r="F875" s="1" t="s">
        <v>25</v>
      </c>
      <c r="G875" s="1" t="s">
        <v>19</v>
      </c>
      <c r="H875" s="1">
        <v>4</v>
      </c>
      <c r="I875" s="1">
        <v>249</v>
      </c>
      <c r="J875" s="1">
        <v>399</v>
      </c>
      <c r="K875" s="1">
        <v>0</v>
      </c>
      <c r="L875" s="1">
        <f>ROUNDDOWN(formatted_data[[#This Row],[Selling_Price]]*formatted_data[[#This Row],[Discount_%]]/100,0)</f>
        <v>0</v>
      </c>
      <c r="M875" s="1">
        <f>(formatted_data[[#This Row],[Selling_Price]]-formatted_data[[#This Row],[Discount_Amount]])*formatted_data[[#This Row],[Units]]</f>
        <v>1596</v>
      </c>
      <c r="N875" s="1">
        <f>formatted_data[[#This Row],[Total_Revenue]]-(formatted_data[[#This Row],[Cost_Price]]*formatted_data[[#This Row],[Units]])</f>
        <v>600</v>
      </c>
      <c r="O875" s="1" t="s">
        <v>21</v>
      </c>
      <c r="P875"/>
    </row>
    <row r="876" spans="1:16" x14ac:dyDescent="0.35">
      <c r="A876" s="1" t="s">
        <v>84</v>
      </c>
      <c r="B876" s="1" t="s">
        <v>27</v>
      </c>
      <c r="C876" s="2">
        <v>45592</v>
      </c>
      <c r="D876" s="1" t="s">
        <v>31</v>
      </c>
      <c r="E876" s="1" t="s">
        <v>32</v>
      </c>
      <c r="F876" s="1" t="s">
        <v>25</v>
      </c>
      <c r="G876" s="1" t="s">
        <v>19</v>
      </c>
      <c r="H876" s="1">
        <v>1</v>
      </c>
      <c r="I876" s="1">
        <v>961</v>
      </c>
      <c r="J876" s="1">
        <v>1499</v>
      </c>
      <c r="K876" s="1">
        <v>0</v>
      </c>
      <c r="L876" s="1">
        <f>ROUNDDOWN(formatted_data[[#This Row],[Selling_Price]]*formatted_data[[#This Row],[Discount_%]]/100,0)</f>
        <v>0</v>
      </c>
      <c r="M876" s="1">
        <f>(formatted_data[[#This Row],[Selling_Price]]-formatted_data[[#This Row],[Discount_Amount]])*formatted_data[[#This Row],[Units]]</f>
        <v>1499</v>
      </c>
      <c r="N876" s="1">
        <f>formatted_data[[#This Row],[Total_Revenue]]-(formatted_data[[#This Row],[Cost_Price]]*formatted_data[[#This Row],[Units]])</f>
        <v>538</v>
      </c>
      <c r="O876" s="1" t="s">
        <v>21</v>
      </c>
      <c r="P876"/>
    </row>
    <row r="877" spans="1:16" x14ac:dyDescent="0.35">
      <c r="A877" s="1" t="s">
        <v>88</v>
      </c>
      <c r="B877" s="1" t="s">
        <v>27</v>
      </c>
      <c r="C877" s="2">
        <v>45450</v>
      </c>
      <c r="D877" s="1" t="s">
        <v>17</v>
      </c>
      <c r="E877" s="1" t="s">
        <v>48</v>
      </c>
      <c r="F877" s="1" t="s">
        <v>19</v>
      </c>
      <c r="G877" s="1" t="s">
        <v>19</v>
      </c>
      <c r="H877" s="1">
        <v>2</v>
      </c>
      <c r="I877" s="1">
        <v>175</v>
      </c>
      <c r="J877" s="1">
        <v>299</v>
      </c>
      <c r="K877" s="1">
        <v>0</v>
      </c>
      <c r="L877" s="1">
        <f>ROUNDDOWN(formatted_data[[#This Row],[Selling_Price]]*formatted_data[[#This Row],[Discount_%]]/100,0)</f>
        <v>0</v>
      </c>
      <c r="M877" s="1">
        <f>(formatted_data[[#This Row],[Selling_Price]]-formatted_data[[#This Row],[Discount_Amount]])*formatted_data[[#This Row],[Units]]</f>
        <v>598</v>
      </c>
      <c r="N877" s="1">
        <f>formatted_data[[#This Row],[Total_Revenue]]-(formatted_data[[#This Row],[Cost_Price]]*formatted_data[[#This Row],[Units]])</f>
        <v>248</v>
      </c>
      <c r="O877" s="1" t="s">
        <v>21</v>
      </c>
      <c r="P877"/>
    </row>
    <row r="878" spans="1:16" x14ac:dyDescent="0.35">
      <c r="A878" s="1" t="s">
        <v>70</v>
      </c>
      <c r="B878" s="1" t="s">
        <v>27</v>
      </c>
      <c r="C878" s="2">
        <v>45542</v>
      </c>
      <c r="D878" s="1" t="s">
        <v>31</v>
      </c>
      <c r="E878" s="1" t="s">
        <v>76</v>
      </c>
      <c r="F878" s="1" t="s">
        <v>37</v>
      </c>
      <c r="G878" s="1" t="s">
        <v>19</v>
      </c>
      <c r="H878" s="1">
        <v>1</v>
      </c>
      <c r="I878" s="1">
        <v>396</v>
      </c>
      <c r="J878" s="1">
        <v>699</v>
      </c>
      <c r="K878" s="1">
        <v>0</v>
      </c>
      <c r="L878" s="1">
        <f>ROUNDDOWN(formatted_data[[#This Row],[Selling_Price]]*formatted_data[[#This Row],[Discount_%]]/100,0)</f>
        <v>0</v>
      </c>
      <c r="M878" s="1">
        <f>(formatted_data[[#This Row],[Selling_Price]]-formatted_data[[#This Row],[Discount_Amount]])*formatted_data[[#This Row],[Units]]</f>
        <v>699</v>
      </c>
      <c r="N878" s="1">
        <f>formatted_data[[#This Row],[Total_Revenue]]-(formatted_data[[#This Row],[Cost_Price]]*formatted_data[[#This Row],[Units]])</f>
        <v>303</v>
      </c>
      <c r="O878" s="1" t="s">
        <v>21</v>
      </c>
      <c r="P878"/>
    </row>
    <row r="879" spans="1:16" x14ac:dyDescent="0.35">
      <c r="A879" s="1" t="s">
        <v>22</v>
      </c>
      <c r="B879" s="1" t="s">
        <v>16</v>
      </c>
      <c r="C879" s="2">
        <v>45606</v>
      </c>
      <c r="D879" s="1" t="s">
        <v>17</v>
      </c>
      <c r="E879" s="1" t="s">
        <v>48</v>
      </c>
      <c r="F879" s="1" t="s">
        <v>37</v>
      </c>
      <c r="G879" s="1" t="s">
        <v>19</v>
      </c>
      <c r="H879" s="1">
        <v>3</v>
      </c>
      <c r="I879" s="1">
        <v>351</v>
      </c>
      <c r="J879" s="1">
        <v>599</v>
      </c>
      <c r="K879" s="1">
        <v>0</v>
      </c>
      <c r="L879" s="1">
        <f>ROUNDDOWN(formatted_data[[#This Row],[Selling_Price]]*formatted_data[[#This Row],[Discount_%]]/100,0)</f>
        <v>0</v>
      </c>
      <c r="M879" s="1">
        <f>(formatted_data[[#This Row],[Selling_Price]]-formatted_data[[#This Row],[Discount_Amount]])*formatted_data[[#This Row],[Units]]</f>
        <v>1797</v>
      </c>
      <c r="N879" s="1">
        <f>formatted_data[[#This Row],[Total_Revenue]]-(formatted_data[[#This Row],[Cost_Price]]*formatted_data[[#This Row],[Units]])</f>
        <v>744</v>
      </c>
      <c r="O879" s="1" t="s">
        <v>21</v>
      </c>
      <c r="P879"/>
    </row>
    <row r="880" spans="1:16" x14ac:dyDescent="0.35">
      <c r="A880" s="1" t="s">
        <v>91</v>
      </c>
      <c r="B880" s="1" t="s">
        <v>16</v>
      </c>
      <c r="C880" s="2">
        <v>45585</v>
      </c>
      <c r="D880" s="1" t="s">
        <v>17</v>
      </c>
      <c r="E880" s="1" t="s">
        <v>72</v>
      </c>
      <c r="F880" s="1" t="s">
        <v>25</v>
      </c>
      <c r="G880" s="1" t="s">
        <v>19</v>
      </c>
      <c r="H880" s="1">
        <v>1</v>
      </c>
      <c r="I880" s="1">
        <v>238</v>
      </c>
      <c r="J880" s="1">
        <v>399</v>
      </c>
      <c r="K880" s="1">
        <v>0</v>
      </c>
      <c r="L880" s="1">
        <f>ROUNDDOWN(formatted_data[[#This Row],[Selling_Price]]*formatted_data[[#This Row],[Discount_%]]/100,0)</f>
        <v>0</v>
      </c>
      <c r="M880" s="1">
        <f>(formatted_data[[#This Row],[Selling_Price]]-formatted_data[[#This Row],[Discount_Amount]])*formatted_data[[#This Row],[Units]]</f>
        <v>399</v>
      </c>
      <c r="N880" s="1">
        <f>formatted_data[[#This Row],[Total_Revenue]]-(formatted_data[[#This Row],[Cost_Price]]*formatted_data[[#This Row],[Units]])</f>
        <v>161</v>
      </c>
      <c r="O880" s="1" t="s">
        <v>33</v>
      </c>
      <c r="P880"/>
    </row>
    <row r="881" spans="1:16" x14ac:dyDescent="0.35">
      <c r="A881" s="1" t="s">
        <v>63</v>
      </c>
      <c r="B881" s="1" t="s">
        <v>27</v>
      </c>
      <c r="C881" s="2">
        <v>45560</v>
      </c>
      <c r="D881" s="1" t="s">
        <v>31</v>
      </c>
      <c r="E881" s="1" t="s">
        <v>76</v>
      </c>
      <c r="F881" s="1" t="s">
        <v>37</v>
      </c>
      <c r="G881" s="1" t="s">
        <v>19</v>
      </c>
      <c r="H881" s="1">
        <v>1</v>
      </c>
      <c r="I881" s="1">
        <v>964</v>
      </c>
      <c r="J881" s="1">
        <v>1499</v>
      </c>
      <c r="K881" s="1">
        <v>0</v>
      </c>
      <c r="L881" s="1">
        <f>ROUNDDOWN(formatted_data[[#This Row],[Selling_Price]]*formatted_data[[#This Row],[Discount_%]]/100,0)</f>
        <v>0</v>
      </c>
      <c r="M881" s="1">
        <f>(formatted_data[[#This Row],[Selling_Price]]-formatted_data[[#This Row],[Discount_Amount]])*formatted_data[[#This Row],[Units]]</f>
        <v>1499</v>
      </c>
      <c r="N881" s="1">
        <f>formatted_data[[#This Row],[Total_Revenue]]-(formatted_data[[#This Row],[Cost_Price]]*formatted_data[[#This Row],[Units]])</f>
        <v>535</v>
      </c>
      <c r="O881" s="1" t="s">
        <v>33</v>
      </c>
      <c r="P881"/>
    </row>
    <row r="882" spans="1:16" x14ac:dyDescent="0.35">
      <c r="A882" s="1" t="s">
        <v>79</v>
      </c>
      <c r="B882" s="1" t="s">
        <v>16</v>
      </c>
      <c r="C882" s="2">
        <v>45657</v>
      </c>
      <c r="D882" s="1" t="s">
        <v>31</v>
      </c>
      <c r="E882" s="1" t="s">
        <v>32</v>
      </c>
      <c r="F882" s="1" t="s">
        <v>25</v>
      </c>
      <c r="G882" s="1" t="s">
        <v>19</v>
      </c>
      <c r="H882" s="1">
        <v>3</v>
      </c>
      <c r="I882" s="1">
        <v>566</v>
      </c>
      <c r="J882" s="1">
        <v>999</v>
      </c>
      <c r="K882" s="1">
        <v>0</v>
      </c>
      <c r="L882" s="1">
        <f>ROUNDDOWN(formatted_data[[#This Row],[Selling_Price]]*formatted_data[[#This Row],[Discount_%]]/100,0)</f>
        <v>0</v>
      </c>
      <c r="M882" s="1">
        <f>(formatted_data[[#This Row],[Selling_Price]]-formatted_data[[#This Row],[Discount_Amount]])*formatted_data[[#This Row],[Units]]</f>
        <v>2997</v>
      </c>
      <c r="N882" s="1">
        <f>formatted_data[[#This Row],[Total_Revenue]]-(formatted_data[[#This Row],[Cost_Price]]*formatted_data[[#This Row],[Units]])</f>
        <v>1299</v>
      </c>
      <c r="O882" s="1" t="s">
        <v>21</v>
      </c>
      <c r="P882"/>
    </row>
    <row r="883" spans="1:16" x14ac:dyDescent="0.35">
      <c r="A883" s="1" t="s">
        <v>47</v>
      </c>
      <c r="B883" s="1" t="s">
        <v>16</v>
      </c>
      <c r="C883" s="2">
        <v>45566</v>
      </c>
      <c r="D883" s="1" t="s">
        <v>35</v>
      </c>
      <c r="E883" s="1" t="s">
        <v>41</v>
      </c>
      <c r="F883" s="1" t="s">
        <v>19</v>
      </c>
      <c r="G883" s="1" t="s">
        <v>20</v>
      </c>
      <c r="H883" s="1">
        <v>1</v>
      </c>
      <c r="I883" s="1">
        <v>679</v>
      </c>
      <c r="J883" s="1">
        <v>1199</v>
      </c>
      <c r="K883" s="1">
        <v>10</v>
      </c>
      <c r="L883" s="1">
        <f>ROUNDDOWN(formatted_data[[#This Row],[Selling_Price]]*formatted_data[[#This Row],[Discount_%]]/100,0)</f>
        <v>119</v>
      </c>
      <c r="M883" s="1">
        <f>(formatted_data[[#This Row],[Selling_Price]]-formatted_data[[#This Row],[Discount_Amount]])*formatted_data[[#This Row],[Units]]</f>
        <v>1080</v>
      </c>
      <c r="N883" s="1">
        <f>formatted_data[[#This Row],[Total_Revenue]]-(formatted_data[[#This Row],[Cost_Price]]*formatted_data[[#This Row],[Units]])</f>
        <v>401</v>
      </c>
      <c r="O883" s="1" t="s">
        <v>33</v>
      </c>
      <c r="P883"/>
    </row>
    <row r="884" spans="1:16" x14ac:dyDescent="0.35">
      <c r="A884" s="1" t="s">
        <v>34</v>
      </c>
      <c r="B884" s="1" t="s">
        <v>27</v>
      </c>
      <c r="C884" s="2">
        <v>45634</v>
      </c>
      <c r="D884" s="1" t="s">
        <v>28</v>
      </c>
      <c r="E884" s="1" t="s">
        <v>45</v>
      </c>
      <c r="F884" s="1" t="s">
        <v>37</v>
      </c>
      <c r="G884" s="1" t="s">
        <v>20</v>
      </c>
      <c r="H884" s="1">
        <v>2</v>
      </c>
      <c r="I884" s="1">
        <v>459</v>
      </c>
      <c r="J884" s="1">
        <v>699</v>
      </c>
      <c r="K884" s="1">
        <v>5</v>
      </c>
      <c r="L884" s="1">
        <f>ROUNDDOWN(formatted_data[[#This Row],[Selling_Price]]*formatted_data[[#This Row],[Discount_%]]/100,0)</f>
        <v>34</v>
      </c>
      <c r="M884" s="1">
        <f>(formatted_data[[#This Row],[Selling_Price]]-formatted_data[[#This Row],[Discount_Amount]])*formatted_data[[#This Row],[Units]]</f>
        <v>1330</v>
      </c>
      <c r="N884" s="1">
        <f>formatted_data[[#This Row],[Total_Revenue]]-(formatted_data[[#This Row],[Cost_Price]]*formatted_data[[#This Row],[Units]])</f>
        <v>412</v>
      </c>
      <c r="O884" s="1" t="s">
        <v>21</v>
      </c>
      <c r="P884"/>
    </row>
    <row r="885" spans="1:16" x14ac:dyDescent="0.35">
      <c r="A885" s="1" t="s">
        <v>102</v>
      </c>
      <c r="B885" s="1" t="s">
        <v>27</v>
      </c>
      <c r="C885" s="2">
        <v>45463</v>
      </c>
      <c r="D885" s="1" t="s">
        <v>17</v>
      </c>
      <c r="E885" s="1" t="s">
        <v>48</v>
      </c>
      <c r="F885" s="1" t="s">
        <v>25</v>
      </c>
      <c r="G885" s="1" t="s">
        <v>20</v>
      </c>
      <c r="H885" s="1">
        <v>1</v>
      </c>
      <c r="I885" s="1">
        <v>268</v>
      </c>
      <c r="J885" s="1">
        <v>399</v>
      </c>
      <c r="K885" s="1">
        <v>0</v>
      </c>
      <c r="L885" s="1">
        <f>ROUNDDOWN(formatted_data[[#This Row],[Selling_Price]]*formatted_data[[#This Row],[Discount_%]]/100,0)</f>
        <v>0</v>
      </c>
      <c r="M885" s="1">
        <f>(formatted_data[[#This Row],[Selling_Price]]-formatted_data[[#This Row],[Discount_Amount]])*formatted_data[[#This Row],[Units]]</f>
        <v>399</v>
      </c>
      <c r="N885" s="1">
        <f>formatted_data[[#This Row],[Total_Revenue]]-(formatted_data[[#This Row],[Cost_Price]]*formatted_data[[#This Row],[Units]])</f>
        <v>131</v>
      </c>
      <c r="O885" s="1" t="s">
        <v>21</v>
      </c>
      <c r="P885"/>
    </row>
    <row r="886" spans="1:16" x14ac:dyDescent="0.35">
      <c r="A886" s="1" t="s">
        <v>106</v>
      </c>
      <c r="B886" s="1" t="s">
        <v>27</v>
      </c>
      <c r="C886" s="2">
        <v>45579</v>
      </c>
      <c r="D886" s="1" t="s">
        <v>28</v>
      </c>
      <c r="E886" s="1" t="s">
        <v>45</v>
      </c>
      <c r="F886" s="1" t="s">
        <v>37</v>
      </c>
      <c r="G886" s="1" t="s">
        <v>20</v>
      </c>
      <c r="H886" s="1">
        <v>2</v>
      </c>
      <c r="I886" s="1">
        <v>1282</v>
      </c>
      <c r="J886" s="1">
        <v>1799</v>
      </c>
      <c r="K886" s="1">
        <v>15</v>
      </c>
      <c r="L886" s="1">
        <f>ROUNDDOWN(formatted_data[[#This Row],[Selling_Price]]*formatted_data[[#This Row],[Discount_%]]/100,0)</f>
        <v>269</v>
      </c>
      <c r="M886" s="1">
        <f>(formatted_data[[#This Row],[Selling_Price]]-formatted_data[[#This Row],[Discount_Amount]])*formatted_data[[#This Row],[Units]]</f>
        <v>3060</v>
      </c>
      <c r="N886" s="1">
        <f>formatted_data[[#This Row],[Total_Revenue]]-(formatted_data[[#This Row],[Cost_Price]]*formatted_data[[#This Row],[Units]])</f>
        <v>496</v>
      </c>
      <c r="O886" s="1" t="s">
        <v>33</v>
      </c>
      <c r="P886"/>
    </row>
    <row r="887" spans="1:16" x14ac:dyDescent="0.35">
      <c r="A887" s="1" t="s">
        <v>90</v>
      </c>
      <c r="B887" s="1" t="s">
        <v>27</v>
      </c>
      <c r="C887" s="2">
        <v>45606</v>
      </c>
      <c r="D887" s="1" t="s">
        <v>28</v>
      </c>
      <c r="E887" s="1" t="s">
        <v>45</v>
      </c>
      <c r="F887" s="1" t="s">
        <v>25</v>
      </c>
      <c r="G887" s="1" t="s">
        <v>19</v>
      </c>
      <c r="H887" s="1">
        <v>4</v>
      </c>
      <c r="I887" s="1">
        <v>945</v>
      </c>
      <c r="J887" s="1">
        <v>1599</v>
      </c>
      <c r="K887" s="1">
        <v>5</v>
      </c>
      <c r="L887" s="1">
        <f>ROUNDDOWN(formatted_data[[#This Row],[Selling_Price]]*formatted_data[[#This Row],[Discount_%]]/100,0)</f>
        <v>79</v>
      </c>
      <c r="M887" s="1">
        <f>(formatted_data[[#This Row],[Selling_Price]]-formatted_data[[#This Row],[Discount_Amount]])*formatted_data[[#This Row],[Units]]</f>
        <v>6080</v>
      </c>
      <c r="N887" s="1">
        <f>formatted_data[[#This Row],[Total_Revenue]]-(formatted_data[[#This Row],[Cost_Price]]*formatted_data[[#This Row],[Units]])</f>
        <v>2300</v>
      </c>
      <c r="O887" s="1" t="s">
        <v>21</v>
      </c>
      <c r="P887"/>
    </row>
    <row r="888" spans="1:16" x14ac:dyDescent="0.35">
      <c r="A888" s="1" t="s">
        <v>84</v>
      </c>
      <c r="B888" s="1" t="s">
        <v>27</v>
      </c>
      <c r="C888" s="2">
        <v>45463</v>
      </c>
      <c r="D888" s="1" t="s">
        <v>35</v>
      </c>
      <c r="E888" s="1" t="s">
        <v>36</v>
      </c>
      <c r="F888" s="1" t="s">
        <v>19</v>
      </c>
      <c r="G888" s="1" t="s">
        <v>20</v>
      </c>
      <c r="H888" s="1">
        <v>5</v>
      </c>
      <c r="I888" s="1">
        <v>331</v>
      </c>
      <c r="J888" s="1">
        <v>499</v>
      </c>
      <c r="K888" s="1">
        <v>10</v>
      </c>
      <c r="L888" s="1">
        <f>ROUNDDOWN(formatted_data[[#This Row],[Selling_Price]]*formatted_data[[#This Row],[Discount_%]]/100,0)</f>
        <v>49</v>
      </c>
      <c r="M888" s="1">
        <f>(formatted_data[[#This Row],[Selling_Price]]-formatted_data[[#This Row],[Discount_Amount]])*formatted_data[[#This Row],[Units]]</f>
        <v>2250</v>
      </c>
      <c r="N888" s="1">
        <f>formatted_data[[#This Row],[Total_Revenue]]-(formatted_data[[#This Row],[Cost_Price]]*formatted_data[[#This Row],[Units]])</f>
        <v>595</v>
      </c>
      <c r="O888" s="1" t="s">
        <v>33</v>
      </c>
      <c r="P888"/>
    </row>
    <row r="889" spans="1:16" x14ac:dyDescent="0.35">
      <c r="A889" s="1" t="s">
        <v>59</v>
      </c>
      <c r="B889" s="1" t="s">
        <v>27</v>
      </c>
      <c r="C889" s="2">
        <v>45572</v>
      </c>
      <c r="D889" s="1" t="s">
        <v>17</v>
      </c>
      <c r="E889" s="1" t="s">
        <v>48</v>
      </c>
      <c r="F889" s="1" t="s">
        <v>19</v>
      </c>
      <c r="G889" s="1" t="s">
        <v>19</v>
      </c>
      <c r="H889" s="1">
        <v>1</v>
      </c>
      <c r="I889" s="1">
        <v>427</v>
      </c>
      <c r="J889" s="1">
        <v>599</v>
      </c>
      <c r="K889" s="1">
        <v>0</v>
      </c>
      <c r="L889" s="1">
        <f>ROUNDDOWN(formatted_data[[#This Row],[Selling_Price]]*formatted_data[[#This Row],[Discount_%]]/100,0)</f>
        <v>0</v>
      </c>
      <c r="M889" s="1">
        <f>(formatted_data[[#This Row],[Selling_Price]]-formatted_data[[#This Row],[Discount_Amount]])*formatted_data[[#This Row],[Units]]</f>
        <v>599</v>
      </c>
      <c r="N889" s="1">
        <f>formatted_data[[#This Row],[Total_Revenue]]-(formatted_data[[#This Row],[Cost_Price]]*formatted_data[[#This Row],[Units]])</f>
        <v>172</v>
      </c>
      <c r="O889" s="1" t="s">
        <v>21</v>
      </c>
      <c r="P889"/>
    </row>
    <row r="890" spans="1:16" x14ac:dyDescent="0.35">
      <c r="A890" s="1" t="s">
        <v>94</v>
      </c>
      <c r="B890" s="1" t="s">
        <v>16</v>
      </c>
      <c r="C890" s="2">
        <v>45562</v>
      </c>
      <c r="D890" s="1" t="s">
        <v>23</v>
      </c>
      <c r="E890" s="1" t="s">
        <v>43</v>
      </c>
      <c r="F890" s="1" t="s">
        <v>25</v>
      </c>
      <c r="G890" s="1" t="s">
        <v>20</v>
      </c>
      <c r="H890" s="1">
        <v>1</v>
      </c>
      <c r="I890" s="1">
        <v>1520</v>
      </c>
      <c r="J890" s="1">
        <v>2799</v>
      </c>
      <c r="K890" s="1">
        <v>10</v>
      </c>
      <c r="L890" s="1">
        <f>ROUNDDOWN(formatted_data[[#This Row],[Selling_Price]]*formatted_data[[#This Row],[Discount_%]]/100,0)</f>
        <v>279</v>
      </c>
      <c r="M890" s="1">
        <f>(formatted_data[[#This Row],[Selling_Price]]-formatted_data[[#This Row],[Discount_Amount]])*formatted_data[[#This Row],[Units]]</f>
        <v>2520</v>
      </c>
      <c r="N890" s="1">
        <f>formatted_data[[#This Row],[Total_Revenue]]-(formatted_data[[#This Row],[Cost_Price]]*formatted_data[[#This Row],[Units]])</f>
        <v>1000</v>
      </c>
      <c r="O890" s="1" t="s">
        <v>21</v>
      </c>
      <c r="P890"/>
    </row>
    <row r="891" spans="1:16" x14ac:dyDescent="0.35">
      <c r="A891" s="1" t="s">
        <v>77</v>
      </c>
      <c r="B891" s="1" t="s">
        <v>27</v>
      </c>
      <c r="C891" s="2">
        <v>45518</v>
      </c>
      <c r="D891" s="1" t="s">
        <v>31</v>
      </c>
      <c r="E891" s="1" t="s">
        <v>32</v>
      </c>
      <c r="F891" s="1" t="s">
        <v>37</v>
      </c>
      <c r="G891" s="1" t="s">
        <v>19</v>
      </c>
      <c r="H891" s="1">
        <v>2</v>
      </c>
      <c r="I891" s="1">
        <v>617</v>
      </c>
      <c r="J891" s="1">
        <v>1199</v>
      </c>
      <c r="K891" s="1">
        <v>0</v>
      </c>
      <c r="L891" s="1">
        <f>ROUNDDOWN(formatted_data[[#This Row],[Selling_Price]]*formatted_data[[#This Row],[Discount_%]]/100,0)</f>
        <v>0</v>
      </c>
      <c r="M891" s="1">
        <f>(formatted_data[[#This Row],[Selling_Price]]-formatted_data[[#This Row],[Discount_Amount]])*formatted_data[[#This Row],[Units]]</f>
        <v>2398</v>
      </c>
      <c r="N891" s="1">
        <f>formatted_data[[#This Row],[Total_Revenue]]-(formatted_data[[#This Row],[Cost_Price]]*formatted_data[[#This Row],[Units]])</f>
        <v>1164</v>
      </c>
      <c r="O891" s="1" t="s">
        <v>21</v>
      </c>
      <c r="P891"/>
    </row>
    <row r="892" spans="1:16" x14ac:dyDescent="0.35">
      <c r="A892" s="1" t="s">
        <v>108</v>
      </c>
      <c r="B892" s="1" t="s">
        <v>27</v>
      </c>
      <c r="C892" s="2">
        <v>45477</v>
      </c>
      <c r="D892" s="1" t="s">
        <v>31</v>
      </c>
      <c r="E892" s="1" t="s">
        <v>76</v>
      </c>
      <c r="F892" s="1" t="s">
        <v>37</v>
      </c>
      <c r="G892" s="1" t="s">
        <v>20</v>
      </c>
      <c r="H892" s="1">
        <v>1</v>
      </c>
      <c r="I892" s="1">
        <v>487</v>
      </c>
      <c r="J892" s="1">
        <v>699</v>
      </c>
      <c r="K892" s="1">
        <v>0</v>
      </c>
      <c r="L892" s="1">
        <f>ROUNDDOWN(formatted_data[[#This Row],[Selling_Price]]*formatted_data[[#This Row],[Discount_%]]/100,0)</f>
        <v>0</v>
      </c>
      <c r="M892" s="1">
        <f>(formatted_data[[#This Row],[Selling_Price]]-formatted_data[[#This Row],[Discount_Amount]])*formatted_data[[#This Row],[Units]]</f>
        <v>699</v>
      </c>
      <c r="N892" s="1">
        <f>formatted_data[[#This Row],[Total_Revenue]]-(formatted_data[[#This Row],[Cost_Price]]*formatted_data[[#This Row],[Units]])</f>
        <v>212</v>
      </c>
      <c r="O892" s="1" t="s">
        <v>21</v>
      </c>
      <c r="P892"/>
    </row>
    <row r="893" spans="1:16" x14ac:dyDescent="0.35">
      <c r="A893" s="1" t="s">
        <v>80</v>
      </c>
      <c r="B893" s="1" t="s">
        <v>27</v>
      </c>
      <c r="C893" s="2">
        <v>45645</v>
      </c>
      <c r="D893" s="1" t="s">
        <v>17</v>
      </c>
      <c r="E893" s="1" t="s">
        <v>48</v>
      </c>
      <c r="F893" s="1" t="s">
        <v>19</v>
      </c>
      <c r="G893" s="1" t="s">
        <v>20</v>
      </c>
      <c r="H893" s="1">
        <v>2</v>
      </c>
      <c r="I893" s="1">
        <v>286</v>
      </c>
      <c r="J893" s="1">
        <v>499</v>
      </c>
      <c r="K893" s="1">
        <v>0</v>
      </c>
      <c r="L893" s="1">
        <f>ROUNDDOWN(formatted_data[[#This Row],[Selling_Price]]*formatted_data[[#This Row],[Discount_%]]/100,0)</f>
        <v>0</v>
      </c>
      <c r="M893" s="1">
        <f>(formatted_data[[#This Row],[Selling_Price]]-formatted_data[[#This Row],[Discount_Amount]])*formatted_data[[#This Row],[Units]]</f>
        <v>998</v>
      </c>
      <c r="N893" s="1">
        <f>formatted_data[[#This Row],[Total_Revenue]]-(formatted_data[[#This Row],[Cost_Price]]*formatted_data[[#This Row],[Units]])</f>
        <v>426</v>
      </c>
      <c r="O893" s="1" t="s">
        <v>33</v>
      </c>
      <c r="P893"/>
    </row>
    <row r="894" spans="1:16" x14ac:dyDescent="0.35">
      <c r="A894" s="1" t="s">
        <v>79</v>
      </c>
      <c r="B894" s="1" t="s">
        <v>16</v>
      </c>
      <c r="C894" s="2">
        <v>45508</v>
      </c>
      <c r="D894" s="1" t="s">
        <v>31</v>
      </c>
      <c r="E894" s="1" t="s">
        <v>32</v>
      </c>
      <c r="F894" s="1" t="s">
        <v>19</v>
      </c>
      <c r="G894" s="1" t="s">
        <v>19</v>
      </c>
      <c r="H894" s="1">
        <v>3</v>
      </c>
      <c r="I894" s="1">
        <v>578</v>
      </c>
      <c r="J894" s="1">
        <v>899</v>
      </c>
      <c r="K894" s="1">
        <v>0</v>
      </c>
      <c r="L894" s="1">
        <f>ROUNDDOWN(formatted_data[[#This Row],[Selling_Price]]*formatted_data[[#This Row],[Discount_%]]/100,0)</f>
        <v>0</v>
      </c>
      <c r="M894" s="1">
        <f>(formatted_data[[#This Row],[Selling_Price]]-formatted_data[[#This Row],[Discount_Amount]])*formatted_data[[#This Row],[Units]]</f>
        <v>2697</v>
      </c>
      <c r="N894" s="1">
        <f>formatted_data[[#This Row],[Total_Revenue]]-(formatted_data[[#This Row],[Cost_Price]]*formatted_data[[#This Row],[Units]])</f>
        <v>963</v>
      </c>
      <c r="O894" s="1" t="s">
        <v>21</v>
      </c>
      <c r="P894"/>
    </row>
    <row r="895" spans="1:16" x14ac:dyDescent="0.35">
      <c r="A895" s="1" t="s">
        <v>15</v>
      </c>
      <c r="B895" s="1" t="s">
        <v>16</v>
      </c>
      <c r="C895" s="2">
        <v>45512</v>
      </c>
      <c r="D895" s="1" t="s">
        <v>17</v>
      </c>
      <c r="E895" s="1" t="s">
        <v>48</v>
      </c>
      <c r="F895" s="1" t="s">
        <v>19</v>
      </c>
      <c r="G895" s="1" t="s">
        <v>19</v>
      </c>
      <c r="H895" s="1">
        <v>1</v>
      </c>
      <c r="I895" s="1">
        <v>362</v>
      </c>
      <c r="J895" s="1">
        <v>599</v>
      </c>
      <c r="K895" s="1">
        <v>0</v>
      </c>
      <c r="L895" s="1">
        <f>ROUNDDOWN(formatted_data[[#This Row],[Selling_Price]]*formatted_data[[#This Row],[Discount_%]]/100,0)</f>
        <v>0</v>
      </c>
      <c r="M895" s="1">
        <f>(formatted_data[[#This Row],[Selling_Price]]-formatted_data[[#This Row],[Discount_Amount]])*formatted_data[[#This Row],[Units]]</f>
        <v>599</v>
      </c>
      <c r="N895" s="1">
        <f>formatted_data[[#This Row],[Total_Revenue]]-(formatted_data[[#This Row],[Cost_Price]]*formatted_data[[#This Row],[Units]])</f>
        <v>237</v>
      </c>
      <c r="O895" s="1" t="s">
        <v>21</v>
      </c>
      <c r="P895"/>
    </row>
    <row r="896" spans="1:16" x14ac:dyDescent="0.35">
      <c r="A896" s="1" t="s">
        <v>57</v>
      </c>
      <c r="B896" s="1" t="s">
        <v>27</v>
      </c>
      <c r="C896" s="2">
        <v>45536</v>
      </c>
      <c r="D896" s="1" t="s">
        <v>28</v>
      </c>
      <c r="E896" s="1" t="s">
        <v>29</v>
      </c>
      <c r="F896" s="1" t="s">
        <v>25</v>
      </c>
      <c r="G896" s="1" t="s">
        <v>19</v>
      </c>
      <c r="H896" s="1">
        <v>2</v>
      </c>
      <c r="I896" s="1">
        <v>360</v>
      </c>
      <c r="J896" s="1">
        <v>499</v>
      </c>
      <c r="K896" s="1">
        <v>10</v>
      </c>
      <c r="L896" s="1">
        <f>ROUNDDOWN(formatted_data[[#This Row],[Selling_Price]]*formatted_data[[#This Row],[Discount_%]]/100,0)</f>
        <v>49</v>
      </c>
      <c r="M896" s="1">
        <f>(formatted_data[[#This Row],[Selling_Price]]-formatted_data[[#This Row],[Discount_Amount]])*formatted_data[[#This Row],[Units]]</f>
        <v>900</v>
      </c>
      <c r="N896" s="1">
        <f>formatted_data[[#This Row],[Total_Revenue]]-(formatted_data[[#This Row],[Cost_Price]]*formatted_data[[#This Row],[Units]])</f>
        <v>180</v>
      </c>
      <c r="O896" s="1" t="s">
        <v>21</v>
      </c>
      <c r="P896"/>
    </row>
    <row r="897" spans="1:16" x14ac:dyDescent="0.35">
      <c r="A897" s="1" t="s">
        <v>106</v>
      </c>
      <c r="B897" s="1" t="s">
        <v>27</v>
      </c>
      <c r="C897" s="2">
        <v>45589</v>
      </c>
      <c r="D897" s="1" t="s">
        <v>31</v>
      </c>
      <c r="E897" s="1" t="s">
        <v>32</v>
      </c>
      <c r="F897" s="1" t="s">
        <v>19</v>
      </c>
      <c r="G897" s="1" t="s">
        <v>19</v>
      </c>
      <c r="H897" s="1">
        <v>5</v>
      </c>
      <c r="I897" s="1">
        <v>1053</v>
      </c>
      <c r="J897" s="1">
        <v>1499</v>
      </c>
      <c r="K897" s="1">
        <v>0</v>
      </c>
      <c r="L897" s="1">
        <f>ROUNDDOWN(formatted_data[[#This Row],[Selling_Price]]*formatted_data[[#This Row],[Discount_%]]/100,0)</f>
        <v>0</v>
      </c>
      <c r="M897" s="1">
        <f>(formatted_data[[#This Row],[Selling_Price]]-formatted_data[[#This Row],[Discount_Amount]])*formatted_data[[#This Row],[Units]]</f>
        <v>7495</v>
      </c>
      <c r="N897" s="1">
        <f>formatted_data[[#This Row],[Total_Revenue]]-(formatted_data[[#This Row],[Cost_Price]]*formatted_data[[#This Row],[Units]])</f>
        <v>2230</v>
      </c>
      <c r="O897" s="1" t="s">
        <v>21</v>
      </c>
      <c r="P897"/>
    </row>
    <row r="898" spans="1:16" x14ac:dyDescent="0.35">
      <c r="A898" s="1" t="s">
        <v>59</v>
      </c>
      <c r="B898" s="1" t="s">
        <v>27</v>
      </c>
      <c r="C898" s="2">
        <v>45526</v>
      </c>
      <c r="D898" s="1" t="s">
        <v>17</v>
      </c>
      <c r="E898" s="1" t="s">
        <v>48</v>
      </c>
      <c r="F898" s="1" t="s">
        <v>19</v>
      </c>
      <c r="G898" s="1" t="s">
        <v>20</v>
      </c>
      <c r="H898" s="1">
        <v>1</v>
      </c>
      <c r="I898" s="1">
        <v>381</v>
      </c>
      <c r="J898" s="1">
        <v>599</v>
      </c>
      <c r="K898" s="1">
        <v>0</v>
      </c>
      <c r="L898" s="1">
        <f>ROUNDDOWN(formatted_data[[#This Row],[Selling_Price]]*formatted_data[[#This Row],[Discount_%]]/100,0)</f>
        <v>0</v>
      </c>
      <c r="M898" s="1">
        <f>(formatted_data[[#This Row],[Selling_Price]]-formatted_data[[#This Row],[Discount_Amount]])*formatted_data[[#This Row],[Units]]</f>
        <v>599</v>
      </c>
      <c r="N898" s="1">
        <f>formatted_data[[#This Row],[Total_Revenue]]-(formatted_data[[#This Row],[Cost_Price]]*formatted_data[[#This Row],[Units]])</f>
        <v>218</v>
      </c>
      <c r="O898" s="1" t="s">
        <v>33</v>
      </c>
      <c r="P898"/>
    </row>
    <row r="899" spans="1:16" x14ac:dyDescent="0.35">
      <c r="A899" s="1" t="s">
        <v>62</v>
      </c>
      <c r="B899" s="1" t="s">
        <v>16</v>
      </c>
      <c r="C899" s="2">
        <v>45466</v>
      </c>
      <c r="D899" s="1" t="s">
        <v>31</v>
      </c>
      <c r="E899" s="1" t="s">
        <v>76</v>
      </c>
      <c r="F899" s="1" t="s">
        <v>37</v>
      </c>
      <c r="G899" s="1" t="s">
        <v>20</v>
      </c>
      <c r="H899" s="1">
        <v>1</v>
      </c>
      <c r="I899" s="1">
        <v>401</v>
      </c>
      <c r="J899" s="1">
        <v>799</v>
      </c>
      <c r="K899" s="1">
        <v>0</v>
      </c>
      <c r="L899" s="1">
        <f>ROUNDDOWN(formatted_data[[#This Row],[Selling_Price]]*formatted_data[[#This Row],[Discount_%]]/100,0)</f>
        <v>0</v>
      </c>
      <c r="M899" s="1">
        <f>(formatted_data[[#This Row],[Selling_Price]]-formatted_data[[#This Row],[Discount_Amount]])*formatted_data[[#This Row],[Units]]</f>
        <v>799</v>
      </c>
      <c r="N899" s="1">
        <f>formatted_data[[#This Row],[Total_Revenue]]-(formatted_data[[#This Row],[Cost_Price]]*formatted_data[[#This Row],[Units]])</f>
        <v>398</v>
      </c>
      <c r="O899" s="1" t="s">
        <v>21</v>
      </c>
      <c r="P899"/>
    </row>
    <row r="900" spans="1:16" x14ac:dyDescent="0.35">
      <c r="A900" s="1" t="s">
        <v>77</v>
      </c>
      <c r="B900" s="1" t="s">
        <v>27</v>
      </c>
      <c r="C900" s="2">
        <v>45542</v>
      </c>
      <c r="D900" s="1" t="s">
        <v>31</v>
      </c>
      <c r="E900" s="1" t="s">
        <v>76</v>
      </c>
      <c r="F900" s="1" t="s">
        <v>25</v>
      </c>
      <c r="G900" s="1" t="s">
        <v>20</v>
      </c>
      <c r="H900" s="1">
        <v>1</v>
      </c>
      <c r="I900" s="1">
        <v>463</v>
      </c>
      <c r="J900" s="1">
        <v>699</v>
      </c>
      <c r="K900" s="1">
        <v>0</v>
      </c>
      <c r="L900" s="1">
        <f>ROUNDDOWN(formatted_data[[#This Row],[Selling_Price]]*formatted_data[[#This Row],[Discount_%]]/100,0)</f>
        <v>0</v>
      </c>
      <c r="M900" s="1">
        <f>(formatted_data[[#This Row],[Selling_Price]]-formatted_data[[#This Row],[Discount_Amount]])*formatted_data[[#This Row],[Units]]</f>
        <v>699</v>
      </c>
      <c r="N900" s="1">
        <f>formatted_data[[#This Row],[Total_Revenue]]-(formatted_data[[#This Row],[Cost_Price]]*formatted_data[[#This Row],[Units]])</f>
        <v>236</v>
      </c>
      <c r="O900" s="1" t="s">
        <v>21</v>
      </c>
      <c r="P900"/>
    </row>
    <row r="901" spans="1:16" x14ac:dyDescent="0.35">
      <c r="A901" s="1" t="s">
        <v>54</v>
      </c>
      <c r="B901" s="1" t="s">
        <v>27</v>
      </c>
      <c r="C901" s="2">
        <v>45452</v>
      </c>
      <c r="D901" s="1" t="s">
        <v>23</v>
      </c>
      <c r="E901" s="1" t="s">
        <v>24</v>
      </c>
      <c r="F901" s="1" t="s">
        <v>25</v>
      </c>
      <c r="G901" s="1" t="s">
        <v>20</v>
      </c>
      <c r="H901" s="1">
        <v>2</v>
      </c>
      <c r="I901" s="1">
        <v>1005</v>
      </c>
      <c r="J901" s="1">
        <v>1699</v>
      </c>
      <c r="K901" s="1">
        <v>10</v>
      </c>
      <c r="L901" s="1">
        <f>ROUNDDOWN(formatted_data[[#This Row],[Selling_Price]]*formatted_data[[#This Row],[Discount_%]]/100,0)</f>
        <v>169</v>
      </c>
      <c r="M901" s="1">
        <f>(formatted_data[[#This Row],[Selling_Price]]-formatted_data[[#This Row],[Discount_Amount]])*formatted_data[[#This Row],[Units]]</f>
        <v>3060</v>
      </c>
      <c r="N901" s="1">
        <f>formatted_data[[#This Row],[Total_Revenue]]-(formatted_data[[#This Row],[Cost_Price]]*formatted_data[[#This Row],[Units]])</f>
        <v>1050</v>
      </c>
      <c r="O901" s="1" t="s">
        <v>33</v>
      </c>
      <c r="P901"/>
    </row>
    <row r="902" spans="1:16" x14ac:dyDescent="0.35">
      <c r="A902" s="1" t="s">
        <v>52</v>
      </c>
      <c r="B902" s="1" t="s">
        <v>27</v>
      </c>
      <c r="C902" s="2">
        <v>45499</v>
      </c>
      <c r="D902" s="1" t="s">
        <v>17</v>
      </c>
      <c r="E902" s="1" t="s">
        <v>72</v>
      </c>
      <c r="F902" s="1" t="s">
        <v>37</v>
      </c>
      <c r="G902" s="1" t="s">
        <v>19</v>
      </c>
      <c r="H902" s="1">
        <v>4</v>
      </c>
      <c r="I902" s="1">
        <v>371</v>
      </c>
      <c r="J902" s="1">
        <v>499</v>
      </c>
      <c r="K902" s="1">
        <v>0</v>
      </c>
      <c r="L902" s="1">
        <f>ROUNDDOWN(formatted_data[[#This Row],[Selling_Price]]*formatted_data[[#This Row],[Discount_%]]/100,0)</f>
        <v>0</v>
      </c>
      <c r="M902" s="1">
        <f>(formatted_data[[#This Row],[Selling_Price]]-formatted_data[[#This Row],[Discount_Amount]])*formatted_data[[#This Row],[Units]]</f>
        <v>1996</v>
      </c>
      <c r="N902" s="1">
        <f>formatted_data[[#This Row],[Total_Revenue]]-(formatted_data[[#This Row],[Cost_Price]]*formatted_data[[#This Row],[Units]])</f>
        <v>512</v>
      </c>
      <c r="O902" s="1" t="s">
        <v>21</v>
      </c>
      <c r="P902"/>
    </row>
    <row r="903" spans="1:16" x14ac:dyDescent="0.35">
      <c r="A903" s="1" t="s">
        <v>90</v>
      </c>
      <c r="B903" s="1" t="s">
        <v>27</v>
      </c>
      <c r="C903" s="2">
        <v>45579</v>
      </c>
      <c r="D903" s="1" t="s">
        <v>31</v>
      </c>
      <c r="E903" s="1" t="s">
        <v>32</v>
      </c>
      <c r="F903" s="1" t="s">
        <v>19</v>
      </c>
      <c r="G903" s="1" t="s">
        <v>19</v>
      </c>
      <c r="H903" s="1">
        <v>2</v>
      </c>
      <c r="I903" s="1">
        <v>736</v>
      </c>
      <c r="J903" s="1">
        <v>1199</v>
      </c>
      <c r="K903" s="1">
        <v>0</v>
      </c>
      <c r="L903" s="1">
        <f>ROUNDDOWN(formatted_data[[#This Row],[Selling_Price]]*formatted_data[[#This Row],[Discount_%]]/100,0)</f>
        <v>0</v>
      </c>
      <c r="M903" s="1">
        <f>(formatted_data[[#This Row],[Selling_Price]]-formatted_data[[#This Row],[Discount_Amount]])*formatted_data[[#This Row],[Units]]</f>
        <v>2398</v>
      </c>
      <c r="N903" s="1">
        <f>formatted_data[[#This Row],[Total_Revenue]]-(formatted_data[[#This Row],[Cost_Price]]*formatted_data[[#This Row],[Units]])</f>
        <v>926</v>
      </c>
      <c r="O903" s="1" t="s">
        <v>21</v>
      </c>
      <c r="P903"/>
    </row>
    <row r="904" spans="1:16" x14ac:dyDescent="0.35">
      <c r="A904" s="1" t="s">
        <v>57</v>
      </c>
      <c r="B904" s="1" t="s">
        <v>27</v>
      </c>
      <c r="C904" s="2">
        <v>45612</v>
      </c>
      <c r="D904" s="1" t="s">
        <v>31</v>
      </c>
      <c r="E904" s="1" t="s">
        <v>76</v>
      </c>
      <c r="F904" s="1" t="s">
        <v>25</v>
      </c>
      <c r="G904" s="1" t="s">
        <v>19</v>
      </c>
      <c r="H904" s="1">
        <v>5</v>
      </c>
      <c r="I904" s="1">
        <v>574</v>
      </c>
      <c r="J904" s="1">
        <v>799</v>
      </c>
      <c r="K904" s="1">
        <v>0</v>
      </c>
      <c r="L904" s="1">
        <f>ROUNDDOWN(formatted_data[[#This Row],[Selling_Price]]*formatted_data[[#This Row],[Discount_%]]/100,0)</f>
        <v>0</v>
      </c>
      <c r="M904" s="1">
        <f>(formatted_data[[#This Row],[Selling_Price]]-formatted_data[[#This Row],[Discount_Amount]])*formatted_data[[#This Row],[Units]]</f>
        <v>3995</v>
      </c>
      <c r="N904" s="1">
        <f>formatted_data[[#This Row],[Total_Revenue]]-(formatted_data[[#This Row],[Cost_Price]]*formatted_data[[#This Row],[Units]])</f>
        <v>1125</v>
      </c>
      <c r="O904" s="1" t="s">
        <v>21</v>
      </c>
      <c r="P904"/>
    </row>
    <row r="905" spans="1:16" x14ac:dyDescent="0.35">
      <c r="A905" s="1" t="s">
        <v>69</v>
      </c>
      <c r="B905" s="1" t="s">
        <v>16</v>
      </c>
      <c r="C905" s="2">
        <v>45495</v>
      </c>
      <c r="D905" s="1" t="s">
        <v>23</v>
      </c>
      <c r="E905" s="1" t="s">
        <v>43</v>
      </c>
      <c r="F905" s="1" t="s">
        <v>37</v>
      </c>
      <c r="G905" s="1" t="s">
        <v>19</v>
      </c>
      <c r="H905" s="1">
        <v>1</v>
      </c>
      <c r="I905" s="1">
        <v>1950</v>
      </c>
      <c r="J905" s="1">
        <v>3799</v>
      </c>
      <c r="K905" s="1">
        <v>20</v>
      </c>
      <c r="L905" s="1">
        <f>ROUNDDOWN(formatted_data[[#This Row],[Selling_Price]]*formatted_data[[#This Row],[Discount_%]]/100,0)</f>
        <v>759</v>
      </c>
      <c r="M905" s="1">
        <f>(formatted_data[[#This Row],[Selling_Price]]-formatted_data[[#This Row],[Discount_Amount]])*formatted_data[[#This Row],[Units]]</f>
        <v>3040</v>
      </c>
      <c r="N905" s="1">
        <f>formatted_data[[#This Row],[Total_Revenue]]-(formatted_data[[#This Row],[Cost_Price]]*formatted_data[[#This Row],[Units]])</f>
        <v>1090</v>
      </c>
      <c r="O905" s="1" t="s">
        <v>33</v>
      </c>
      <c r="P905"/>
    </row>
    <row r="906" spans="1:16" x14ac:dyDescent="0.35">
      <c r="A906" s="1" t="s">
        <v>78</v>
      </c>
      <c r="B906" s="1" t="s">
        <v>16</v>
      </c>
      <c r="C906" s="2">
        <v>45553</v>
      </c>
      <c r="D906" s="1" t="s">
        <v>28</v>
      </c>
      <c r="E906" s="1" t="s">
        <v>29</v>
      </c>
      <c r="F906" s="1" t="s">
        <v>19</v>
      </c>
      <c r="G906" s="1" t="s">
        <v>20</v>
      </c>
      <c r="H906" s="1">
        <v>2</v>
      </c>
      <c r="I906" s="1">
        <v>448</v>
      </c>
      <c r="J906" s="1">
        <v>599</v>
      </c>
      <c r="K906" s="1">
        <v>20</v>
      </c>
      <c r="L906" s="1">
        <f>ROUNDDOWN(formatted_data[[#This Row],[Selling_Price]]*formatted_data[[#This Row],[Discount_%]]/100,0)</f>
        <v>119</v>
      </c>
      <c r="M906" s="1">
        <f>(formatted_data[[#This Row],[Selling_Price]]-formatted_data[[#This Row],[Discount_Amount]])*formatted_data[[#This Row],[Units]]</f>
        <v>960</v>
      </c>
      <c r="N906" s="1">
        <f>formatted_data[[#This Row],[Total_Revenue]]-(formatted_data[[#This Row],[Cost_Price]]*formatted_data[[#This Row],[Units]])</f>
        <v>64</v>
      </c>
      <c r="O906" s="1" t="s">
        <v>21</v>
      </c>
      <c r="P906"/>
    </row>
    <row r="907" spans="1:16" x14ac:dyDescent="0.35">
      <c r="A907" s="1" t="s">
        <v>26</v>
      </c>
      <c r="B907" s="1" t="s">
        <v>27</v>
      </c>
      <c r="C907" s="2">
        <v>45583</v>
      </c>
      <c r="D907" s="1" t="s">
        <v>23</v>
      </c>
      <c r="E907" s="1" t="s">
        <v>43</v>
      </c>
      <c r="F907" s="1" t="s">
        <v>19</v>
      </c>
      <c r="G907" s="1" t="s">
        <v>20</v>
      </c>
      <c r="H907" s="1">
        <v>3</v>
      </c>
      <c r="I907" s="1">
        <v>2551</v>
      </c>
      <c r="J907" s="1">
        <v>4799</v>
      </c>
      <c r="K907" s="1">
        <v>15</v>
      </c>
      <c r="L907" s="1">
        <f>ROUNDDOWN(formatted_data[[#This Row],[Selling_Price]]*formatted_data[[#This Row],[Discount_%]]/100,0)</f>
        <v>719</v>
      </c>
      <c r="M907" s="1">
        <f>(formatted_data[[#This Row],[Selling_Price]]-formatted_data[[#This Row],[Discount_Amount]])*formatted_data[[#This Row],[Units]]</f>
        <v>12240</v>
      </c>
      <c r="N907" s="1">
        <f>formatted_data[[#This Row],[Total_Revenue]]-(formatted_data[[#This Row],[Cost_Price]]*formatted_data[[#This Row],[Units]])</f>
        <v>4587</v>
      </c>
      <c r="O907" s="1" t="s">
        <v>21</v>
      </c>
      <c r="P907"/>
    </row>
    <row r="908" spans="1:16" x14ac:dyDescent="0.35">
      <c r="A908" s="1" t="s">
        <v>94</v>
      </c>
      <c r="B908" s="1" t="s">
        <v>16</v>
      </c>
      <c r="C908" s="2">
        <v>45534</v>
      </c>
      <c r="D908" s="1" t="s">
        <v>23</v>
      </c>
      <c r="E908" s="1" t="s">
        <v>24</v>
      </c>
      <c r="F908" s="1" t="s">
        <v>25</v>
      </c>
      <c r="G908" s="1" t="s">
        <v>19</v>
      </c>
      <c r="H908" s="1">
        <v>2</v>
      </c>
      <c r="I908" s="1">
        <v>655</v>
      </c>
      <c r="J908" s="1">
        <v>1199</v>
      </c>
      <c r="K908" s="1">
        <v>15</v>
      </c>
      <c r="L908" s="1">
        <f>ROUNDDOWN(formatted_data[[#This Row],[Selling_Price]]*formatted_data[[#This Row],[Discount_%]]/100,0)</f>
        <v>179</v>
      </c>
      <c r="M908" s="1">
        <f>(formatted_data[[#This Row],[Selling_Price]]-formatted_data[[#This Row],[Discount_Amount]])*formatted_data[[#This Row],[Units]]</f>
        <v>2040</v>
      </c>
      <c r="N908" s="1">
        <f>formatted_data[[#This Row],[Total_Revenue]]-(formatted_data[[#This Row],[Cost_Price]]*formatted_data[[#This Row],[Units]])</f>
        <v>730</v>
      </c>
      <c r="O908" s="1" t="s">
        <v>21</v>
      </c>
      <c r="P908"/>
    </row>
    <row r="909" spans="1:16" x14ac:dyDescent="0.35">
      <c r="A909" s="1" t="s">
        <v>84</v>
      </c>
      <c r="B909" s="1" t="s">
        <v>27</v>
      </c>
      <c r="C909" s="2">
        <v>45591</v>
      </c>
      <c r="D909" s="1" t="s">
        <v>17</v>
      </c>
      <c r="E909" s="1" t="s">
        <v>18</v>
      </c>
      <c r="F909" s="1" t="s">
        <v>19</v>
      </c>
      <c r="G909" s="1" t="s">
        <v>19</v>
      </c>
      <c r="H909" s="1">
        <v>3</v>
      </c>
      <c r="I909" s="1">
        <v>445</v>
      </c>
      <c r="J909" s="1">
        <v>599</v>
      </c>
      <c r="K909" s="1">
        <v>0</v>
      </c>
      <c r="L909" s="1">
        <f>ROUNDDOWN(formatted_data[[#This Row],[Selling_Price]]*formatted_data[[#This Row],[Discount_%]]/100,0)</f>
        <v>0</v>
      </c>
      <c r="M909" s="1">
        <f>(formatted_data[[#This Row],[Selling_Price]]-formatted_data[[#This Row],[Discount_Amount]])*formatted_data[[#This Row],[Units]]</f>
        <v>1797</v>
      </c>
      <c r="N909" s="1">
        <f>formatted_data[[#This Row],[Total_Revenue]]-(formatted_data[[#This Row],[Cost_Price]]*formatted_data[[#This Row],[Units]])</f>
        <v>462</v>
      </c>
      <c r="O909" s="1" t="s">
        <v>33</v>
      </c>
      <c r="P909"/>
    </row>
    <row r="910" spans="1:16" x14ac:dyDescent="0.35">
      <c r="A910" s="1" t="s">
        <v>44</v>
      </c>
      <c r="B910" s="1" t="s">
        <v>16</v>
      </c>
      <c r="C910" s="2">
        <v>45598</v>
      </c>
      <c r="D910" s="1" t="s">
        <v>35</v>
      </c>
      <c r="E910" s="1" t="s">
        <v>58</v>
      </c>
      <c r="F910" s="1" t="s">
        <v>37</v>
      </c>
      <c r="G910" s="1" t="s">
        <v>20</v>
      </c>
      <c r="H910" s="1">
        <v>1</v>
      </c>
      <c r="I910" s="1">
        <v>1185</v>
      </c>
      <c r="J910" s="1">
        <v>2299</v>
      </c>
      <c r="K910" s="1">
        <v>10</v>
      </c>
      <c r="L910" s="1">
        <f>ROUNDDOWN(formatted_data[[#This Row],[Selling_Price]]*formatted_data[[#This Row],[Discount_%]]/100,0)</f>
        <v>229</v>
      </c>
      <c r="M910" s="1">
        <f>(formatted_data[[#This Row],[Selling_Price]]-formatted_data[[#This Row],[Discount_Amount]])*formatted_data[[#This Row],[Units]]</f>
        <v>2070</v>
      </c>
      <c r="N910" s="1">
        <f>formatted_data[[#This Row],[Total_Revenue]]-(formatted_data[[#This Row],[Cost_Price]]*formatted_data[[#This Row],[Units]])</f>
        <v>885</v>
      </c>
      <c r="O910" s="1" t="s">
        <v>21</v>
      </c>
      <c r="P910"/>
    </row>
    <row r="911" spans="1:16" x14ac:dyDescent="0.35">
      <c r="A911" s="1" t="s">
        <v>92</v>
      </c>
      <c r="B911" s="1" t="s">
        <v>27</v>
      </c>
      <c r="C911" s="2">
        <v>45618</v>
      </c>
      <c r="D911" s="1" t="s">
        <v>35</v>
      </c>
      <c r="E911" s="1" t="s">
        <v>39</v>
      </c>
      <c r="F911" s="1" t="s">
        <v>37</v>
      </c>
      <c r="G911" s="1" t="s">
        <v>19</v>
      </c>
      <c r="H911" s="1">
        <v>1</v>
      </c>
      <c r="I911" s="1">
        <v>852</v>
      </c>
      <c r="J911" s="1">
        <v>1199</v>
      </c>
      <c r="K911" s="1">
        <v>15</v>
      </c>
      <c r="L911" s="1">
        <f>ROUNDDOWN(formatted_data[[#This Row],[Selling_Price]]*formatted_data[[#This Row],[Discount_%]]/100,0)</f>
        <v>179</v>
      </c>
      <c r="M911" s="1">
        <f>(formatted_data[[#This Row],[Selling_Price]]-formatted_data[[#This Row],[Discount_Amount]])*formatted_data[[#This Row],[Units]]</f>
        <v>1020</v>
      </c>
      <c r="N911" s="1">
        <f>formatted_data[[#This Row],[Total_Revenue]]-(formatted_data[[#This Row],[Cost_Price]]*formatted_data[[#This Row],[Units]])</f>
        <v>168</v>
      </c>
      <c r="O911" s="1" t="s">
        <v>21</v>
      </c>
      <c r="P911"/>
    </row>
    <row r="912" spans="1:16" x14ac:dyDescent="0.35">
      <c r="A912" s="1" t="s">
        <v>80</v>
      </c>
      <c r="B912" s="1" t="s">
        <v>27</v>
      </c>
      <c r="C912" s="2">
        <v>45512</v>
      </c>
      <c r="D912" s="1" t="s">
        <v>17</v>
      </c>
      <c r="E912" s="1" t="s">
        <v>48</v>
      </c>
      <c r="F912" s="1" t="s">
        <v>25</v>
      </c>
      <c r="G912" s="1" t="s">
        <v>20</v>
      </c>
      <c r="H912" s="1">
        <v>1</v>
      </c>
      <c r="I912" s="1">
        <v>151</v>
      </c>
      <c r="J912" s="1">
        <v>299</v>
      </c>
      <c r="K912" s="1">
        <v>0</v>
      </c>
      <c r="L912" s="1">
        <f>ROUNDDOWN(formatted_data[[#This Row],[Selling_Price]]*formatted_data[[#This Row],[Discount_%]]/100,0)</f>
        <v>0</v>
      </c>
      <c r="M912" s="1">
        <f>(formatted_data[[#This Row],[Selling_Price]]-formatted_data[[#This Row],[Discount_Amount]])*formatted_data[[#This Row],[Units]]</f>
        <v>299</v>
      </c>
      <c r="N912" s="1">
        <f>formatted_data[[#This Row],[Total_Revenue]]-(formatted_data[[#This Row],[Cost_Price]]*formatted_data[[#This Row],[Units]])</f>
        <v>148</v>
      </c>
      <c r="O912" s="1" t="s">
        <v>21</v>
      </c>
      <c r="P912"/>
    </row>
    <row r="913" spans="1:16" x14ac:dyDescent="0.35">
      <c r="A913" s="1" t="s">
        <v>65</v>
      </c>
      <c r="B913" s="1" t="s">
        <v>16</v>
      </c>
      <c r="C913" s="2">
        <v>45570</v>
      </c>
      <c r="D913" s="1" t="s">
        <v>23</v>
      </c>
      <c r="E913" s="1" t="s">
        <v>43</v>
      </c>
      <c r="F913" s="1" t="s">
        <v>25</v>
      </c>
      <c r="G913" s="1" t="s">
        <v>20</v>
      </c>
      <c r="H913" s="1">
        <v>1</v>
      </c>
      <c r="I913" s="1">
        <v>1518</v>
      </c>
      <c r="J913" s="1">
        <v>2299</v>
      </c>
      <c r="K913" s="1">
        <v>10</v>
      </c>
      <c r="L913" s="1">
        <f>ROUNDDOWN(formatted_data[[#This Row],[Selling_Price]]*formatted_data[[#This Row],[Discount_%]]/100,0)</f>
        <v>229</v>
      </c>
      <c r="M913" s="1">
        <f>(formatted_data[[#This Row],[Selling_Price]]-formatted_data[[#This Row],[Discount_Amount]])*formatted_data[[#This Row],[Units]]</f>
        <v>2070</v>
      </c>
      <c r="N913" s="1">
        <f>formatted_data[[#This Row],[Total_Revenue]]-(formatted_data[[#This Row],[Cost_Price]]*formatted_data[[#This Row],[Units]])</f>
        <v>552</v>
      </c>
      <c r="O913" s="1" t="s">
        <v>33</v>
      </c>
      <c r="P913"/>
    </row>
    <row r="914" spans="1:16" x14ac:dyDescent="0.35">
      <c r="A914" s="1" t="s">
        <v>49</v>
      </c>
      <c r="B914" s="1" t="s">
        <v>27</v>
      </c>
      <c r="C914" s="2">
        <v>45518</v>
      </c>
      <c r="D914" s="1" t="s">
        <v>31</v>
      </c>
      <c r="E914" s="1" t="s">
        <v>76</v>
      </c>
      <c r="F914" s="1" t="s">
        <v>19</v>
      </c>
      <c r="G914" s="1" t="s">
        <v>20</v>
      </c>
      <c r="H914" s="1">
        <v>2</v>
      </c>
      <c r="I914" s="1">
        <v>757</v>
      </c>
      <c r="J914" s="1">
        <v>1499</v>
      </c>
      <c r="K914" s="1">
        <v>0</v>
      </c>
      <c r="L914" s="1">
        <f>ROUNDDOWN(formatted_data[[#This Row],[Selling_Price]]*formatted_data[[#This Row],[Discount_%]]/100,0)</f>
        <v>0</v>
      </c>
      <c r="M914" s="1">
        <f>(formatted_data[[#This Row],[Selling_Price]]-formatted_data[[#This Row],[Discount_Amount]])*formatted_data[[#This Row],[Units]]</f>
        <v>2998</v>
      </c>
      <c r="N914" s="1">
        <f>formatted_data[[#This Row],[Total_Revenue]]-(formatted_data[[#This Row],[Cost_Price]]*formatted_data[[#This Row],[Units]])</f>
        <v>1484</v>
      </c>
      <c r="O914" s="1" t="s">
        <v>33</v>
      </c>
      <c r="P914"/>
    </row>
    <row r="915" spans="1:16" x14ac:dyDescent="0.35">
      <c r="A915" s="1" t="s">
        <v>99</v>
      </c>
      <c r="B915" s="1" t="s">
        <v>27</v>
      </c>
      <c r="C915" s="2">
        <v>45490</v>
      </c>
      <c r="D915" s="1" t="s">
        <v>31</v>
      </c>
      <c r="E915" s="1" t="s">
        <v>76</v>
      </c>
      <c r="F915" s="1" t="s">
        <v>19</v>
      </c>
      <c r="G915" s="1" t="s">
        <v>19</v>
      </c>
      <c r="H915" s="1">
        <v>2</v>
      </c>
      <c r="I915" s="1">
        <v>805</v>
      </c>
      <c r="J915" s="1">
        <v>1199</v>
      </c>
      <c r="K915" s="1">
        <v>0</v>
      </c>
      <c r="L915" s="1">
        <f>ROUNDDOWN(formatted_data[[#This Row],[Selling_Price]]*formatted_data[[#This Row],[Discount_%]]/100,0)</f>
        <v>0</v>
      </c>
      <c r="M915" s="1">
        <f>(formatted_data[[#This Row],[Selling_Price]]-formatted_data[[#This Row],[Discount_Amount]])*formatted_data[[#This Row],[Units]]</f>
        <v>2398</v>
      </c>
      <c r="N915" s="1">
        <f>formatted_data[[#This Row],[Total_Revenue]]-(formatted_data[[#This Row],[Cost_Price]]*formatted_data[[#This Row],[Units]])</f>
        <v>788</v>
      </c>
      <c r="O915" s="1" t="s">
        <v>21</v>
      </c>
      <c r="P915"/>
    </row>
    <row r="916" spans="1:16" x14ac:dyDescent="0.35">
      <c r="A916" s="1" t="s">
        <v>108</v>
      </c>
      <c r="B916" s="1" t="s">
        <v>27</v>
      </c>
      <c r="C916" s="2">
        <v>45474</v>
      </c>
      <c r="D916" s="1" t="s">
        <v>31</v>
      </c>
      <c r="E916" s="1" t="s">
        <v>76</v>
      </c>
      <c r="F916" s="1" t="s">
        <v>19</v>
      </c>
      <c r="G916" s="1" t="s">
        <v>19</v>
      </c>
      <c r="H916" s="1">
        <v>1</v>
      </c>
      <c r="I916" s="1">
        <v>443</v>
      </c>
      <c r="J916" s="1">
        <v>699</v>
      </c>
      <c r="K916" s="1">
        <v>0</v>
      </c>
      <c r="L916" s="1">
        <f>ROUNDDOWN(formatted_data[[#This Row],[Selling_Price]]*formatted_data[[#This Row],[Discount_%]]/100,0)</f>
        <v>0</v>
      </c>
      <c r="M916" s="1">
        <f>(formatted_data[[#This Row],[Selling_Price]]-formatted_data[[#This Row],[Discount_Amount]])*formatted_data[[#This Row],[Units]]</f>
        <v>699</v>
      </c>
      <c r="N916" s="1">
        <f>formatted_data[[#This Row],[Total_Revenue]]-(formatted_data[[#This Row],[Cost_Price]]*formatted_data[[#This Row],[Units]])</f>
        <v>256</v>
      </c>
      <c r="O916" s="1" t="s">
        <v>21</v>
      </c>
      <c r="P916"/>
    </row>
    <row r="917" spans="1:16" x14ac:dyDescent="0.35">
      <c r="A917" s="1" t="s">
        <v>59</v>
      </c>
      <c r="B917" s="1" t="s">
        <v>27</v>
      </c>
      <c r="C917" s="2">
        <v>45447</v>
      </c>
      <c r="D917" s="1" t="s">
        <v>35</v>
      </c>
      <c r="E917" s="1" t="s">
        <v>41</v>
      </c>
      <c r="F917" s="1" t="s">
        <v>25</v>
      </c>
      <c r="G917" s="1" t="s">
        <v>19</v>
      </c>
      <c r="H917" s="1">
        <v>1</v>
      </c>
      <c r="I917" s="1">
        <v>558</v>
      </c>
      <c r="J917" s="1">
        <v>999</v>
      </c>
      <c r="K917" s="1">
        <v>15</v>
      </c>
      <c r="L917" s="1">
        <f>ROUNDDOWN(formatted_data[[#This Row],[Selling_Price]]*formatted_data[[#This Row],[Discount_%]]/100,0)</f>
        <v>149</v>
      </c>
      <c r="M917" s="1">
        <f>(formatted_data[[#This Row],[Selling_Price]]-formatted_data[[#This Row],[Discount_Amount]])*formatted_data[[#This Row],[Units]]</f>
        <v>850</v>
      </c>
      <c r="N917" s="1">
        <f>formatted_data[[#This Row],[Total_Revenue]]-(formatted_data[[#This Row],[Cost_Price]]*formatted_data[[#This Row],[Units]])</f>
        <v>292</v>
      </c>
      <c r="O917" s="1" t="s">
        <v>21</v>
      </c>
      <c r="P917"/>
    </row>
    <row r="918" spans="1:16" x14ac:dyDescent="0.35">
      <c r="A918" s="1" t="s">
        <v>90</v>
      </c>
      <c r="B918" s="1" t="s">
        <v>27</v>
      </c>
      <c r="C918" s="2">
        <v>45494</v>
      </c>
      <c r="D918" s="1" t="s">
        <v>31</v>
      </c>
      <c r="E918" s="1" t="s">
        <v>32</v>
      </c>
      <c r="F918" s="1" t="s">
        <v>25</v>
      </c>
      <c r="G918" s="1" t="s">
        <v>19</v>
      </c>
      <c r="H918" s="1">
        <v>1</v>
      </c>
      <c r="I918" s="1">
        <v>559</v>
      </c>
      <c r="J918" s="1">
        <v>999</v>
      </c>
      <c r="K918" s="1">
        <v>0</v>
      </c>
      <c r="L918" s="1">
        <f>ROUNDDOWN(formatted_data[[#This Row],[Selling_Price]]*formatted_data[[#This Row],[Discount_%]]/100,0)</f>
        <v>0</v>
      </c>
      <c r="M918" s="1">
        <f>(formatted_data[[#This Row],[Selling_Price]]-formatted_data[[#This Row],[Discount_Amount]])*formatted_data[[#This Row],[Units]]</f>
        <v>999</v>
      </c>
      <c r="N918" s="1">
        <f>formatted_data[[#This Row],[Total_Revenue]]-(formatted_data[[#This Row],[Cost_Price]]*formatted_data[[#This Row],[Units]])</f>
        <v>440</v>
      </c>
      <c r="O918" s="1" t="s">
        <v>21</v>
      </c>
      <c r="P918"/>
    </row>
    <row r="919" spans="1:16" x14ac:dyDescent="0.35">
      <c r="A919" s="1" t="s">
        <v>38</v>
      </c>
      <c r="B919" s="1" t="s">
        <v>27</v>
      </c>
      <c r="C919" s="2">
        <v>45522</v>
      </c>
      <c r="D919" s="1" t="s">
        <v>23</v>
      </c>
      <c r="E919" s="1" t="s">
        <v>43</v>
      </c>
      <c r="F919" s="1" t="s">
        <v>37</v>
      </c>
      <c r="G919" s="1" t="s">
        <v>20</v>
      </c>
      <c r="H919" s="1">
        <v>1</v>
      </c>
      <c r="I919" s="1">
        <v>1900</v>
      </c>
      <c r="J919" s="1">
        <v>2699</v>
      </c>
      <c r="K919" s="1">
        <v>5</v>
      </c>
      <c r="L919" s="1">
        <f>ROUNDDOWN(formatted_data[[#This Row],[Selling_Price]]*formatted_data[[#This Row],[Discount_%]]/100,0)</f>
        <v>134</v>
      </c>
      <c r="M919" s="1">
        <f>(formatted_data[[#This Row],[Selling_Price]]-formatted_data[[#This Row],[Discount_Amount]])*formatted_data[[#This Row],[Units]]</f>
        <v>2565</v>
      </c>
      <c r="N919" s="1">
        <f>formatted_data[[#This Row],[Total_Revenue]]-(formatted_data[[#This Row],[Cost_Price]]*formatted_data[[#This Row],[Units]])</f>
        <v>665</v>
      </c>
      <c r="O919" s="1" t="s">
        <v>21</v>
      </c>
      <c r="P919"/>
    </row>
    <row r="920" spans="1:16" x14ac:dyDescent="0.35">
      <c r="A920" s="1" t="s">
        <v>102</v>
      </c>
      <c r="B920" s="1" t="s">
        <v>27</v>
      </c>
      <c r="C920" s="2">
        <v>45618</v>
      </c>
      <c r="D920" s="1" t="s">
        <v>31</v>
      </c>
      <c r="E920" s="1" t="s">
        <v>32</v>
      </c>
      <c r="F920" s="1" t="s">
        <v>37</v>
      </c>
      <c r="G920" s="1" t="s">
        <v>19</v>
      </c>
      <c r="H920" s="1">
        <v>5</v>
      </c>
      <c r="I920" s="1">
        <v>527</v>
      </c>
      <c r="J920" s="1">
        <v>899</v>
      </c>
      <c r="K920" s="1">
        <v>0</v>
      </c>
      <c r="L920" s="1">
        <f>ROUNDDOWN(formatted_data[[#This Row],[Selling_Price]]*formatted_data[[#This Row],[Discount_%]]/100,0)</f>
        <v>0</v>
      </c>
      <c r="M920" s="1">
        <f>(formatted_data[[#This Row],[Selling_Price]]-formatted_data[[#This Row],[Discount_Amount]])*formatted_data[[#This Row],[Units]]</f>
        <v>4495</v>
      </c>
      <c r="N920" s="1">
        <f>formatted_data[[#This Row],[Total_Revenue]]-(formatted_data[[#This Row],[Cost_Price]]*formatted_data[[#This Row],[Units]])</f>
        <v>1860</v>
      </c>
      <c r="O920" s="1" t="s">
        <v>21</v>
      </c>
      <c r="P920"/>
    </row>
    <row r="921" spans="1:16" x14ac:dyDescent="0.35">
      <c r="A921" s="1" t="s">
        <v>62</v>
      </c>
      <c r="B921" s="1" t="s">
        <v>16</v>
      </c>
      <c r="C921" s="2">
        <v>45612</v>
      </c>
      <c r="D921" s="1" t="s">
        <v>35</v>
      </c>
      <c r="E921" s="1" t="s">
        <v>39</v>
      </c>
      <c r="F921" s="1" t="s">
        <v>25</v>
      </c>
      <c r="G921" s="1" t="s">
        <v>20</v>
      </c>
      <c r="H921" s="1">
        <v>2</v>
      </c>
      <c r="I921" s="1">
        <v>866</v>
      </c>
      <c r="J921" s="1">
        <v>1299</v>
      </c>
      <c r="K921" s="1">
        <v>20</v>
      </c>
      <c r="L921" s="1">
        <f>ROUNDDOWN(formatted_data[[#This Row],[Selling_Price]]*formatted_data[[#This Row],[Discount_%]]/100,0)</f>
        <v>259</v>
      </c>
      <c r="M921" s="1">
        <f>(formatted_data[[#This Row],[Selling_Price]]-formatted_data[[#This Row],[Discount_Amount]])*formatted_data[[#This Row],[Units]]</f>
        <v>2080</v>
      </c>
      <c r="N921" s="1">
        <f>formatted_data[[#This Row],[Total_Revenue]]-(formatted_data[[#This Row],[Cost_Price]]*formatted_data[[#This Row],[Units]])</f>
        <v>348</v>
      </c>
      <c r="O921" s="1" t="s">
        <v>21</v>
      </c>
      <c r="P921"/>
    </row>
    <row r="922" spans="1:16" x14ac:dyDescent="0.35">
      <c r="A922" s="1" t="s">
        <v>77</v>
      </c>
      <c r="B922" s="1" t="s">
        <v>27</v>
      </c>
      <c r="C922" s="2">
        <v>45581</v>
      </c>
      <c r="D922" s="1" t="s">
        <v>35</v>
      </c>
      <c r="E922" s="1" t="s">
        <v>39</v>
      </c>
      <c r="F922" s="1" t="s">
        <v>25</v>
      </c>
      <c r="G922" s="1" t="s">
        <v>19</v>
      </c>
      <c r="H922" s="1">
        <v>3</v>
      </c>
      <c r="I922" s="1">
        <v>874</v>
      </c>
      <c r="J922" s="1">
        <v>1499</v>
      </c>
      <c r="K922" s="1">
        <v>10</v>
      </c>
      <c r="L922" s="1">
        <f>ROUNDDOWN(formatted_data[[#This Row],[Selling_Price]]*formatted_data[[#This Row],[Discount_%]]/100,0)</f>
        <v>149</v>
      </c>
      <c r="M922" s="1">
        <f>(formatted_data[[#This Row],[Selling_Price]]-formatted_data[[#This Row],[Discount_Amount]])*formatted_data[[#This Row],[Units]]</f>
        <v>4050</v>
      </c>
      <c r="N922" s="1">
        <f>formatted_data[[#This Row],[Total_Revenue]]-(formatted_data[[#This Row],[Cost_Price]]*formatted_data[[#This Row],[Units]])</f>
        <v>1428</v>
      </c>
      <c r="O922" s="1" t="s">
        <v>21</v>
      </c>
      <c r="P922"/>
    </row>
    <row r="923" spans="1:16" x14ac:dyDescent="0.35">
      <c r="A923" s="1" t="s">
        <v>49</v>
      </c>
      <c r="B923" s="1" t="s">
        <v>27</v>
      </c>
      <c r="C923" s="2">
        <v>45537</v>
      </c>
      <c r="D923" s="1" t="s">
        <v>31</v>
      </c>
      <c r="E923" s="1" t="s">
        <v>76</v>
      </c>
      <c r="F923" s="1" t="s">
        <v>25</v>
      </c>
      <c r="G923" s="1" t="s">
        <v>19</v>
      </c>
      <c r="H923" s="1">
        <v>1</v>
      </c>
      <c r="I923" s="1">
        <v>770</v>
      </c>
      <c r="J923" s="1">
        <v>1199</v>
      </c>
      <c r="K923" s="1">
        <v>0</v>
      </c>
      <c r="L923" s="1">
        <f>ROUNDDOWN(formatted_data[[#This Row],[Selling_Price]]*formatted_data[[#This Row],[Discount_%]]/100,0)</f>
        <v>0</v>
      </c>
      <c r="M923" s="1">
        <f>(formatted_data[[#This Row],[Selling_Price]]-formatted_data[[#This Row],[Discount_Amount]])*formatted_data[[#This Row],[Units]]</f>
        <v>1199</v>
      </c>
      <c r="N923" s="1">
        <f>formatted_data[[#This Row],[Total_Revenue]]-(formatted_data[[#This Row],[Cost_Price]]*formatted_data[[#This Row],[Units]])</f>
        <v>429</v>
      </c>
      <c r="O923" s="1" t="s">
        <v>21</v>
      </c>
      <c r="P923"/>
    </row>
    <row r="924" spans="1:16" x14ac:dyDescent="0.35">
      <c r="A924" s="1" t="s">
        <v>63</v>
      </c>
      <c r="B924" s="1" t="s">
        <v>27</v>
      </c>
      <c r="C924" s="2">
        <v>45502</v>
      </c>
      <c r="D924" s="1" t="s">
        <v>35</v>
      </c>
      <c r="E924" s="1" t="s">
        <v>36</v>
      </c>
      <c r="F924" s="1" t="s">
        <v>37</v>
      </c>
      <c r="G924" s="1" t="s">
        <v>20</v>
      </c>
      <c r="H924" s="1">
        <v>1</v>
      </c>
      <c r="I924" s="1">
        <v>204</v>
      </c>
      <c r="J924" s="1">
        <v>399</v>
      </c>
      <c r="K924" s="1">
        <v>15</v>
      </c>
      <c r="L924" s="1">
        <f>ROUNDDOWN(formatted_data[[#This Row],[Selling_Price]]*formatted_data[[#This Row],[Discount_%]]/100,0)</f>
        <v>59</v>
      </c>
      <c r="M924" s="1">
        <f>(formatted_data[[#This Row],[Selling_Price]]-formatted_data[[#This Row],[Discount_Amount]])*formatted_data[[#This Row],[Units]]</f>
        <v>340</v>
      </c>
      <c r="N924" s="1">
        <f>formatted_data[[#This Row],[Total_Revenue]]-(formatted_data[[#This Row],[Cost_Price]]*formatted_data[[#This Row],[Units]])</f>
        <v>136</v>
      </c>
      <c r="O924" s="1" t="s">
        <v>21</v>
      </c>
      <c r="P924"/>
    </row>
    <row r="925" spans="1:16" x14ac:dyDescent="0.35">
      <c r="A925" s="1" t="s">
        <v>44</v>
      </c>
      <c r="B925" s="1" t="s">
        <v>16</v>
      </c>
      <c r="C925" s="2">
        <v>45626</v>
      </c>
      <c r="D925" s="1" t="s">
        <v>17</v>
      </c>
      <c r="E925" s="1" t="s">
        <v>55</v>
      </c>
      <c r="F925" s="1" t="s">
        <v>25</v>
      </c>
      <c r="G925" s="1" t="s">
        <v>19</v>
      </c>
      <c r="H925" s="1">
        <v>1</v>
      </c>
      <c r="I925" s="1">
        <v>241</v>
      </c>
      <c r="J925" s="1">
        <v>399</v>
      </c>
      <c r="K925" s="1">
        <v>0</v>
      </c>
      <c r="L925" s="1">
        <f>ROUNDDOWN(formatted_data[[#This Row],[Selling_Price]]*formatted_data[[#This Row],[Discount_%]]/100,0)</f>
        <v>0</v>
      </c>
      <c r="M925" s="1">
        <f>(formatted_data[[#This Row],[Selling_Price]]-formatted_data[[#This Row],[Discount_Amount]])*formatted_data[[#This Row],[Units]]</f>
        <v>399</v>
      </c>
      <c r="N925" s="1">
        <f>formatted_data[[#This Row],[Total_Revenue]]-(formatted_data[[#This Row],[Cost_Price]]*formatted_data[[#This Row],[Units]])</f>
        <v>158</v>
      </c>
      <c r="O925" s="1" t="s">
        <v>21</v>
      </c>
      <c r="P925"/>
    </row>
    <row r="926" spans="1:16" x14ac:dyDescent="0.35">
      <c r="A926" s="1" t="s">
        <v>98</v>
      </c>
      <c r="B926" s="1" t="s">
        <v>16</v>
      </c>
      <c r="C926" s="2">
        <v>45448</v>
      </c>
      <c r="D926" s="1" t="s">
        <v>31</v>
      </c>
      <c r="E926" s="1" t="s">
        <v>76</v>
      </c>
      <c r="F926" s="1" t="s">
        <v>25</v>
      </c>
      <c r="G926" s="1" t="s">
        <v>19</v>
      </c>
      <c r="H926" s="1">
        <v>1</v>
      </c>
      <c r="I926" s="1">
        <v>552</v>
      </c>
      <c r="J926" s="1">
        <v>999</v>
      </c>
      <c r="K926" s="1">
        <v>0</v>
      </c>
      <c r="L926" s="1">
        <f>ROUNDDOWN(formatted_data[[#This Row],[Selling_Price]]*formatted_data[[#This Row],[Discount_%]]/100,0)</f>
        <v>0</v>
      </c>
      <c r="M926" s="1">
        <f>(formatted_data[[#This Row],[Selling_Price]]-formatted_data[[#This Row],[Discount_Amount]])*formatted_data[[#This Row],[Units]]</f>
        <v>999</v>
      </c>
      <c r="N926" s="1">
        <f>formatted_data[[#This Row],[Total_Revenue]]-(formatted_data[[#This Row],[Cost_Price]]*formatted_data[[#This Row],[Units]])</f>
        <v>447</v>
      </c>
      <c r="O926" s="1" t="s">
        <v>21</v>
      </c>
      <c r="P926"/>
    </row>
    <row r="927" spans="1:16" x14ac:dyDescent="0.35">
      <c r="A927" s="1" t="s">
        <v>94</v>
      </c>
      <c r="B927" s="1" t="s">
        <v>16</v>
      </c>
      <c r="C927" s="2">
        <v>45484</v>
      </c>
      <c r="D927" s="1" t="s">
        <v>17</v>
      </c>
      <c r="E927" s="1" t="s">
        <v>72</v>
      </c>
      <c r="F927" s="1" t="s">
        <v>37</v>
      </c>
      <c r="G927" s="1" t="s">
        <v>19</v>
      </c>
      <c r="H927" s="1">
        <v>1</v>
      </c>
      <c r="I927" s="1">
        <v>281</v>
      </c>
      <c r="J927" s="1">
        <v>399</v>
      </c>
      <c r="K927" s="1">
        <v>0</v>
      </c>
      <c r="L927" s="1">
        <f>ROUNDDOWN(formatted_data[[#This Row],[Selling_Price]]*formatted_data[[#This Row],[Discount_%]]/100,0)</f>
        <v>0</v>
      </c>
      <c r="M927" s="1">
        <f>(formatted_data[[#This Row],[Selling_Price]]-formatted_data[[#This Row],[Discount_Amount]])*formatted_data[[#This Row],[Units]]</f>
        <v>399</v>
      </c>
      <c r="N927" s="1">
        <f>formatted_data[[#This Row],[Total_Revenue]]-(formatted_data[[#This Row],[Cost_Price]]*formatted_data[[#This Row],[Units]])</f>
        <v>118</v>
      </c>
      <c r="O927" s="1" t="s">
        <v>21</v>
      </c>
      <c r="P927"/>
    </row>
    <row r="928" spans="1:16" x14ac:dyDescent="0.35">
      <c r="A928" s="1" t="s">
        <v>67</v>
      </c>
      <c r="B928" s="1" t="s">
        <v>27</v>
      </c>
      <c r="C928" s="2">
        <v>45631</v>
      </c>
      <c r="D928" s="1" t="s">
        <v>17</v>
      </c>
      <c r="E928" s="1" t="s">
        <v>72</v>
      </c>
      <c r="F928" s="1" t="s">
        <v>19</v>
      </c>
      <c r="G928" s="1" t="s">
        <v>20</v>
      </c>
      <c r="H928" s="1">
        <v>1</v>
      </c>
      <c r="I928" s="1">
        <v>297</v>
      </c>
      <c r="J928" s="1">
        <v>399</v>
      </c>
      <c r="K928" s="1">
        <v>0</v>
      </c>
      <c r="L928" s="1">
        <f>ROUNDDOWN(formatted_data[[#This Row],[Selling_Price]]*formatted_data[[#This Row],[Discount_%]]/100,0)</f>
        <v>0</v>
      </c>
      <c r="M928" s="1">
        <f>(formatted_data[[#This Row],[Selling_Price]]-formatted_data[[#This Row],[Discount_Amount]])*formatted_data[[#This Row],[Units]]</f>
        <v>399</v>
      </c>
      <c r="N928" s="1">
        <f>formatted_data[[#This Row],[Total_Revenue]]-(formatted_data[[#This Row],[Cost_Price]]*formatted_data[[#This Row],[Units]])</f>
        <v>102</v>
      </c>
      <c r="O928" s="1" t="s">
        <v>33</v>
      </c>
      <c r="P928"/>
    </row>
    <row r="929" spans="1:16" x14ac:dyDescent="0.35">
      <c r="A929" s="1" t="s">
        <v>90</v>
      </c>
      <c r="B929" s="1" t="s">
        <v>27</v>
      </c>
      <c r="C929" s="2">
        <v>45478</v>
      </c>
      <c r="D929" s="1" t="s">
        <v>17</v>
      </c>
      <c r="E929" s="1" t="s">
        <v>72</v>
      </c>
      <c r="F929" s="1" t="s">
        <v>25</v>
      </c>
      <c r="G929" s="1" t="s">
        <v>20</v>
      </c>
      <c r="H929" s="1">
        <v>1</v>
      </c>
      <c r="I929" s="1">
        <v>374</v>
      </c>
      <c r="J929" s="1">
        <v>499</v>
      </c>
      <c r="K929" s="1">
        <v>0</v>
      </c>
      <c r="L929" s="1">
        <f>ROUNDDOWN(formatted_data[[#This Row],[Selling_Price]]*formatted_data[[#This Row],[Discount_%]]/100,0)</f>
        <v>0</v>
      </c>
      <c r="M929" s="1">
        <f>(formatted_data[[#This Row],[Selling_Price]]-formatted_data[[#This Row],[Discount_Amount]])*formatted_data[[#This Row],[Units]]</f>
        <v>499</v>
      </c>
      <c r="N929" s="1">
        <f>formatted_data[[#This Row],[Total_Revenue]]-(formatted_data[[#This Row],[Cost_Price]]*formatted_data[[#This Row],[Units]])</f>
        <v>125</v>
      </c>
      <c r="O929" s="1" t="s">
        <v>21</v>
      </c>
      <c r="P929"/>
    </row>
    <row r="930" spans="1:16" x14ac:dyDescent="0.35">
      <c r="A930" s="1" t="s">
        <v>47</v>
      </c>
      <c r="B930" s="1" t="s">
        <v>16</v>
      </c>
      <c r="C930" s="2">
        <v>45611</v>
      </c>
      <c r="D930" s="1" t="s">
        <v>35</v>
      </c>
      <c r="E930" s="1" t="s">
        <v>50</v>
      </c>
      <c r="F930" s="1" t="s">
        <v>25</v>
      </c>
      <c r="G930" s="1" t="s">
        <v>20</v>
      </c>
      <c r="H930" s="1">
        <v>1</v>
      </c>
      <c r="I930" s="1">
        <v>718</v>
      </c>
      <c r="J930" s="1">
        <v>999</v>
      </c>
      <c r="K930" s="1">
        <v>15</v>
      </c>
      <c r="L930" s="1">
        <f>ROUNDDOWN(formatted_data[[#This Row],[Selling_Price]]*formatted_data[[#This Row],[Discount_%]]/100,0)</f>
        <v>149</v>
      </c>
      <c r="M930" s="1">
        <f>(formatted_data[[#This Row],[Selling_Price]]-formatted_data[[#This Row],[Discount_Amount]])*formatted_data[[#This Row],[Units]]</f>
        <v>850</v>
      </c>
      <c r="N930" s="1">
        <f>formatted_data[[#This Row],[Total_Revenue]]-(formatted_data[[#This Row],[Cost_Price]]*formatted_data[[#This Row],[Units]])</f>
        <v>132</v>
      </c>
      <c r="O930" s="1" t="s">
        <v>21</v>
      </c>
      <c r="P930"/>
    </row>
    <row r="931" spans="1:16" x14ac:dyDescent="0.35">
      <c r="A931" s="1" t="s">
        <v>34</v>
      </c>
      <c r="B931" s="1" t="s">
        <v>27</v>
      </c>
      <c r="C931" s="2">
        <v>45625</v>
      </c>
      <c r="D931" s="1" t="s">
        <v>35</v>
      </c>
      <c r="E931" s="1" t="s">
        <v>100</v>
      </c>
      <c r="F931" s="1" t="s">
        <v>19</v>
      </c>
      <c r="G931" s="1" t="s">
        <v>20</v>
      </c>
      <c r="H931" s="1">
        <v>1</v>
      </c>
      <c r="I931" s="1">
        <v>1709</v>
      </c>
      <c r="J931" s="1">
        <v>2299</v>
      </c>
      <c r="K931" s="1">
        <v>10</v>
      </c>
      <c r="L931" s="1">
        <f>ROUNDDOWN(formatted_data[[#This Row],[Selling_Price]]*formatted_data[[#This Row],[Discount_%]]/100,0)</f>
        <v>229</v>
      </c>
      <c r="M931" s="1">
        <f>(formatted_data[[#This Row],[Selling_Price]]-formatted_data[[#This Row],[Discount_Amount]])*formatted_data[[#This Row],[Units]]</f>
        <v>2070</v>
      </c>
      <c r="N931" s="1">
        <f>formatted_data[[#This Row],[Total_Revenue]]-(formatted_data[[#This Row],[Cost_Price]]*formatted_data[[#This Row],[Units]])</f>
        <v>361</v>
      </c>
      <c r="O931" s="1" t="s">
        <v>21</v>
      </c>
      <c r="P931"/>
    </row>
    <row r="932" spans="1:16" x14ac:dyDescent="0.35">
      <c r="A932" s="1" t="s">
        <v>63</v>
      </c>
      <c r="B932" s="1" t="s">
        <v>27</v>
      </c>
      <c r="C932" s="2">
        <v>45628</v>
      </c>
      <c r="D932" s="1" t="s">
        <v>31</v>
      </c>
      <c r="E932" s="1" t="s">
        <v>76</v>
      </c>
      <c r="F932" s="1" t="s">
        <v>25</v>
      </c>
      <c r="G932" s="1" t="s">
        <v>20</v>
      </c>
      <c r="H932" s="1">
        <v>1</v>
      </c>
      <c r="I932" s="1">
        <v>690</v>
      </c>
      <c r="J932" s="1">
        <v>1199</v>
      </c>
      <c r="K932" s="1">
        <v>0</v>
      </c>
      <c r="L932" s="1">
        <f>ROUNDDOWN(formatted_data[[#This Row],[Selling_Price]]*formatted_data[[#This Row],[Discount_%]]/100,0)</f>
        <v>0</v>
      </c>
      <c r="M932" s="1">
        <f>(formatted_data[[#This Row],[Selling_Price]]-formatted_data[[#This Row],[Discount_Amount]])*formatted_data[[#This Row],[Units]]</f>
        <v>1199</v>
      </c>
      <c r="N932" s="1">
        <f>formatted_data[[#This Row],[Total_Revenue]]-(formatted_data[[#This Row],[Cost_Price]]*formatted_data[[#This Row],[Units]])</f>
        <v>509</v>
      </c>
      <c r="O932" s="1" t="s">
        <v>21</v>
      </c>
      <c r="P932"/>
    </row>
    <row r="933" spans="1:16" x14ac:dyDescent="0.35">
      <c r="A933" s="1" t="s">
        <v>109</v>
      </c>
      <c r="B933" s="1" t="s">
        <v>16</v>
      </c>
      <c r="C933" s="2">
        <v>45614</v>
      </c>
      <c r="D933" s="1" t="s">
        <v>35</v>
      </c>
      <c r="E933" s="1" t="s">
        <v>58</v>
      </c>
      <c r="F933" s="1" t="s">
        <v>25</v>
      </c>
      <c r="G933" s="1" t="s">
        <v>20</v>
      </c>
      <c r="H933" s="1">
        <v>1</v>
      </c>
      <c r="I933" s="1">
        <v>747</v>
      </c>
      <c r="J933" s="1">
        <v>1099</v>
      </c>
      <c r="K933" s="1">
        <v>5</v>
      </c>
      <c r="L933" s="1">
        <f>ROUNDDOWN(formatted_data[[#This Row],[Selling_Price]]*formatted_data[[#This Row],[Discount_%]]/100,0)</f>
        <v>54</v>
      </c>
      <c r="M933" s="1">
        <f>(formatted_data[[#This Row],[Selling_Price]]-formatted_data[[#This Row],[Discount_Amount]])*formatted_data[[#This Row],[Units]]</f>
        <v>1045</v>
      </c>
      <c r="N933" s="1">
        <f>formatted_data[[#This Row],[Total_Revenue]]-(formatted_data[[#This Row],[Cost_Price]]*formatted_data[[#This Row],[Units]])</f>
        <v>298</v>
      </c>
      <c r="O933" s="1" t="s">
        <v>21</v>
      </c>
      <c r="P933"/>
    </row>
    <row r="934" spans="1:16" x14ac:dyDescent="0.35">
      <c r="A934" s="1" t="s">
        <v>73</v>
      </c>
      <c r="B934" s="1" t="s">
        <v>16</v>
      </c>
      <c r="C934" s="2">
        <v>45467</v>
      </c>
      <c r="D934" s="1" t="s">
        <v>28</v>
      </c>
      <c r="E934" s="1" t="s">
        <v>29</v>
      </c>
      <c r="F934" s="1" t="s">
        <v>25</v>
      </c>
      <c r="G934" s="1" t="s">
        <v>20</v>
      </c>
      <c r="H934" s="1">
        <v>3</v>
      </c>
      <c r="I934" s="1">
        <v>493</v>
      </c>
      <c r="J934" s="1">
        <v>799</v>
      </c>
      <c r="K934" s="1">
        <v>20</v>
      </c>
      <c r="L934" s="1">
        <f>ROUNDDOWN(formatted_data[[#This Row],[Selling_Price]]*formatted_data[[#This Row],[Discount_%]]/100,0)</f>
        <v>159</v>
      </c>
      <c r="M934" s="1">
        <f>(formatted_data[[#This Row],[Selling_Price]]-formatted_data[[#This Row],[Discount_Amount]])*formatted_data[[#This Row],[Units]]</f>
        <v>1920</v>
      </c>
      <c r="N934" s="1">
        <f>formatted_data[[#This Row],[Total_Revenue]]-(formatted_data[[#This Row],[Cost_Price]]*formatted_data[[#This Row],[Units]])</f>
        <v>441</v>
      </c>
      <c r="O934" s="1" t="s">
        <v>33</v>
      </c>
      <c r="P934"/>
    </row>
    <row r="935" spans="1:16" x14ac:dyDescent="0.35">
      <c r="A935" s="1" t="s">
        <v>71</v>
      </c>
      <c r="B935" s="1" t="s">
        <v>16</v>
      </c>
      <c r="C935" s="2">
        <v>45593</v>
      </c>
      <c r="D935" s="1" t="s">
        <v>35</v>
      </c>
      <c r="E935" s="1" t="s">
        <v>39</v>
      </c>
      <c r="F935" s="1" t="s">
        <v>19</v>
      </c>
      <c r="G935" s="1" t="s">
        <v>19</v>
      </c>
      <c r="H935" s="1">
        <v>1</v>
      </c>
      <c r="I935" s="1">
        <v>859</v>
      </c>
      <c r="J935" s="1">
        <v>1399</v>
      </c>
      <c r="K935" s="1">
        <v>5</v>
      </c>
      <c r="L935" s="1">
        <f>ROUNDDOWN(formatted_data[[#This Row],[Selling_Price]]*formatted_data[[#This Row],[Discount_%]]/100,0)</f>
        <v>69</v>
      </c>
      <c r="M935" s="1">
        <f>(formatted_data[[#This Row],[Selling_Price]]-formatted_data[[#This Row],[Discount_Amount]])*formatted_data[[#This Row],[Units]]</f>
        <v>1330</v>
      </c>
      <c r="N935" s="1">
        <f>formatted_data[[#This Row],[Total_Revenue]]-(formatted_data[[#This Row],[Cost_Price]]*formatted_data[[#This Row],[Units]])</f>
        <v>471</v>
      </c>
      <c r="O935" s="1" t="s">
        <v>21</v>
      </c>
      <c r="P935"/>
    </row>
    <row r="936" spans="1:16" x14ac:dyDescent="0.35">
      <c r="A936" s="1" t="s">
        <v>81</v>
      </c>
      <c r="B936" s="1" t="s">
        <v>27</v>
      </c>
      <c r="C936" s="2">
        <v>45544</v>
      </c>
      <c r="D936" s="1" t="s">
        <v>23</v>
      </c>
      <c r="E936" s="1" t="s">
        <v>24</v>
      </c>
      <c r="F936" s="1" t="s">
        <v>25</v>
      </c>
      <c r="G936" s="1" t="s">
        <v>20</v>
      </c>
      <c r="H936" s="1">
        <v>5</v>
      </c>
      <c r="I936" s="1">
        <v>1113</v>
      </c>
      <c r="J936" s="1">
        <v>1799</v>
      </c>
      <c r="K936" s="1">
        <v>15</v>
      </c>
      <c r="L936" s="1">
        <f>ROUNDDOWN(formatted_data[[#This Row],[Selling_Price]]*formatted_data[[#This Row],[Discount_%]]/100,0)</f>
        <v>269</v>
      </c>
      <c r="M936" s="1">
        <f>(formatted_data[[#This Row],[Selling_Price]]-formatted_data[[#This Row],[Discount_Amount]])*formatted_data[[#This Row],[Units]]</f>
        <v>7650</v>
      </c>
      <c r="N936" s="1">
        <f>formatted_data[[#This Row],[Total_Revenue]]-(formatted_data[[#This Row],[Cost_Price]]*formatted_data[[#This Row],[Units]])</f>
        <v>2085</v>
      </c>
      <c r="O936" s="1" t="s">
        <v>21</v>
      </c>
      <c r="P936"/>
    </row>
    <row r="937" spans="1:16" x14ac:dyDescent="0.35">
      <c r="A937" s="1" t="s">
        <v>107</v>
      </c>
      <c r="B937" s="1" t="s">
        <v>27</v>
      </c>
      <c r="C937" s="2">
        <v>45656</v>
      </c>
      <c r="D937" s="1" t="s">
        <v>17</v>
      </c>
      <c r="E937" s="1" t="s">
        <v>48</v>
      </c>
      <c r="F937" s="1" t="s">
        <v>37</v>
      </c>
      <c r="G937" s="1" t="s">
        <v>20</v>
      </c>
      <c r="H937" s="1">
        <v>3</v>
      </c>
      <c r="I937" s="1">
        <v>329</v>
      </c>
      <c r="J937" s="1">
        <v>599</v>
      </c>
      <c r="K937" s="1">
        <v>0</v>
      </c>
      <c r="L937" s="1">
        <f>ROUNDDOWN(formatted_data[[#This Row],[Selling_Price]]*formatted_data[[#This Row],[Discount_%]]/100,0)</f>
        <v>0</v>
      </c>
      <c r="M937" s="1">
        <f>(formatted_data[[#This Row],[Selling_Price]]-formatted_data[[#This Row],[Discount_Amount]])*formatted_data[[#This Row],[Units]]</f>
        <v>1797</v>
      </c>
      <c r="N937" s="1">
        <f>formatted_data[[#This Row],[Total_Revenue]]-(formatted_data[[#This Row],[Cost_Price]]*formatted_data[[#This Row],[Units]])</f>
        <v>810</v>
      </c>
      <c r="O937" s="1" t="s">
        <v>21</v>
      </c>
      <c r="P937"/>
    </row>
    <row r="938" spans="1:16" x14ac:dyDescent="0.35">
      <c r="A938" s="1" t="s">
        <v>82</v>
      </c>
      <c r="B938" s="1" t="s">
        <v>27</v>
      </c>
      <c r="C938" s="2">
        <v>45572</v>
      </c>
      <c r="D938" s="1" t="s">
        <v>35</v>
      </c>
      <c r="E938" s="1" t="s">
        <v>58</v>
      </c>
      <c r="F938" s="1" t="s">
        <v>19</v>
      </c>
      <c r="G938" s="1" t="s">
        <v>20</v>
      </c>
      <c r="H938" s="1">
        <v>2</v>
      </c>
      <c r="I938" s="1">
        <v>1662</v>
      </c>
      <c r="J938" s="1">
        <v>2299</v>
      </c>
      <c r="K938" s="1">
        <v>10</v>
      </c>
      <c r="L938" s="1">
        <f>ROUNDDOWN(formatted_data[[#This Row],[Selling_Price]]*formatted_data[[#This Row],[Discount_%]]/100,0)</f>
        <v>229</v>
      </c>
      <c r="M938" s="1">
        <f>(formatted_data[[#This Row],[Selling_Price]]-formatted_data[[#This Row],[Discount_Amount]])*formatted_data[[#This Row],[Units]]</f>
        <v>4140</v>
      </c>
      <c r="N938" s="1">
        <f>formatted_data[[#This Row],[Total_Revenue]]-(formatted_data[[#This Row],[Cost_Price]]*formatted_data[[#This Row],[Units]])</f>
        <v>816</v>
      </c>
      <c r="O938" s="1" t="s">
        <v>33</v>
      </c>
      <c r="P938"/>
    </row>
    <row r="939" spans="1:16" x14ac:dyDescent="0.35">
      <c r="A939" s="1" t="s">
        <v>53</v>
      </c>
      <c r="B939" s="1" t="s">
        <v>27</v>
      </c>
      <c r="C939" s="2">
        <v>45591</v>
      </c>
      <c r="D939" s="1" t="s">
        <v>17</v>
      </c>
      <c r="E939" s="1" t="s">
        <v>48</v>
      </c>
      <c r="F939" s="1" t="s">
        <v>19</v>
      </c>
      <c r="G939" s="1" t="s">
        <v>19</v>
      </c>
      <c r="H939" s="1">
        <v>2</v>
      </c>
      <c r="I939" s="1">
        <v>390</v>
      </c>
      <c r="J939" s="1">
        <v>599</v>
      </c>
      <c r="K939" s="1">
        <v>0</v>
      </c>
      <c r="L939" s="1">
        <f>ROUNDDOWN(formatted_data[[#This Row],[Selling_Price]]*formatted_data[[#This Row],[Discount_%]]/100,0)</f>
        <v>0</v>
      </c>
      <c r="M939" s="1">
        <f>(formatted_data[[#This Row],[Selling_Price]]-formatted_data[[#This Row],[Discount_Amount]])*formatted_data[[#This Row],[Units]]</f>
        <v>1198</v>
      </c>
      <c r="N939" s="1">
        <f>formatted_data[[#This Row],[Total_Revenue]]-(formatted_data[[#This Row],[Cost_Price]]*formatted_data[[#This Row],[Units]])</f>
        <v>418</v>
      </c>
      <c r="O939" s="1" t="s">
        <v>21</v>
      </c>
      <c r="P939"/>
    </row>
    <row r="940" spans="1:16" x14ac:dyDescent="0.35">
      <c r="A940" s="1" t="s">
        <v>109</v>
      </c>
      <c r="B940" s="1" t="s">
        <v>16</v>
      </c>
      <c r="C940" s="2">
        <v>45563</v>
      </c>
      <c r="D940" s="1" t="s">
        <v>28</v>
      </c>
      <c r="E940" s="1" t="s">
        <v>45</v>
      </c>
      <c r="F940" s="1" t="s">
        <v>37</v>
      </c>
      <c r="G940" s="1" t="s">
        <v>20</v>
      </c>
      <c r="H940" s="1">
        <v>2</v>
      </c>
      <c r="I940" s="1">
        <v>735</v>
      </c>
      <c r="J940" s="1">
        <v>1099</v>
      </c>
      <c r="K940" s="1">
        <v>5</v>
      </c>
      <c r="L940" s="1">
        <f>ROUNDDOWN(formatted_data[[#This Row],[Selling_Price]]*formatted_data[[#This Row],[Discount_%]]/100,0)</f>
        <v>54</v>
      </c>
      <c r="M940" s="1">
        <f>(formatted_data[[#This Row],[Selling_Price]]-formatted_data[[#This Row],[Discount_Amount]])*formatted_data[[#This Row],[Units]]</f>
        <v>2090</v>
      </c>
      <c r="N940" s="1">
        <f>formatted_data[[#This Row],[Total_Revenue]]-(formatted_data[[#This Row],[Cost_Price]]*formatted_data[[#This Row],[Units]])</f>
        <v>620</v>
      </c>
      <c r="O940" s="1" t="s">
        <v>33</v>
      </c>
      <c r="P940"/>
    </row>
    <row r="941" spans="1:16" x14ac:dyDescent="0.35">
      <c r="A941" s="1" t="s">
        <v>90</v>
      </c>
      <c r="B941" s="1" t="s">
        <v>27</v>
      </c>
      <c r="C941" s="2">
        <v>45599</v>
      </c>
      <c r="D941" s="1" t="s">
        <v>23</v>
      </c>
      <c r="E941" s="1" t="s">
        <v>24</v>
      </c>
      <c r="F941" s="1" t="s">
        <v>37</v>
      </c>
      <c r="G941" s="1" t="s">
        <v>20</v>
      </c>
      <c r="H941" s="1">
        <v>4</v>
      </c>
      <c r="I941" s="1">
        <v>899</v>
      </c>
      <c r="J941" s="1">
        <v>1699</v>
      </c>
      <c r="K941" s="1">
        <v>10</v>
      </c>
      <c r="L941" s="1">
        <f>ROUNDDOWN(formatted_data[[#This Row],[Selling_Price]]*formatted_data[[#This Row],[Discount_%]]/100,0)</f>
        <v>169</v>
      </c>
      <c r="M941" s="1">
        <f>(formatted_data[[#This Row],[Selling_Price]]-formatted_data[[#This Row],[Discount_Amount]])*formatted_data[[#This Row],[Units]]</f>
        <v>6120</v>
      </c>
      <c r="N941" s="1">
        <f>formatted_data[[#This Row],[Total_Revenue]]-(formatted_data[[#This Row],[Cost_Price]]*formatted_data[[#This Row],[Units]])</f>
        <v>2524</v>
      </c>
      <c r="O941" s="1" t="s">
        <v>33</v>
      </c>
      <c r="P941"/>
    </row>
    <row r="942" spans="1:16" x14ac:dyDescent="0.35">
      <c r="A942" s="1" t="s">
        <v>40</v>
      </c>
      <c r="B942" s="1" t="s">
        <v>27</v>
      </c>
      <c r="C942" s="2">
        <v>45559</v>
      </c>
      <c r="D942" s="1" t="s">
        <v>23</v>
      </c>
      <c r="E942" s="1" t="s">
        <v>24</v>
      </c>
      <c r="F942" s="1" t="s">
        <v>19</v>
      </c>
      <c r="G942" s="1" t="s">
        <v>20</v>
      </c>
      <c r="H942" s="1">
        <v>1</v>
      </c>
      <c r="I942" s="1">
        <v>1468</v>
      </c>
      <c r="J942" s="1">
        <v>2299</v>
      </c>
      <c r="K942" s="1">
        <v>10</v>
      </c>
      <c r="L942" s="1">
        <f>ROUNDDOWN(formatted_data[[#This Row],[Selling_Price]]*formatted_data[[#This Row],[Discount_%]]/100,0)</f>
        <v>229</v>
      </c>
      <c r="M942" s="1">
        <f>(formatted_data[[#This Row],[Selling_Price]]-formatted_data[[#This Row],[Discount_Amount]])*formatted_data[[#This Row],[Units]]</f>
        <v>2070</v>
      </c>
      <c r="N942" s="1">
        <f>formatted_data[[#This Row],[Total_Revenue]]-(formatted_data[[#This Row],[Cost_Price]]*formatted_data[[#This Row],[Units]])</f>
        <v>602</v>
      </c>
      <c r="O942" s="1" t="s">
        <v>21</v>
      </c>
      <c r="P942"/>
    </row>
    <row r="943" spans="1:16" x14ac:dyDescent="0.35">
      <c r="A943" s="1" t="s">
        <v>46</v>
      </c>
      <c r="B943" s="1" t="s">
        <v>16</v>
      </c>
      <c r="C943" s="2">
        <v>45472</v>
      </c>
      <c r="D943" s="1" t="s">
        <v>23</v>
      </c>
      <c r="E943" s="1" t="s">
        <v>24</v>
      </c>
      <c r="F943" s="1" t="s">
        <v>25</v>
      </c>
      <c r="G943" s="1" t="s">
        <v>20</v>
      </c>
      <c r="H943" s="1">
        <v>1</v>
      </c>
      <c r="I943" s="1">
        <v>1033</v>
      </c>
      <c r="J943" s="1">
        <v>1799</v>
      </c>
      <c r="K943" s="1">
        <v>15</v>
      </c>
      <c r="L943" s="1">
        <f>ROUNDDOWN(formatted_data[[#This Row],[Selling_Price]]*formatted_data[[#This Row],[Discount_%]]/100,0)</f>
        <v>269</v>
      </c>
      <c r="M943" s="1">
        <f>(formatted_data[[#This Row],[Selling_Price]]-formatted_data[[#This Row],[Discount_Amount]])*formatted_data[[#This Row],[Units]]</f>
        <v>1530</v>
      </c>
      <c r="N943" s="1">
        <f>formatted_data[[#This Row],[Total_Revenue]]-(formatted_data[[#This Row],[Cost_Price]]*formatted_data[[#This Row],[Units]])</f>
        <v>497</v>
      </c>
      <c r="O943" s="1" t="s">
        <v>21</v>
      </c>
      <c r="P943"/>
    </row>
    <row r="944" spans="1:16" x14ac:dyDescent="0.35">
      <c r="A944" s="1" t="s">
        <v>99</v>
      </c>
      <c r="B944" s="1" t="s">
        <v>27</v>
      </c>
      <c r="C944" s="2">
        <v>45609</v>
      </c>
      <c r="D944" s="1" t="s">
        <v>17</v>
      </c>
      <c r="E944" s="1" t="s">
        <v>72</v>
      </c>
      <c r="F944" s="1" t="s">
        <v>37</v>
      </c>
      <c r="G944" s="1" t="s">
        <v>19</v>
      </c>
      <c r="H944" s="1">
        <v>1</v>
      </c>
      <c r="I944" s="1">
        <v>220</v>
      </c>
      <c r="J944" s="1">
        <v>399</v>
      </c>
      <c r="K944" s="1">
        <v>0</v>
      </c>
      <c r="L944" s="1">
        <f>ROUNDDOWN(formatted_data[[#This Row],[Selling_Price]]*formatted_data[[#This Row],[Discount_%]]/100,0)</f>
        <v>0</v>
      </c>
      <c r="M944" s="1">
        <f>(formatted_data[[#This Row],[Selling_Price]]-formatted_data[[#This Row],[Discount_Amount]])*formatted_data[[#This Row],[Units]]</f>
        <v>399</v>
      </c>
      <c r="N944" s="1">
        <f>formatted_data[[#This Row],[Total_Revenue]]-(formatted_data[[#This Row],[Cost_Price]]*formatted_data[[#This Row],[Units]])</f>
        <v>179</v>
      </c>
      <c r="O944" s="1" t="s">
        <v>21</v>
      </c>
      <c r="P944"/>
    </row>
    <row r="945" spans="1:16" x14ac:dyDescent="0.35">
      <c r="A945" s="1" t="s">
        <v>63</v>
      </c>
      <c r="B945" s="1" t="s">
        <v>27</v>
      </c>
      <c r="C945" s="2">
        <v>45616</v>
      </c>
      <c r="D945" s="1" t="s">
        <v>28</v>
      </c>
      <c r="E945" s="1" t="s">
        <v>29</v>
      </c>
      <c r="F945" s="1" t="s">
        <v>19</v>
      </c>
      <c r="G945" s="1" t="s">
        <v>20</v>
      </c>
      <c r="H945" s="1">
        <v>3</v>
      </c>
      <c r="I945" s="1">
        <v>363</v>
      </c>
      <c r="J945" s="1">
        <v>499</v>
      </c>
      <c r="K945" s="1">
        <v>5</v>
      </c>
      <c r="L945" s="1">
        <f>ROUNDDOWN(formatted_data[[#This Row],[Selling_Price]]*formatted_data[[#This Row],[Discount_%]]/100,0)</f>
        <v>24</v>
      </c>
      <c r="M945" s="1">
        <f>(formatted_data[[#This Row],[Selling_Price]]-formatted_data[[#This Row],[Discount_Amount]])*formatted_data[[#This Row],[Units]]</f>
        <v>1425</v>
      </c>
      <c r="N945" s="1">
        <f>formatted_data[[#This Row],[Total_Revenue]]-(formatted_data[[#This Row],[Cost_Price]]*formatted_data[[#This Row],[Units]])</f>
        <v>336</v>
      </c>
      <c r="O945" s="1" t="s">
        <v>33</v>
      </c>
      <c r="P945"/>
    </row>
    <row r="946" spans="1:16" x14ac:dyDescent="0.35">
      <c r="A946" s="1" t="s">
        <v>89</v>
      </c>
      <c r="B946" s="1" t="s">
        <v>16</v>
      </c>
      <c r="C946" s="2">
        <v>45480</v>
      </c>
      <c r="D946" s="1" t="s">
        <v>35</v>
      </c>
      <c r="E946" s="1" t="s">
        <v>58</v>
      </c>
      <c r="F946" s="1" t="s">
        <v>25</v>
      </c>
      <c r="G946" s="1" t="s">
        <v>19</v>
      </c>
      <c r="H946" s="1">
        <v>5</v>
      </c>
      <c r="I946" s="1">
        <v>1404</v>
      </c>
      <c r="J946" s="1">
        <v>1899</v>
      </c>
      <c r="K946" s="1">
        <v>20</v>
      </c>
      <c r="L946" s="1">
        <f>ROUNDDOWN(formatted_data[[#This Row],[Selling_Price]]*formatted_data[[#This Row],[Discount_%]]/100,0)</f>
        <v>379</v>
      </c>
      <c r="M946" s="1">
        <f>(formatted_data[[#This Row],[Selling_Price]]-formatted_data[[#This Row],[Discount_Amount]])*formatted_data[[#This Row],[Units]]</f>
        <v>7600</v>
      </c>
      <c r="N946" s="1">
        <f>formatted_data[[#This Row],[Total_Revenue]]-(formatted_data[[#This Row],[Cost_Price]]*formatted_data[[#This Row],[Units]])</f>
        <v>580</v>
      </c>
      <c r="O946" s="1" t="s">
        <v>21</v>
      </c>
      <c r="P946"/>
    </row>
    <row r="947" spans="1:16" x14ac:dyDescent="0.35">
      <c r="A947" s="1" t="s">
        <v>81</v>
      </c>
      <c r="B947" s="1" t="s">
        <v>27</v>
      </c>
      <c r="C947" s="2">
        <v>45530</v>
      </c>
      <c r="D947" s="1" t="s">
        <v>35</v>
      </c>
      <c r="E947" s="1" t="s">
        <v>41</v>
      </c>
      <c r="F947" s="1" t="s">
        <v>19</v>
      </c>
      <c r="G947" s="1" t="s">
        <v>19</v>
      </c>
      <c r="H947" s="1">
        <v>1</v>
      </c>
      <c r="I947" s="1">
        <v>344</v>
      </c>
      <c r="J947" s="1">
        <v>599</v>
      </c>
      <c r="K947" s="1">
        <v>5</v>
      </c>
      <c r="L947" s="1">
        <f>ROUNDDOWN(formatted_data[[#This Row],[Selling_Price]]*formatted_data[[#This Row],[Discount_%]]/100,0)</f>
        <v>29</v>
      </c>
      <c r="M947" s="1">
        <f>(formatted_data[[#This Row],[Selling_Price]]-formatted_data[[#This Row],[Discount_Amount]])*formatted_data[[#This Row],[Units]]</f>
        <v>570</v>
      </c>
      <c r="N947" s="1">
        <f>formatted_data[[#This Row],[Total_Revenue]]-(formatted_data[[#This Row],[Cost_Price]]*formatted_data[[#This Row],[Units]])</f>
        <v>226</v>
      </c>
      <c r="O947" s="1" t="s">
        <v>21</v>
      </c>
      <c r="P947"/>
    </row>
    <row r="948" spans="1:16" x14ac:dyDescent="0.35">
      <c r="A948" s="1" t="s">
        <v>108</v>
      </c>
      <c r="B948" s="1" t="s">
        <v>27</v>
      </c>
      <c r="C948" s="2">
        <v>45446</v>
      </c>
      <c r="D948" s="1" t="s">
        <v>35</v>
      </c>
      <c r="E948" s="1" t="s">
        <v>50</v>
      </c>
      <c r="F948" s="1" t="s">
        <v>25</v>
      </c>
      <c r="G948" s="1" t="s">
        <v>19</v>
      </c>
      <c r="H948" s="1">
        <v>4</v>
      </c>
      <c r="I948" s="1">
        <v>917</v>
      </c>
      <c r="J948" s="1">
        <v>1799</v>
      </c>
      <c r="K948" s="1">
        <v>15</v>
      </c>
      <c r="L948" s="1">
        <f>ROUNDDOWN(formatted_data[[#This Row],[Selling_Price]]*formatted_data[[#This Row],[Discount_%]]/100,0)</f>
        <v>269</v>
      </c>
      <c r="M948" s="1">
        <f>(formatted_data[[#This Row],[Selling_Price]]-formatted_data[[#This Row],[Discount_Amount]])*formatted_data[[#This Row],[Units]]</f>
        <v>6120</v>
      </c>
      <c r="N948" s="1">
        <f>formatted_data[[#This Row],[Total_Revenue]]-(formatted_data[[#This Row],[Cost_Price]]*formatted_data[[#This Row],[Units]])</f>
        <v>2452</v>
      </c>
      <c r="O948" s="1" t="s">
        <v>21</v>
      </c>
      <c r="P948"/>
    </row>
    <row r="949" spans="1:16" x14ac:dyDescent="0.35">
      <c r="A949" s="1" t="s">
        <v>61</v>
      </c>
      <c r="B949" s="1" t="s">
        <v>27</v>
      </c>
      <c r="C949" s="2">
        <v>45527</v>
      </c>
      <c r="D949" s="1" t="s">
        <v>17</v>
      </c>
      <c r="E949" s="1" t="s">
        <v>72</v>
      </c>
      <c r="F949" s="1" t="s">
        <v>25</v>
      </c>
      <c r="G949" s="1" t="s">
        <v>19</v>
      </c>
      <c r="H949" s="1">
        <v>1</v>
      </c>
      <c r="I949" s="1">
        <v>367</v>
      </c>
      <c r="J949" s="1">
        <v>499</v>
      </c>
      <c r="K949" s="1">
        <v>0</v>
      </c>
      <c r="L949" s="1">
        <f>ROUNDDOWN(formatted_data[[#This Row],[Selling_Price]]*formatted_data[[#This Row],[Discount_%]]/100,0)</f>
        <v>0</v>
      </c>
      <c r="M949" s="1">
        <f>(formatted_data[[#This Row],[Selling_Price]]-formatted_data[[#This Row],[Discount_Amount]])*formatted_data[[#This Row],[Units]]</f>
        <v>499</v>
      </c>
      <c r="N949" s="1">
        <f>formatted_data[[#This Row],[Total_Revenue]]-(formatted_data[[#This Row],[Cost_Price]]*formatted_data[[#This Row],[Units]])</f>
        <v>132</v>
      </c>
      <c r="O949" s="1" t="s">
        <v>33</v>
      </c>
      <c r="P949"/>
    </row>
    <row r="950" spans="1:16" x14ac:dyDescent="0.35">
      <c r="A950" s="1" t="s">
        <v>80</v>
      </c>
      <c r="B950" s="1" t="s">
        <v>27</v>
      </c>
      <c r="C950" s="2">
        <v>45640</v>
      </c>
      <c r="D950" s="1" t="s">
        <v>35</v>
      </c>
      <c r="E950" s="1" t="s">
        <v>58</v>
      </c>
      <c r="F950" s="1" t="s">
        <v>25</v>
      </c>
      <c r="G950" s="1" t="s">
        <v>19</v>
      </c>
      <c r="H950" s="1">
        <v>1</v>
      </c>
      <c r="I950" s="1">
        <v>1053</v>
      </c>
      <c r="J950" s="1">
        <v>1599</v>
      </c>
      <c r="K950" s="1">
        <v>5</v>
      </c>
      <c r="L950" s="1">
        <f>ROUNDDOWN(formatted_data[[#This Row],[Selling_Price]]*formatted_data[[#This Row],[Discount_%]]/100,0)</f>
        <v>79</v>
      </c>
      <c r="M950" s="1">
        <f>(formatted_data[[#This Row],[Selling_Price]]-formatted_data[[#This Row],[Discount_Amount]])*formatted_data[[#This Row],[Units]]</f>
        <v>1520</v>
      </c>
      <c r="N950" s="1">
        <f>formatted_data[[#This Row],[Total_Revenue]]-(formatted_data[[#This Row],[Cost_Price]]*formatted_data[[#This Row],[Units]])</f>
        <v>467</v>
      </c>
      <c r="O950" s="1" t="s">
        <v>21</v>
      </c>
      <c r="P950"/>
    </row>
    <row r="951" spans="1:16" x14ac:dyDescent="0.35">
      <c r="A951" s="1" t="s">
        <v>67</v>
      </c>
      <c r="B951" s="1" t="s">
        <v>27</v>
      </c>
      <c r="C951" s="2">
        <v>45647</v>
      </c>
      <c r="D951" s="1" t="s">
        <v>31</v>
      </c>
      <c r="E951" s="1" t="s">
        <v>76</v>
      </c>
      <c r="F951" s="1" t="s">
        <v>25</v>
      </c>
      <c r="G951" s="1" t="s">
        <v>20</v>
      </c>
      <c r="H951" s="1">
        <v>1</v>
      </c>
      <c r="I951" s="1">
        <v>831</v>
      </c>
      <c r="J951" s="1">
        <v>1499</v>
      </c>
      <c r="K951" s="1">
        <v>0</v>
      </c>
      <c r="L951" s="1">
        <f>ROUNDDOWN(formatted_data[[#This Row],[Selling_Price]]*formatted_data[[#This Row],[Discount_%]]/100,0)</f>
        <v>0</v>
      </c>
      <c r="M951" s="1">
        <f>(formatted_data[[#This Row],[Selling_Price]]-formatted_data[[#This Row],[Discount_Amount]])*formatted_data[[#This Row],[Units]]</f>
        <v>1499</v>
      </c>
      <c r="N951" s="1">
        <f>formatted_data[[#This Row],[Total_Revenue]]-(formatted_data[[#This Row],[Cost_Price]]*formatted_data[[#This Row],[Units]])</f>
        <v>668</v>
      </c>
      <c r="O951" s="1" t="s">
        <v>21</v>
      </c>
      <c r="P951"/>
    </row>
    <row r="952" spans="1:16" x14ac:dyDescent="0.35">
      <c r="A952" s="1" t="s">
        <v>44</v>
      </c>
      <c r="B952" s="1" t="s">
        <v>16</v>
      </c>
      <c r="C952" s="2">
        <v>45510</v>
      </c>
      <c r="D952" s="1" t="s">
        <v>23</v>
      </c>
      <c r="E952" s="1" t="s">
        <v>43</v>
      </c>
      <c r="F952" s="1" t="s">
        <v>37</v>
      </c>
      <c r="G952" s="1" t="s">
        <v>20</v>
      </c>
      <c r="H952" s="1">
        <v>1</v>
      </c>
      <c r="I952" s="1">
        <v>2505</v>
      </c>
      <c r="J952" s="1">
        <v>3399</v>
      </c>
      <c r="K952" s="1">
        <v>10</v>
      </c>
      <c r="L952" s="1">
        <f>ROUNDDOWN(formatted_data[[#This Row],[Selling_Price]]*formatted_data[[#This Row],[Discount_%]]/100,0)</f>
        <v>339</v>
      </c>
      <c r="M952" s="1">
        <f>(formatted_data[[#This Row],[Selling_Price]]-formatted_data[[#This Row],[Discount_Amount]])*formatted_data[[#This Row],[Units]]</f>
        <v>3060</v>
      </c>
      <c r="N952" s="1">
        <f>formatted_data[[#This Row],[Total_Revenue]]-(formatted_data[[#This Row],[Cost_Price]]*formatted_data[[#This Row],[Units]])</f>
        <v>555</v>
      </c>
      <c r="O952" s="1" t="s">
        <v>21</v>
      </c>
      <c r="P952"/>
    </row>
    <row r="953" spans="1:16" x14ac:dyDescent="0.35">
      <c r="A953" s="1" t="s">
        <v>57</v>
      </c>
      <c r="B953" s="1" t="s">
        <v>27</v>
      </c>
      <c r="C953" s="2">
        <v>45518</v>
      </c>
      <c r="D953" s="1" t="s">
        <v>31</v>
      </c>
      <c r="E953" s="1" t="s">
        <v>76</v>
      </c>
      <c r="F953" s="1" t="s">
        <v>19</v>
      </c>
      <c r="G953" s="1" t="s">
        <v>19</v>
      </c>
      <c r="H953" s="1">
        <v>1</v>
      </c>
      <c r="I953" s="1">
        <v>889</v>
      </c>
      <c r="J953" s="1">
        <v>1199</v>
      </c>
      <c r="K953" s="1">
        <v>0</v>
      </c>
      <c r="L953" s="1">
        <f>ROUNDDOWN(formatted_data[[#This Row],[Selling_Price]]*formatted_data[[#This Row],[Discount_%]]/100,0)</f>
        <v>0</v>
      </c>
      <c r="M953" s="1">
        <f>(formatted_data[[#This Row],[Selling_Price]]-formatted_data[[#This Row],[Discount_Amount]])*formatted_data[[#This Row],[Units]]</f>
        <v>1199</v>
      </c>
      <c r="N953" s="1">
        <f>formatted_data[[#This Row],[Total_Revenue]]-(formatted_data[[#This Row],[Cost_Price]]*formatted_data[[#This Row],[Units]])</f>
        <v>310</v>
      </c>
      <c r="O953" s="1" t="s">
        <v>21</v>
      </c>
      <c r="P953"/>
    </row>
    <row r="954" spans="1:16" x14ac:dyDescent="0.35">
      <c r="A954" s="1" t="s">
        <v>66</v>
      </c>
      <c r="B954" s="1" t="s">
        <v>27</v>
      </c>
      <c r="C954" s="2">
        <v>45536</v>
      </c>
      <c r="D954" s="1" t="s">
        <v>28</v>
      </c>
      <c r="E954" s="1" t="s">
        <v>45</v>
      </c>
      <c r="F954" s="1" t="s">
        <v>25</v>
      </c>
      <c r="G954" s="1" t="s">
        <v>19</v>
      </c>
      <c r="H954" s="1">
        <v>1</v>
      </c>
      <c r="I954" s="1">
        <v>891</v>
      </c>
      <c r="J954" s="1">
        <v>1699</v>
      </c>
      <c r="K954" s="1">
        <v>10</v>
      </c>
      <c r="L954" s="1">
        <f>ROUNDDOWN(formatted_data[[#This Row],[Selling_Price]]*formatted_data[[#This Row],[Discount_%]]/100,0)</f>
        <v>169</v>
      </c>
      <c r="M954" s="1">
        <f>(formatted_data[[#This Row],[Selling_Price]]-formatted_data[[#This Row],[Discount_Amount]])*formatted_data[[#This Row],[Units]]</f>
        <v>1530</v>
      </c>
      <c r="N954" s="1">
        <f>formatted_data[[#This Row],[Total_Revenue]]-(formatted_data[[#This Row],[Cost_Price]]*formatted_data[[#This Row],[Units]])</f>
        <v>639</v>
      </c>
      <c r="O954" s="1" t="s">
        <v>21</v>
      </c>
      <c r="P954"/>
    </row>
    <row r="955" spans="1:16" x14ac:dyDescent="0.35">
      <c r="A955" s="1" t="s">
        <v>59</v>
      </c>
      <c r="B955" s="1" t="s">
        <v>27</v>
      </c>
      <c r="C955" s="2">
        <v>45617</v>
      </c>
      <c r="D955" s="1" t="s">
        <v>17</v>
      </c>
      <c r="E955" s="1" t="s">
        <v>18</v>
      </c>
      <c r="F955" s="1" t="s">
        <v>25</v>
      </c>
      <c r="G955" s="1" t="s">
        <v>20</v>
      </c>
      <c r="H955" s="1">
        <v>1</v>
      </c>
      <c r="I955" s="1">
        <v>311</v>
      </c>
      <c r="J955" s="1">
        <v>599</v>
      </c>
      <c r="K955" s="1">
        <v>0</v>
      </c>
      <c r="L955" s="1">
        <f>ROUNDDOWN(formatted_data[[#This Row],[Selling_Price]]*formatted_data[[#This Row],[Discount_%]]/100,0)</f>
        <v>0</v>
      </c>
      <c r="M955" s="1">
        <f>(formatted_data[[#This Row],[Selling_Price]]-formatted_data[[#This Row],[Discount_Amount]])*formatted_data[[#This Row],[Units]]</f>
        <v>599</v>
      </c>
      <c r="N955" s="1">
        <f>formatted_data[[#This Row],[Total_Revenue]]-(formatted_data[[#This Row],[Cost_Price]]*formatted_data[[#This Row],[Units]])</f>
        <v>288</v>
      </c>
      <c r="O955" s="1" t="s">
        <v>21</v>
      </c>
      <c r="P955"/>
    </row>
    <row r="956" spans="1:16" x14ac:dyDescent="0.35">
      <c r="A956" s="1" t="s">
        <v>57</v>
      </c>
      <c r="B956" s="1" t="s">
        <v>27</v>
      </c>
      <c r="C956" s="2">
        <v>45531</v>
      </c>
      <c r="D956" s="1" t="s">
        <v>23</v>
      </c>
      <c r="E956" s="1" t="s">
        <v>24</v>
      </c>
      <c r="F956" s="1" t="s">
        <v>25</v>
      </c>
      <c r="G956" s="1" t="s">
        <v>20</v>
      </c>
      <c r="H956" s="1">
        <v>3</v>
      </c>
      <c r="I956" s="1">
        <v>705</v>
      </c>
      <c r="J956" s="1">
        <v>1299</v>
      </c>
      <c r="K956" s="1">
        <v>20</v>
      </c>
      <c r="L956" s="1">
        <f>ROUNDDOWN(formatted_data[[#This Row],[Selling_Price]]*formatted_data[[#This Row],[Discount_%]]/100,0)</f>
        <v>259</v>
      </c>
      <c r="M956" s="1">
        <f>(formatted_data[[#This Row],[Selling_Price]]-formatted_data[[#This Row],[Discount_Amount]])*formatted_data[[#This Row],[Units]]</f>
        <v>3120</v>
      </c>
      <c r="N956" s="1">
        <f>formatted_data[[#This Row],[Total_Revenue]]-(formatted_data[[#This Row],[Cost_Price]]*formatted_data[[#This Row],[Units]])</f>
        <v>1005</v>
      </c>
      <c r="O956" s="1" t="s">
        <v>33</v>
      </c>
      <c r="P956"/>
    </row>
    <row r="957" spans="1:16" x14ac:dyDescent="0.35">
      <c r="A957" s="1" t="s">
        <v>84</v>
      </c>
      <c r="B957" s="1" t="s">
        <v>27</v>
      </c>
      <c r="C957" s="2">
        <v>45494</v>
      </c>
      <c r="D957" s="1" t="s">
        <v>23</v>
      </c>
      <c r="E957" s="1" t="s">
        <v>43</v>
      </c>
      <c r="F957" s="1" t="s">
        <v>25</v>
      </c>
      <c r="G957" s="1" t="s">
        <v>19</v>
      </c>
      <c r="H957" s="1">
        <v>4</v>
      </c>
      <c r="I957" s="1">
        <v>1173</v>
      </c>
      <c r="J957" s="1">
        <v>2199</v>
      </c>
      <c r="K957" s="1">
        <v>10</v>
      </c>
      <c r="L957" s="1">
        <f>ROUNDDOWN(formatted_data[[#This Row],[Selling_Price]]*formatted_data[[#This Row],[Discount_%]]/100,0)</f>
        <v>219</v>
      </c>
      <c r="M957" s="1">
        <f>(formatted_data[[#This Row],[Selling_Price]]-formatted_data[[#This Row],[Discount_Amount]])*formatted_data[[#This Row],[Units]]</f>
        <v>7920</v>
      </c>
      <c r="N957" s="1">
        <f>formatted_data[[#This Row],[Total_Revenue]]-(formatted_data[[#This Row],[Cost_Price]]*formatted_data[[#This Row],[Units]])</f>
        <v>3228</v>
      </c>
      <c r="O957" s="1" t="s">
        <v>21</v>
      </c>
      <c r="P957"/>
    </row>
    <row r="958" spans="1:16" x14ac:dyDescent="0.35">
      <c r="A958" s="1" t="s">
        <v>49</v>
      </c>
      <c r="B958" s="1" t="s">
        <v>27</v>
      </c>
      <c r="C958" s="2">
        <v>45619</v>
      </c>
      <c r="D958" s="1" t="s">
        <v>17</v>
      </c>
      <c r="E958" s="1" t="s">
        <v>48</v>
      </c>
      <c r="F958" s="1" t="s">
        <v>37</v>
      </c>
      <c r="G958" s="1" t="s">
        <v>19</v>
      </c>
      <c r="H958" s="1">
        <v>4</v>
      </c>
      <c r="I958" s="1">
        <v>246</v>
      </c>
      <c r="J958" s="1">
        <v>399</v>
      </c>
      <c r="K958" s="1">
        <v>0</v>
      </c>
      <c r="L958" s="1">
        <f>ROUNDDOWN(formatted_data[[#This Row],[Selling_Price]]*formatted_data[[#This Row],[Discount_%]]/100,0)</f>
        <v>0</v>
      </c>
      <c r="M958" s="1">
        <f>(formatted_data[[#This Row],[Selling_Price]]-formatted_data[[#This Row],[Discount_Amount]])*formatted_data[[#This Row],[Units]]</f>
        <v>1596</v>
      </c>
      <c r="N958" s="1">
        <f>formatted_data[[#This Row],[Total_Revenue]]-(formatted_data[[#This Row],[Cost_Price]]*formatted_data[[#This Row],[Units]])</f>
        <v>612</v>
      </c>
      <c r="O958" s="1" t="s">
        <v>21</v>
      </c>
      <c r="P958"/>
    </row>
    <row r="959" spans="1:16" x14ac:dyDescent="0.35">
      <c r="A959" s="1" t="s">
        <v>34</v>
      </c>
      <c r="B959" s="1" t="s">
        <v>27</v>
      </c>
      <c r="C959" s="2">
        <v>45610</v>
      </c>
      <c r="D959" s="1" t="s">
        <v>35</v>
      </c>
      <c r="E959" s="1" t="s">
        <v>39</v>
      </c>
      <c r="F959" s="1" t="s">
        <v>19</v>
      </c>
      <c r="G959" s="1" t="s">
        <v>19</v>
      </c>
      <c r="H959" s="1">
        <v>2</v>
      </c>
      <c r="I959" s="1">
        <v>806</v>
      </c>
      <c r="J959" s="1">
        <v>1199</v>
      </c>
      <c r="K959" s="1">
        <v>10</v>
      </c>
      <c r="L959" s="1">
        <f>ROUNDDOWN(formatted_data[[#This Row],[Selling_Price]]*formatted_data[[#This Row],[Discount_%]]/100,0)</f>
        <v>119</v>
      </c>
      <c r="M959" s="1">
        <f>(formatted_data[[#This Row],[Selling_Price]]-formatted_data[[#This Row],[Discount_Amount]])*formatted_data[[#This Row],[Units]]</f>
        <v>2160</v>
      </c>
      <c r="N959" s="1">
        <f>formatted_data[[#This Row],[Total_Revenue]]-(formatted_data[[#This Row],[Cost_Price]]*formatted_data[[#This Row],[Units]])</f>
        <v>548</v>
      </c>
      <c r="O959" s="1" t="s">
        <v>21</v>
      </c>
      <c r="P959"/>
    </row>
    <row r="960" spans="1:16" x14ac:dyDescent="0.35">
      <c r="A960" s="1" t="s">
        <v>22</v>
      </c>
      <c r="B960" s="1" t="s">
        <v>16</v>
      </c>
      <c r="C960" s="2">
        <v>45465</v>
      </c>
      <c r="D960" s="1" t="s">
        <v>35</v>
      </c>
      <c r="E960" s="1" t="s">
        <v>39</v>
      </c>
      <c r="F960" s="1" t="s">
        <v>19</v>
      </c>
      <c r="G960" s="1" t="s">
        <v>19</v>
      </c>
      <c r="H960" s="1">
        <v>5</v>
      </c>
      <c r="I960" s="1">
        <v>531</v>
      </c>
      <c r="J960" s="1">
        <v>799</v>
      </c>
      <c r="K960" s="1">
        <v>5</v>
      </c>
      <c r="L960" s="1">
        <f>ROUNDDOWN(formatted_data[[#This Row],[Selling_Price]]*formatted_data[[#This Row],[Discount_%]]/100,0)</f>
        <v>39</v>
      </c>
      <c r="M960" s="1">
        <f>(formatted_data[[#This Row],[Selling_Price]]-formatted_data[[#This Row],[Discount_Amount]])*formatted_data[[#This Row],[Units]]</f>
        <v>3800</v>
      </c>
      <c r="N960" s="1">
        <f>formatted_data[[#This Row],[Total_Revenue]]-(formatted_data[[#This Row],[Cost_Price]]*formatted_data[[#This Row],[Units]])</f>
        <v>1145</v>
      </c>
      <c r="O960" s="1" t="s">
        <v>21</v>
      </c>
      <c r="P960"/>
    </row>
    <row r="961" spans="1:16" x14ac:dyDescent="0.35">
      <c r="A961" s="1" t="s">
        <v>94</v>
      </c>
      <c r="B961" s="1" t="s">
        <v>16</v>
      </c>
      <c r="C961" s="2">
        <v>45614</v>
      </c>
      <c r="D961" s="1" t="s">
        <v>31</v>
      </c>
      <c r="E961" s="1" t="s">
        <v>32</v>
      </c>
      <c r="F961" s="1" t="s">
        <v>19</v>
      </c>
      <c r="G961" s="1" t="s">
        <v>20</v>
      </c>
      <c r="H961" s="1">
        <v>4</v>
      </c>
      <c r="I961" s="1">
        <v>792</v>
      </c>
      <c r="J961" s="1">
        <v>1399</v>
      </c>
      <c r="K961" s="1">
        <v>0</v>
      </c>
      <c r="L961" s="1">
        <f>ROUNDDOWN(formatted_data[[#This Row],[Selling_Price]]*formatted_data[[#This Row],[Discount_%]]/100,0)</f>
        <v>0</v>
      </c>
      <c r="M961" s="1">
        <f>(formatted_data[[#This Row],[Selling_Price]]-formatted_data[[#This Row],[Discount_Amount]])*formatted_data[[#This Row],[Units]]</f>
        <v>5596</v>
      </c>
      <c r="N961" s="1">
        <f>formatted_data[[#This Row],[Total_Revenue]]-(formatted_data[[#This Row],[Cost_Price]]*formatted_data[[#This Row],[Units]])</f>
        <v>2428</v>
      </c>
      <c r="O961" s="1" t="s">
        <v>33</v>
      </c>
      <c r="P961"/>
    </row>
    <row r="962" spans="1:16" x14ac:dyDescent="0.35">
      <c r="A962" s="1" t="s">
        <v>52</v>
      </c>
      <c r="B962" s="1" t="s">
        <v>27</v>
      </c>
      <c r="C962" s="2">
        <v>45627</v>
      </c>
      <c r="D962" s="1" t="s">
        <v>23</v>
      </c>
      <c r="E962" s="1" t="s">
        <v>24</v>
      </c>
      <c r="F962" s="1" t="s">
        <v>37</v>
      </c>
      <c r="G962" s="1" t="s">
        <v>19</v>
      </c>
      <c r="H962" s="1">
        <v>2</v>
      </c>
      <c r="I962" s="1">
        <v>994</v>
      </c>
      <c r="J962" s="1">
        <v>1499</v>
      </c>
      <c r="K962" s="1">
        <v>15</v>
      </c>
      <c r="L962" s="1">
        <f>ROUNDDOWN(formatted_data[[#This Row],[Selling_Price]]*formatted_data[[#This Row],[Discount_%]]/100,0)</f>
        <v>224</v>
      </c>
      <c r="M962" s="1">
        <f>(formatted_data[[#This Row],[Selling_Price]]-formatted_data[[#This Row],[Discount_Amount]])*formatted_data[[#This Row],[Units]]</f>
        <v>2550</v>
      </c>
      <c r="N962" s="1">
        <f>formatted_data[[#This Row],[Total_Revenue]]-(formatted_data[[#This Row],[Cost_Price]]*formatted_data[[#This Row],[Units]])</f>
        <v>562</v>
      </c>
      <c r="O962" s="1" t="s">
        <v>33</v>
      </c>
      <c r="P962"/>
    </row>
    <row r="963" spans="1:16" x14ac:dyDescent="0.35">
      <c r="A963" s="1" t="s">
        <v>90</v>
      </c>
      <c r="B963" s="1" t="s">
        <v>27</v>
      </c>
      <c r="C963" s="2">
        <v>45523</v>
      </c>
      <c r="D963" s="1" t="s">
        <v>35</v>
      </c>
      <c r="E963" s="1" t="s">
        <v>39</v>
      </c>
      <c r="F963" s="1" t="s">
        <v>25</v>
      </c>
      <c r="G963" s="1" t="s">
        <v>19</v>
      </c>
      <c r="H963" s="1">
        <v>2</v>
      </c>
      <c r="I963" s="1">
        <v>657</v>
      </c>
      <c r="J963" s="1">
        <v>1199</v>
      </c>
      <c r="K963" s="1">
        <v>10</v>
      </c>
      <c r="L963" s="1">
        <f>ROUNDDOWN(formatted_data[[#This Row],[Selling_Price]]*formatted_data[[#This Row],[Discount_%]]/100,0)</f>
        <v>119</v>
      </c>
      <c r="M963" s="1">
        <f>(formatted_data[[#This Row],[Selling_Price]]-formatted_data[[#This Row],[Discount_Amount]])*formatted_data[[#This Row],[Units]]</f>
        <v>2160</v>
      </c>
      <c r="N963" s="1">
        <f>formatted_data[[#This Row],[Total_Revenue]]-(formatted_data[[#This Row],[Cost_Price]]*formatted_data[[#This Row],[Units]])</f>
        <v>846</v>
      </c>
      <c r="O963" s="1" t="s">
        <v>21</v>
      </c>
      <c r="P963"/>
    </row>
    <row r="964" spans="1:16" x14ac:dyDescent="0.35">
      <c r="A964" s="1" t="s">
        <v>91</v>
      </c>
      <c r="B964" s="1" t="s">
        <v>16</v>
      </c>
      <c r="C964" s="2">
        <v>45583</v>
      </c>
      <c r="D964" s="1" t="s">
        <v>31</v>
      </c>
      <c r="E964" s="1" t="s">
        <v>32</v>
      </c>
      <c r="F964" s="1" t="s">
        <v>25</v>
      </c>
      <c r="G964" s="1" t="s">
        <v>19</v>
      </c>
      <c r="H964" s="1">
        <v>4</v>
      </c>
      <c r="I964" s="1">
        <v>826</v>
      </c>
      <c r="J964" s="1">
        <v>1499</v>
      </c>
      <c r="K964" s="1">
        <v>0</v>
      </c>
      <c r="L964" s="1">
        <f>ROUNDDOWN(formatted_data[[#This Row],[Selling_Price]]*formatted_data[[#This Row],[Discount_%]]/100,0)</f>
        <v>0</v>
      </c>
      <c r="M964" s="1">
        <f>(formatted_data[[#This Row],[Selling_Price]]-formatted_data[[#This Row],[Discount_Amount]])*formatted_data[[#This Row],[Units]]</f>
        <v>5996</v>
      </c>
      <c r="N964" s="1">
        <f>formatted_data[[#This Row],[Total_Revenue]]-(formatted_data[[#This Row],[Cost_Price]]*formatted_data[[#This Row],[Units]])</f>
        <v>2692</v>
      </c>
      <c r="O964" s="1" t="s">
        <v>21</v>
      </c>
      <c r="P964"/>
    </row>
    <row r="965" spans="1:16" x14ac:dyDescent="0.35">
      <c r="A965" s="1" t="s">
        <v>54</v>
      </c>
      <c r="B965" s="1" t="s">
        <v>27</v>
      </c>
      <c r="C965" s="2">
        <v>45450</v>
      </c>
      <c r="D965" s="1" t="s">
        <v>23</v>
      </c>
      <c r="E965" s="1" t="s">
        <v>24</v>
      </c>
      <c r="F965" s="1" t="s">
        <v>37</v>
      </c>
      <c r="G965" s="1" t="s">
        <v>19</v>
      </c>
      <c r="H965" s="1">
        <v>1</v>
      </c>
      <c r="I965" s="1">
        <v>653</v>
      </c>
      <c r="J965" s="1">
        <v>1199</v>
      </c>
      <c r="K965" s="1">
        <v>10</v>
      </c>
      <c r="L965" s="1">
        <f>ROUNDDOWN(formatted_data[[#This Row],[Selling_Price]]*formatted_data[[#This Row],[Discount_%]]/100,0)</f>
        <v>119</v>
      </c>
      <c r="M965" s="1">
        <f>(formatted_data[[#This Row],[Selling_Price]]-formatted_data[[#This Row],[Discount_Amount]])*formatted_data[[#This Row],[Units]]</f>
        <v>1080</v>
      </c>
      <c r="N965" s="1">
        <f>formatted_data[[#This Row],[Total_Revenue]]-(formatted_data[[#This Row],[Cost_Price]]*formatted_data[[#This Row],[Units]])</f>
        <v>427</v>
      </c>
      <c r="O965" s="1" t="s">
        <v>21</v>
      </c>
      <c r="P965"/>
    </row>
    <row r="966" spans="1:16" x14ac:dyDescent="0.35">
      <c r="A966" s="1" t="s">
        <v>61</v>
      </c>
      <c r="B966" s="1" t="s">
        <v>27</v>
      </c>
      <c r="C966" s="2">
        <v>45567</v>
      </c>
      <c r="D966" s="1" t="s">
        <v>28</v>
      </c>
      <c r="E966" s="1" t="s">
        <v>29</v>
      </c>
      <c r="F966" s="1" t="s">
        <v>37</v>
      </c>
      <c r="G966" s="1" t="s">
        <v>19</v>
      </c>
      <c r="H966" s="1">
        <v>1</v>
      </c>
      <c r="I966" s="1">
        <v>432</v>
      </c>
      <c r="J966" s="1">
        <v>599</v>
      </c>
      <c r="K966" s="1">
        <v>10</v>
      </c>
      <c r="L966" s="1">
        <f>ROUNDDOWN(formatted_data[[#This Row],[Selling_Price]]*formatted_data[[#This Row],[Discount_%]]/100,0)</f>
        <v>59</v>
      </c>
      <c r="M966" s="1">
        <f>(formatted_data[[#This Row],[Selling_Price]]-formatted_data[[#This Row],[Discount_Amount]])*formatted_data[[#This Row],[Units]]</f>
        <v>540</v>
      </c>
      <c r="N966" s="1">
        <f>formatted_data[[#This Row],[Total_Revenue]]-(formatted_data[[#This Row],[Cost_Price]]*formatted_data[[#This Row],[Units]])</f>
        <v>108</v>
      </c>
      <c r="O966" s="1" t="s">
        <v>33</v>
      </c>
      <c r="P966"/>
    </row>
    <row r="967" spans="1:16" x14ac:dyDescent="0.35">
      <c r="A967" s="1" t="s">
        <v>54</v>
      </c>
      <c r="B967" s="1" t="s">
        <v>27</v>
      </c>
      <c r="C967" s="2">
        <v>45570</v>
      </c>
      <c r="D967" s="1" t="s">
        <v>35</v>
      </c>
      <c r="E967" s="1" t="s">
        <v>39</v>
      </c>
      <c r="F967" s="1" t="s">
        <v>19</v>
      </c>
      <c r="G967" s="1" t="s">
        <v>20</v>
      </c>
      <c r="H967" s="1">
        <v>1</v>
      </c>
      <c r="I967" s="1">
        <v>527</v>
      </c>
      <c r="J967" s="1">
        <v>799</v>
      </c>
      <c r="K967" s="1">
        <v>10</v>
      </c>
      <c r="L967" s="1">
        <f>ROUNDDOWN(formatted_data[[#This Row],[Selling_Price]]*formatted_data[[#This Row],[Discount_%]]/100,0)</f>
        <v>79</v>
      </c>
      <c r="M967" s="1">
        <f>(formatted_data[[#This Row],[Selling_Price]]-formatted_data[[#This Row],[Discount_Amount]])*formatted_data[[#This Row],[Units]]</f>
        <v>720</v>
      </c>
      <c r="N967" s="1">
        <f>formatted_data[[#This Row],[Total_Revenue]]-(formatted_data[[#This Row],[Cost_Price]]*formatted_data[[#This Row],[Units]])</f>
        <v>193</v>
      </c>
      <c r="O967" s="1" t="s">
        <v>33</v>
      </c>
      <c r="P967"/>
    </row>
    <row r="968" spans="1:16" x14ac:dyDescent="0.35">
      <c r="A968" s="1" t="s">
        <v>63</v>
      </c>
      <c r="B968" s="1" t="s">
        <v>27</v>
      </c>
      <c r="C968" s="2">
        <v>45499</v>
      </c>
      <c r="D968" s="1" t="s">
        <v>31</v>
      </c>
      <c r="E968" s="1" t="s">
        <v>32</v>
      </c>
      <c r="F968" s="1" t="s">
        <v>25</v>
      </c>
      <c r="G968" s="1" t="s">
        <v>20</v>
      </c>
      <c r="H968" s="1">
        <v>1</v>
      </c>
      <c r="I968" s="1">
        <v>653</v>
      </c>
      <c r="J968" s="1">
        <v>899</v>
      </c>
      <c r="K968" s="1">
        <v>0</v>
      </c>
      <c r="L968" s="1">
        <f>ROUNDDOWN(formatted_data[[#This Row],[Selling_Price]]*formatted_data[[#This Row],[Discount_%]]/100,0)</f>
        <v>0</v>
      </c>
      <c r="M968" s="1">
        <f>(formatted_data[[#This Row],[Selling_Price]]-formatted_data[[#This Row],[Discount_Amount]])*formatted_data[[#This Row],[Units]]</f>
        <v>899</v>
      </c>
      <c r="N968" s="1">
        <f>formatted_data[[#This Row],[Total_Revenue]]-(formatted_data[[#This Row],[Cost_Price]]*formatted_data[[#This Row],[Units]])</f>
        <v>246</v>
      </c>
      <c r="O968" s="1" t="s">
        <v>33</v>
      </c>
      <c r="P968"/>
    </row>
    <row r="969" spans="1:16" x14ac:dyDescent="0.35">
      <c r="A969" s="1" t="s">
        <v>30</v>
      </c>
      <c r="B969" s="1" t="s">
        <v>16</v>
      </c>
      <c r="C969" s="2">
        <v>45523</v>
      </c>
      <c r="D969" s="1" t="s">
        <v>23</v>
      </c>
      <c r="E969" s="1" t="s">
        <v>43</v>
      </c>
      <c r="F969" s="1" t="s">
        <v>19</v>
      </c>
      <c r="G969" s="1" t="s">
        <v>20</v>
      </c>
      <c r="H969" s="1">
        <v>1</v>
      </c>
      <c r="I969" s="1">
        <v>3069</v>
      </c>
      <c r="J969" s="1">
        <v>4299</v>
      </c>
      <c r="K969" s="1">
        <v>5</v>
      </c>
      <c r="L969" s="1">
        <f>ROUNDDOWN(formatted_data[[#This Row],[Selling_Price]]*formatted_data[[#This Row],[Discount_%]]/100,0)</f>
        <v>214</v>
      </c>
      <c r="M969" s="1">
        <f>(formatted_data[[#This Row],[Selling_Price]]-formatted_data[[#This Row],[Discount_Amount]])*formatted_data[[#This Row],[Units]]</f>
        <v>4085</v>
      </c>
      <c r="N969" s="1">
        <f>formatted_data[[#This Row],[Total_Revenue]]-(formatted_data[[#This Row],[Cost_Price]]*formatted_data[[#This Row],[Units]])</f>
        <v>1016</v>
      </c>
      <c r="O969" s="1" t="s">
        <v>21</v>
      </c>
      <c r="P969"/>
    </row>
    <row r="970" spans="1:16" x14ac:dyDescent="0.35">
      <c r="A970" s="1" t="s">
        <v>34</v>
      </c>
      <c r="B970" s="1" t="s">
        <v>27</v>
      </c>
      <c r="C970" s="2">
        <v>45651</v>
      </c>
      <c r="D970" s="1" t="s">
        <v>31</v>
      </c>
      <c r="E970" s="1" t="s">
        <v>32</v>
      </c>
      <c r="F970" s="1" t="s">
        <v>19</v>
      </c>
      <c r="G970" s="1" t="s">
        <v>19</v>
      </c>
      <c r="H970" s="1">
        <v>2</v>
      </c>
      <c r="I970" s="1">
        <v>553</v>
      </c>
      <c r="J970" s="1">
        <v>999</v>
      </c>
      <c r="K970" s="1">
        <v>0</v>
      </c>
      <c r="L970" s="1">
        <f>ROUNDDOWN(formatted_data[[#This Row],[Selling_Price]]*formatted_data[[#This Row],[Discount_%]]/100,0)</f>
        <v>0</v>
      </c>
      <c r="M970" s="1">
        <f>(formatted_data[[#This Row],[Selling_Price]]-formatted_data[[#This Row],[Discount_Amount]])*formatted_data[[#This Row],[Units]]</f>
        <v>1998</v>
      </c>
      <c r="N970" s="1">
        <f>formatted_data[[#This Row],[Total_Revenue]]-(formatted_data[[#This Row],[Cost_Price]]*formatted_data[[#This Row],[Units]])</f>
        <v>892</v>
      </c>
      <c r="O970" s="1" t="s">
        <v>21</v>
      </c>
      <c r="P970"/>
    </row>
    <row r="971" spans="1:16" x14ac:dyDescent="0.35">
      <c r="A971" s="1" t="s">
        <v>77</v>
      </c>
      <c r="B971" s="1" t="s">
        <v>27</v>
      </c>
      <c r="C971" s="2">
        <v>45639</v>
      </c>
      <c r="D971" s="1" t="s">
        <v>31</v>
      </c>
      <c r="E971" s="1" t="s">
        <v>32</v>
      </c>
      <c r="F971" s="1" t="s">
        <v>37</v>
      </c>
      <c r="G971" s="1" t="s">
        <v>19</v>
      </c>
      <c r="H971" s="1">
        <v>1</v>
      </c>
      <c r="I971" s="1">
        <v>718</v>
      </c>
      <c r="J971" s="1">
        <v>999</v>
      </c>
      <c r="K971" s="1">
        <v>0</v>
      </c>
      <c r="L971" s="1">
        <f>ROUNDDOWN(formatted_data[[#This Row],[Selling_Price]]*formatted_data[[#This Row],[Discount_%]]/100,0)</f>
        <v>0</v>
      </c>
      <c r="M971" s="1">
        <f>(formatted_data[[#This Row],[Selling_Price]]-formatted_data[[#This Row],[Discount_Amount]])*formatted_data[[#This Row],[Units]]</f>
        <v>999</v>
      </c>
      <c r="N971" s="1">
        <f>formatted_data[[#This Row],[Total_Revenue]]-(formatted_data[[#This Row],[Cost_Price]]*formatted_data[[#This Row],[Units]])</f>
        <v>281</v>
      </c>
      <c r="O971" s="1" t="s">
        <v>21</v>
      </c>
      <c r="P971"/>
    </row>
    <row r="972" spans="1:16" x14ac:dyDescent="0.35">
      <c r="A972" s="1" t="s">
        <v>66</v>
      </c>
      <c r="B972" s="1" t="s">
        <v>27</v>
      </c>
      <c r="C972" s="2">
        <v>45586</v>
      </c>
      <c r="D972" s="1" t="s">
        <v>35</v>
      </c>
      <c r="E972" s="1" t="s">
        <v>100</v>
      </c>
      <c r="F972" s="1" t="s">
        <v>25</v>
      </c>
      <c r="G972" s="1" t="s">
        <v>19</v>
      </c>
      <c r="H972" s="1">
        <v>1</v>
      </c>
      <c r="I972" s="1">
        <v>765</v>
      </c>
      <c r="J972" s="1">
        <v>1199</v>
      </c>
      <c r="K972" s="1">
        <v>10</v>
      </c>
      <c r="L972" s="1">
        <f>ROUNDDOWN(formatted_data[[#This Row],[Selling_Price]]*formatted_data[[#This Row],[Discount_%]]/100,0)</f>
        <v>119</v>
      </c>
      <c r="M972" s="1">
        <f>(formatted_data[[#This Row],[Selling_Price]]-formatted_data[[#This Row],[Discount_Amount]])*formatted_data[[#This Row],[Units]]</f>
        <v>1080</v>
      </c>
      <c r="N972" s="1">
        <f>formatted_data[[#This Row],[Total_Revenue]]-(formatted_data[[#This Row],[Cost_Price]]*formatted_data[[#This Row],[Units]])</f>
        <v>315</v>
      </c>
      <c r="O972" s="1" t="s">
        <v>21</v>
      </c>
      <c r="P972"/>
    </row>
    <row r="973" spans="1:16" x14ac:dyDescent="0.35">
      <c r="A973" s="1" t="s">
        <v>63</v>
      </c>
      <c r="B973" s="1" t="s">
        <v>27</v>
      </c>
      <c r="C973" s="2">
        <v>45645</v>
      </c>
      <c r="D973" s="1" t="s">
        <v>35</v>
      </c>
      <c r="E973" s="1" t="s">
        <v>87</v>
      </c>
      <c r="F973" s="1" t="s">
        <v>19</v>
      </c>
      <c r="G973" s="1" t="s">
        <v>20</v>
      </c>
      <c r="H973" s="1">
        <v>1</v>
      </c>
      <c r="I973" s="1">
        <v>1970</v>
      </c>
      <c r="J973" s="1">
        <v>3599</v>
      </c>
      <c r="K973" s="1">
        <v>15</v>
      </c>
      <c r="L973" s="1">
        <f>ROUNDDOWN(formatted_data[[#This Row],[Selling_Price]]*formatted_data[[#This Row],[Discount_%]]/100,0)</f>
        <v>539</v>
      </c>
      <c r="M973" s="1">
        <f>(formatted_data[[#This Row],[Selling_Price]]-formatted_data[[#This Row],[Discount_Amount]])*formatted_data[[#This Row],[Units]]</f>
        <v>3060</v>
      </c>
      <c r="N973" s="1">
        <f>formatted_data[[#This Row],[Total_Revenue]]-(formatted_data[[#This Row],[Cost_Price]]*formatted_data[[#This Row],[Units]])</f>
        <v>1090</v>
      </c>
      <c r="O973" s="1" t="s">
        <v>33</v>
      </c>
      <c r="P973"/>
    </row>
    <row r="974" spans="1:16" x14ac:dyDescent="0.35">
      <c r="A974" s="1" t="s">
        <v>63</v>
      </c>
      <c r="B974" s="1" t="s">
        <v>27</v>
      </c>
      <c r="C974" s="2">
        <v>45506</v>
      </c>
      <c r="D974" s="1" t="s">
        <v>31</v>
      </c>
      <c r="E974" s="1" t="s">
        <v>76</v>
      </c>
      <c r="F974" s="1" t="s">
        <v>19</v>
      </c>
      <c r="G974" s="1" t="s">
        <v>19</v>
      </c>
      <c r="H974" s="1">
        <v>1</v>
      </c>
      <c r="I974" s="1">
        <v>624</v>
      </c>
      <c r="J974" s="1">
        <v>999</v>
      </c>
      <c r="K974" s="1">
        <v>0</v>
      </c>
      <c r="L974" s="1">
        <f>ROUNDDOWN(formatted_data[[#This Row],[Selling_Price]]*formatted_data[[#This Row],[Discount_%]]/100,0)</f>
        <v>0</v>
      </c>
      <c r="M974" s="1">
        <f>(formatted_data[[#This Row],[Selling_Price]]-formatted_data[[#This Row],[Discount_Amount]])*formatted_data[[#This Row],[Units]]</f>
        <v>999</v>
      </c>
      <c r="N974" s="1">
        <f>formatted_data[[#This Row],[Total_Revenue]]-(formatted_data[[#This Row],[Cost_Price]]*formatted_data[[#This Row],[Units]])</f>
        <v>375</v>
      </c>
      <c r="O974" s="1" t="s">
        <v>21</v>
      </c>
      <c r="P974"/>
    </row>
    <row r="975" spans="1:16" x14ac:dyDescent="0.35">
      <c r="A975" s="1" t="s">
        <v>26</v>
      </c>
      <c r="B975" s="1" t="s">
        <v>27</v>
      </c>
      <c r="C975" s="2">
        <v>45486</v>
      </c>
      <c r="D975" s="1" t="s">
        <v>35</v>
      </c>
      <c r="E975" s="1" t="s">
        <v>87</v>
      </c>
      <c r="F975" s="1" t="s">
        <v>37</v>
      </c>
      <c r="G975" s="1" t="s">
        <v>19</v>
      </c>
      <c r="H975" s="1">
        <v>1</v>
      </c>
      <c r="I975" s="1">
        <v>1510</v>
      </c>
      <c r="J975" s="1">
        <v>2799</v>
      </c>
      <c r="K975" s="1">
        <v>10</v>
      </c>
      <c r="L975" s="1">
        <f>ROUNDDOWN(formatted_data[[#This Row],[Selling_Price]]*formatted_data[[#This Row],[Discount_%]]/100,0)</f>
        <v>279</v>
      </c>
      <c r="M975" s="1">
        <f>(formatted_data[[#This Row],[Selling_Price]]-formatted_data[[#This Row],[Discount_Amount]])*formatted_data[[#This Row],[Units]]</f>
        <v>2520</v>
      </c>
      <c r="N975" s="1">
        <f>formatted_data[[#This Row],[Total_Revenue]]-(formatted_data[[#This Row],[Cost_Price]]*formatted_data[[#This Row],[Units]])</f>
        <v>1010</v>
      </c>
      <c r="O975" s="1" t="s">
        <v>33</v>
      </c>
      <c r="P975"/>
    </row>
    <row r="976" spans="1:16" x14ac:dyDescent="0.35">
      <c r="A976" s="1" t="s">
        <v>34</v>
      </c>
      <c r="B976" s="1" t="s">
        <v>27</v>
      </c>
      <c r="C976" s="2">
        <v>45506</v>
      </c>
      <c r="D976" s="1" t="s">
        <v>35</v>
      </c>
      <c r="E976" s="1" t="s">
        <v>41</v>
      </c>
      <c r="F976" s="1" t="s">
        <v>37</v>
      </c>
      <c r="G976" s="1" t="s">
        <v>20</v>
      </c>
      <c r="H976" s="1">
        <v>1</v>
      </c>
      <c r="I976" s="1">
        <v>562</v>
      </c>
      <c r="J976" s="1">
        <v>999</v>
      </c>
      <c r="K976" s="1">
        <v>20</v>
      </c>
      <c r="L976" s="1">
        <f>ROUNDDOWN(formatted_data[[#This Row],[Selling_Price]]*formatted_data[[#This Row],[Discount_%]]/100,0)</f>
        <v>199</v>
      </c>
      <c r="M976" s="1">
        <f>(formatted_data[[#This Row],[Selling_Price]]-formatted_data[[#This Row],[Discount_Amount]])*formatted_data[[#This Row],[Units]]</f>
        <v>800</v>
      </c>
      <c r="N976" s="1">
        <f>formatted_data[[#This Row],[Total_Revenue]]-(formatted_data[[#This Row],[Cost_Price]]*formatted_data[[#This Row],[Units]])</f>
        <v>238</v>
      </c>
      <c r="O976" s="1" t="s">
        <v>21</v>
      </c>
      <c r="P976"/>
    </row>
    <row r="977" spans="1:16" x14ac:dyDescent="0.35">
      <c r="A977" s="1" t="s">
        <v>26</v>
      </c>
      <c r="B977" s="1" t="s">
        <v>27</v>
      </c>
      <c r="C977" s="2">
        <v>45577</v>
      </c>
      <c r="D977" s="1" t="s">
        <v>35</v>
      </c>
      <c r="E977" s="1" t="s">
        <v>41</v>
      </c>
      <c r="F977" s="1" t="s">
        <v>19</v>
      </c>
      <c r="G977" s="1" t="s">
        <v>19</v>
      </c>
      <c r="H977" s="1">
        <v>1</v>
      </c>
      <c r="I977" s="1">
        <v>306</v>
      </c>
      <c r="J977" s="1">
        <v>599</v>
      </c>
      <c r="K977" s="1">
        <v>15</v>
      </c>
      <c r="L977" s="1">
        <f>ROUNDDOWN(formatted_data[[#This Row],[Selling_Price]]*formatted_data[[#This Row],[Discount_%]]/100,0)</f>
        <v>89</v>
      </c>
      <c r="M977" s="1">
        <f>(formatted_data[[#This Row],[Selling_Price]]-formatted_data[[#This Row],[Discount_Amount]])*formatted_data[[#This Row],[Units]]</f>
        <v>510</v>
      </c>
      <c r="N977" s="1">
        <f>formatted_data[[#This Row],[Total_Revenue]]-(formatted_data[[#This Row],[Cost_Price]]*formatted_data[[#This Row],[Units]])</f>
        <v>204</v>
      </c>
      <c r="O977" s="1" t="s">
        <v>21</v>
      </c>
      <c r="P977"/>
    </row>
    <row r="978" spans="1:16" x14ac:dyDescent="0.35">
      <c r="A978" s="1" t="s">
        <v>95</v>
      </c>
      <c r="B978" s="1" t="s">
        <v>27</v>
      </c>
      <c r="C978" s="2">
        <v>45499</v>
      </c>
      <c r="D978" s="1" t="s">
        <v>28</v>
      </c>
      <c r="E978" s="1" t="s">
        <v>29</v>
      </c>
      <c r="F978" s="1" t="s">
        <v>19</v>
      </c>
      <c r="G978" s="1" t="s">
        <v>20</v>
      </c>
      <c r="H978" s="1">
        <v>1</v>
      </c>
      <c r="I978" s="1">
        <v>499</v>
      </c>
      <c r="J978" s="1">
        <v>699</v>
      </c>
      <c r="K978" s="1">
        <v>20</v>
      </c>
      <c r="L978" s="1">
        <f>ROUNDDOWN(formatted_data[[#This Row],[Selling_Price]]*formatted_data[[#This Row],[Discount_%]]/100,0)</f>
        <v>139</v>
      </c>
      <c r="M978" s="1">
        <f>(formatted_data[[#This Row],[Selling_Price]]-formatted_data[[#This Row],[Discount_Amount]])*formatted_data[[#This Row],[Units]]</f>
        <v>560</v>
      </c>
      <c r="N978" s="1">
        <f>formatted_data[[#This Row],[Total_Revenue]]-(formatted_data[[#This Row],[Cost_Price]]*formatted_data[[#This Row],[Units]])</f>
        <v>61</v>
      </c>
      <c r="O978" s="1" t="s">
        <v>33</v>
      </c>
      <c r="P978"/>
    </row>
    <row r="979" spans="1:16" x14ac:dyDescent="0.35">
      <c r="A979" s="1" t="s">
        <v>82</v>
      </c>
      <c r="B979" s="1" t="s">
        <v>27</v>
      </c>
      <c r="C979" s="2">
        <v>45462</v>
      </c>
      <c r="D979" s="1" t="s">
        <v>31</v>
      </c>
      <c r="E979" s="1" t="s">
        <v>32</v>
      </c>
      <c r="F979" s="1" t="s">
        <v>19</v>
      </c>
      <c r="G979" s="1" t="s">
        <v>20</v>
      </c>
      <c r="H979" s="1">
        <v>1</v>
      </c>
      <c r="I979" s="1">
        <v>665</v>
      </c>
      <c r="J979" s="1">
        <v>1199</v>
      </c>
      <c r="K979" s="1">
        <v>0</v>
      </c>
      <c r="L979" s="1">
        <f>ROUNDDOWN(formatted_data[[#This Row],[Selling_Price]]*formatted_data[[#This Row],[Discount_%]]/100,0)</f>
        <v>0</v>
      </c>
      <c r="M979" s="1">
        <f>(formatted_data[[#This Row],[Selling_Price]]-formatted_data[[#This Row],[Discount_Amount]])*formatted_data[[#This Row],[Units]]</f>
        <v>1199</v>
      </c>
      <c r="N979" s="1">
        <f>formatted_data[[#This Row],[Total_Revenue]]-(formatted_data[[#This Row],[Cost_Price]]*formatted_data[[#This Row],[Units]])</f>
        <v>534</v>
      </c>
      <c r="O979" s="1" t="s">
        <v>33</v>
      </c>
      <c r="P979"/>
    </row>
    <row r="980" spans="1:16" x14ac:dyDescent="0.35">
      <c r="A980" s="1" t="s">
        <v>105</v>
      </c>
      <c r="B980" s="1" t="s">
        <v>16</v>
      </c>
      <c r="C980" s="2">
        <v>45521</v>
      </c>
      <c r="D980" s="1" t="s">
        <v>35</v>
      </c>
      <c r="E980" s="1" t="s">
        <v>50</v>
      </c>
      <c r="F980" s="1" t="s">
        <v>25</v>
      </c>
      <c r="G980" s="1" t="s">
        <v>19</v>
      </c>
      <c r="H980" s="1">
        <v>1</v>
      </c>
      <c r="I980" s="1">
        <v>1368</v>
      </c>
      <c r="J980" s="1">
        <v>1899</v>
      </c>
      <c r="K980" s="1">
        <v>20</v>
      </c>
      <c r="L980" s="1">
        <f>ROUNDDOWN(formatted_data[[#This Row],[Selling_Price]]*formatted_data[[#This Row],[Discount_%]]/100,0)</f>
        <v>379</v>
      </c>
      <c r="M980" s="1">
        <f>(formatted_data[[#This Row],[Selling_Price]]-formatted_data[[#This Row],[Discount_Amount]])*formatted_data[[#This Row],[Units]]</f>
        <v>1520</v>
      </c>
      <c r="N980" s="1">
        <f>formatted_data[[#This Row],[Total_Revenue]]-(formatted_data[[#This Row],[Cost_Price]]*formatted_data[[#This Row],[Units]])</f>
        <v>152</v>
      </c>
      <c r="O980" s="1" t="s">
        <v>21</v>
      </c>
      <c r="P980"/>
    </row>
    <row r="981" spans="1:16" x14ac:dyDescent="0.35">
      <c r="A981" s="1" t="s">
        <v>80</v>
      </c>
      <c r="B981" s="1" t="s">
        <v>27</v>
      </c>
      <c r="C981" s="2">
        <v>45565</v>
      </c>
      <c r="D981" s="1" t="s">
        <v>17</v>
      </c>
      <c r="E981" s="1" t="s">
        <v>55</v>
      </c>
      <c r="F981" s="1" t="s">
        <v>19</v>
      </c>
      <c r="G981" s="1" t="s">
        <v>20</v>
      </c>
      <c r="H981" s="1">
        <v>2</v>
      </c>
      <c r="I981" s="1">
        <v>178</v>
      </c>
      <c r="J981" s="1">
        <v>299</v>
      </c>
      <c r="K981" s="1">
        <v>0</v>
      </c>
      <c r="L981" s="1">
        <f>ROUNDDOWN(formatted_data[[#This Row],[Selling_Price]]*formatted_data[[#This Row],[Discount_%]]/100,0)</f>
        <v>0</v>
      </c>
      <c r="M981" s="1">
        <f>(formatted_data[[#This Row],[Selling_Price]]-formatted_data[[#This Row],[Discount_Amount]])*formatted_data[[#This Row],[Units]]</f>
        <v>598</v>
      </c>
      <c r="N981" s="1">
        <f>formatted_data[[#This Row],[Total_Revenue]]-(formatted_data[[#This Row],[Cost_Price]]*formatted_data[[#This Row],[Units]])</f>
        <v>242</v>
      </c>
      <c r="O981" s="1" t="s">
        <v>21</v>
      </c>
      <c r="P981"/>
    </row>
    <row r="982" spans="1:16" x14ac:dyDescent="0.35">
      <c r="A982" s="1" t="s">
        <v>86</v>
      </c>
      <c r="B982" s="1" t="s">
        <v>27</v>
      </c>
      <c r="C982" s="2">
        <v>45654</v>
      </c>
      <c r="D982" s="1" t="s">
        <v>35</v>
      </c>
      <c r="E982" s="1" t="s">
        <v>58</v>
      </c>
      <c r="F982" s="1" t="s">
        <v>25</v>
      </c>
      <c r="G982" s="1" t="s">
        <v>20</v>
      </c>
      <c r="H982" s="1">
        <v>1</v>
      </c>
      <c r="I982" s="1">
        <v>1076</v>
      </c>
      <c r="J982" s="1">
        <v>1899</v>
      </c>
      <c r="K982" s="1">
        <v>20</v>
      </c>
      <c r="L982" s="1">
        <f>ROUNDDOWN(formatted_data[[#This Row],[Selling_Price]]*formatted_data[[#This Row],[Discount_%]]/100,0)</f>
        <v>379</v>
      </c>
      <c r="M982" s="1">
        <f>(formatted_data[[#This Row],[Selling_Price]]-formatted_data[[#This Row],[Discount_Amount]])*formatted_data[[#This Row],[Units]]</f>
        <v>1520</v>
      </c>
      <c r="N982" s="1">
        <f>formatted_data[[#This Row],[Total_Revenue]]-(formatted_data[[#This Row],[Cost_Price]]*formatted_data[[#This Row],[Units]])</f>
        <v>444</v>
      </c>
      <c r="O982" s="1" t="s">
        <v>21</v>
      </c>
      <c r="P982"/>
    </row>
    <row r="983" spans="1:16" x14ac:dyDescent="0.35">
      <c r="A983" s="1" t="s">
        <v>64</v>
      </c>
      <c r="B983" s="1" t="s">
        <v>16</v>
      </c>
      <c r="C983" s="2">
        <v>45562</v>
      </c>
      <c r="D983" s="1" t="s">
        <v>31</v>
      </c>
      <c r="E983" s="1" t="s">
        <v>76</v>
      </c>
      <c r="F983" s="1" t="s">
        <v>19</v>
      </c>
      <c r="G983" s="1" t="s">
        <v>19</v>
      </c>
      <c r="H983" s="1">
        <v>1</v>
      </c>
      <c r="I983" s="1">
        <v>481</v>
      </c>
      <c r="J983" s="1">
        <v>799</v>
      </c>
      <c r="K983" s="1">
        <v>0</v>
      </c>
      <c r="L983" s="1">
        <f>ROUNDDOWN(formatted_data[[#This Row],[Selling_Price]]*formatted_data[[#This Row],[Discount_%]]/100,0)</f>
        <v>0</v>
      </c>
      <c r="M983" s="1">
        <f>(formatted_data[[#This Row],[Selling_Price]]-formatted_data[[#This Row],[Discount_Amount]])*formatted_data[[#This Row],[Units]]</f>
        <v>799</v>
      </c>
      <c r="N983" s="1">
        <f>formatted_data[[#This Row],[Total_Revenue]]-(formatted_data[[#This Row],[Cost_Price]]*formatted_data[[#This Row],[Units]])</f>
        <v>318</v>
      </c>
      <c r="O983" s="1" t="s">
        <v>33</v>
      </c>
      <c r="P983"/>
    </row>
    <row r="984" spans="1:16" x14ac:dyDescent="0.35">
      <c r="A984" s="1" t="s">
        <v>83</v>
      </c>
      <c r="B984" s="1" t="s">
        <v>27</v>
      </c>
      <c r="C984" s="2">
        <v>45636</v>
      </c>
      <c r="D984" s="1" t="s">
        <v>23</v>
      </c>
      <c r="E984" s="1" t="s">
        <v>24</v>
      </c>
      <c r="F984" s="1" t="s">
        <v>25</v>
      </c>
      <c r="G984" s="1" t="s">
        <v>19</v>
      </c>
      <c r="H984" s="1">
        <v>2</v>
      </c>
      <c r="I984" s="1">
        <v>665</v>
      </c>
      <c r="J984" s="1">
        <v>999</v>
      </c>
      <c r="K984" s="1">
        <v>20</v>
      </c>
      <c r="L984" s="1">
        <f>ROUNDDOWN(formatted_data[[#This Row],[Selling_Price]]*formatted_data[[#This Row],[Discount_%]]/100,0)</f>
        <v>199</v>
      </c>
      <c r="M984" s="1">
        <f>(formatted_data[[#This Row],[Selling_Price]]-formatted_data[[#This Row],[Discount_Amount]])*formatted_data[[#This Row],[Units]]</f>
        <v>1600</v>
      </c>
      <c r="N984" s="1">
        <f>formatted_data[[#This Row],[Total_Revenue]]-(formatted_data[[#This Row],[Cost_Price]]*formatted_data[[#This Row],[Units]])</f>
        <v>270</v>
      </c>
      <c r="O984" s="1" t="s">
        <v>21</v>
      </c>
      <c r="P984"/>
    </row>
    <row r="985" spans="1:16" x14ac:dyDescent="0.35">
      <c r="A985" s="1" t="s">
        <v>38</v>
      </c>
      <c r="B985" s="1" t="s">
        <v>27</v>
      </c>
      <c r="C985" s="2">
        <v>45594</v>
      </c>
      <c r="D985" s="1" t="s">
        <v>35</v>
      </c>
      <c r="E985" s="1" t="s">
        <v>58</v>
      </c>
      <c r="F985" s="1" t="s">
        <v>25</v>
      </c>
      <c r="G985" s="1" t="s">
        <v>20</v>
      </c>
      <c r="H985" s="1">
        <v>2</v>
      </c>
      <c r="I985" s="1">
        <v>796</v>
      </c>
      <c r="J985" s="1">
        <v>1299</v>
      </c>
      <c r="K985" s="1">
        <v>20</v>
      </c>
      <c r="L985" s="1">
        <f>ROUNDDOWN(formatted_data[[#This Row],[Selling_Price]]*formatted_data[[#This Row],[Discount_%]]/100,0)</f>
        <v>259</v>
      </c>
      <c r="M985" s="1">
        <f>(formatted_data[[#This Row],[Selling_Price]]-formatted_data[[#This Row],[Discount_Amount]])*formatted_data[[#This Row],[Units]]</f>
        <v>2080</v>
      </c>
      <c r="N985" s="1">
        <f>formatted_data[[#This Row],[Total_Revenue]]-(formatted_data[[#This Row],[Cost_Price]]*formatted_data[[#This Row],[Units]])</f>
        <v>488</v>
      </c>
      <c r="O985" s="1" t="s">
        <v>21</v>
      </c>
      <c r="P985"/>
    </row>
    <row r="986" spans="1:16" x14ac:dyDescent="0.35">
      <c r="A986" s="1" t="s">
        <v>85</v>
      </c>
      <c r="B986" s="1" t="s">
        <v>27</v>
      </c>
      <c r="C986" s="2">
        <v>45616</v>
      </c>
      <c r="D986" s="1" t="s">
        <v>35</v>
      </c>
      <c r="E986" s="1" t="s">
        <v>50</v>
      </c>
      <c r="F986" s="1" t="s">
        <v>25</v>
      </c>
      <c r="G986" s="1" t="s">
        <v>20</v>
      </c>
      <c r="H986" s="1">
        <v>4</v>
      </c>
      <c r="I986" s="1">
        <v>586</v>
      </c>
      <c r="J986" s="1">
        <v>999</v>
      </c>
      <c r="K986" s="1">
        <v>20</v>
      </c>
      <c r="L986" s="1">
        <f>ROUNDDOWN(formatted_data[[#This Row],[Selling_Price]]*formatted_data[[#This Row],[Discount_%]]/100,0)</f>
        <v>199</v>
      </c>
      <c r="M986" s="1">
        <f>(formatted_data[[#This Row],[Selling_Price]]-formatted_data[[#This Row],[Discount_Amount]])*formatted_data[[#This Row],[Units]]</f>
        <v>3200</v>
      </c>
      <c r="N986" s="1">
        <f>formatted_data[[#This Row],[Total_Revenue]]-(formatted_data[[#This Row],[Cost_Price]]*formatted_data[[#This Row],[Units]])</f>
        <v>856</v>
      </c>
      <c r="O986" s="1" t="s">
        <v>33</v>
      </c>
      <c r="P986"/>
    </row>
    <row r="987" spans="1:16" x14ac:dyDescent="0.35">
      <c r="A987" s="1" t="s">
        <v>59</v>
      </c>
      <c r="B987" s="1" t="s">
        <v>27</v>
      </c>
      <c r="C987" s="2">
        <v>45596</v>
      </c>
      <c r="D987" s="1" t="s">
        <v>23</v>
      </c>
      <c r="E987" s="1" t="s">
        <v>24</v>
      </c>
      <c r="F987" s="1" t="s">
        <v>37</v>
      </c>
      <c r="G987" s="1" t="s">
        <v>20</v>
      </c>
      <c r="H987" s="1">
        <v>3</v>
      </c>
      <c r="I987" s="1">
        <v>839</v>
      </c>
      <c r="J987" s="1">
        <v>1199</v>
      </c>
      <c r="K987" s="1">
        <v>15</v>
      </c>
      <c r="L987" s="1">
        <f>ROUNDDOWN(formatted_data[[#This Row],[Selling_Price]]*formatted_data[[#This Row],[Discount_%]]/100,0)</f>
        <v>179</v>
      </c>
      <c r="M987" s="1">
        <f>(formatted_data[[#This Row],[Selling_Price]]-formatted_data[[#This Row],[Discount_Amount]])*formatted_data[[#This Row],[Units]]</f>
        <v>3060</v>
      </c>
      <c r="N987" s="1">
        <f>formatted_data[[#This Row],[Total_Revenue]]-(formatted_data[[#This Row],[Cost_Price]]*formatted_data[[#This Row],[Units]])</f>
        <v>543</v>
      </c>
      <c r="O987" s="1" t="s">
        <v>33</v>
      </c>
      <c r="P987"/>
    </row>
    <row r="988" spans="1:16" x14ac:dyDescent="0.35">
      <c r="A988" s="1" t="s">
        <v>84</v>
      </c>
      <c r="B988" s="1" t="s">
        <v>27</v>
      </c>
      <c r="C988" s="2">
        <v>45503</v>
      </c>
      <c r="D988" s="1" t="s">
        <v>35</v>
      </c>
      <c r="E988" s="1" t="s">
        <v>58</v>
      </c>
      <c r="F988" s="1" t="s">
        <v>25</v>
      </c>
      <c r="G988" s="1" t="s">
        <v>20</v>
      </c>
      <c r="H988" s="1">
        <v>1</v>
      </c>
      <c r="I988" s="1">
        <v>1502</v>
      </c>
      <c r="J988" s="1">
        <v>2399</v>
      </c>
      <c r="K988" s="1">
        <v>15</v>
      </c>
      <c r="L988" s="1">
        <f>ROUNDDOWN(formatted_data[[#This Row],[Selling_Price]]*formatted_data[[#This Row],[Discount_%]]/100,0)</f>
        <v>359</v>
      </c>
      <c r="M988" s="1">
        <f>(formatted_data[[#This Row],[Selling_Price]]-formatted_data[[#This Row],[Discount_Amount]])*formatted_data[[#This Row],[Units]]</f>
        <v>2040</v>
      </c>
      <c r="N988" s="1">
        <f>formatted_data[[#This Row],[Total_Revenue]]-(formatted_data[[#This Row],[Cost_Price]]*formatted_data[[#This Row],[Units]])</f>
        <v>538</v>
      </c>
      <c r="O988" s="1" t="s">
        <v>21</v>
      </c>
      <c r="P988"/>
    </row>
    <row r="989" spans="1:16" x14ac:dyDescent="0.35">
      <c r="A989" s="1" t="s">
        <v>98</v>
      </c>
      <c r="B989" s="1" t="s">
        <v>16</v>
      </c>
      <c r="C989" s="2">
        <v>45650</v>
      </c>
      <c r="D989" s="1" t="s">
        <v>28</v>
      </c>
      <c r="E989" s="1" t="s">
        <v>45</v>
      </c>
      <c r="F989" s="1" t="s">
        <v>37</v>
      </c>
      <c r="G989" s="1" t="s">
        <v>20</v>
      </c>
      <c r="H989" s="1">
        <v>1</v>
      </c>
      <c r="I989" s="1">
        <v>664</v>
      </c>
      <c r="J989" s="1">
        <v>1299</v>
      </c>
      <c r="K989" s="1">
        <v>20</v>
      </c>
      <c r="L989" s="1">
        <f>ROUNDDOWN(formatted_data[[#This Row],[Selling_Price]]*formatted_data[[#This Row],[Discount_%]]/100,0)</f>
        <v>259</v>
      </c>
      <c r="M989" s="1">
        <f>(formatted_data[[#This Row],[Selling_Price]]-formatted_data[[#This Row],[Discount_Amount]])*formatted_data[[#This Row],[Units]]</f>
        <v>1040</v>
      </c>
      <c r="N989" s="1">
        <f>formatted_data[[#This Row],[Total_Revenue]]-(formatted_data[[#This Row],[Cost_Price]]*formatted_data[[#This Row],[Units]])</f>
        <v>376</v>
      </c>
      <c r="O989" s="1" t="s">
        <v>21</v>
      </c>
      <c r="P989"/>
    </row>
    <row r="990" spans="1:16" x14ac:dyDescent="0.35">
      <c r="A990" s="1" t="s">
        <v>69</v>
      </c>
      <c r="B990" s="1" t="s">
        <v>16</v>
      </c>
      <c r="C990" s="2">
        <v>45530</v>
      </c>
      <c r="D990" s="1" t="s">
        <v>17</v>
      </c>
      <c r="E990" s="1" t="s">
        <v>18</v>
      </c>
      <c r="F990" s="1" t="s">
        <v>19</v>
      </c>
      <c r="G990" s="1" t="s">
        <v>19</v>
      </c>
      <c r="H990" s="1">
        <v>1</v>
      </c>
      <c r="I990" s="1">
        <v>367</v>
      </c>
      <c r="J990" s="1">
        <v>599</v>
      </c>
      <c r="K990" s="1">
        <v>0</v>
      </c>
      <c r="L990" s="1">
        <f>ROUNDDOWN(formatted_data[[#This Row],[Selling_Price]]*formatted_data[[#This Row],[Discount_%]]/100,0)</f>
        <v>0</v>
      </c>
      <c r="M990" s="1">
        <f>(formatted_data[[#This Row],[Selling_Price]]-formatted_data[[#This Row],[Discount_Amount]])*formatted_data[[#This Row],[Units]]</f>
        <v>599</v>
      </c>
      <c r="N990" s="1">
        <f>formatted_data[[#This Row],[Total_Revenue]]-(formatted_data[[#This Row],[Cost_Price]]*formatted_data[[#This Row],[Units]])</f>
        <v>232</v>
      </c>
      <c r="O990" s="1" t="s">
        <v>21</v>
      </c>
      <c r="P990"/>
    </row>
    <row r="991" spans="1:16" x14ac:dyDescent="0.35">
      <c r="A991" s="1" t="s">
        <v>34</v>
      </c>
      <c r="B991" s="1" t="s">
        <v>27</v>
      </c>
      <c r="C991" s="2">
        <v>45477</v>
      </c>
      <c r="D991" s="1" t="s">
        <v>28</v>
      </c>
      <c r="E991" s="1" t="s">
        <v>29</v>
      </c>
      <c r="F991" s="1" t="s">
        <v>37</v>
      </c>
      <c r="G991" s="1" t="s">
        <v>19</v>
      </c>
      <c r="H991" s="1">
        <v>1</v>
      </c>
      <c r="I991" s="1">
        <v>309</v>
      </c>
      <c r="J991" s="1">
        <v>499</v>
      </c>
      <c r="K991" s="1">
        <v>20</v>
      </c>
      <c r="L991" s="1">
        <f>ROUNDDOWN(formatted_data[[#This Row],[Selling_Price]]*formatted_data[[#This Row],[Discount_%]]/100,0)</f>
        <v>99</v>
      </c>
      <c r="M991" s="1">
        <f>(formatted_data[[#This Row],[Selling_Price]]-formatted_data[[#This Row],[Discount_Amount]])*formatted_data[[#This Row],[Units]]</f>
        <v>400</v>
      </c>
      <c r="N991" s="1">
        <f>formatted_data[[#This Row],[Total_Revenue]]-(formatted_data[[#This Row],[Cost_Price]]*formatted_data[[#This Row],[Units]])</f>
        <v>91</v>
      </c>
      <c r="O991" s="1" t="s">
        <v>21</v>
      </c>
      <c r="P991"/>
    </row>
    <row r="992" spans="1:16" x14ac:dyDescent="0.35">
      <c r="A992" s="1" t="s">
        <v>70</v>
      </c>
      <c r="B992" s="1" t="s">
        <v>27</v>
      </c>
      <c r="C992" s="2">
        <v>45642</v>
      </c>
      <c r="D992" s="1" t="s">
        <v>35</v>
      </c>
      <c r="E992" s="1" t="s">
        <v>100</v>
      </c>
      <c r="F992" s="1" t="s">
        <v>37</v>
      </c>
      <c r="G992" s="1" t="s">
        <v>20</v>
      </c>
      <c r="H992" s="1">
        <v>1</v>
      </c>
      <c r="I992" s="1">
        <v>740</v>
      </c>
      <c r="J992" s="1">
        <v>1099</v>
      </c>
      <c r="K992" s="1">
        <v>5</v>
      </c>
      <c r="L992" s="1">
        <f>ROUNDDOWN(formatted_data[[#This Row],[Selling_Price]]*formatted_data[[#This Row],[Discount_%]]/100,0)</f>
        <v>54</v>
      </c>
      <c r="M992" s="1">
        <f>(formatted_data[[#This Row],[Selling_Price]]-formatted_data[[#This Row],[Discount_Amount]])*formatted_data[[#This Row],[Units]]</f>
        <v>1045</v>
      </c>
      <c r="N992" s="1">
        <f>formatted_data[[#This Row],[Total_Revenue]]-(formatted_data[[#This Row],[Cost_Price]]*formatted_data[[#This Row],[Units]])</f>
        <v>305</v>
      </c>
      <c r="O992" s="1" t="s">
        <v>21</v>
      </c>
      <c r="P992"/>
    </row>
    <row r="993" spans="1:16" x14ac:dyDescent="0.35">
      <c r="A993" s="1" t="s">
        <v>109</v>
      </c>
      <c r="B993" s="1" t="s">
        <v>16</v>
      </c>
      <c r="C993" s="2">
        <v>45455</v>
      </c>
      <c r="D993" s="1" t="s">
        <v>28</v>
      </c>
      <c r="E993" s="1" t="s">
        <v>29</v>
      </c>
      <c r="F993" s="1" t="s">
        <v>19</v>
      </c>
      <c r="G993" s="1" t="s">
        <v>20</v>
      </c>
      <c r="H993" s="1">
        <v>1</v>
      </c>
      <c r="I993" s="1">
        <v>361</v>
      </c>
      <c r="J993" s="1">
        <v>699</v>
      </c>
      <c r="K993" s="1">
        <v>10</v>
      </c>
      <c r="L993" s="1">
        <f>ROUNDDOWN(formatted_data[[#This Row],[Selling_Price]]*formatted_data[[#This Row],[Discount_%]]/100,0)</f>
        <v>69</v>
      </c>
      <c r="M993" s="1">
        <f>(formatted_data[[#This Row],[Selling_Price]]-formatted_data[[#This Row],[Discount_Amount]])*formatted_data[[#This Row],[Units]]</f>
        <v>630</v>
      </c>
      <c r="N993" s="1">
        <f>formatted_data[[#This Row],[Total_Revenue]]-(formatted_data[[#This Row],[Cost_Price]]*formatted_data[[#This Row],[Units]])</f>
        <v>269</v>
      </c>
      <c r="O993" s="1" t="s">
        <v>21</v>
      </c>
      <c r="P993"/>
    </row>
    <row r="994" spans="1:16" x14ac:dyDescent="0.35">
      <c r="A994" s="1" t="s">
        <v>56</v>
      </c>
      <c r="B994" s="1" t="s">
        <v>27</v>
      </c>
      <c r="C994" s="2">
        <v>45561</v>
      </c>
      <c r="D994" s="1" t="s">
        <v>28</v>
      </c>
      <c r="E994" s="1" t="s">
        <v>45</v>
      </c>
      <c r="F994" s="1" t="s">
        <v>25</v>
      </c>
      <c r="G994" s="1" t="s">
        <v>20</v>
      </c>
      <c r="H994" s="1">
        <v>4</v>
      </c>
      <c r="I994" s="1">
        <v>418</v>
      </c>
      <c r="J994" s="1">
        <v>699</v>
      </c>
      <c r="K994" s="1">
        <v>10</v>
      </c>
      <c r="L994" s="1">
        <f>ROUNDDOWN(formatted_data[[#This Row],[Selling_Price]]*formatted_data[[#This Row],[Discount_%]]/100,0)</f>
        <v>69</v>
      </c>
      <c r="M994" s="1">
        <f>(formatted_data[[#This Row],[Selling_Price]]-formatted_data[[#This Row],[Discount_Amount]])*formatted_data[[#This Row],[Units]]</f>
        <v>2520</v>
      </c>
      <c r="N994" s="1">
        <f>formatted_data[[#This Row],[Total_Revenue]]-(formatted_data[[#This Row],[Cost_Price]]*formatted_data[[#This Row],[Units]])</f>
        <v>848</v>
      </c>
      <c r="O994" s="1" t="s">
        <v>21</v>
      </c>
      <c r="P994"/>
    </row>
    <row r="995" spans="1:16" x14ac:dyDescent="0.35">
      <c r="A995" s="1" t="s">
        <v>52</v>
      </c>
      <c r="B995" s="1" t="s">
        <v>27</v>
      </c>
      <c r="C995" s="2">
        <v>45568</v>
      </c>
      <c r="D995" s="1" t="s">
        <v>31</v>
      </c>
      <c r="E995" s="1" t="s">
        <v>32</v>
      </c>
      <c r="F995" s="1" t="s">
        <v>19</v>
      </c>
      <c r="G995" s="1" t="s">
        <v>19</v>
      </c>
      <c r="H995" s="1">
        <v>3</v>
      </c>
      <c r="I995" s="1">
        <v>843</v>
      </c>
      <c r="J995" s="1">
        <v>1199</v>
      </c>
      <c r="K995" s="1">
        <v>0</v>
      </c>
      <c r="L995" s="1">
        <f>ROUNDDOWN(formatted_data[[#This Row],[Selling_Price]]*formatted_data[[#This Row],[Discount_%]]/100,0)</f>
        <v>0</v>
      </c>
      <c r="M995" s="1">
        <f>(formatted_data[[#This Row],[Selling_Price]]-formatted_data[[#This Row],[Discount_Amount]])*formatted_data[[#This Row],[Units]]</f>
        <v>3597</v>
      </c>
      <c r="N995" s="1">
        <f>formatted_data[[#This Row],[Total_Revenue]]-(formatted_data[[#This Row],[Cost_Price]]*formatted_data[[#This Row],[Units]])</f>
        <v>1068</v>
      </c>
      <c r="O995" s="1" t="s">
        <v>33</v>
      </c>
      <c r="P995"/>
    </row>
    <row r="996" spans="1:16" x14ac:dyDescent="0.35">
      <c r="A996" s="1" t="s">
        <v>52</v>
      </c>
      <c r="B996" s="1" t="s">
        <v>27</v>
      </c>
      <c r="C996" s="2">
        <v>45455</v>
      </c>
      <c r="D996" s="1" t="s">
        <v>35</v>
      </c>
      <c r="E996" s="1" t="s">
        <v>41</v>
      </c>
      <c r="F996" s="1" t="s">
        <v>19</v>
      </c>
      <c r="G996" s="1" t="s">
        <v>19</v>
      </c>
      <c r="H996" s="1">
        <v>4</v>
      </c>
      <c r="I996" s="1">
        <v>680</v>
      </c>
      <c r="J996" s="1">
        <v>1299</v>
      </c>
      <c r="K996" s="1">
        <v>20</v>
      </c>
      <c r="L996" s="1">
        <f>ROUNDDOWN(formatted_data[[#This Row],[Selling_Price]]*formatted_data[[#This Row],[Discount_%]]/100,0)</f>
        <v>259</v>
      </c>
      <c r="M996" s="1">
        <f>(formatted_data[[#This Row],[Selling_Price]]-formatted_data[[#This Row],[Discount_Amount]])*formatted_data[[#This Row],[Units]]</f>
        <v>4160</v>
      </c>
      <c r="N996" s="1">
        <f>formatted_data[[#This Row],[Total_Revenue]]-(formatted_data[[#This Row],[Cost_Price]]*formatted_data[[#This Row],[Units]])</f>
        <v>1440</v>
      </c>
      <c r="O996" s="1" t="s">
        <v>21</v>
      </c>
      <c r="P996"/>
    </row>
    <row r="997" spans="1:16" x14ac:dyDescent="0.35">
      <c r="A997" s="1" t="s">
        <v>52</v>
      </c>
      <c r="B997" s="1" t="s">
        <v>27</v>
      </c>
      <c r="C997" s="2">
        <v>45641</v>
      </c>
      <c r="D997" s="1" t="s">
        <v>35</v>
      </c>
      <c r="E997" s="1" t="s">
        <v>39</v>
      </c>
      <c r="F997" s="1" t="s">
        <v>37</v>
      </c>
      <c r="G997" s="1" t="s">
        <v>19</v>
      </c>
      <c r="H997" s="1">
        <v>2</v>
      </c>
      <c r="I997" s="1">
        <v>723</v>
      </c>
      <c r="J997" s="1">
        <v>1099</v>
      </c>
      <c r="K997" s="1">
        <v>5</v>
      </c>
      <c r="L997" s="1">
        <f>ROUNDDOWN(formatted_data[[#This Row],[Selling_Price]]*formatted_data[[#This Row],[Discount_%]]/100,0)</f>
        <v>54</v>
      </c>
      <c r="M997" s="1">
        <f>(formatted_data[[#This Row],[Selling_Price]]-formatted_data[[#This Row],[Discount_Amount]])*formatted_data[[#This Row],[Units]]</f>
        <v>2090</v>
      </c>
      <c r="N997" s="1">
        <f>formatted_data[[#This Row],[Total_Revenue]]-(formatted_data[[#This Row],[Cost_Price]]*formatted_data[[#This Row],[Units]])</f>
        <v>644</v>
      </c>
      <c r="O997" s="1" t="s">
        <v>21</v>
      </c>
      <c r="P997"/>
    </row>
    <row r="998" spans="1:16" x14ac:dyDescent="0.35">
      <c r="A998" s="1" t="s">
        <v>77</v>
      </c>
      <c r="B998" s="1" t="s">
        <v>27</v>
      </c>
      <c r="C998" s="2">
        <v>45632</v>
      </c>
      <c r="D998" s="1" t="s">
        <v>28</v>
      </c>
      <c r="E998" s="1" t="s">
        <v>45</v>
      </c>
      <c r="F998" s="1" t="s">
        <v>37</v>
      </c>
      <c r="G998" s="1" t="s">
        <v>19</v>
      </c>
      <c r="H998" s="1">
        <v>1</v>
      </c>
      <c r="I998" s="1">
        <v>888</v>
      </c>
      <c r="J998" s="1">
        <v>1199</v>
      </c>
      <c r="K998" s="1">
        <v>10</v>
      </c>
      <c r="L998" s="1">
        <f>ROUNDDOWN(formatted_data[[#This Row],[Selling_Price]]*formatted_data[[#This Row],[Discount_%]]/100,0)</f>
        <v>119</v>
      </c>
      <c r="M998" s="1">
        <f>(formatted_data[[#This Row],[Selling_Price]]-formatted_data[[#This Row],[Discount_Amount]])*formatted_data[[#This Row],[Units]]</f>
        <v>1080</v>
      </c>
      <c r="N998" s="1">
        <f>formatted_data[[#This Row],[Total_Revenue]]-(formatted_data[[#This Row],[Cost_Price]]*formatted_data[[#This Row],[Units]])</f>
        <v>192</v>
      </c>
      <c r="O998" s="1" t="s">
        <v>21</v>
      </c>
      <c r="P998"/>
    </row>
    <row r="999" spans="1:16" x14ac:dyDescent="0.35">
      <c r="A999" s="1" t="s">
        <v>26</v>
      </c>
      <c r="B999" s="1" t="s">
        <v>27</v>
      </c>
      <c r="C999" s="2">
        <v>45638</v>
      </c>
      <c r="D999" s="1" t="s">
        <v>31</v>
      </c>
      <c r="E999" s="1" t="s">
        <v>76</v>
      </c>
      <c r="F999" s="1" t="s">
        <v>25</v>
      </c>
      <c r="G999" s="1" t="s">
        <v>19</v>
      </c>
      <c r="H999" s="1">
        <v>2</v>
      </c>
      <c r="I999" s="1">
        <v>825</v>
      </c>
      <c r="J999" s="1">
        <v>1199</v>
      </c>
      <c r="K999" s="1">
        <v>0</v>
      </c>
      <c r="L999" s="1">
        <f>ROUNDDOWN(formatted_data[[#This Row],[Selling_Price]]*formatted_data[[#This Row],[Discount_%]]/100,0)</f>
        <v>0</v>
      </c>
      <c r="M999" s="1">
        <f>(formatted_data[[#This Row],[Selling_Price]]-formatted_data[[#This Row],[Discount_Amount]])*formatted_data[[#This Row],[Units]]</f>
        <v>2398</v>
      </c>
      <c r="N999" s="1">
        <f>formatted_data[[#This Row],[Total_Revenue]]-(formatted_data[[#This Row],[Cost_Price]]*formatted_data[[#This Row],[Units]])</f>
        <v>748</v>
      </c>
      <c r="O999" s="1" t="s">
        <v>21</v>
      </c>
      <c r="P999"/>
    </row>
    <row r="1000" spans="1:16" x14ac:dyDescent="0.35">
      <c r="A1000" s="1" t="s">
        <v>54</v>
      </c>
      <c r="B1000" s="1" t="s">
        <v>27</v>
      </c>
      <c r="C1000" s="2">
        <v>45450</v>
      </c>
      <c r="D1000" s="1" t="s">
        <v>35</v>
      </c>
      <c r="E1000" s="1" t="s">
        <v>41</v>
      </c>
      <c r="F1000" s="1" t="s">
        <v>25</v>
      </c>
      <c r="G1000" s="1" t="s">
        <v>19</v>
      </c>
      <c r="H1000" s="1">
        <v>4</v>
      </c>
      <c r="I1000" s="1">
        <v>909</v>
      </c>
      <c r="J1000" s="1">
        <v>1299</v>
      </c>
      <c r="K1000" s="1">
        <v>20</v>
      </c>
      <c r="L1000" s="1">
        <f>ROUNDDOWN(formatted_data[[#This Row],[Selling_Price]]*formatted_data[[#This Row],[Discount_%]]/100,0)</f>
        <v>259</v>
      </c>
      <c r="M1000" s="1">
        <f>(formatted_data[[#This Row],[Selling_Price]]-formatted_data[[#This Row],[Discount_Amount]])*formatted_data[[#This Row],[Units]]</f>
        <v>4160</v>
      </c>
      <c r="N1000" s="1">
        <f>formatted_data[[#This Row],[Total_Revenue]]-(formatted_data[[#This Row],[Cost_Price]]*formatted_data[[#This Row],[Units]])</f>
        <v>524</v>
      </c>
      <c r="O1000" s="1" t="s">
        <v>33</v>
      </c>
      <c r="P1000"/>
    </row>
    <row r="1001" spans="1:16" x14ac:dyDescent="0.35">
      <c r="A1001" s="1" t="s">
        <v>69</v>
      </c>
      <c r="B1001" s="1" t="s">
        <v>16</v>
      </c>
      <c r="C1001" s="2">
        <v>45612</v>
      </c>
      <c r="D1001" s="1" t="s">
        <v>35</v>
      </c>
      <c r="E1001" s="1" t="s">
        <v>36</v>
      </c>
      <c r="F1001" s="1" t="s">
        <v>19</v>
      </c>
      <c r="G1001" s="1" t="s">
        <v>19</v>
      </c>
      <c r="H1001" s="1">
        <v>2</v>
      </c>
      <c r="I1001" s="1">
        <v>268</v>
      </c>
      <c r="J1001" s="1">
        <v>499</v>
      </c>
      <c r="K1001" s="1">
        <v>20</v>
      </c>
      <c r="L1001" s="1">
        <f>ROUNDDOWN(formatted_data[[#This Row],[Selling_Price]]*formatted_data[[#This Row],[Discount_%]]/100,0)</f>
        <v>99</v>
      </c>
      <c r="M1001" s="1">
        <f>(formatted_data[[#This Row],[Selling_Price]]-formatted_data[[#This Row],[Discount_Amount]])*formatted_data[[#This Row],[Units]]</f>
        <v>800</v>
      </c>
      <c r="N1001" s="1">
        <f>formatted_data[[#This Row],[Total_Revenue]]-(formatted_data[[#This Row],[Cost_Price]]*formatted_data[[#This Row],[Units]])</f>
        <v>264</v>
      </c>
      <c r="O1001" s="1" t="s">
        <v>33</v>
      </c>
      <c r="P1001"/>
    </row>
    <row r="1002" spans="1:16" x14ac:dyDescent="0.35">
      <c r="A1002" s="1" t="s">
        <v>83</v>
      </c>
      <c r="B1002" s="1" t="s">
        <v>27</v>
      </c>
      <c r="C1002" s="2">
        <v>45472</v>
      </c>
      <c r="D1002" s="1" t="s">
        <v>35</v>
      </c>
      <c r="E1002" s="1" t="s">
        <v>100</v>
      </c>
      <c r="F1002" s="1" t="s">
        <v>37</v>
      </c>
      <c r="G1002" s="1" t="s">
        <v>19</v>
      </c>
      <c r="H1002" s="1">
        <v>2</v>
      </c>
      <c r="I1002" s="1">
        <v>1242</v>
      </c>
      <c r="J1002" s="1">
        <v>2399</v>
      </c>
      <c r="K1002" s="1">
        <v>15</v>
      </c>
      <c r="L1002" s="1">
        <f>ROUNDDOWN(formatted_data[[#This Row],[Selling_Price]]*formatted_data[[#This Row],[Discount_%]]/100,0)</f>
        <v>359</v>
      </c>
      <c r="M1002" s="1">
        <f>(formatted_data[[#This Row],[Selling_Price]]-formatted_data[[#This Row],[Discount_Amount]])*formatted_data[[#This Row],[Units]]</f>
        <v>4080</v>
      </c>
      <c r="N1002" s="1">
        <f>formatted_data[[#This Row],[Total_Revenue]]-(formatted_data[[#This Row],[Cost_Price]]*formatted_data[[#This Row],[Units]])</f>
        <v>1596</v>
      </c>
      <c r="O1002" s="1" t="s">
        <v>21</v>
      </c>
      <c r="P1002"/>
    </row>
    <row r="1003" spans="1:16" x14ac:dyDescent="0.35">
      <c r="A1003" s="1" t="s">
        <v>60</v>
      </c>
      <c r="B1003" s="1" t="s">
        <v>27</v>
      </c>
      <c r="C1003" s="2">
        <v>45524</v>
      </c>
      <c r="D1003" s="1" t="s">
        <v>35</v>
      </c>
      <c r="E1003" s="1" t="s">
        <v>58</v>
      </c>
      <c r="F1003" s="1" t="s">
        <v>25</v>
      </c>
      <c r="G1003" s="1" t="s">
        <v>19</v>
      </c>
      <c r="H1003" s="1">
        <v>1</v>
      </c>
      <c r="I1003" s="1">
        <v>759</v>
      </c>
      <c r="J1003" s="1">
        <v>1299</v>
      </c>
      <c r="K1003" s="1">
        <v>20</v>
      </c>
      <c r="L1003" s="1">
        <f>ROUNDDOWN(formatted_data[[#This Row],[Selling_Price]]*formatted_data[[#This Row],[Discount_%]]/100,0)</f>
        <v>259</v>
      </c>
      <c r="M1003" s="1">
        <f>(formatted_data[[#This Row],[Selling_Price]]-formatted_data[[#This Row],[Discount_Amount]])*formatted_data[[#This Row],[Units]]</f>
        <v>1040</v>
      </c>
      <c r="N1003" s="1">
        <f>formatted_data[[#This Row],[Total_Revenue]]-(formatted_data[[#This Row],[Cost_Price]]*formatted_data[[#This Row],[Units]])</f>
        <v>281</v>
      </c>
      <c r="O1003" s="1" t="s">
        <v>21</v>
      </c>
      <c r="P1003"/>
    </row>
    <row r="1004" spans="1:16" x14ac:dyDescent="0.35">
      <c r="A1004" s="1" t="s">
        <v>26</v>
      </c>
      <c r="B1004" s="1" t="s">
        <v>27</v>
      </c>
      <c r="C1004" s="2">
        <v>45465</v>
      </c>
      <c r="D1004" s="1" t="s">
        <v>23</v>
      </c>
      <c r="E1004" s="1" t="s">
        <v>24</v>
      </c>
      <c r="F1004" s="1" t="s">
        <v>19</v>
      </c>
      <c r="G1004" s="1" t="s">
        <v>19</v>
      </c>
      <c r="H1004" s="1">
        <v>1</v>
      </c>
      <c r="I1004" s="1">
        <v>1076</v>
      </c>
      <c r="J1004" s="1">
        <v>1699</v>
      </c>
      <c r="K1004" s="1">
        <v>10</v>
      </c>
      <c r="L1004" s="1">
        <f>ROUNDDOWN(formatted_data[[#This Row],[Selling_Price]]*formatted_data[[#This Row],[Discount_%]]/100,0)</f>
        <v>169</v>
      </c>
      <c r="M1004" s="1">
        <f>(formatted_data[[#This Row],[Selling_Price]]-formatted_data[[#This Row],[Discount_Amount]])*formatted_data[[#This Row],[Units]]</f>
        <v>1530</v>
      </c>
      <c r="N1004" s="1">
        <f>formatted_data[[#This Row],[Total_Revenue]]-(formatted_data[[#This Row],[Cost_Price]]*formatted_data[[#This Row],[Units]])</f>
        <v>454</v>
      </c>
      <c r="O1004" s="1" t="s">
        <v>21</v>
      </c>
      <c r="P1004"/>
    </row>
    <row r="1005" spans="1:16" x14ac:dyDescent="0.35">
      <c r="A1005" s="1" t="s">
        <v>49</v>
      </c>
      <c r="B1005" s="1" t="s">
        <v>27</v>
      </c>
      <c r="C1005" s="2">
        <v>45466</v>
      </c>
      <c r="D1005" s="1" t="s">
        <v>31</v>
      </c>
      <c r="E1005" s="1" t="s">
        <v>76</v>
      </c>
      <c r="F1005" s="1" t="s">
        <v>37</v>
      </c>
      <c r="G1005" s="1" t="s">
        <v>19</v>
      </c>
      <c r="H1005" s="1">
        <v>2</v>
      </c>
      <c r="I1005" s="1">
        <v>1032</v>
      </c>
      <c r="J1005" s="1">
        <v>1499</v>
      </c>
      <c r="K1005" s="1">
        <v>0</v>
      </c>
      <c r="L1005" s="1">
        <f>ROUNDDOWN(formatted_data[[#This Row],[Selling_Price]]*formatted_data[[#This Row],[Discount_%]]/100,0)</f>
        <v>0</v>
      </c>
      <c r="M1005" s="1">
        <f>(formatted_data[[#This Row],[Selling_Price]]-formatted_data[[#This Row],[Discount_Amount]])*formatted_data[[#This Row],[Units]]</f>
        <v>2998</v>
      </c>
      <c r="N1005" s="1">
        <f>formatted_data[[#This Row],[Total_Revenue]]-(formatted_data[[#This Row],[Cost_Price]]*formatted_data[[#This Row],[Units]])</f>
        <v>934</v>
      </c>
      <c r="O1005" s="1" t="s">
        <v>21</v>
      </c>
      <c r="P1005"/>
    </row>
    <row r="1006" spans="1:16" x14ac:dyDescent="0.35">
      <c r="A1006" s="1" t="s">
        <v>105</v>
      </c>
      <c r="B1006" s="1" t="s">
        <v>16</v>
      </c>
      <c r="C1006" s="2">
        <v>45583</v>
      </c>
      <c r="D1006" s="1" t="s">
        <v>28</v>
      </c>
      <c r="E1006" s="1" t="s">
        <v>29</v>
      </c>
      <c r="F1006" s="1" t="s">
        <v>25</v>
      </c>
      <c r="G1006" s="1" t="s">
        <v>20</v>
      </c>
      <c r="H1006" s="1">
        <v>1</v>
      </c>
      <c r="I1006" s="1">
        <v>518</v>
      </c>
      <c r="J1006" s="1">
        <v>799</v>
      </c>
      <c r="K1006" s="1">
        <v>15</v>
      </c>
      <c r="L1006" s="1">
        <f>ROUNDDOWN(formatted_data[[#This Row],[Selling_Price]]*formatted_data[[#This Row],[Discount_%]]/100,0)</f>
        <v>119</v>
      </c>
      <c r="M1006" s="1">
        <f>(formatted_data[[#This Row],[Selling_Price]]-formatted_data[[#This Row],[Discount_Amount]])*formatted_data[[#This Row],[Units]]</f>
        <v>680</v>
      </c>
      <c r="N1006" s="1">
        <f>formatted_data[[#This Row],[Total_Revenue]]-(formatted_data[[#This Row],[Cost_Price]]*formatted_data[[#This Row],[Units]])</f>
        <v>162</v>
      </c>
      <c r="O1006" s="1" t="s">
        <v>21</v>
      </c>
      <c r="P1006"/>
    </row>
    <row r="1007" spans="1:16" x14ac:dyDescent="0.35">
      <c r="A1007" s="1" t="s">
        <v>97</v>
      </c>
      <c r="B1007" s="1" t="s">
        <v>16</v>
      </c>
      <c r="C1007" s="2">
        <v>45590</v>
      </c>
      <c r="D1007" s="1" t="s">
        <v>31</v>
      </c>
      <c r="E1007" s="1" t="s">
        <v>32</v>
      </c>
      <c r="F1007" s="1" t="s">
        <v>25</v>
      </c>
      <c r="G1007" s="1" t="s">
        <v>19</v>
      </c>
      <c r="H1007" s="1">
        <v>1</v>
      </c>
      <c r="I1007" s="1">
        <v>1005</v>
      </c>
      <c r="J1007" s="1">
        <v>1499</v>
      </c>
      <c r="K1007" s="1">
        <v>0</v>
      </c>
      <c r="L1007" s="1">
        <f>ROUNDDOWN(formatted_data[[#This Row],[Selling_Price]]*formatted_data[[#This Row],[Discount_%]]/100,0)</f>
        <v>0</v>
      </c>
      <c r="M1007" s="1">
        <f>(formatted_data[[#This Row],[Selling_Price]]-formatted_data[[#This Row],[Discount_Amount]])*formatted_data[[#This Row],[Units]]</f>
        <v>1499</v>
      </c>
      <c r="N1007" s="1">
        <f>formatted_data[[#This Row],[Total_Revenue]]-(formatted_data[[#This Row],[Cost_Price]]*formatted_data[[#This Row],[Units]])</f>
        <v>494</v>
      </c>
      <c r="O1007" s="1" t="s">
        <v>21</v>
      </c>
      <c r="P1007"/>
    </row>
    <row r="1008" spans="1:16" x14ac:dyDescent="0.35">
      <c r="A1008" s="1" t="s">
        <v>54</v>
      </c>
      <c r="B1008" s="1" t="s">
        <v>27</v>
      </c>
      <c r="C1008" s="2">
        <v>45586</v>
      </c>
      <c r="D1008" s="1" t="s">
        <v>17</v>
      </c>
      <c r="E1008" s="1" t="s">
        <v>48</v>
      </c>
      <c r="F1008" s="1" t="s">
        <v>25</v>
      </c>
      <c r="G1008" s="1" t="s">
        <v>19</v>
      </c>
      <c r="H1008" s="1">
        <v>1</v>
      </c>
      <c r="I1008" s="1">
        <v>332</v>
      </c>
      <c r="J1008" s="1">
        <v>499</v>
      </c>
      <c r="K1008" s="1">
        <v>0</v>
      </c>
      <c r="L1008" s="1">
        <f>ROUNDDOWN(formatted_data[[#This Row],[Selling_Price]]*formatted_data[[#This Row],[Discount_%]]/100,0)</f>
        <v>0</v>
      </c>
      <c r="M1008" s="1">
        <f>(formatted_data[[#This Row],[Selling_Price]]-formatted_data[[#This Row],[Discount_Amount]])*formatted_data[[#This Row],[Units]]</f>
        <v>499</v>
      </c>
      <c r="N1008" s="1">
        <f>formatted_data[[#This Row],[Total_Revenue]]-(formatted_data[[#This Row],[Cost_Price]]*formatted_data[[#This Row],[Units]])</f>
        <v>167</v>
      </c>
      <c r="O1008" s="1" t="s">
        <v>21</v>
      </c>
      <c r="P1008"/>
    </row>
    <row r="1009" spans="1:16" x14ac:dyDescent="0.35">
      <c r="A1009" s="1" t="s">
        <v>69</v>
      </c>
      <c r="B1009" s="1" t="s">
        <v>16</v>
      </c>
      <c r="C1009" s="2">
        <v>45529</v>
      </c>
      <c r="D1009" s="1" t="s">
        <v>31</v>
      </c>
      <c r="E1009" s="1" t="s">
        <v>32</v>
      </c>
      <c r="F1009" s="1" t="s">
        <v>19</v>
      </c>
      <c r="G1009" s="1" t="s">
        <v>19</v>
      </c>
      <c r="H1009" s="1">
        <v>3</v>
      </c>
      <c r="I1009" s="1">
        <v>491</v>
      </c>
      <c r="J1009" s="1">
        <v>899</v>
      </c>
      <c r="K1009" s="1">
        <v>0</v>
      </c>
      <c r="L1009" s="1">
        <f>ROUNDDOWN(formatted_data[[#This Row],[Selling_Price]]*formatted_data[[#This Row],[Discount_%]]/100,0)</f>
        <v>0</v>
      </c>
      <c r="M1009" s="1">
        <f>(formatted_data[[#This Row],[Selling_Price]]-formatted_data[[#This Row],[Discount_Amount]])*formatted_data[[#This Row],[Units]]</f>
        <v>2697</v>
      </c>
      <c r="N1009" s="1">
        <f>formatted_data[[#This Row],[Total_Revenue]]-(formatted_data[[#This Row],[Cost_Price]]*formatted_data[[#This Row],[Units]])</f>
        <v>1224</v>
      </c>
      <c r="O1009" s="1" t="s">
        <v>21</v>
      </c>
      <c r="P1009"/>
    </row>
    <row r="1010" spans="1:16" x14ac:dyDescent="0.35">
      <c r="A1010" s="1" t="s">
        <v>75</v>
      </c>
      <c r="B1010" s="1" t="s">
        <v>27</v>
      </c>
      <c r="C1010" s="2">
        <v>45653</v>
      </c>
      <c r="D1010" s="1" t="s">
        <v>17</v>
      </c>
      <c r="E1010" s="1" t="s">
        <v>18</v>
      </c>
      <c r="F1010" s="1" t="s">
        <v>37</v>
      </c>
      <c r="G1010" s="1" t="s">
        <v>20</v>
      </c>
      <c r="H1010" s="1">
        <v>1</v>
      </c>
      <c r="I1010" s="1">
        <v>397</v>
      </c>
      <c r="J1010" s="1">
        <v>599</v>
      </c>
      <c r="K1010" s="1">
        <v>0</v>
      </c>
      <c r="L1010" s="1">
        <f>ROUNDDOWN(formatted_data[[#This Row],[Selling_Price]]*formatted_data[[#This Row],[Discount_%]]/100,0)</f>
        <v>0</v>
      </c>
      <c r="M1010" s="1">
        <f>(formatted_data[[#This Row],[Selling_Price]]-formatted_data[[#This Row],[Discount_Amount]])*formatted_data[[#This Row],[Units]]</f>
        <v>599</v>
      </c>
      <c r="N1010" s="1">
        <f>formatted_data[[#This Row],[Total_Revenue]]-(formatted_data[[#This Row],[Cost_Price]]*formatted_data[[#This Row],[Units]])</f>
        <v>202</v>
      </c>
      <c r="O1010" s="1" t="s">
        <v>21</v>
      </c>
      <c r="P1010"/>
    </row>
    <row r="1011" spans="1:16" x14ac:dyDescent="0.35">
      <c r="A1011" s="1" t="s">
        <v>70</v>
      </c>
      <c r="B1011" s="1" t="s">
        <v>27</v>
      </c>
      <c r="C1011" s="2">
        <v>45590</v>
      </c>
      <c r="D1011" s="1" t="s">
        <v>17</v>
      </c>
      <c r="E1011" s="1" t="s">
        <v>18</v>
      </c>
      <c r="F1011" s="1" t="s">
        <v>37</v>
      </c>
      <c r="G1011" s="1" t="s">
        <v>19</v>
      </c>
      <c r="H1011" s="1">
        <v>1</v>
      </c>
      <c r="I1011" s="1">
        <v>346</v>
      </c>
      <c r="J1011" s="1">
        <v>599</v>
      </c>
      <c r="K1011" s="1">
        <v>0</v>
      </c>
      <c r="L1011" s="1">
        <f>ROUNDDOWN(formatted_data[[#This Row],[Selling_Price]]*formatted_data[[#This Row],[Discount_%]]/100,0)</f>
        <v>0</v>
      </c>
      <c r="M1011" s="1">
        <f>(formatted_data[[#This Row],[Selling_Price]]-formatted_data[[#This Row],[Discount_Amount]])*formatted_data[[#This Row],[Units]]</f>
        <v>599</v>
      </c>
      <c r="N1011" s="1">
        <f>formatted_data[[#This Row],[Total_Revenue]]-(formatted_data[[#This Row],[Cost_Price]]*formatted_data[[#This Row],[Units]])</f>
        <v>253</v>
      </c>
      <c r="O1011" s="1" t="s">
        <v>21</v>
      </c>
      <c r="P1011"/>
    </row>
    <row r="1012" spans="1:16" x14ac:dyDescent="0.35">
      <c r="A1012" s="1" t="s">
        <v>62</v>
      </c>
      <c r="B1012" s="1" t="s">
        <v>16</v>
      </c>
      <c r="C1012" s="2">
        <v>45564</v>
      </c>
      <c r="D1012" s="1" t="s">
        <v>17</v>
      </c>
      <c r="E1012" s="1" t="s">
        <v>55</v>
      </c>
      <c r="F1012" s="1" t="s">
        <v>19</v>
      </c>
      <c r="G1012" s="1" t="s">
        <v>19</v>
      </c>
      <c r="H1012" s="1">
        <v>5</v>
      </c>
      <c r="I1012" s="1">
        <v>545</v>
      </c>
      <c r="J1012" s="1">
        <v>799</v>
      </c>
      <c r="K1012" s="1">
        <v>0</v>
      </c>
      <c r="L1012" s="1">
        <f>ROUNDDOWN(formatted_data[[#This Row],[Selling_Price]]*formatted_data[[#This Row],[Discount_%]]/100,0)</f>
        <v>0</v>
      </c>
      <c r="M1012" s="1">
        <f>(formatted_data[[#This Row],[Selling_Price]]-formatted_data[[#This Row],[Discount_Amount]])*formatted_data[[#This Row],[Units]]</f>
        <v>3995</v>
      </c>
      <c r="N1012" s="1">
        <f>formatted_data[[#This Row],[Total_Revenue]]-(formatted_data[[#This Row],[Cost_Price]]*formatted_data[[#This Row],[Units]])</f>
        <v>1270</v>
      </c>
      <c r="O1012" s="1" t="s">
        <v>21</v>
      </c>
      <c r="P1012"/>
    </row>
    <row r="1013" spans="1:16" x14ac:dyDescent="0.35">
      <c r="A1013" s="1" t="s">
        <v>103</v>
      </c>
      <c r="B1013" s="1" t="s">
        <v>16</v>
      </c>
      <c r="C1013" s="2">
        <v>45467</v>
      </c>
      <c r="D1013" s="1" t="s">
        <v>23</v>
      </c>
      <c r="E1013" s="1" t="s">
        <v>24</v>
      </c>
      <c r="F1013" s="1" t="s">
        <v>19</v>
      </c>
      <c r="G1013" s="1" t="s">
        <v>20</v>
      </c>
      <c r="H1013" s="1">
        <v>3</v>
      </c>
      <c r="I1013" s="1">
        <v>1192</v>
      </c>
      <c r="J1013" s="1">
        <v>1799</v>
      </c>
      <c r="K1013" s="1">
        <v>15</v>
      </c>
      <c r="L1013" s="1">
        <f>ROUNDDOWN(formatted_data[[#This Row],[Selling_Price]]*formatted_data[[#This Row],[Discount_%]]/100,0)</f>
        <v>269</v>
      </c>
      <c r="M1013" s="1">
        <f>(formatted_data[[#This Row],[Selling_Price]]-formatted_data[[#This Row],[Discount_Amount]])*formatted_data[[#This Row],[Units]]</f>
        <v>4590</v>
      </c>
      <c r="N1013" s="1">
        <f>formatted_data[[#This Row],[Total_Revenue]]-(formatted_data[[#This Row],[Cost_Price]]*formatted_data[[#This Row],[Units]])</f>
        <v>1014</v>
      </c>
      <c r="O1013" s="1" t="s">
        <v>21</v>
      </c>
      <c r="P1013"/>
    </row>
    <row r="1014" spans="1:16" x14ac:dyDescent="0.35">
      <c r="A1014" s="1" t="s">
        <v>68</v>
      </c>
      <c r="B1014" s="1" t="s">
        <v>16</v>
      </c>
      <c r="C1014" s="2">
        <v>45451</v>
      </c>
      <c r="D1014" s="1" t="s">
        <v>17</v>
      </c>
      <c r="E1014" s="1" t="s">
        <v>72</v>
      </c>
      <c r="F1014" s="1" t="s">
        <v>25</v>
      </c>
      <c r="G1014" s="1" t="s">
        <v>19</v>
      </c>
      <c r="H1014" s="1">
        <v>2</v>
      </c>
      <c r="I1014" s="1">
        <v>260</v>
      </c>
      <c r="J1014" s="1">
        <v>499</v>
      </c>
      <c r="K1014" s="1">
        <v>0</v>
      </c>
      <c r="L1014" s="1">
        <f>ROUNDDOWN(formatted_data[[#This Row],[Selling_Price]]*formatted_data[[#This Row],[Discount_%]]/100,0)</f>
        <v>0</v>
      </c>
      <c r="M1014" s="1">
        <f>(formatted_data[[#This Row],[Selling_Price]]-formatted_data[[#This Row],[Discount_Amount]])*formatted_data[[#This Row],[Units]]</f>
        <v>998</v>
      </c>
      <c r="N1014" s="1">
        <f>formatted_data[[#This Row],[Total_Revenue]]-(formatted_data[[#This Row],[Cost_Price]]*formatted_data[[#This Row],[Units]])</f>
        <v>478</v>
      </c>
      <c r="O1014" s="1" t="s">
        <v>21</v>
      </c>
      <c r="P1014"/>
    </row>
    <row r="1015" spans="1:16" x14ac:dyDescent="0.35">
      <c r="A1015" s="1" t="s">
        <v>88</v>
      </c>
      <c r="B1015" s="1" t="s">
        <v>27</v>
      </c>
      <c r="C1015" s="2">
        <v>45625</v>
      </c>
      <c r="D1015" s="1" t="s">
        <v>28</v>
      </c>
      <c r="E1015" s="1" t="s">
        <v>29</v>
      </c>
      <c r="F1015" s="1" t="s">
        <v>37</v>
      </c>
      <c r="G1015" s="1" t="s">
        <v>19</v>
      </c>
      <c r="H1015" s="1">
        <v>4</v>
      </c>
      <c r="I1015" s="1">
        <v>319</v>
      </c>
      <c r="J1015" s="1">
        <v>499</v>
      </c>
      <c r="K1015" s="1">
        <v>10</v>
      </c>
      <c r="L1015" s="1">
        <f>ROUNDDOWN(formatted_data[[#This Row],[Selling_Price]]*formatted_data[[#This Row],[Discount_%]]/100,0)</f>
        <v>49</v>
      </c>
      <c r="M1015" s="1">
        <f>(formatted_data[[#This Row],[Selling_Price]]-formatted_data[[#This Row],[Discount_Amount]])*formatted_data[[#This Row],[Units]]</f>
        <v>1800</v>
      </c>
      <c r="N1015" s="1">
        <f>formatted_data[[#This Row],[Total_Revenue]]-(formatted_data[[#This Row],[Cost_Price]]*formatted_data[[#This Row],[Units]])</f>
        <v>524</v>
      </c>
      <c r="O1015" s="1" t="s">
        <v>21</v>
      </c>
      <c r="P1015"/>
    </row>
    <row r="1016" spans="1:16" x14ac:dyDescent="0.35">
      <c r="A1016" s="1" t="s">
        <v>56</v>
      </c>
      <c r="B1016" s="1" t="s">
        <v>27</v>
      </c>
      <c r="C1016" s="2">
        <v>45472</v>
      </c>
      <c r="D1016" s="1" t="s">
        <v>31</v>
      </c>
      <c r="E1016" s="1" t="s">
        <v>32</v>
      </c>
      <c r="F1016" s="1" t="s">
        <v>25</v>
      </c>
      <c r="G1016" s="1" t="s">
        <v>20</v>
      </c>
      <c r="H1016" s="1">
        <v>3</v>
      </c>
      <c r="I1016" s="1">
        <v>1081</v>
      </c>
      <c r="J1016" s="1">
        <v>1499</v>
      </c>
      <c r="K1016" s="1">
        <v>0</v>
      </c>
      <c r="L1016" s="1">
        <f>ROUNDDOWN(formatted_data[[#This Row],[Selling_Price]]*formatted_data[[#This Row],[Discount_%]]/100,0)</f>
        <v>0</v>
      </c>
      <c r="M1016" s="1">
        <f>(formatted_data[[#This Row],[Selling_Price]]-formatted_data[[#This Row],[Discount_Amount]])*formatted_data[[#This Row],[Units]]</f>
        <v>4497</v>
      </c>
      <c r="N1016" s="1">
        <f>formatted_data[[#This Row],[Total_Revenue]]-(formatted_data[[#This Row],[Cost_Price]]*formatted_data[[#This Row],[Units]])</f>
        <v>1254</v>
      </c>
      <c r="O1016" s="1" t="s">
        <v>21</v>
      </c>
      <c r="P1016"/>
    </row>
    <row r="1017" spans="1:16" x14ac:dyDescent="0.35">
      <c r="A1017" s="1" t="s">
        <v>38</v>
      </c>
      <c r="B1017" s="1" t="s">
        <v>27</v>
      </c>
      <c r="C1017" s="2">
        <v>45530</v>
      </c>
      <c r="D1017" s="1" t="s">
        <v>31</v>
      </c>
      <c r="E1017" s="1" t="s">
        <v>32</v>
      </c>
      <c r="F1017" s="1" t="s">
        <v>25</v>
      </c>
      <c r="G1017" s="1" t="s">
        <v>19</v>
      </c>
      <c r="H1017" s="1">
        <v>4</v>
      </c>
      <c r="I1017" s="1">
        <v>626</v>
      </c>
      <c r="J1017" s="1">
        <v>1199</v>
      </c>
      <c r="K1017" s="1">
        <v>0</v>
      </c>
      <c r="L1017" s="1">
        <f>ROUNDDOWN(formatted_data[[#This Row],[Selling_Price]]*formatted_data[[#This Row],[Discount_%]]/100,0)</f>
        <v>0</v>
      </c>
      <c r="M1017" s="1">
        <f>(formatted_data[[#This Row],[Selling_Price]]-formatted_data[[#This Row],[Discount_Amount]])*formatted_data[[#This Row],[Units]]</f>
        <v>4796</v>
      </c>
      <c r="N1017" s="1">
        <f>formatted_data[[#This Row],[Total_Revenue]]-(formatted_data[[#This Row],[Cost_Price]]*formatted_data[[#This Row],[Units]])</f>
        <v>2292</v>
      </c>
      <c r="O1017" s="1" t="s">
        <v>21</v>
      </c>
      <c r="P1017"/>
    </row>
    <row r="1018" spans="1:16" x14ac:dyDescent="0.35">
      <c r="A1018" s="1" t="s">
        <v>80</v>
      </c>
      <c r="B1018" s="1" t="s">
        <v>27</v>
      </c>
      <c r="C1018" s="2">
        <v>45599</v>
      </c>
      <c r="D1018" s="1" t="s">
        <v>31</v>
      </c>
      <c r="E1018" s="1" t="s">
        <v>76</v>
      </c>
      <c r="F1018" s="1" t="s">
        <v>25</v>
      </c>
      <c r="G1018" s="1" t="s">
        <v>20</v>
      </c>
      <c r="H1018" s="1">
        <v>1</v>
      </c>
      <c r="I1018" s="1">
        <v>375</v>
      </c>
      <c r="J1018" s="1">
        <v>699</v>
      </c>
      <c r="K1018" s="1">
        <v>0</v>
      </c>
      <c r="L1018" s="1">
        <f>ROUNDDOWN(formatted_data[[#This Row],[Selling_Price]]*formatted_data[[#This Row],[Discount_%]]/100,0)</f>
        <v>0</v>
      </c>
      <c r="M1018" s="1">
        <f>(formatted_data[[#This Row],[Selling_Price]]-formatted_data[[#This Row],[Discount_Amount]])*formatted_data[[#This Row],[Units]]</f>
        <v>699</v>
      </c>
      <c r="N1018" s="1">
        <f>formatted_data[[#This Row],[Total_Revenue]]-(formatted_data[[#This Row],[Cost_Price]]*formatted_data[[#This Row],[Units]])</f>
        <v>324</v>
      </c>
      <c r="O1018" s="1" t="s">
        <v>21</v>
      </c>
      <c r="P1018"/>
    </row>
    <row r="1019" spans="1:16" x14ac:dyDescent="0.35">
      <c r="A1019" s="1" t="s">
        <v>51</v>
      </c>
      <c r="B1019" s="1" t="s">
        <v>16</v>
      </c>
      <c r="C1019" s="2">
        <v>45543</v>
      </c>
      <c r="D1019" s="1" t="s">
        <v>23</v>
      </c>
      <c r="E1019" s="1" t="s">
        <v>24</v>
      </c>
      <c r="F1019" s="1" t="s">
        <v>37</v>
      </c>
      <c r="G1019" s="1" t="s">
        <v>20</v>
      </c>
      <c r="H1019" s="1">
        <v>5</v>
      </c>
      <c r="I1019" s="1">
        <v>1100</v>
      </c>
      <c r="J1019" s="1">
        <v>1899</v>
      </c>
      <c r="K1019" s="1">
        <v>20</v>
      </c>
      <c r="L1019" s="1">
        <f>ROUNDDOWN(formatted_data[[#This Row],[Selling_Price]]*formatted_data[[#This Row],[Discount_%]]/100,0)</f>
        <v>379</v>
      </c>
      <c r="M1019" s="1">
        <f>(formatted_data[[#This Row],[Selling_Price]]-formatted_data[[#This Row],[Discount_Amount]])*formatted_data[[#This Row],[Units]]</f>
        <v>7600</v>
      </c>
      <c r="N1019" s="1">
        <f>formatted_data[[#This Row],[Total_Revenue]]-(formatted_data[[#This Row],[Cost_Price]]*formatted_data[[#This Row],[Units]])</f>
        <v>2100</v>
      </c>
      <c r="O1019" s="1" t="s">
        <v>21</v>
      </c>
      <c r="P1019"/>
    </row>
    <row r="1020" spans="1:16" x14ac:dyDescent="0.35">
      <c r="A1020" s="1" t="s">
        <v>70</v>
      </c>
      <c r="B1020" s="1" t="s">
        <v>27</v>
      </c>
      <c r="C1020" s="2">
        <v>45470</v>
      </c>
      <c r="D1020" s="1" t="s">
        <v>31</v>
      </c>
      <c r="E1020" s="1" t="s">
        <v>76</v>
      </c>
      <c r="F1020" s="1" t="s">
        <v>25</v>
      </c>
      <c r="G1020" s="1" t="s">
        <v>20</v>
      </c>
      <c r="H1020" s="1">
        <v>4</v>
      </c>
      <c r="I1020" s="1">
        <v>409</v>
      </c>
      <c r="J1020" s="1">
        <v>799</v>
      </c>
      <c r="K1020" s="1">
        <v>0</v>
      </c>
      <c r="L1020" s="1">
        <f>ROUNDDOWN(formatted_data[[#This Row],[Selling_Price]]*formatted_data[[#This Row],[Discount_%]]/100,0)</f>
        <v>0</v>
      </c>
      <c r="M1020" s="1">
        <f>(formatted_data[[#This Row],[Selling_Price]]-formatted_data[[#This Row],[Discount_Amount]])*formatted_data[[#This Row],[Units]]</f>
        <v>3196</v>
      </c>
      <c r="N1020" s="1">
        <f>formatted_data[[#This Row],[Total_Revenue]]-(formatted_data[[#This Row],[Cost_Price]]*formatted_data[[#This Row],[Units]])</f>
        <v>1560</v>
      </c>
      <c r="O1020" s="1" t="s">
        <v>21</v>
      </c>
      <c r="P1020"/>
    </row>
    <row r="1021" spans="1:16" x14ac:dyDescent="0.35">
      <c r="A1021" s="1" t="s">
        <v>103</v>
      </c>
      <c r="B1021" s="1" t="s">
        <v>16</v>
      </c>
      <c r="C1021" s="2">
        <v>45622</v>
      </c>
      <c r="D1021" s="1" t="s">
        <v>31</v>
      </c>
      <c r="E1021" s="1" t="s">
        <v>76</v>
      </c>
      <c r="F1021" s="1" t="s">
        <v>37</v>
      </c>
      <c r="G1021" s="1" t="s">
        <v>20</v>
      </c>
      <c r="H1021" s="1">
        <v>5</v>
      </c>
      <c r="I1021" s="1">
        <v>616</v>
      </c>
      <c r="J1021" s="1">
        <v>999</v>
      </c>
      <c r="K1021" s="1">
        <v>0</v>
      </c>
      <c r="L1021" s="1">
        <f>ROUNDDOWN(formatted_data[[#This Row],[Selling_Price]]*formatted_data[[#This Row],[Discount_%]]/100,0)</f>
        <v>0</v>
      </c>
      <c r="M1021" s="1">
        <f>(formatted_data[[#This Row],[Selling_Price]]-formatted_data[[#This Row],[Discount_Amount]])*formatted_data[[#This Row],[Units]]</f>
        <v>4995</v>
      </c>
      <c r="N1021" s="1">
        <f>formatted_data[[#This Row],[Total_Revenue]]-(formatted_data[[#This Row],[Cost_Price]]*formatted_data[[#This Row],[Units]])</f>
        <v>1915</v>
      </c>
      <c r="O1021" s="1" t="s">
        <v>21</v>
      </c>
      <c r="P1021"/>
    </row>
    <row r="1022" spans="1:16" x14ac:dyDescent="0.35">
      <c r="A1022" s="1" t="s">
        <v>51</v>
      </c>
      <c r="B1022" s="1" t="s">
        <v>16</v>
      </c>
      <c r="C1022" s="2">
        <v>45563</v>
      </c>
      <c r="D1022" s="1" t="s">
        <v>31</v>
      </c>
      <c r="E1022" s="1" t="s">
        <v>32</v>
      </c>
      <c r="F1022" s="1" t="s">
        <v>19</v>
      </c>
      <c r="G1022" s="1" t="s">
        <v>19</v>
      </c>
      <c r="H1022" s="1">
        <v>5</v>
      </c>
      <c r="I1022" s="1">
        <v>522</v>
      </c>
      <c r="J1022" s="1">
        <v>999</v>
      </c>
      <c r="K1022" s="1">
        <v>0</v>
      </c>
      <c r="L1022" s="1">
        <f>ROUNDDOWN(formatted_data[[#This Row],[Selling_Price]]*formatted_data[[#This Row],[Discount_%]]/100,0)</f>
        <v>0</v>
      </c>
      <c r="M1022" s="1">
        <f>(formatted_data[[#This Row],[Selling_Price]]-formatted_data[[#This Row],[Discount_Amount]])*formatted_data[[#This Row],[Units]]</f>
        <v>4995</v>
      </c>
      <c r="N1022" s="1">
        <f>formatted_data[[#This Row],[Total_Revenue]]-(formatted_data[[#This Row],[Cost_Price]]*formatted_data[[#This Row],[Units]])</f>
        <v>2385</v>
      </c>
      <c r="O1022" s="1" t="s">
        <v>33</v>
      </c>
      <c r="P1022"/>
    </row>
    <row r="1023" spans="1:16" x14ac:dyDescent="0.35">
      <c r="A1023" s="1" t="s">
        <v>104</v>
      </c>
      <c r="B1023" s="1" t="s">
        <v>27</v>
      </c>
      <c r="C1023" s="2">
        <v>45538</v>
      </c>
      <c r="D1023" s="1" t="s">
        <v>35</v>
      </c>
      <c r="E1023" s="1" t="s">
        <v>50</v>
      </c>
      <c r="F1023" s="1" t="s">
        <v>19</v>
      </c>
      <c r="G1023" s="1" t="s">
        <v>20</v>
      </c>
      <c r="H1023" s="1">
        <v>4</v>
      </c>
      <c r="I1023" s="1">
        <v>659</v>
      </c>
      <c r="J1023" s="1">
        <v>1199</v>
      </c>
      <c r="K1023" s="1">
        <v>15</v>
      </c>
      <c r="L1023" s="1">
        <f>ROUNDDOWN(formatted_data[[#This Row],[Selling_Price]]*formatted_data[[#This Row],[Discount_%]]/100,0)</f>
        <v>179</v>
      </c>
      <c r="M1023" s="1">
        <f>(formatted_data[[#This Row],[Selling_Price]]-formatted_data[[#This Row],[Discount_Amount]])*formatted_data[[#This Row],[Units]]</f>
        <v>4080</v>
      </c>
      <c r="N1023" s="1">
        <f>formatted_data[[#This Row],[Total_Revenue]]-(formatted_data[[#This Row],[Cost_Price]]*formatted_data[[#This Row],[Units]])</f>
        <v>1444</v>
      </c>
      <c r="O1023" s="1" t="s">
        <v>21</v>
      </c>
      <c r="P1023"/>
    </row>
    <row r="1024" spans="1:16" x14ac:dyDescent="0.35">
      <c r="A1024" s="1" t="s">
        <v>63</v>
      </c>
      <c r="B1024" s="1" t="s">
        <v>27</v>
      </c>
      <c r="C1024" s="2">
        <v>45513</v>
      </c>
      <c r="D1024" s="1" t="s">
        <v>31</v>
      </c>
      <c r="E1024" s="1" t="s">
        <v>76</v>
      </c>
      <c r="F1024" s="1" t="s">
        <v>37</v>
      </c>
      <c r="G1024" s="1" t="s">
        <v>19</v>
      </c>
      <c r="H1024" s="1">
        <v>1</v>
      </c>
      <c r="I1024" s="1">
        <v>506</v>
      </c>
      <c r="J1024" s="1">
        <v>699</v>
      </c>
      <c r="K1024" s="1">
        <v>0</v>
      </c>
      <c r="L1024" s="1">
        <f>ROUNDDOWN(formatted_data[[#This Row],[Selling_Price]]*formatted_data[[#This Row],[Discount_%]]/100,0)</f>
        <v>0</v>
      </c>
      <c r="M1024" s="1">
        <f>(formatted_data[[#This Row],[Selling_Price]]-formatted_data[[#This Row],[Discount_Amount]])*formatted_data[[#This Row],[Units]]</f>
        <v>699</v>
      </c>
      <c r="N1024" s="1">
        <f>formatted_data[[#This Row],[Total_Revenue]]-(formatted_data[[#This Row],[Cost_Price]]*formatted_data[[#This Row],[Units]])</f>
        <v>193</v>
      </c>
      <c r="O1024" s="1" t="s">
        <v>21</v>
      </c>
      <c r="P1024"/>
    </row>
    <row r="1025" spans="1:16" x14ac:dyDescent="0.35">
      <c r="A1025" s="1" t="s">
        <v>86</v>
      </c>
      <c r="B1025" s="1" t="s">
        <v>27</v>
      </c>
      <c r="C1025" s="2">
        <v>45629</v>
      </c>
      <c r="D1025" s="1" t="s">
        <v>28</v>
      </c>
      <c r="E1025" s="1" t="s">
        <v>45</v>
      </c>
      <c r="F1025" s="1" t="s">
        <v>37</v>
      </c>
      <c r="G1025" s="1" t="s">
        <v>19</v>
      </c>
      <c r="H1025" s="1">
        <v>1</v>
      </c>
      <c r="I1025" s="1">
        <v>553</v>
      </c>
      <c r="J1025" s="1">
        <v>1099</v>
      </c>
      <c r="K1025" s="1">
        <v>5</v>
      </c>
      <c r="L1025" s="1">
        <f>ROUNDDOWN(formatted_data[[#This Row],[Selling_Price]]*formatted_data[[#This Row],[Discount_%]]/100,0)</f>
        <v>54</v>
      </c>
      <c r="M1025" s="1">
        <f>(formatted_data[[#This Row],[Selling_Price]]-formatted_data[[#This Row],[Discount_Amount]])*formatted_data[[#This Row],[Units]]</f>
        <v>1045</v>
      </c>
      <c r="N1025" s="1">
        <f>formatted_data[[#This Row],[Total_Revenue]]-(formatted_data[[#This Row],[Cost_Price]]*formatted_data[[#This Row],[Units]])</f>
        <v>492</v>
      </c>
      <c r="O1025" s="1" t="s">
        <v>21</v>
      </c>
      <c r="P1025"/>
    </row>
    <row r="1026" spans="1:16" x14ac:dyDescent="0.35">
      <c r="A1026" s="1" t="s">
        <v>90</v>
      </c>
      <c r="B1026" s="1" t="s">
        <v>27</v>
      </c>
      <c r="C1026" s="2">
        <v>45530</v>
      </c>
      <c r="D1026" s="1" t="s">
        <v>28</v>
      </c>
      <c r="E1026" s="1" t="s">
        <v>45</v>
      </c>
      <c r="F1026" s="1" t="s">
        <v>37</v>
      </c>
      <c r="G1026" s="1" t="s">
        <v>19</v>
      </c>
      <c r="H1026" s="1">
        <v>1</v>
      </c>
      <c r="I1026" s="1">
        <v>1260</v>
      </c>
      <c r="J1026" s="1">
        <v>1899</v>
      </c>
      <c r="K1026" s="1">
        <v>5</v>
      </c>
      <c r="L1026" s="1">
        <f>ROUNDDOWN(formatted_data[[#This Row],[Selling_Price]]*formatted_data[[#This Row],[Discount_%]]/100,0)</f>
        <v>94</v>
      </c>
      <c r="M1026" s="1">
        <f>(formatted_data[[#This Row],[Selling_Price]]-formatted_data[[#This Row],[Discount_Amount]])*formatted_data[[#This Row],[Units]]</f>
        <v>1805</v>
      </c>
      <c r="N1026" s="1">
        <f>formatted_data[[#This Row],[Total_Revenue]]-(formatted_data[[#This Row],[Cost_Price]]*formatted_data[[#This Row],[Units]])</f>
        <v>545</v>
      </c>
      <c r="O1026" s="1" t="s">
        <v>33</v>
      </c>
      <c r="P1026"/>
    </row>
    <row r="1027" spans="1:16" x14ac:dyDescent="0.35">
      <c r="A1027" s="1" t="s">
        <v>81</v>
      </c>
      <c r="B1027" s="1" t="s">
        <v>27</v>
      </c>
      <c r="C1027" s="2">
        <v>45529</v>
      </c>
      <c r="D1027" s="1" t="s">
        <v>35</v>
      </c>
      <c r="E1027" s="1" t="s">
        <v>41</v>
      </c>
      <c r="F1027" s="1" t="s">
        <v>37</v>
      </c>
      <c r="G1027" s="1" t="s">
        <v>19</v>
      </c>
      <c r="H1027" s="1">
        <v>1</v>
      </c>
      <c r="I1027" s="1">
        <v>804</v>
      </c>
      <c r="J1027" s="1">
        <v>1199</v>
      </c>
      <c r="K1027" s="1">
        <v>10</v>
      </c>
      <c r="L1027" s="1">
        <f>ROUNDDOWN(formatted_data[[#This Row],[Selling_Price]]*formatted_data[[#This Row],[Discount_%]]/100,0)</f>
        <v>119</v>
      </c>
      <c r="M1027" s="1">
        <f>(formatted_data[[#This Row],[Selling_Price]]-formatted_data[[#This Row],[Discount_Amount]])*formatted_data[[#This Row],[Units]]</f>
        <v>1080</v>
      </c>
      <c r="N1027" s="1">
        <f>formatted_data[[#This Row],[Total_Revenue]]-(formatted_data[[#This Row],[Cost_Price]]*formatted_data[[#This Row],[Units]])</f>
        <v>276</v>
      </c>
      <c r="O1027" s="1" t="s">
        <v>21</v>
      </c>
      <c r="P1027"/>
    </row>
    <row r="1028" spans="1:16" x14ac:dyDescent="0.35">
      <c r="A1028" s="1" t="s">
        <v>104</v>
      </c>
      <c r="B1028" s="1" t="s">
        <v>27</v>
      </c>
      <c r="C1028" s="2">
        <v>45576</v>
      </c>
      <c r="D1028" s="1" t="s">
        <v>17</v>
      </c>
      <c r="E1028" s="1" t="s">
        <v>72</v>
      </c>
      <c r="F1028" s="1" t="s">
        <v>25</v>
      </c>
      <c r="G1028" s="1" t="s">
        <v>20</v>
      </c>
      <c r="H1028" s="1">
        <v>2</v>
      </c>
      <c r="I1028" s="1">
        <v>241</v>
      </c>
      <c r="J1028" s="1">
        <v>399</v>
      </c>
      <c r="K1028" s="1">
        <v>0</v>
      </c>
      <c r="L1028" s="1">
        <f>ROUNDDOWN(formatted_data[[#This Row],[Selling_Price]]*formatted_data[[#This Row],[Discount_%]]/100,0)</f>
        <v>0</v>
      </c>
      <c r="M1028" s="1">
        <f>(formatted_data[[#This Row],[Selling_Price]]-formatted_data[[#This Row],[Discount_Amount]])*formatted_data[[#This Row],[Units]]</f>
        <v>798</v>
      </c>
      <c r="N1028" s="1">
        <f>formatted_data[[#This Row],[Total_Revenue]]-(formatted_data[[#This Row],[Cost_Price]]*formatted_data[[#This Row],[Units]])</f>
        <v>316</v>
      </c>
      <c r="O1028" s="1" t="s">
        <v>21</v>
      </c>
      <c r="P1028"/>
    </row>
    <row r="1029" spans="1:16" x14ac:dyDescent="0.35">
      <c r="A1029" s="1" t="s">
        <v>96</v>
      </c>
      <c r="B1029" s="1" t="s">
        <v>16</v>
      </c>
      <c r="C1029" s="2">
        <v>45472</v>
      </c>
      <c r="D1029" s="1" t="s">
        <v>28</v>
      </c>
      <c r="E1029" s="1" t="s">
        <v>29</v>
      </c>
      <c r="F1029" s="1" t="s">
        <v>25</v>
      </c>
      <c r="G1029" s="1" t="s">
        <v>20</v>
      </c>
      <c r="H1029" s="1">
        <v>3</v>
      </c>
      <c r="I1029" s="1">
        <v>514</v>
      </c>
      <c r="J1029" s="1">
        <v>799</v>
      </c>
      <c r="K1029" s="1">
        <v>15</v>
      </c>
      <c r="L1029" s="1">
        <f>ROUNDDOWN(formatted_data[[#This Row],[Selling_Price]]*formatted_data[[#This Row],[Discount_%]]/100,0)</f>
        <v>119</v>
      </c>
      <c r="M1029" s="1">
        <f>(formatted_data[[#This Row],[Selling_Price]]-formatted_data[[#This Row],[Discount_Amount]])*formatted_data[[#This Row],[Units]]</f>
        <v>2040</v>
      </c>
      <c r="N1029" s="1">
        <f>formatted_data[[#This Row],[Total_Revenue]]-(formatted_data[[#This Row],[Cost_Price]]*formatted_data[[#This Row],[Units]])</f>
        <v>498</v>
      </c>
      <c r="O1029" s="1" t="s">
        <v>21</v>
      </c>
      <c r="P1029"/>
    </row>
    <row r="1030" spans="1:16" x14ac:dyDescent="0.35">
      <c r="A1030" s="1" t="s">
        <v>69</v>
      </c>
      <c r="B1030" s="1" t="s">
        <v>16</v>
      </c>
      <c r="C1030" s="2">
        <v>45475</v>
      </c>
      <c r="D1030" s="1" t="s">
        <v>28</v>
      </c>
      <c r="E1030" s="1" t="s">
        <v>45</v>
      </c>
      <c r="F1030" s="1" t="s">
        <v>37</v>
      </c>
      <c r="G1030" s="1" t="s">
        <v>20</v>
      </c>
      <c r="H1030" s="1">
        <v>4</v>
      </c>
      <c r="I1030" s="1">
        <v>884</v>
      </c>
      <c r="J1030" s="1">
        <v>1399</v>
      </c>
      <c r="K1030" s="1">
        <v>10</v>
      </c>
      <c r="L1030" s="1">
        <f>ROUNDDOWN(formatted_data[[#This Row],[Selling_Price]]*formatted_data[[#This Row],[Discount_%]]/100,0)</f>
        <v>139</v>
      </c>
      <c r="M1030" s="1">
        <f>(formatted_data[[#This Row],[Selling_Price]]-formatted_data[[#This Row],[Discount_Amount]])*formatted_data[[#This Row],[Units]]</f>
        <v>5040</v>
      </c>
      <c r="N1030" s="1">
        <f>formatted_data[[#This Row],[Total_Revenue]]-(formatted_data[[#This Row],[Cost_Price]]*formatted_data[[#This Row],[Units]])</f>
        <v>1504</v>
      </c>
      <c r="O1030" s="1" t="s">
        <v>21</v>
      </c>
      <c r="P1030"/>
    </row>
    <row r="1031" spans="1:16" x14ac:dyDescent="0.35">
      <c r="A1031" s="1" t="s">
        <v>85</v>
      </c>
      <c r="B1031" s="1" t="s">
        <v>27</v>
      </c>
      <c r="C1031" s="2">
        <v>45568</v>
      </c>
      <c r="D1031" s="1" t="s">
        <v>17</v>
      </c>
      <c r="E1031" s="1" t="s">
        <v>18</v>
      </c>
      <c r="F1031" s="1" t="s">
        <v>25</v>
      </c>
      <c r="G1031" s="1" t="s">
        <v>20</v>
      </c>
      <c r="H1031" s="1">
        <v>5</v>
      </c>
      <c r="I1031" s="1">
        <v>342</v>
      </c>
      <c r="J1031" s="1">
        <v>499</v>
      </c>
      <c r="K1031" s="1">
        <v>0</v>
      </c>
      <c r="L1031" s="1">
        <f>ROUNDDOWN(formatted_data[[#This Row],[Selling_Price]]*formatted_data[[#This Row],[Discount_%]]/100,0)</f>
        <v>0</v>
      </c>
      <c r="M1031" s="1">
        <f>(formatted_data[[#This Row],[Selling_Price]]-formatted_data[[#This Row],[Discount_Amount]])*formatted_data[[#This Row],[Units]]</f>
        <v>2495</v>
      </c>
      <c r="N1031" s="1">
        <f>formatted_data[[#This Row],[Total_Revenue]]-(formatted_data[[#This Row],[Cost_Price]]*formatted_data[[#This Row],[Units]])</f>
        <v>785</v>
      </c>
      <c r="O1031" s="1" t="s">
        <v>33</v>
      </c>
      <c r="P1031"/>
    </row>
    <row r="1032" spans="1:16" x14ac:dyDescent="0.35">
      <c r="A1032" s="1" t="s">
        <v>90</v>
      </c>
      <c r="B1032" s="1" t="s">
        <v>27</v>
      </c>
      <c r="C1032" s="2">
        <v>45571</v>
      </c>
      <c r="D1032" s="1" t="s">
        <v>23</v>
      </c>
      <c r="E1032" s="1" t="s">
        <v>24</v>
      </c>
      <c r="F1032" s="1" t="s">
        <v>19</v>
      </c>
      <c r="G1032" s="1" t="s">
        <v>19</v>
      </c>
      <c r="H1032" s="1">
        <v>1</v>
      </c>
      <c r="I1032" s="1">
        <v>1335</v>
      </c>
      <c r="J1032" s="1">
        <v>2399</v>
      </c>
      <c r="K1032" s="1">
        <v>15</v>
      </c>
      <c r="L1032" s="1">
        <f>ROUNDDOWN(formatted_data[[#This Row],[Selling_Price]]*formatted_data[[#This Row],[Discount_%]]/100,0)</f>
        <v>359</v>
      </c>
      <c r="M1032" s="1">
        <f>(formatted_data[[#This Row],[Selling_Price]]-formatted_data[[#This Row],[Discount_Amount]])*formatted_data[[#This Row],[Units]]</f>
        <v>2040</v>
      </c>
      <c r="N1032" s="1">
        <f>formatted_data[[#This Row],[Total_Revenue]]-(formatted_data[[#This Row],[Cost_Price]]*formatted_data[[#This Row],[Units]])</f>
        <v>705</v>
      </c>
      <c r="O1032" s="1" t="s">
        <v>21</v>
      </c>
      <c r="P1032"/>
    </row>
    <row r="1033" spans="1:16" x14ac:dyDescent="0.35">
      <c r="A1033" s="1" t="s">
        <v>71</v>
      </c>
      <c r="B1033" s="1" t="s">
        <v>16</v>
      </c>
      <c r="C1033" s="2">
        <v>45555</v>
      </c>
      <c r="D1033" s="1" t="s">
        <v>28</v>
      </c>
      <c r="E1033" s="1" t="s">
        <v>45</v>
      </c>
      <c r="F1033" s="1" t="s">
        <v>37</v>
      </c>
      <c r="G1033" s="1" t="s">
        <v>19</v>
      </c>
      <c r="H1033" s="1">
        <v>1</v>
      </c>
      <c r="I1033" s="1">
        <v>1201</v>
      </c>
      <c r="J1033" s="1">
        <v>1799</v>
      </c>
      <c r="K1033" s="1">
        <v>15</v>
      </c>
      <c r="L1033" s="1">
        <f>ROUNDDOWN(formatted_data[[#This Row],[Selling_Price]]*formatted_data[[#This Row],[Discount_%]]/100,0)</f>
        <v>269</v>
      </c>
      <c r="M1033" s="1">
        <f>(formatted_data[[#This Row],[Selling_Price]]-formatted_data[[#This Row],[Discount_Amount]])*formatted_data[[#This Row],[Units]]</f>
        <v>1530</v>
      </c>
      <c r="N1033" s="1">
        <f>formatted_data[[#This Row],[Total_Revenue]]-(formatted_data[[#This Row],[Cost_Price]]*formatted_data[[#This Row],[Units]])</f>
        <v>329</v>
      </c>
      <c r="O1033" s="1" t="s">
        <v>21</v>
      </c>
      <c r="P1033"/>
    </row>
    <row r="1034" spans="1:16" x14ac:dyDescent="0.35">
      <c r="A1034" s="1" t="s">
        <v>34</v>
      </c>
      <c r="B1034" s="1" t="s">
        <v>27</v>
      </c>
      <c r="C1034" s="2">
        <v>45505</v>
      </c>
      <c r="D1034" s="1" t="s">
        <v>17</v>
      </c>
      <c r="E1034" s="1" t="s">
        <v>55</v>
      </c>
      <c r="F1034" s="1" t="s">
        <v>19</v>
      </c>
      <c r="G1034" s="1" t="s">
        <v>20</v>
      </c>
      <c r="H1034" s="1">
        <v>3</v>
      </c>
      <c r="I1034" s="1">
        <v>429</v>
      </c>
      <c r="J1034" s="1">
        <v>599</v>
      </c>
      <c r="K1034" s="1">
        <v>0</v>
      </c>
      <c r="L1034" s="1">
        <f>ROUNDDOWN(formatted_data[[#This Row],[Selling_Price]]*formatted_data[[#This Row],[Discount_%]]/100,0)</f>
        <v>0</v>
      </c>
      <c r="M1034" s="1">
        <f>(formatted_data[[#This Row],[Selling_Price]]-formatted_data[[#This Row],[Discount_Amount]])*formatted_data[[#This Row],[Units]]</f>
        <v>1797</v>
      </c>
      <c r="N1034" s="1">
        <f>formatted_data[[#This Row],[Total_Revenue]]-(formatted_data[[#This Row],[Cost_Price]]*formatted_data[[#This Row],[Units]])</f>
        <v>510</v>
      </c>
      <c r="O1034" s="1" t="s">
        <v>21</v>
      </c>
      <c r="P1034"/>
    </row>
    <row r="1035" spans="1:16" x14ac:dyDescent="0.35">
      <c r="A1035" s="1" t="s">
        <v>73</v>
      </c>
      <c r="B1035" s="1" t="s">
        <v>16</v>
      </c>
      <c r="C1035" s="2">
        <v>45482</v>
      </c>
      <c r="D1035" s="1" t="s">
        <v>28</v>
      </c>
      <c r="E1035" s="1" t="s">
        <v>45</v>
      </c>
      <c r="F1035" s="1" t="s">
        <v>19</v>
      </c>
      <c r="G1035" s="1" t="s">
        <v>20</v>
      </c>
      <c r="H1035" s="1">
        <v>2</v>
      </c>
      <c r="I1035" s="1">
        <v>538</v>
      </c>
      <c r="J1035" s="1">
        <v>899</v>
      </c>
      <c r="K1035" s="1">
        <v>10</v>
      </c>
      <c r="L1035" s="1">
        <f>ROUNDDOWN(formatted_data[[#This Row],[Selling_Price]]*formatted_data[[#This Row],[Discount_%]]/100,0)</f>
        <v>89</v>
      </c>
      <c r="M1035" s="1">
        <f>(formatted_data[[#This Row],[Selling_Price]]-formatted_data[[#This Row],[Discount_Amount]])*formatted_data[[#This Row],[Units]]</f>
        <v>1620</v>
      </c>
      <c r="N1035" s="1">
        <f>formatted_data[[#This Row],[Total_Revenue]]-(formatted_data[[#This Row],[Cost_Price]]*formatted_data[[#This Row],[Units]])</f>
        <v>544</v>
      </c>
      <c r="O1035" s="1" t="s">
        <v>21</v>
      </c>
      <c r="P1035"/>
    </row>
    <row r="1036" spans="1:16" x14ac:dyDescent="0.35">
      <c r="A1036" s="1" t="s">
        <v>22</v>
      </c>
      <c r="B1036" s="1" t="s">
        <v>16</v>
      </c>
      <c r="C1036" s="2">
        <v>45623</v>
      </c>
      <c r="D1036" s="1" t="s">
        <v>28</v>
      </c>
      <c r="E1036" s="1" t="s">
        <v>45</v>
      </c>
      <c r="F1036" s="1" t="s">
        <v>37</v>
      </c>
      <c r="G1036" s="1" t="s">
        <v>19</v>
      </c>
      <c r="H1036" s="1">
        <v>3</v>
      </c>
      <c r="I1036" s="1">
        <v>893</v>
      </c>
      <c r="J1036" s="1">
        <v>1299</v>
      </c>
      <c r="K1036" s="1">
        <v>20</v>
      </c>
      <c r="L1036" s="1">
        <f>ROUNDDOWN(formatted_data[[#This Row],[Selling_Price]]*formatted_data[[#This Row],[Discount_%]]/100,0)</f>
        <v>259</v>
      </c>
      <c r="M1036" s="1">
        <f>(formatted_data[[#This Row],[Selling_Price]]-formatted_data[[#This Row],[Discount_Amount]])*formatted_data[[#This Row],[Units]]</f>
        <v>3120</v>
      </c>
      <c r="N1036" s="1">
        <f>formatted_data[[#This Row],[Total_Revenue]]-(formatted_data[[#This Row],[Cost_Price]]*formatted_data[[#This Row],[Units]])</f>
        <v>441</v>
      </c>
      <c r="O1036" s="1" t="s">
        <v>33</v>
      </c>
      <c r="P1036"/>
    </row>
    <row r="1037" spans="1:16" x14ac:dyDescent="0.35">
      <c r="A1037" s="1" t="s">
        <v>91</v>
      </c>
      <c r="B1037" s="1" t="s">
        <v>16</v>
      </c>
      <c r="C1037" s="2">
        <v>45657</v>
      </c>
      <c r="D1037" s="1" t="s">
        <v>23</v>
      </c>
      <c r="E1037" s="1" t="s">
        <v>24</v>
      </c>
      <c r="F1037" s="1" t="s">
        <v>37</v>
      </c>
      <c r="G1037" s="1" t="s">
        <v>19</v>
      </c>
      <c r="H1037" s="1">
        <v>5</v>
      </c>
      <c r="I1037" s="1">
        <v>570</v>
      </c>
      <c r="J1037" s="1">
        <v>999</v>
      </c>
      <c r="K1037" s="1">
        <v>20</v>
      </c>
      <c r="L1037" s="1">
        <f>ROUNDDOWN(formatted_data[[#This Row],[Selling_Price]]*formatted_data[[#This Row],[Discount_%]]/100,0)</f>
        <v>199</v>
      </c>
      <c r="M1037" s="1">
        <f>(formatted_data[[#This Row],[Selling_Price]]-formatted_data[[#This Row],[Discount_Amount]])*formatted_data[[#This Row],[Units]]</f>
        <v>4000</v>
      </c>
      <c r="N1037" s="1">
        <f>formatted_data[[#This Row],[Total_Revenue]]-(formatted_data[[#This Row],[Cost_Price]]*formatted_data[[#This Row],[Units]])</f>
        <v>1150</v>
      </c>
      <c r="O1037" s="1" t="s">
        <v>21</v>
      </c>
      <c r="P1037"/>
    </row>
    <row r="1038" spans="1:16" x14ac:dyDescent="0.35">
      <c r="A1038" s="1" t="s">
        <v>103</v>
      </c>
      <c r="B1038" s="1" t="s">
        <v>16</v>
      </c>
      <c r="C1038" s="2">
        <v>45518</v>
      </c>
      <c r="D1038" s="1" t="s">
        <v>31</v>
      </c>
      <c r="E1038" s="1" t="s">
        <v>32</v>
      </c>
      <c r="F1038" s="1" t="s">
        <v>25</v>
      </c>
      <c r="G1038" s="1" t="s">
        <v>20</v>
      </c>
      <c r="H1038" s="1">
        <v>1</v>
      </c>
      <c r="I1038" s="1">
        <v>932</v>
      </c>
      <c r="J1038" s="1">
        <v>1499</v>
      </c>
      <c r="K1038" s="1">
        <v>0</v>
      </c>
      <c r="L1038" s="1">
        <f>ROUNDDOWN(formatted_data[[#This Row],[Selling_Price]]*formatted_data[[#This Row],[Discount_%]]/100,0)</f>
        <v>0</v>
      </c>
      <c r="M1038" s="1">
        <f>(formatted_data[[#This Row],[Selling_Price]]-formatted_data[[#This Row],[Discount_Amount]])*formatted_data[[#This Row],[Units]]</f>
        <v>1499</v>
      </c>
      <c r="N1038" s="1">
        <f>formatted_data[[#This Row],[Total_Revenue]]-(formatted_data[[#This Row],[Cost_Price]]*formatted_data[[#This Row],[Units]])</f>
        <v>567</v>
      </c>
      <c r="O1038" s="1" t="s">
        <v>21</v>
      </c>
      <c r="P1038"/>
    </row>
    <row r="1039" spans="1:16" x14ac:dyDescent="0.35">
      <c r="A1039" s="1" t="s">
        <v>34</v>
      </c>
      <c r="B1039" s="1" t="s">
        <v>27</v>
      </c>
      <c r="C1039" s="2">
        <v>45577</v>
      </c>
      <c r="D1039" s="1" t="s">
        <v>17</v>
      </c>
      <c r="E1039" s="1" t="s">
        <v>55</v>
      </c>
      <c r="F1039" s="1" t="s">
        <v>25</v>
      </c>
      <c r="G1039" s="1" t="s">
        <v>20</v>
      </c>
      <c r="H1039" s="1">
        <v>1</v>
      </c>
      <c r="I1039" s="1">
        <v>205</v>
      </c>
      <c r="J1039" s="1">
        <v>299</v>
      </c>
      <c r="K1039" s="1">
        <v>0</v>
      </c>
      <c r="L1039" s="1">
        <f>ROUNDDOWN(formatted_data[[#This Row],[Selling_Price]]*formatted_data[[#This Row],[Discount_%]]/100,0)</f>
        <v>0</v>
      </c>
      <c r="M1039" s="1">
        <f>(formatted_data[[#This Row],[Selling_Price]]-formatted_data[[#This Row],[Discount_Amount]])*formatted_data[[#This Row],[Units]]</f>
        <v>299</v>
      </c>
      <c r="N1039" s="1">
        <f>formatted_data[[#This Row],[Total_Revenue]]-(formatted_data[[#This Row],[Cost_Price]]*formatted_data[[#This Row],[Units]])</f>
        <v>94</v>
      </c>
      <c r="O1039" s="1" t="s">
        <v>33</v>
      </c>
      <c r="P1039"/>
    </row>
    <row r="1040" spans="1:16" x14ac:dyDescent="0.35">
      <c r="A1040" s="1" t="s">
        <v>46</v>
      </c>
      <c r="B1040" s="1" t="s">
        <v>16</v>
      </c>
      <c r="C1040" s="2">
        <v>45456</v>
      </c>
      <c r="D1040" s="1" t="s">
        <v>23</v>
      </c>
      <c r="E1040" s="1" t="s">
        <v>24</v>
      </c>
      <c r="F1040" s="1" t="s">
        <v>37</v>
      </c>
      <c r="G1040" s="1" t="s">
        <v>20</v>
      </c>
      <c r="H1040" s="1">
        <v>4</v>
      </c>
      <c r="I1040" s="1">
        <v>743</v>
      </c>
      <c r="J1040" s="1">
        <v>999</v>
      </c>
      <c r="K1040" s="1">
        <v>15</v>
      </c>
      <c r="L1040" s="1">
        <f>ROUNDDOWN(formatted_data[[#This Row],[Selling_Price]]*formatted_data[[#This Row],[Discount_%]]/100,0)</f>
        <v>149</v>
      </c>
      <c r="M1040" s="1">
        <f>(formatted_data[[#This Row],[Selling_Price]]-formatted_data[[#This Row],[Discount_Amount]])*formatted_data[[#This Row],[Units]]</f>
        <v>3400</v>
      </c>
      <c r="N1040" s="1">
        <f>formatted_data[[#This Row],[Total_Revenue]]-(formatted_data[[#This Row],[Cost_Price]]*formatted_data[[#This Row],[Units]])</f>
        <v>428</v>
      </c>
      <c r="O1040" s="1" t="s">
        <v>21</v>
      </c>
      <c r="P1040"/>
    </row>
    <row r="1041" spans="1:16" x14ac:dyDescent="0.35">
      <c r="A1041" s="1" t="s">
        <v>66</v>
      </c>
      <c r="B1041" s="1" t="s">
        <v>27</v>
      </c>
      <c r="C1041" s="2">
        <v>45445</v>
      </c>
      <c r="D1041" s="1" t="s">
        <v>31</v>
      </c>
      <c r="E1041" s="1" t="s">
        <v>32</v>
      </c>
      <c r="F1041" s="1" t="s">
        <v>19</v>
      </c>
      <c r="G1041" s="1" t="s">
        <v>19</v>
      </c>
      <c r="H1041" s="1">
        <v>1</v>
      </c>
      <c r="I1041" s="1">
        <v>617</v>
      </c>
      <c r="J1041" s="1">
        <v>899</v>
      </c>
      <c r="K1041" s="1">
        <v>0</v>
      </c>
      <c r="L1041" s="1">
        <f>ROUNDDOWN(formatted_data[[#This Row],[Selling_Price]]*formatted_data[[#This Row],[Discount_%]]/100,0)</f>
        <v>0</v>
      </c>
      <c r="M1041" s="1">
        <f>(formatted_data[[#This Row],[Selling_Price]]-formatted_data[[#This Row],[Discount_Amount]])*formatted_data[[#This Row],[Units]]</f>
        <v>899</v>
      </c>
      <c r="N1041" s="1">
        <f>formatted_data[[#This Row],[Total_Revenue]]-(formatted_data[[#This Row],[Cost_Price]]*formatted_data[[#This Row],[Units]])</f>
        <v>282</v>
      </c>
      <c r="O1041" s="1" t="s">
        <v>21</v>
      </c>
      <c r="P1041"/>
    </row>
    <row r="1042" spans="1:16" x14ac:dyDescent="0.35">
      <c r="A1042" s="1" t="s">
        <v>30</v>
      </c>
      <c r="B1042" s="1" t="s">
        <v>16</v>
      </c>
      <c r="C1042" s="2">
        <v>45583</v>
      </c>
      <c r="D1042" s="1" t="s">
        <v>23</v>
      </c>
      <c r="E1042" s="1" t="s">
        <v>24</v>
      </c>
      <c r="F1042" s="1" t="s">
        <v>37</v>
      </c>
      <c r="G1042" s="1" t="s">
        <v>20</v>
      </c>
      <c r="H1042" s="1">
        <v>4</v>
      </c>
      <c r="I1042" s="1">
        <v>579</v>
      </c>
      <c r="J1042" s="1">
        <v>899</v>
      </c>
      <c r="K1042" s="1">
        <v>10</v>
      </c>
      <c r="L1042" s="1">
        <f>ROUNDDOWN(formatted_data[[#This Row],[Selling_Price]]*formatted_data[[#This Row],[Discount_%]]/100,0)</f>
        <v>89</v>
      </c>
      <c r="M1042" s="1">
        <f>(formatted_data[[#This Row],[Selling_Price]]-formatted_data[[#This Row],[Discount_Amount]])*formatted_data[[#This Row],[Units]]</f>
        <v>3240</v>
      </c>
      <c r="N1042" s="1">
        <f>formatted_data[[#This Row],[Total_Revenue]]-(formatted_data[[#This Row],[Cost_Price]]*formatted_data[[#This Row],[Units]])</f>
        <v>924</v>
      </c>
      <c r="O1042" s="1" t="s">
        <v>21</v>
      </c>
      <c r="P1042"/>
    </row>
    <row r="1043" spans="1:16" x14ac:dyDescent="0.35">
      <c r="A1043" s="1" t="s">
        <v>98</v>
      </c>
      <c r="B1043" s="1" t="s">
        <v>16</v>
      </c>
      <c r="C1043" s="2">
        <v>45564</v>
      </c>
      <c r="D1043" s="1" t="s">
        <v>23</v>
      </c>
      <c r="E1043" s="1" t="s">
        <v>24</v>
      </c>
      <c r="F1043" s="1" t="s">
        <v>25</v>
      </c>
      <c r="G1043" s="1" t="s">
        <v>20</v>
      </c>
      <c r="H1043" s="1">
        <v>2</v>
      </c>
      <c r="I1043" s="1">
        <v>945</v>
      </c>
      <c r="J1043" s="1">
        <v>1499</v>
      </c>
      <c r="K1043" s="1">
        <v>15</v>
      </c>
      <c r="L1043" s="1">
        <f>ROUNDDOWN(formatted_data[[#This Row],[Selling_Price]]*formatted_data[[#This Row],[Discount_%]]/100,0)</f>
        <v>224</v>
      </c>
      <c r="M1043" s="1">
        <f>(formatted_data[[#This Row],[Selling_Price]]-formatted_data[[#This Row],[Discount_Amount]])*formatted_data[[#This Row],[Units]]</f>
        <v>2550</v>
      </c>
      <c r="N1043" s="1">
        <f>formatted_data[[#This Row],[Total_Revenue]]-(formatted_data[[#This Row],[Cost_Price]]*formatted_data[[#This Row],[Units]])</f>
        <v>660</v>
      </c>
      <c r="O1043" s="1" t="s">
        <v>33</v>
      </c>
      <c r="P1043"/>
    </row>
    <row r="1044" spans="1:16" x14ac:dyDescent="0.35">
      <c r="A1044" s="1" t="s">
        <v>89</v>
      </c>
      <c r="B1044" s="1" t="s">
        <v>16</v>
      </c>
      <c r="C1044" s="2">
        <v>45476</v>
      </c>
      <c r="D1044" s="1" t="s">
        <v>23</v>
      </c>
      <c r="E1044" s="1" t="s">
        <v>43</v>
      </c>
      <c r="F1044" s="1" t="s">
        <v>19</v>
      </c>
      <c r="G1044" s="1" t="s">
        <v>20</v>
      </c>
      <c r="H1044" s="1">
        <v>1</v>
      </c>
      <c r="I1044" s="1">
        <v>2473</v>
      </c>
      <c r="J1044" s="1">
        <v>4499</v>
      </c>
      <c r="K1044" s="1">
        <v>10</v>
      </c>
      <c r="L1044" s="1">
        <f>ROUNDDOWN(formatted_data[[#This Row],[Selling_Price]]*formatted_data[[#This Row],[Discount_%]]/100,0)</f>
        <v>449</v>
      </c>
      <c r="M1044" s="1">
        <f>(formatted_data[[#This Row],[Selling_Price]]-formatted_data[[#This Row],[Discount_Amount]])*formatted_data[[#This Row],[Units]]</f>
        <v>4050</v>
      </c>
      <c r="N1044" s="1">
        <f>formatted_data[[#This Row],[Total_Revenue]]-(formatted_data[[#This Row],[Cost_Price]]*formatted_data[[#This Row],[Units]])</f>
        <v>1577</v>
      </c>
      <c r="O1044" s="1" t="s">
        <v>33</v>
      </c>
      <c r="P1044"/>
    </row>
    <row r="1045" spans="1:16" x14ac:dyDescent="0.35">
      <c r="A1045" s="1" t="s">
        <v>108</v>
      </c>
      <c r="B1045" s="1" t="s">
        <v>27</v>
      </c>
      <c r="C1045" s="2">
        <v>45582</v>
      </c>
      <c r="D1045" s="1" t="s">
        <v>17</v>
      </c>
      <c r="E1045" s="1" t="s">
        <v>55</v>
      </c>
      <c r="F1045" s="1" t="s">
        <v>25</v>
      </c>
      <c r="G1045" s="1" t="s">
        <v>19</v>
      </c>
      <c r="H1045" s="1">
        <v>5</v>
      </c>
      <c r="I1045" s="1">
        <v>374</v>
      </c>
      <c r="J1045" s="1">
        <v>599</v>
      </c>
      <c r="K1045" s="1">
        <v>0</v>
      </c>
      <c r="L1045" s="1">
        <f>ROUNDDOWN(formatted_data[[#This Row],[Selling_Price]]*formatted_data[[#This Row],[Discount_%]]/100,0)</f>
        <v>0</v>
      </c>
      <c r="M1045" s="1">
        <f>(formatted_data[[#This Row],[Selling_Price]]-formatted_data[[#This Row],[Discount_Amount]])*formatted_data[[#This Row],[Units]]</f>
        <v>2995</v>
      </c>
      <c r="N1045" s="1">
        <f>formatted_data[[#This Row],[Total_Revenue]]-(formatted_data[[#This Row],[Cost_Price]]*formatted_data[[#This Row],[Units]])</f>
        <v>1125</v>
      </c>
      <c r="O1045" s="1" t="s">
        <v>21</v>
      </c>
      <c r="P1045"/>
    </row>
    <row r="1046" spans="1:16" x14ac:dyDescent="0.35">
      <c r="A1046" s="1" t="s">
        <v>26</v>
      </c>
      <c r="B1046" s="1" t="s">
        <v>27</v>
      </c>
      <c r="C1046" s="2">
        <v>45595</v>
      </c>
      <c r="D1046" s="1" t="s">
        <v>35</v>
      </c>
      <c r="E1046" s="1" t="s">
        <v>41</v>
      </c>
      <c r="F1046" s="1" t="s">
        <v>25</v>
      </c>
      <c r="G1046" s="1" t="s">
        <v>20</v>
      </c>
      <c r="H1046" s="1">
        <v>5</v>
      </c>
      <c r="I1046" s="1">
        <v>502</v>
      </c>
      <c r="J1046" s="1">
        <v>999</v>
      </c>
      <c r="K1046" s="1">
        <v>15</v>
      </c>
      <c r="L1046" s="1">
        <f>ROUNDDOWN(formatted_data[[#This Row],[Selling_Price]]*formatted_data[[#This Row],[Discount_%]]/100,0)</f>
        <v>149</v>
      </c>
      <c r="M1046" s="1">
        <f>(formatted_data[[#This Row],[Selling_Price]]-formatted_data[[#This Row],[Discount_Amount]])*formatted_data[[#This Row],[Units]]</f>
        <v>4250</v>
      </c>
      <c r="N1046" s="1">
        <f>formatted_data[[#This Row],[Total_Revenue]]-(formatted_data[[#This Row],[Cost_Price]]*formatted_data[[#This Row],[Units]])</f>
        <v>1740</v>
      </c>
      <c r="O1046" s="1" t="s">
        <v>21</v>
      </c>
      <c r="P1046"/>
    </row>
    <row r="1047" spans="1:16" x14ac:dyDescent="0.35">
      <c r="A1047" s="1" t="s">
        <v>63</v>
      </c>
      <c r="B1047" s="1" t="s">
        <v>27</v>
      </c>
      <c r="C1047" s="2">
        <v>45551</v>
      </c>
      <c r="D1047" s="1" t="s">
        <v>31</v>
      </c>
      <c r="E1047" s="1" t="s">
        <v>32</v>
      </c>
      <c r="F1047" s="1" t="s">
        <v>25</v>
      </c>
      <c r="G1047" s="1" t="s">
        <v>20</v>
      </c>
      <c r="H1047" s="1">
        <v>1</v>
      </c>
      <c r="I1047" s="1">
        <v>463</v>
      </c>
      <c r="J1047" s="1">
        <v>899</v>
      </c>
      <c r="K1047" s="1">
        <v>0</v>
      </c>
      <c r="L1047" s="1">
        <f>ROUNDDOWN(formatted_data[[#This Row],[Selling_Price]]*formatted_data[[#This Row],[Discount_%]]/100,0)</f>
        <v>0</v>
      </c>
      <c r="M1047" s="1">
        <f>(formatted_data[[#This Row],[Selling_Price]]-formatted_data[[#This Row],[Discount_Amount]])*formatted_data[[#This Row],[Units]]</f>
        <v>899</v>
      </c>
      <c r="N1047" s="1">
        <f>formatted_data[[#This Row],[Total_Revenue]]-(formatted_data[[#This Row],[Cost_Price]]*formatted_data[[#This Row],[Units]])</f>
        <v>436</v>
      </c>
      <c r="O1047" s="1" t="s">
        <v>21</v>
      </c>
      <c r="P1047"/>
    </row>
    <row r="1048" spans="1:16" x14ac:dyDescent="0.35">
      <c r="A1048" s="1" t="s">
        <v>15</v>
      </c>
      <c r="B1048" s="1" t="s">
        <v>16</v>
      </c>
      <c r="C1048" s="2">
        <v>45655</v>
      </c>
      <c r="D1048" s="1" t="s">
        <v>35</v>
      </c>
      <c r="E1048" s="1" t="s">
        <v>36</v>
      </c>
      <c r="F1048" s="1" t="s">
        <v>37</v>
      </c>
      <c r="G1048" s="1" t="s">
        <v>19</v>
      </c>
      <c r="H1048" s="1">
        <v>5</v>
      </c>
      <c r="I1048" s="1">
        <v>253</v>
      </c>
      <c r="J1048" s="1">
        <v>399</v>
      </c>
      <c r="K1048" s="1">
        <v>20</v>
      </c>
      <c r="L1048" s="1">
        <f>ROUNDDOWN(formatted_data[[#This Row],[Selling_Price]]*formatted_data[[#This Row],[Discount_%]]/100,0)</f>
        <v>79</v>
      </c>
      <c r="M1048" s="1">
        <f>(formatted_data[[#This Row],[Selling_Price]]-formatted_data[[#This Row],[Discount_Amount]])*formatted_data[[#This Row],[Units]]</f>
        <v>1600</v>
      </c>
      <c r="N1048" s="1">
        <f>formatted_data[[#This Row],[Total_Revenue]]-(formatted_data[[#This Row],[Cost_Price]]*formatted_data[[#This Row],[Units]])</f>
        <v>335</v>
      </c>
      <c r="O1048" s="1" t="s">
        <v>21</v>
      </c>
      <c r="P1048"/>
    </row>
    <row r="1049" spans="1:16" x14ac:dyDescent="0.35">
      <c r="A1049" s="1" t="s">
        <v>90</v>
      </c>
      <c r="B1049" s="1" t="s">
        <v>27</v>
      </c>
      <c r="C1049" s="2">
        <v>45636</v>
      </c>
      <c r="D1049" s="1" t="s">
        <v>35</v>
      </c>
      <c r="E1049" s="1" t="s">
        <v>87</v>
      </c>
      <c r="F1049" s="1" t="s">
        <v>25</v>
      </c>
      <c r="G1049" s="1" t="s">
        <v>20</v>
      </c>
      <c r="H1049" s="1">
        <v>1</v>
      </c>
      <c r="I1049" s="1">
        <v>1768</v>
      </c>
      <c r="J1049" s="1">
        <v>2999</v>
      </c>
      <c r="K1049" s="1">
        <v>15</v>
      </c>
      <c r="L1049" s="1">
        <f>ROUNDDOWN(formatted_data[[#This Row],[Selling_Price]]*formatted_data[[#This Row],[Discount_%]]/100,0)</f>
        <v>449</v>
      </c>
      <c r="M1049" s="1">
        <f>(formatted_data[[#This Row],[Selling_Price]]-formatted_data[[#This Row],[Discount_Amount]])*formatted_data[[#This Row],[Units]]</f>
        <v>2550</v>
      </c>
      <c r="N1049" s="1">
        <f>formatted_data[[#This Row],[Total_Revenue]]-(formatted_data[[#This Row],[Cost_Price]]*formatted_data[[#This Row],[Units]])</f>
        <v>782</v>
      </c>
      <c r="O1049" s="1" t="s">
        <v>33</v>
      </c>
      <c r="P1049"/>
    </row>
    <row r="1050" spans="1:16" x14ac:dyDescent="0.35">
      <c r="A1050" s="1" t="s">
        <v>38</v>
      </c>
      <c r="B1050" s="1" t="s">
        <v>27</v>
      </c>
      <c r="C1050" s="2">
        <v>45556</v>
      </c>
      <c r="D1050" s="1" t="s">
        <v>17</v>
      </c>
      <c r="E1050" s="1" t="s">
        <v>72</v>
      </c>
      <c r="F1050" s="1" t="s">
        <v>37</v>
      </c>
      <c r="G1050" s="1" t="s">
        <v>20</v>
      </c>
      <c r="H1050" s="1">
        <v>2</v>
      </c>
      <c r="I1050" s="1">
        <v>220</v>
      </c>
      <c r="J1050" s="1">
        <v>399</v>
      </c>
      <c r="K1050" s="1">
        <v>0</v>
      </c>
      <c r="L1050" s="1">
        <f>ROUNDDOWN(formatted_data[[#This Row],[Selling_Price]]*formatted_data[[#This Row],[Discount_%]]/100,0)</f>
        <v>0</v>
      </c>
      <c r="M1050" s="1">
        <f>(formatted_data[[#This Row],[Selling_Price]]-formatted_data[[#This Row],[Discount_Amount]])*formatted_data[[#This Row],[Units]]</f>
        <v>798</v>
      </c>
      <c r="N1050" s="1">
        <f>formatted_data[[#This Row],[Total_Revenue]]-(formatted_data[[#This Row],[Cost_Price]]*formatted_data[[#This Row],[Units]])</f>
        <v>358</v>
      </c>
      <c r="O1050" s="1" t="s">
        <v>21</v>
      </c>
      <c r="P1050"/>
    </row>
    <row r="1051" spans="1:16" x14ac:dyDescent="0.35">
      <c r="A1051" s="1" t="s">
        <v>74</v>
      </c>
      <c r="B1051" s="1" t="s">
        <v>16</v>
      </c>
      <c r="C1051" s="2">
        <v>45559</v>
      </c>
      <c r="D1051" s="1" t="s">
        <v>28</v>
      </c>
      <c r="E1051" s="1" t="s">
        <v>45</v>
      </c>
      <c r="F1051" s="1" t="s">
        <v>25</v>
      </c>
      <c r="G1051" s="1" t="s">
        <v>19</v>
      </c>
      <c r="H1051" s="1">
        <v>3</v>
      </c>
      <c r="I1051" s="1">
        <v>439</v>
      </c>
      <c r="J1051" s="1">
        <v>699</v>
      </c>
      <c r="K1051" s="1">
        <v>10</v>
      </c>
      <c r="L1051" s="1">
        <f>ROUNDDOWN(formatted_data[[#This Row],[Selling_Price]]*formatted_data[[#This Row],[Discount_%]]/100,0)</f>
        <v>69</v>
      </c>
      <c r="M1051" s="1">
        <f>(formatted_data[[#This Row],[Selling_Price]]-formatted_data[[#This Row],[Discount_Amount]])*formatted_data[[#This Row],[Units]]</f>
        <v>1890</v>
      </c>
      <c r="N1051" s="1">
        <f>formatted_data[[#This Row],[Total_Revenue]]-(formatted_data[[#This Row],[Cost_Price]]*formatted_data[[#This Row],[Units]])</f>
        <v>573</v>
      </c>
      <c r="O1051" s="1" t="s">
        <v>21</v>
      </c>
      <c r="P1051"/>
    </row>
    <row r="1052" spans="1:16" x14ac:dyDescent="0.35">
      <c r="A1052" s="1" t="s">
        <v>90</v>
      </c>
      <c r="B1052" s="1" t="s">
        <v>27</v>
      </c>
      <c r="C1052" s="2">
        <v>45487</v>
      </c>
      <c r="D1052" s="1" t="s">
        <v>17</v>
      </c>
      <c r="E1052" s="1" t="s">
        <v>72</v>
      </c>
      <c r="F1052" s="1" t="s">
        <v>19</v>
      </c>
      <c r="G1052" s="1" t="s">
        <v>20</v>
      </c>
      <c r="H1052" s="1">
        <v>3</v>
      </c>
      <c r="I1052" s="1">
        <v>229</v>
      </c>
      <c r="J1052" s="1">
        <v>399</v>
      </c>
      <c r="K1052" s="1">
        <v>0</v>
      </c>
      <c r="L1052" s="1">
        <f>ROUNDDOWN(formatted_data[[#This Row],[Selling_Price]]*formatted_data[[#This Row],[Discount_%]]/100,0)</f>
        <v>0</v>
      </c>
      <c r="M1052" s="1">
        <f>(formatted_data[[#This Row],[Selling_Price]]-formatted_data[[#This Row],[Discount_Amount]])*formatted_data[[#This Row],[Units]]</f>
        <v>1197</v>
      </c>
      <c r="N1052" s="1">
        <f>formatted_data[[#This Row],[Total_Revenue]]-(formatted_data[[#This Row],[Cost_Price]]*formatted_data[[#This Row],[Units]])</f>
        <v>510</v>
      </c>
      <c r="O1052" s="1" t="s">
        <v>21</v>
      </c>
      <c r="P1052"/>
    </row>
    <row r="1053" spans="1:16" x14ac:dyDescent="0.35">
      <c r="A1053" s="1" t="s">
        <v>99</v>
      </c>
      <c r="B1053" s="1" t="s">
        <v>27</v>
      </c>
      <c r="C1053" s="2">
        <v>45583</v>
      </c>
      <c r="D1053" s="1" t="s">
        <v>17</v>
      </c>
      <c r="E1053" s="1" t="s">
        <v>18</v>
      </c>
      <c r="F1053" s="1" t="s">
        <v>19</v>
      </c>
      <c r="G1053" s="1" t="s">
        <v>19</v>
      </c>
      <c r="H1053" s="1">
        <v>1</v>
      </c>
      <c r="I1053" s="1">
        <v>219</v>
      </c>
      <c r="J1053" s="1">
        <v>299</v>
      </c>
      <c r="K1053" s="1">
        <v>0</v>
      </c>
      <c r="L1053" s="1">
        <f>ROUNDDOWN(formatted_data[[#This Row],[Selling_Price]]*formatted_data[[#This Row],[Discount_%]]/100,0)</f>
        <v>0</v>
      </c>
      <c r="M1053" s="1">
        <f>(formatted_data[[#This Row],[Selling_Price]]-formatted_data[[#This Row],[Discount_Amount]])*formatted_data[[#This Row],[Units]]</f>
        <v>299</v>
      </c>
      <c r="N1053" s="1">
        <f>formatted_data[[#This Row],[Total_Revenue]]-(formatted_data[[#This Row],[Cost_Price]]*formatted_data[[#This Row],[Units]])</f>
        <v>80</v>
      </c>
      <c r="O1053" s="1" t="s">
        <v>21</v>
      </c>
      <c r="P1053"/>
    </row>
    <row r="1054" spans="1:16" x14ac:dyDescent="0.35">
      <c r="A1054" s="1" t="s">
        <v>84</v>
      </c>
      <c r="B1054" s="1" t="s">
        <v>27</v>
      </c>
      <c r="C1054" s="2">
        <v>45563</v>
      </c>
      <c r="D1054" s="1" t="s">
        <v>23</v>
      </c>
      <c r="E1054" s="1" t="s">
        <v>24</v>
      </c>
      <c r="F1054" s="1" t="s">
        <v>25</v>
      </c>
      <c r="G1054" s="1" t="s">
        <v>19</v>
      </c>
      <c r="H1054" s="1">
        <v>5</v>
      </c>
      <c r="I1054" s="1">
        <v>892</v>
      </c>
      <c r="J1054" s="1">
        <v>1499</v>
      </c>
      <c r="K1054" s="1">
        <v>15</v>
      </c>
      <c r="L1054" s="1">
        <f>ROUNDDOWN(formatted_data[[#This Row],[Selling_Price]]*formatted_data[[#This Row],[Discount_%]]/100,0)</f>
        <v>224</v>
      </c>
      <c r="M1054" s="1">
        <f>(formatted_data[[#This Row],[Selling_Price]]-formatted_data[[#This Row],[Discount_Amount]])*formatted_data[[#This Row],[Units]]</f>
        <v>6375</v>
      </c>
      <c r="N1054" s="1">
        <f>formatted_data[[#This Row],[Total_Revenue]]-(formatted_data[[#This Row],[Cost_Price]]*formatted_data[[#This Row],[Units]])</f>
        <v>1915</v>
      </c>
      <c r="O1054" s="1" t="s">
        <v>21</v>
      </c>
      <c r="P1054"/>
    </row>
    <row r="1055" spans="1:16" x14ac:dyDescent="0.35">
      <c r="A1055" s="1" t="s">
        <v>42</v>
      </c>
      <c r="B1055" s="1" t="s">
        <v>27</v>
      </c>
      <c r="C1055" s="2">
        <v>45641</v>
      </c>
      <c r="D1055" s="1" t="s">
        <v>31</v>
      </c>
      <c r="E1055" s="1" t="s">
        <v>32</v>
      </c>
      <c r="F1055" s="1" t="s">
        <v>25</v>
      </c>
      <c r="G1055" s="1" t="s">
        <v>20</v>
      </c>
      <c r="H1055" s="1">
        <v>1</v>
      </c>
      <c r="I1055" s="1">
        <v>852</v>
      </c>
      <c r="J1055" s="1">
        <v>1199</v>
      </c>
      <c r="K1055" s="1">
        <v>0</v>
      </c>
      <c r="L1055" s="1">
        <f>ROUNDDOWN(formatted_data[[#This Row],[Selling_Price]]*formatted_data[[#This Row],[Discount_%]]/100,0)</f>
        <v>0</v>
      </c>
      <c r="M1055" s="1">
        <f>(formatted_data[[#This Row],[Selling_Price]]-formatted_data[[#This Row],[Discount_Amount]])*formatted_data[[#This Row],[Units]]</f>
        <v>1199</v>
      </c>
      <c r="N1055" s="1">
        <f>formatted_data[[#This Row],[Total_Revenue]]-(formatted_data[[#This Row],[Cost_Price]]*formatted_data[[#This Row],[Units]])</f>
        <v>347</v>
      </c>
      <c r="O1055" s="1" t="s">
        <v>21</v>
      </c>
      <c r="P1055"/>
    </row>
    <row r="1056" spans="1:16" x14ac:dyDescent="0.35">
      <c r="A1056" s="1" t="s">
        <v>104</v>
      </c>
      <c r="B1056" s="1" t="s">
        <v>27</v>
      </c>
      <c r="C1056" s="2">
        <v>45609</v>
      </c>
      <c r="D1056" s="1" t="s">
        <v>35</v>
      </c>
      <c r="E1056" s="1" t="s">
        <v>39</v>
      </c>
      <c r="F1056" s="1" t="s">
        <v>19</v>
      </c>
      <c r="G1056" s="1" t="s">
        <v>20</v>
      </c>
      <c r="H1056" s="1">
        <v>1</v>
      </c>
      <c r="I1056" s="1">
        <v>838</v>
      </c>
      <c r="J1056" s="1">
        <v>1599</v>
      </c>
      <c r="K1056" s="1">
        <v>15</v>
      </c>
      <c r="L1056" s="1">
        <f>ROUNDDOWN(formatted_data[[#This Row],[Selling_Price]]*formatted_data[[#This Row],[Discount_%]]/100,0)</f>
        <v>239</v>
      </c>
      <c r="M1056" s="1">
        <f>(formatted_data[[#This Row],[Selling_Price]]-formatted_data[[#This Row],[Discount_Amount]])*formatted_data[[#This Row],[Units]]</f>
        <v>1360</v>
      </c>
      <c r="N1056" s="1">
        <f>formatted_data[[#This Row],[Total_Revenue]]-(formatted_data[[#This Row],[Cost_Price]]*formatted_data[[#This Row],[Units]])</f>
        <v>522</v>
      </c>
      <c r="O1056" s="1" t="s">
        <v>21</v>
      </c>
      <c r="P1056"/>
    </row>
    <row r="1057" spans="1:16" x14ac:dyDescent="0.35">
      <c r="A1057" s="1" t="s">
        <v>63</v>
      </c>
      <c r="B1057" s="1" t="s">
        <v>27</v>
      </c>
      <c r="C1057" s="2">
        <v>45654</v>
      </c>
      <c r="D1057" s="1" t="s">
        <v>23</v>
      </c>
      <c r="E1057" s="1" t="s">
        <v>24</v>
      </c>
      <c r="F1057" s="1" t="s">
        <v>25</v>
      </c>
      <c r="G1057" s="1" t="s">
        <v>20</v>
      </c>
      <c r="H1057" s="1">
        <v>1</v>
      </c>
      <c r="I1057" s="1">
        <v>1255</v>
      </c>
      <c r="J1057" s="1">
        <v>1699</v>
      </c>
      <c r="K1057" s="1">
        <v>10</v>
      </c>
      <c r="L1057" s="1">
        <f>ROUNDDOWN(formatted_data[[#This Row],[Selling_Price]]*formatted_data[[#This Row],[Discount_%]]/100,0)</f>
        <v>169</v>
      </c>
      <c r="M1057" s="1">
        <f>(formatted_data[[#This Row],[Selling_Price]]-formatted_data[[#This Row],[Discount_Amount]])*formatted_data[[#This Row],[Units]]</f>
        <v>1530</v>
      </c>
      <c r="N1057" s="1">
        <f>formatted_data[[#This Row],[Total_Revenue]]-(formatted_data[[#This Row],[Cost_Price]]*formatted_data[[#This Row],[Units]])</f>
        <v>275</v>
      </c>
      <c r="O1057" s="1" t="s">
        <v>21</v>
      </c>
      <c r="P1057"/>
    </row>
    <row r="1058" spans="1:16" x14ac:dyDescent="0.35">
      <c r="A1058" s="1" t="s">
        <v>42</v>
      </c>
      <c r="B1058" s="1" t="s">
        <v>27</v>
      </c>
      <c r="C1058" s="2">
        <v>45634</v>
      </c>
      <c r="D1058" s="1" t="s">
        <v>17</v>
      </c>
      <c r="E1058" s="1" t="s">
        <v>55</v>
      </c>
      <c r="F1058" s="1" t="s">
        <v>25</v>
      </c>
      <c r="G1058" s="1" t="s">
        <v>19</v>
      </c>
      <c r="H1058" s="1">
        <v>1</v>
      </c>
      <c r="I1058" s="1">
        <v>248</v>
      </c>
      <c r="J1058" s="1">
        <v>399</v>
      </c>
      <c r="K1058" s="1">
        <v>0</v>
      </c>
      <c r="L1058" s="1">
        <f>ROUNDDOWN(formatted_data[[#This Row],[Selling_Price]]*formatted_data[[#This Row],[Discount_%]]/100,0)</f>
        <v>0</v>
      </c>
      <c r="M1058" s="1">
        <f>(formatted_data[[#This Row],[Selling_Price]]-formatted_data[[#This Row],[Discount_Amount]])*formatted_data[[#This Row],[Units]]</f>
        <v>399</v>
      </c>
      <c r="N1058" s="1">
        <f>formatted_data[[#This Row],[Total_Revenue]]-(formatted_data[[#This Row],[Cost_Price]]*formatted_data[[#This Row],[Units]])</f>
        <v>151</v>
      </c>
      <c r="O1058" s="1" t="s">
        <v>33</v>
      </c>
      <c r="P1058"/>
    </row>
    <row r="1059" spans="1:16" x14ac:dyDescent="0.35">
      <c r="A1059" s="1" t="s">
        <v>42</v>
      </c>
      <c r="B1059" s="1" t="s">
        <v>27</v>
      </c>
      <c r="C1059" s="2">
        <v>45526</v>
      </c>
      <c r="D1059" s="1" t="s">
        <v>23</v>
      </c>
      <c r="E1059" s="1" t="s">
        <v>24</v>
      </c>
      <c r="F1059" s="1" t="s">
        <v>25</v>
      </c>
      <c r="G1059" s="1" t="s">
        <v>19</v>
      </c>
      <c r="H1059" s="1">
        <v>1</v>
      </c>
      <c r="I1059" s="1">
        <v>1266</v>
      </c>
      <c r="J1059" s="1">
        <v>2499</v>
      </c>
      <c r="K1059" s="1">
        <v>20</v>
      </c>
      <c r="L1059" s="1">
        <f>ROUNDDOWN(formatted_data[[#This Row],[Selling_Price]]*formatted_data[[#This Row],[Discount_%]]/100,0)</f>
        <v>499</v>
      </c>
      <c r="M1059" s="1">
        <f>(formatted_data[[#This Row],[Selling_Price]]-formatted_data[[#This Row],[Discount_Amount]])*formatted_data[[#This Row],[Units]]</f>
        <v>2000</v>
      </c>
      <c r="N1059" s="1">
        <f>formatted_data[[#This Row],[Total_Revenue]]-(formatted_data[[#This Row],[Cost_Price]]*formatted_data[[#This Row],[Units]])</f>
        <v>734</v>
      </c>
      <c r="O1059" s="1" t="s">
        <v>21</v>
      </c>
      <c r="P1059"/>
    </row>
    <row r="1060" spans="1:16" x14ac:dyDescent="0.35">
      <c r="A1060" s="1" t="s">
        <v>64</v>
      </c>
      <c r="B1060" s="1" t="s">
        <v>16</v>
      </c>
      <c r="C1060" s="2">
        <v>45603</v>
      </c>
      <c r="D1060" s="1" t="s">
        <v>31</v>
      </c>
      <c r="E1060" s="1" t="s">
        <v>32</v>
      </c>
      <c r="F1060" s="1" t="s">
        <v>37</v>
      </c>
      <c r="G1060" s="1" t="s">
        <v>19</v>
      </c>
      <c r="H1060" s="1">
        <v>1</v>
      </c>
      <c r="I1060" s="1">
        <v>653</v>
      </c>
      <c r="J1060" s="1">
        <v>1199</v>
      </c>
      <c r="K1060" s="1">
        <v>0</v>
      </c>
      <c r="L1060" s="1">
        <f>ROUNDDOWN(formatted_data[[#This Row],[Selling_Price]]*formatted_data[[#This Row],[Discount_%]]/100,0)</f>
        <v>0</v>
      </c>
      <c r="M1060" s="1">
        <f>(formatted_data[[#This Row],[Selling_Price]]-formatted_data[[#This Row],[Discount_Amount]])*formatted_data[[#This Row],[Units]]</f>
        <v>1199</v>
      </c>
      <c r="N1060" s="1">
        <f>formatted_data[[#This Row],[Total_Revenue]]-(formatted_data[[#This Row],[Cost_Price]]*formatted_data[[#This Row],[Units]])</f>
        <v>546</v>
      </c>
      <c r="O1060" s="1" t="s">
        <v>33</v>
      </c>
      <c r="P1060"/>
    </row>
    <row r="1061" spans="1:16" x14ac:dyDescent="0.35">
      <c r="A1061" s="1" t="s">
        <v>88</v>
      </c>
      <c r="B1061" s="1" t="s">
        <v>27</v>
      </c>
      <c r="C1061" s="2">
        <v>45640</v>
      </c>
      <c r="D1061" s="1" t="s">
        <v>17</v>
      </c>
      <c r="E1061" s="1" t="s">
        <v>18</v>
      </c>
      <c r="F1061" s="1" t="s">
        <v>37</v>
      </c>
      <c r="G1061" s="1" t="s">
        <v>19</v>
      </c>
      <c r="H1061" s="1">
        <v>3</v>
      </c>
      <c r="I1061" s="1">
        <v>177</v>
      </c>
      <c r="J1061" s="1">
        <v>299</v>
      </c>
      <c r="K1061" s="1">
        <v>0</v>
      </c>
      <c r="L1061" s="1">
        <f>ROUNDDOWN(formatted_data[[#This Row],[Selling_Price]]*formatted_data[[#This Row],[Discount_%]]/100,0)</f>
        <v>0</v>
      </c>
      <c r="M1061" s="1">
        <f>(formatted_data[[#This Row],[Selling_Price]]-formatted_data[[#This Row],[Discount_Amount]])*formatted_data[[#This Row],[Units]]</f>
        <v>897</v>
      </c>
      <c r="N1061" s="1">
        <f>formatted_data[[#This Row],[Total_Revenue]]-(formatted_data[[#This Row],[Cost_Price]]*formatted_data[[#This Row],[Units]])</f>
        <v>366</v>
      </c>
      <c r="O1061" s="1" t="s">
        <v>21</v>
      </c>
      <c r="P1061"/>
    </row>
    <row r="1062" spans="1:16" x14ac:dyDescent="0.35">
      <c r="A1062" s="1" t="s">
        <v>98</v>
      </c>
      <c r="B1062" s="1" t="s">
        <v>16</v>
      </c>
      <c r="C1062" s="2">
        <v>45606</v>
      </c>
      <c r="D1062" s="1" t="s">
        <v>31</v>
      </c>
      <c r="E1062" s="1" t="s">
        <v>32</v>
      </c>
      <c r="F1062" s="1" t="s">
        <v>25</v>
      </c>
      <c r="G1062" s="1" t="s">
        <v>20</v>
      </c>
      <c r="H1062" s="1">
        <v>1</v>
      </c>
      <c r="I1062" s="1">
        <v>589</v>
      </c>
      <c r="J1062" s="1">
        <v>999</v>
      </c>
      <c r="K1062" s="1">
        <v>0</v>
      </c>
      <c r="L1062" s="1">
        <f>ROUNDDOWN(formatted_data[[#This Row],[Selling_Price]]*formatted_data[[#This Row],[Discount_%]]/100,0)</f>
        <v>0</v>
      </c>
      <c r="M1062" s="1">
        <f>(formatted_data[[#This Row],[Selling_Price]]-formatted_data[[#This Row],[Discount_Amount]])*formatted_data[[#This Row],[Units]]</f>
        <v>999</v>
      </c>
      <c r="N1062" s="1">
        <f>formatted_data[[#This Row],[Total_Revenue]]-(formatted_data[[#This Row],[Cost_Price]]*formatted_data[[#This Row],[Units]])</f>
        <v>410</v>
      </c>
      <c r="O1062" s="1" t="s">
        <v>21</v>
      </c>
      <c r="P1062"/>
    </row>
    <row r="1063" spans="1:16" x14ac:dyDescent="0.35">
      <c r="A1063" s="1" t="s">
        <v>56</v>
      </c>
      <c r="B1063" s="1" t="s">
        <v>27</v>
      </c>
      <c r="C1063" s="2">
        <v>45617</v>
      </c>
      <c r="D1063" s="1" t="s">
        <v>31</v>
      </c>
      <c r="E1063" s="1" t="s">
        <v>32</v>
      </c>
      <c r="F1063" s="1" t="s">
        <v>37</v>
      </c>
      <c r="G1063" s="1" t="s">
        <v>19</v>
      </c>
      <c r="H1063" s="1">
        <v>2</v>
      </c>
      <c r="I1063" s="1">
        <v>644</v>
      </c>
      <c r="J1063" s="1">
        <v>1199</v>
      </c>
      <c r="K1063" s="1">
        <v>0</v>
      </c>
      <c r="L1063" s="1">
        <f>ROUNDDOWN(formatted_data[[#This Row],[Selling_Price]]*formatted_data[[#This Row],[Discount_%]]/100,0)</f>
        <v>0</v>
      </c>
      <c r="M1063" s="1">
        <f>(formatted_data[[#This Row],[Selling_Price]]-formatted_data[[#This Row],[Discount_Amount]])*formatted_data[[#This Row],[Units]]</f>
        <v>2398</v>
      </c>
      <c r="N1063" s="1">
        <f>formatted_data[[#This Row],[Total_Revenue]]-(formatted_data[[#This Row],[Cost_Price]]*formatted_data[[#This Row],[Units]])</f>
        <v>1110</v>
      </c>
      <c r="O1063" s="1" t="s">
        <v>21</v>
      </c>
      <c r="P1063"/>
    </row>
    <row r="1064" spans="1:16" x14ac:dyDescent="0.35">
      <c r="A1064" s="1" t="s">
        <v>60</v>
      </c>
      <c r="B1064" s="1" t="s">
        <v>27</v>
      </c>
      <c r="C1064" s="2">
        <v>45593</v>
      </c>
      <c r="D1064" s="1" t="s">
        <v>23</v>
      </c>
      <c r="E1064" s="1" t="s">
        <v>24</v>
      </c>
      <c r="F1064" s="1" t="s">
        <v>37</v>
      </c>
      <c r="G1064" s="1" t="s">
        <v>20</v>
      </c>
      <c r="H1064" s="1">
        <v>1</v>
      </c>
      <c r="I1064" s="1">
        <v>1059</v>
      </c>
      <c r="J1064" s="1">
        <v>1699</v>
      </c>
      <c r="K1064" s="1">
        <v>10</v>
      </c>
      <c r="L1064" s="1">
        <f>ROUNDDOWN(formatted_data[[#This Row],[Selling_Price]]*formatted_data[[#This Row],[Discount_%]]/100,0)</f>
        <v>169</v>
      </c>
      <c r="M1064" s="1">
        <f>(formatted_data[[#This Row],[Selling_Price]]-formatted_data[[#This Row],[Discount_Amount]])*formatted_data[[#This Row],[Units]]</f>
        <v>1530</v>
      </c>
      <c r="N1064" s="1">
        <f>formatted_data[[#This Row],[Total_Revenue]]-(formatted_data[[#This Row],[Cost_Price]]*formatted_data[[#This Row],[Units]])</f>
        <v>471</v>
      </c>
      <c r="O1064" s="1" t="s">
        <v>21</v>
      </c>
      <c r="P1064"/>
    </row>
    <row r="1065" spans="1:16" x14ac:dyDescent="0.35">
      <c r="A1065" s="1" t="s">
        <v>95</v>
      </c>
      <c r="B1065" s="1" t="s">
        <v>27</v>
      </c>
      <c r="C1065" s="2">
        <v>45559</v>
      </c>
      <c r="D1065" s="1" t="s">
        <v>31</v>
      </c>
      <c r="E1065" s="1" t="s">
        <v>76</v>
      </c>
      <c r="F1065" s="1" t="s">
        <v>37</v>
      </c>
      <c r="G1065" s="1" t="s">
        <v>20</v>
      </c>
      <c r="H1065" s="1">
        <v>1</v>
      </c>
      <c r="I1065" s="1">
        <v>834</v>
      </c>
      <c r="J1065" s="1">
        <v>1199</v>
      </c>
      <c r="K1065" s="1">
        <v>0</v>
      </c>
      <c r="L1065" s="1">
        <f>ROUNDDOWN(formatted_data[[#This Row],[Selling_Price]]*formatted_data[[#This Row],[Discount_%]]/100,0)</f>
        <v>0</v>
      </c>
      <c r="M1065" s="1">
        <f>(formatted_data[[#This Row],[Selling_Price]]-formatted_data[[#This Row],[Discount_Amount]])*formatted_data[[#This Row],[Units]]</f>
        <v>1199</v>
      </c>
      <c r="N1065" s="1">
        <f>formatted_data[[#This Row],[Total_Revenue]]-(formatted_data[[#This Row],[Cost_Price]]*formatted_data[[#This Row],[Units]])</f>
        <v>365</v>
      </c>
      <c r="O1065" s="1" t="s">
        <v>21</v>
      </c>
      <c r="P1065"/>
    </row>
    <row r="1066" spans="1:16" x14ac:dyDescent="0.35">
      <c r="A1066" s="1" t="s">
        <v>102</v>
      </c>
      <c r="B1066" s="1" t="s">
        <v>27</v>
      </c>
      <c r="C1066" s="2">
        <v>45565</v>
      </c>
      <c r="D1066" s="1" t="s">
        <v>35</v>
      </c>
      <c r="E1066" s="1" t="s">
        <v>58</v>
      </c>
      <c r="F1066" s="1" t="s">
        <v>19</v>
      </c>
      <c r="G1066" s="1" t="s">
        <v>19</v>
      </c>
      <c r="H1066" s="1">
        <v>3</v>
      </c>
      <c r="I1066" s="1">
        <v>1261</v>
      </c>
      <c r="J1066" s="1">
        <v>2399</v>
      </c>
      <c r="K1066" s="1">
        <v>15</v>
      </c>
      <c r="L1066" s="1">
        <f>ROUNDDOWN(formatted_data[[#This Row],[Selling_Price]]*formatted_data[[#This Row],[Discount_%]]/100,0)</f>
        <v>359</v>
      </c>
      <c r="M1066" s="1">
        <f>(formatted_data[[#This Row],[Selling_Price]]-formatted_data[[#This Row],[Discount_Amount]])*formatted_data[[#This Row],[Units]]</f>
        <v>6120</v>
      </c>
      <c r="N1066" s="1">
        <f>formatted_data[[#This Row],[Total_Revenue]]-(formatted_data[[#This Row],[Cost_Price]]*formatted_data[[#This Row],[Units]])</f>
        <v>2337</v>
      </c>
      <c r="O1066" s="1" t="s">
        <v>21</v>
      </c>
      <c r="P1066"/>
    </row>
    <row r="1067" spans="1:16" x14ac:dyDescent="0.35">
      <c r="A1067" s="1" t="s">
        <v>66</v>
      </c>
      <c r="B1067" s="1" t="s">
        <v>27</v>
      </c>
      <c r="C1067" s="2">
        <v>45633</v>
      </c>
      <c r="D1067" s="1" t="s">
        <v>35</v>
      </c>
      <c r="E1067" s="1" t="s">
        <v>41</v>
      </c>
      <c r="F1067" s="1" t="s">
        <v>37</v>
      </c>
      <c r="G1067" s="1" t="s">
        <v>19</v>
      </c>
      <c r="H1067" s="1">
        <v>1</v>
      </c>
      <c r="I1067" s="1">
        <v>344</v>
      </c>
      <c r="J1067" s="1">
        <v>599</v>
      </c>
      <c r="K1067" s="1">
        <v>10</v>
      </c>
      <c r="L1067" s="1">
        <f>ROUNDDOWN(formatted_data[[#This Row],[Selling_Price]]*formatted_data[[#This Row],[Discount_%]]/100,0)</f>
        <v>59</v>
      </c>
      <c r="M1067" s="1">
        <f>(formatted_data[[#This Row],[Selling_Price]]-formatted_data[[#This Row],[Discount_Amount]])*formatted_data[[#This Row],[Units]]</f>
        <v>540</v>
      </c>
      <c r="N1067" s="1">
        <f>formatted_data[[#This Row],[Total_Revenue]]-(formatted_data[[#This Row],[Cost_Price]]*formatted_data[[#This Row],[Units]])</f>
        <v>196</v>
      </c>
      <c r="O1067" s="1" t="s">
        <v>21</v>
      </c>
      <c r="P1067"/>
    </row>
    <row r="1068" spans="1:16" x14ac:dyDescent="0.35">
      <c r="A1068" s="1" t="s">
        <v>79</v>
      </c>
      <c r="B1068" s="1" t="s">
        <v>16</v>
      </c>
      <c r="C1068" s="2">
        <v>45501</v>
      </c>
      <c r="D1068" s="1" t="s">
        <v>23</v>
      </c>
      <c r="E1068" s="1" t="s">
        <v>43</v>
      </c>
      <c r="F1068" s="1" t="s">
        <v>19</v>
      </c>
      <c r="G1068" s="1" t="s">
        <v>20</v>
      </c>
      <c r="H1068" s="1">
        <v>1</v>
      </c>
      <c r="I1068" s="1">
        <v>1262</v>
      </c>
      <c r="J1068" s="1">
        <v>2199</v>
      </c>
      <c r="K1068" s="1">
        <v>5</v>
      </c>
      <c r="L1068" s="1">
        <f>ROUNDDOWN(formatted_data[[#This Row],[Selling_Price]]*formatted_data[[#This Row],[Discount_%]]/100,0)</f>
        <v>109</v>
      </c>
      <c r="M1068" s="1">
        <f>(formatted_data[[#This Row],[Selling_Price]]-formatted_data[[#This Row],[Discount_Amount]])*formatted_data[[#This Row],[Units]]</f>
        <v>2090</v>
      </c>
      <c r="N1068" s="1">
        <f>formatted_data[[#This Row],[Total_Revenue]]-(formatted_data[[#This Row],[Cost_Price]]*formatted_data[[#This Row],[Units]])</f>
        <v>828</v>
      </c>
      <c r="O1068" s="1" t="s">
        <v>33</v>
      </c>
      <c r="P1068"/>
    </row>
    <row r="1069" spans="1:16" x14ac:dyDescent="0.35">
      <c r="A1069" s="1" t="s">
        <v>66</v>
      </c>
      <c r="B1069" s="1" t="s">
        <v>27</v>
      </c>
      <c r="C1069" s="2">
        <v>45613</v>
      </c>
      <c r="D1069" s="1" t="s">
        <v>35</v>
      </c>
      <c r="E1069" s="1" t="s">
        <v>41</v>
      </c>
      <c r="F1069" s="1" t="s">
        <v>19</v>
      </c>
      <c r="G1069" s="1" t="s">
        <v>19</v>
      </c>
      <c r="H1069" s="1">
        <v>1</v>
      </c>
      <c r="I1069" s="1">
        <v>343</v>
      </c>
      <c r="J1069" s="1">
        <v>599</v>
      </c>
      <c r="K1069" s="1">
        <v>5</v>
      </c>
      <c r="L1069" s="1">
        <f>ROUNDDOWN(formatted_data[[#This Row],[Selling_Price]]*formatted_data[[#This Row],[Discount_%]]/100,0)</f>
        <v>29</v>
      </c>
      <c r="M1069" s="1">
        <f>(formatted_data[[#This Row],[Selling_Price]]-formatted_data[[#This Row],[Discount_Amount]])*formatted_data[[#This Row],[Units]]</f>
        <v>570</v>
      </c>
      <c r="N1069" s="1">
        <f>formatted_data[[#This Row],[Total_Revenue]]-(formatted_data[[#This Row],[Cost_Price]]*formatted_data[[#This Row],[Units]])</f>
        <v>227</v>
      </c>
      <c r="O1069" s="1" t="s">
        <v>21</v>
      </c>
      <c r="P1069"/>
    </row>
    <row r="1070" spans="1:16" x14ac:dyDescent="0.35">
      <c r="A1070" s="1" t="s">
        <v>60</v>
      </c>
      <c r="B1070" s="1" t="s">
        <v>27</v>
      </c>
      <c r="C1070" s="2">
        <v>45492</v>
      </c>
      <c r="D1070" s="1" t="s">
        <v>35</v>
      </c>
      <c r="E1070" s="1" t="s">
        <v>41</v>
      </c>
      <c r="F1070" s="1" t="s">
        <v>37</v>
      </c>
      <c r="G1070" s="1" t="s">
        <v>20</v>
      </c>
      <c r="H1070" s="1">
        <v>1</v>
      </c>
      <c r="I1070" s="1">
        <v>468</v>
      </c>
      <c r="J1070" s="1">
        <v>899</v>
      </c>
      <c r="K1070" s="1">
        <v>5</v>
      </c>
      <c r="L1070" s="1">
        <f>ROUNDDOWN(formatted_data[[#This Row],[Selling_Price]]*formatted_data[[#This Row],[Discount_%]]/100,0)</f>
        <v>44</v>
      </c>
      <c r="M1070" s="1">
        <f>(formatted_data[[#This Row],[Selling_Price]]-formatted_data[[#This Row],[Discount_Amount]])*formatted_data[[#This Row],[Units]]</f>
        <v>855</v>
      </c>
      <c r="N1070" s="1">
        <f>formatted_data[[#This Row],[Total_Revenue]]-(formatted_data[[#This Row],[Cost_Price]]*formatted_data[[#This Row],[Units]])</f>
        <v>387</v>
      </c>
      <c r="O1070" s="1" t="s">
        <v>21</v>
      </c>
      <c r="P1070"/>
    </row>
    <row r="1071" spans="1:16" x14ac:dyDescent="0.35">
      <c r="A1071" s="1" t="s">
        <v>67</v>
      </c>
      <c r="B1071" s="1" t="s">
        <v>27</v>
      </c>
      <c r="C1071" s="2">
        <v>45549</v>
      </c>
      <c r="D1071" s="1" t="s">
        <v>28</v>
      </c>
      <c r="E1071" s="1" t="s">
        <v>45</v>
      </c>
      <c r="F1071" s="1" t="s">
        <v>25</v>
      </c>
      <c r="G1071" s="1" t="s">
        <v>19</v>
      </c>
      <c r="H1071" s="1">
        <v>5</v>
      </c>
      <c r="I1071" s="1">
        <v>871</v>
      </c>
      <c r="J1071" s="1">
        <v>1199</v>
      </c>
      <c r="K1071" s="1">
        <v>10</v>
      </c>
      <c r="L1071" s="1">
        <f>ROUNDDOWN(formatted_data[[#This Row],[Selling_Price]]*formatted_data[[#This Row],[Discount_%]]/100,0)</f>
        <v>119</v>
      </c>
      <c r="M1071" s="1">
        <f>(formatted_data[[#This Row],[Selling_Price]]-formatted_data[[#This Row],[Discount_Amount]])*formatted_data[[#This Row],[Units]]</f>
        <v>5400</v>
      </c>
      <c r="N1071" s="1">
        <f>formatted_data[[#This Row],[Total_Revenue]]-(formatted_data[[#This Row],[Cost_Price]]*formatted_data[[#This Row],[Units]])</f>
        <v>1045</v>
      </c>
      <c r="O1071" s="1" t="s">
        <v>21</v>
      </c>
      <c r="P1071"/>
    </row>
    <row r="1072" spans="1:16" x14ac:dyDescent="0.35">
      <c r="A1072" s="1" t="s">
        <v>61</v>
      </c>
      <c r="B1072" s="1" t="s">
        <v>27</v>
      </c>
      <c r="C1072" s="2">
        <v>45614</v>
      </c>
      <c r="D1072" s="1" t="s">
        <v>28</v>
      </c>
      <c r="E1072" s="1" t="s">
        <v>45</v>
      </c>
      <c r="F1072" s="1" t="s">
        <v>37</v>
      </c>
      <c r="G1072" s="1" t="s">
        <v>19</v>
      </c>
      <c r="H1072" s="1">
        <v>2</v>
      </c>
      <c r="I1072" s="1">
        <v>855</v>
      </c>
      <c r="J1072" s="1">
        <v>1499</v>
      </c>
      <c r="K1072" s="1">
        <v>20</v>
      </c>
      <c r="L1072" s="1">
        <f>ROUNDDOWN(formatted_data[[#This Row],[Selling_Price]]*formatted_data[[#This Row],[Discount_%]]/100,0)</f>
        <v>299</v>
      </c>
      <c r="M1072" s="1">
        <f>(formatted_data[[#This Row],[Selling_Price]]-formatted_data[[#This Row],[Discount_Amount]])*formatted_data[[#This Row],[Units]]</f>
        <v>2400</v>
      </c>
      <c r="N1072" s="1">
        <f>formatted_data[[#This Row],[Total_Revenue]]-(formatted_data[[#This Row],[Cost_Price]]*formatted_data[[#This Row],[Units]])</f>
        <v>690</v>
      </c>
      <c r="O1072" s="1" t="s">
        <v>21</v>
      </c>
      <c r="P1072"/>
    </row>
    <row r="1073" spans="1:16" x14ac:dyDescent="0.35">
      <c r="A1073" s="1" t="s">
        <v>54</v>
      </c>
      <c r="B1073" s="1" t="s">
        <v>27</v>
      </c>
      <c r="C1073" s="2">
        <v>45650</v>
      </c>
      <c r="D1073" s="1" t="s">
        <v>23</v>
      </c>
      <c r="E1073" s="1" t="s">
        <v>43</v>
      </c>
      <c r="F1073" s="1" t="s">
        <v>19</v>
      </c>
      <c r="G1073" s="1" t="s">
        <v>20</v>
      </c>
      <c r="H1073" s="1">
        <v>2</v>
      </c>
      <c r="I1073" s="1">
        <v>1439</v>
      </c>
      <c r="J1073" s="1">
        <v>2799</v>
      </c>
      <c r="K1073" s="1">
        <v>10</v>
      </c>
      <c r="L1073" s="1">
        <f>ROUNDDOWN(formatted_data[[#This Row],[Selling_Price]]*formatted_data[[#This Row],[Discount_%]]/100,0)</f>
        <v>279</v>
      </c>
      <c r="M1073" s="1">
        <f>(formatted_data[[#This Row],[Selling_Price]]-formatted_data[[#This Row],[Discount_Amount]])*formatted_data[[#This Row],[Units]]</f>
        <v>5040</v>
      </c>
      <c r="N1073" s="1">
        <f>formatted_data[[#This Row],[Total_Revenue]]-(formatted_data[[#This Row],[Cost_Price]]*formatted_data[[#This Row],[Units]])</f>
        <v>2162</v>
      </c>
      <c r="O1073" s="1" t="s">
        <v>21</v>
      </c>
      <c r="P1073"/>
    </row>
    <row r="1074" spans="1:16" x14ac:dyDescent="0.35">
      <c r="A1074" s="1" t="s">
        <v>65</v>
      </c>
      <c r="B1074" s="1" t="s">
        <v>16</v>
      </c>
      <c r="C1074" s="2">
        <v>45645</v>
      </c>
      <c r="D1074" s="1" t="s">
        <v>23</v>
      </c>
      <c r="E1074" s="1" t="s">
        <v>43</v>
      </c>
      <c r="F1074" s="1" t="s">
        <v>25</v>
      </c>
      <c r="G1074" s="1" t="s">
        <v>20</v>
      </c>
      <c r="H1074" s="1">
        <v>3</v>
      </c>
      <c r="I1074" s="1">
        <v>1583</v>
      </c>
      <c r="J1074" s="1">
        <v>2399</v>
      </c>
      <c r="K1074" s="1">
        <v>5</v>
      </c>
      <c r="L1074" s="1">
        <f>ROUNDDOWN(formatted_data[[#This Row],[Selling_Price]]*formatted_data[[#This Row],[Discount_%]]/100,0)</f>
        <v>119</v>
      </c>
      <c r="M1074" s="1">
        <f>(formatted_data[[#This Row],[Selling_Price]]-formatted_data[[#This Row],[Discount_Amount]])*formatted_data[[#This Row],[Units]]</f>
        <v>6840</v>
      </c>
      <c r="N1074" s="1">
        <f>formatted_data[[#This Row],[Total_Revenue]]-(formatted_data[[#This Row],[Cost_Price]]*formatted_data[[#This Row],[Units]])</f>
        <v>2091</v>
      </c>
      <c r="O1074" s="1" t="s">
        <v>21</v>
      </c>
      <c r="P1074"/>
    </row>
    <row r="1075" spans="1:16" x14ac:dyDescent="0.35">
      <c r="A1075" s="1" t="s">
        <v>40</v>
      </c>
      <c r="B1075" s="1" t="s">
        <v>27</v>
      </c>
      <c r="C1075" s="2">
        <v>45448</v>
      </c>
      <c r="D1075" s="1" t="s">
        <v>28</v>
      </c>
      <c r="E1075" s="1" t="s">
        <v>45</v>
      </c>
      <c r="F1075" s="1" t="s">
        <v>25</v>
      </c>
      <c r="G1075" s="1" t="s">
        <v>19</v>
      </c>
      <c r="H1075" s="1">
        <v>1</v>
      </c>
      <c r="I1075" s="1">
        <v>974</v>
      </c>
      <c r="J1075" s="1">
        <v>1499</v>
      </c>
      <c r="K1075" s="1">
        <v>15</v>
      </c>
      <c r="L1075" s="1">
        <f>ROUNDDOWN(formatted_data[[#This Row],[Selling_Price]]*formatted_data[[#This Row],[Discount_%]]/100,0)</f>
        <v>224</v>
      </c>
      <c r="M1075" s="1">
        <f>(formatted_data[[#This Row],[Selling_Price]]-formatted_data[[#This Row],[Discount_Amount]])*formatted_data[[#This Row],[Units]]</f>
        <v>1275</v>
      </c>
      <c r="N1075" s="1">
        <f>formatted_data[[#This Row],[Total_Revenue]]-(formatted_data[[#This Row],[Cost_Price]]*formatted_data[[#This Row],[Units]])</f>
        <v>301</v>
      </c>
      <c r="O1075" s="1" t="s">
        <v>33</v>
      </c>
      <c r="P1075"/>
    </row>
    <row r="1076" spans="1:16" x14ac:dyDescent="0.35">
      <c r="A1076" s="1" t="s">
        <v>52</v>
      </c>
      <c r="B1076" s="1" t="s">
        <v>27</v>
      </c>
      <c r="C1076" s="2">
        <v>45547</v>
      </c>
      <c r="D1076" s="1" t="s">
        <v>23</v>
      </c>
      <c r="E1076" s="1" t="s">
        <v>24</v>
      </c>
      <c r="F1076" s="1" t="s">
        <v>37</v>
      </c>
      <c r="G1076" s="1" t="s">
        <v>20</v>
      </c>
      <c r="H1076" s="1">
        <v>1</v>
      </c>
      <c r="I1076" s="1">
        <v>928</v>
      </c>
      <c r="J1076" s="1">
        <v>1299</v>
      </c>
      <c r="K1076" s="1">
        <v>5</v>
      </c>
      <c r="L1076" s="1">
        <f>ROUNDDOWN(formatted_data[[#This Row],[Selling_Price]]*formatted_data[[#This Row],[Discount_%]]/100,0)</f>
        <v>64</v>
      </c>
      <c r="M1076" s="1">
        <f>(formatted_data[[#This Row],[Selling_Price]]-formatted_data[[#This Row],[Discount_Amount]])*formatted_data[[#This Row],[Units]]</f>
        <v>1235</v>
      </c>
      <c r="N1076" s="1">
        <f>formatted_data[[#This Row],[Total_Revenue]]-(formatted_data[[#This Row],[Cost_Price]]*formatted_data[[#This Row],[Units]])</f>
        <v>307</v>
      </c>
      <c r="O1076" s="1" t="s">
        <v>21</v>
      </c>
      <c r="P1076"/>
    </row>
    <row r="1077" spans="1:16" x14ac:dyDescent="0.35">
      <c r="A1077" s="1" t="s">
        <v>104</v>
      </c>
      <c r="B1077" s="1" t="s">
        <v>27</v>
      </c>
      <c r="C1077" s="2">
        <v>45628</v>
      </c>
      <c r="D1077" s="1" t="s">
        <v>31</v>
      </c>
      <c r="E1077" s="1" t="s">
        <v>32</v>
      </c>
      <c r="F1077" s="1" t="s">
        <v>19</v>
      </c>
      <c r="G1077" s="1" t="s">
        <v>19</v>
      </c>
      <c r="H1077" s="1">
        <v>4</v>
      </c>
      <c r="I1077" s="1">
        <v>541</v>
      </c>
      <c r="J1077" s="1">
        <v>999</v>
      </c>
      <c r="K1077" s="1">
        <v>0</v>
      </c>
      <c r="L1077" s="1">
        <f>ROUNDDOWN(formatted_data[[#This Row],[Selling_Price]]*formatted_data[[#This Row],[Discount_%]]/100,0)</f>
        <v>0</v>
      </c>
      <c r="M1077" s="1">
        <f>(formatted_data[[#This Row],[Selling_Price]]-formatted_data[[#This Row],[Discount_Amount]])*formatted_data[[#This Row],[Units]]</f>
        <v>3996</v>
      </c>
      <c r="N1077" s="1">
        <f>formatted_data[[#This Row],[Total_Revenue]]-(formatted_data[[#This Row],[Cost_Price]]*formatted_data[[#This Row],[Units]])</f>
        <v>1832</v>
      </c>
      <c r="O1077" s="1" t="s">
        <v>33</v>
      </c>
      <c r="P1077"/>
    </row>
    <row r="1078" spans="1:16" x14ac:dyDescent="0.35">
      <c r="A1078" s="1" t="s">
        <v>67</v>
      </c>
      <c r="B1078" s="1" t="s">
        <v>27</v>
      </c>
      <c r="C1078" s="2">
        <v>45631</v>
      </c>
      <c r="D1078" s="1" t="s">
        <v>31</v>
      </c>
      <c r="E1078" s="1" t="s">
        <v>32</v>
      </c>
      <c r="F1078" s="1" t="s">
        <v>37</v>
      </c>
      <c r="G1078" s="1" t="s">
        <v>19</v>
      </c>
      <c r="H1078" s="1">
        <v>4</v>
      </c>
      <c r="I1078" s="1">
        <v>817</v>
      </c>
      <c r="J1078" s="1">
        <v>1199</v>
      </c>
      <c r="K1078" s="1">
        <v>0</v>
      </c>
      <c r="L1078" s="1">
        <f>ROUNDDOWN(formatted_data[[#This Row],[Selling_Price]]*formatted_data[[#This Row],[Discount_%]]/100,0)</f>
        <v>0</v>
      </c>
      <c r="M1078" s="1">
        <f>(formatted_data[[#This Row],[Selling_Price]]-formatted_data[[#This Row],[Discount_Amount]])*formatted_data[[#This Row],[Units]]</f>
        <v>4796</v>
      </c>
      <c r="N1078" s="1">
        <f>formatted_data[[#This Row],[Total_Revenue]]-(formatted_data[[#This Row],[Cost_Price]]*formatted_data[[#This Row],[Units]])</f>
        <v>1528</v>
      </c>
      <c r="O1078" s="1" t="s">
        <v>33</v>
      </c>
      <c r="P1078"/>
    </row>
    <row r="1079" spans="1:16" x14ac:dyDescent="0.35">
      <c r="A1079" s="1" t="s">
        <v>90</v>
      </c>
      <c r="B1079" s="1" t="s">
        <v>27</v>
      </c>
      <c r="C1079" s="2">
        <v>45563</v>
      </c>
      <c r="D1079" s="1" t="s">
        <v>28</v>
      </c>
      <c r="E1079" s="1" t="s">
        <v>45</v>
      </c>
      <c r="F1079" s="1" t="s">
        <v>37</v>
      </c>
      <c r="G1079" s="1" t="s">
        <v>19</v>
      </c>
      <c r="H1079" s="1">
        <v>2</v>
      </c>
      <c r="I1079" s="1">
        <v>427</v>
      </c>
      <c r="J1079" s="1">
        <v>699</v>
      </c>
      <c r="K1079" s="1">
        <v>10</v>
      </c>
      <c r="L1079" s="1">
        <f>ROUNDDOWN(formatted_data[[#This Row],[Selling_Price]]*formatted_data[[#This Row],[Discount_%]]/100,0)</f>
        <v>69</v>
      </c>
      <c r="M1079" s="1">
        <f>(formatted_data[[#This Row],[Selling_Price]]-formatted_data[[#This Row],[Discount_Amount]])*formatted_data[[#This Row],[Units]]</f>
        <v>1260</v>
      </c>
      <c r="N1079" s="1">
        <f>formatted_data[[#This Row],[Total_Revenue]]-(formatted_data[[#This Row],[Cost_Price]]*formatted_data[[#This Row],[Units]])</f>
        <v>406</v>
      </c>
      <c r="O1079" s="1" t="s">
        <v>21</v>
      </c>
      <c r="P1079"/>
    </row>
    <row r="1080" spans="1:16" x14ac:dyDescent="0.35">
      <c r="A1080" s="1" t="s">
        <v>22</v>
      </c>
      <c r="B1080" s="1" t="s">
        <v>16</v>
      </c>
      <c r="C1080" s="2">
        <v>45607</v>
      </c>
      <c r="D1080" s="1" t="s">
        <v>17</v>
      </c>
      <c r="E1080" s="1" t="s">
        <v>72</v>
      </c>
      <c r="F1080" s="1" t="s">
        <v>37</v>
      </c>
      <c r="G1080" s="1" t="s">
        <v>19</v>
      </c>
      <c r="H1080" s="1">
        <v>1</v>
      </c>
      <c r="I1080" s="1">
        <v>325</v>
      </c>
      <c r="J1080" s="1">
        <v>499</v>
      </c>
      <c r="K1080" s="1">
        <v>0</v>
      </c>
      <c r="L1080" s="1">
        <f>ROUNDDOWN(formatted_data[[#This Row],[Selling_Price]]*formatted_data[[#This Row],[Discount_%]]/100,0)</f>
        <v>0</v>
      </c>
      <c r="M1080" s="1">
        <f>(formatted_data[[#This Row],[Selling_Price]]-formatted_data[[#This Row],[Discount_Amount]])*formatted_data[[#This Row],[Units]]</f>
        <v>499</v>
      </c>
      <c r="N1080" s="1">
        <f>formatted_data[[#This Row],[Total_Revenue]]-(formatted_data[[#This Row],[Cost_Price]]*formatted_data[[#This Row],[Units]])</f>
        <v>174</v>
      </c>
      <c r="O1080" s="1" t="s">
        <v>21</v>
      </c>
      <c r="P1080"/>
    </row>
    <row r="1081" spans="1:16" x14ac:dyDescent="0.35">
      <c r="A1081" s="1" t="s">
        <v>54</v>
      </c>
      <c r="B1081" s="1" t="s">
        <v>27</v>
      </c>
      <c r="C1081" s="2">
        <v>45459</v>
      </c>
      <c r="D1081" s="1" t="s">
        <v>17</v>
      </c>
      <c r="E1081" s="1" t="s">
        <v>55</v>
      </c>
      <c r="F1081" s="1" t="s">
        <v>25</v>
      </c>
      <c r="G1081" s="1" t="s">
        <v>20</v>
      </c>
      <c r="H1081" s="1">
        <v>3</v>
      </c>
      <c r="I1081" s="1">
        <v>463</v>
      </c>
      <c r="J1081" s="1">
        <v>799</v>
      </c>
      <c r="K1081" s="1">
        <v>0</v>
      </c>
      <c r="L1081" s="1">
        <f>ROUNDDOWN(formatted_data[[#This Row],[Selling_Price]]*formatted_data[[#This Row],[Discount_%]]/100,0)</f>
        <v>0</v>
      </c>
      <c r="M1081" s="1">
        <f>(formatted_data[[#This Row],[Selling_Price]]-formatted_data[[#This Row],[Discount_Amount]])*formatted_data[[#This Row],[Units]]</f>
        <v>2397</v>
      </c>
      <c r="N1081" s="1">
        <f>formatted_data[[#This Row],[Total_Revenue]]-(formatted_data[[#This Row],[Cost_Price]]*formatted_data[[#This Row],[Units]])</f>
        <v>1008</v>
      </c>
      <c r="O1081" s="1" t="s">
        <v>33</v>
      </c>
      <c r="P1081"/>
    </row>
    <row r="1082" spans="1:16" x14ac:dyDescent="0.35">
      <c r="A1082" s="1" t="s">
        <v>97</v>
      </c>
      <c r="B1082" s="1" t="s">
        <v>16</v>
      </c>
      <c r="C1082" s="2">
        <v>45549</v>
      </c>
      <c r="D1082" s="1" t="s">
        <v>23</v>
      </c>
      <c r="E1082" s="1" t="s">
        <v>43</v>
      </c>
      <c r="F1082" s="1" t="s">
        <v>25</v>
      </c>
      <c r="G1082" s="1" t="s">
        <v>20</v>
      </c>
      <c r="H1082" s="1">
        <v>1</v>
      </c>
      <c r="I1082" s="1">
        <v>1641</v>
      </c>
      <c r="J1082" s="1">
        <v>2599</v>
      </c>
      <c r="K1082" s="1">
        <v>15</v>
      </c>
      <c r="L1082" s="1">
        <f>ROUNDDOWN(formatted_data[[#This Row],[Selling_Price]]*formatted_data[[#This Row],[Discount_%]]/100,0)</f>
        <v>389</v>
      </c>
      <c r="M1082" s="1">
        <f>(formatted_data[[#This Row],[Selling_Price]]-formatted_data[[#This Row],[Discount_Amount]])*formatted_data[[#This Row],[Units]]</f>
        <v>2210</v>
      </c>
      <c r="N1082" s="1">
        <f>formatted_data[[#This Row],[Total_Revenue]]-(formatted_data[[#This Row],[Cost_Price]]*formatted_data[[#This Row],[Units]])</f>
        <v>569</v>
      </c>
      <c r="O1082" s="1" t="s">
        <v>33</v>
      </c>
      <c r="P1082"/>
    </row>
    <row r="1083" spans="1:16" x14ac:dyDescent="0.35">
      <c r="A1083" s="1" t="s">
        <v>97</v>
      </c>
      <c r="B1083" s="1" t="s">
        <v>16</v>
      </c>
      <c r="C1083" s="2">
        <v>45543</v>
      </c>
      <c r="D1083" s="1" t="s">
        <v>28</v>
      </c>
      <c r="E1083" s="1" t="s">
        <v>29</v>
      </c>
      <c r="F1083" s="1" t="s">
        <v>25</v>
      </c>
      <c r="G1083" s="1" t="s">
        <v>19</v>
      </c>
      <c r="H1083" s="1">
        <v>2</v>
      </c>
      <c r="I1083" s="1">
        <v>478</v>
      </c>
      <c r="J1083" s="1">
        <v>699</v>
      </c>
      <c r="K1083" s="1">
        <v>5</v>
      </c>
      <c r="L1083" s="1">
        <f>ROUNDDOWN(formatted_data[[#This Row],[Selling_Price]]*formatted_data[[#This Row],[Discount_%]]/100,0)</f>
        <v>34</v>
      </c>
      <c r="M1083" s="1">
        <f>(formatted_data[[#This Row],[Selling_Price]]-formatted_data[[#This Row],[Discount_Amount]])*formatted_data[[#This Row],[Units]]</f>
        <v>1330</v>
      </c>
      <c r="N1083" s="1">
        <f>formatted_data[[#This Row],[Total_Revenue]]-(formatted_data[[#This Row],[Cost_Price]]*formatted_data[[#This Row],[Units]])</f>
        <v>374</v>
      </c>
      <c r="O1083" s="1" t="s">
        <v>21</v>
      </c>
      <c r="P1083"/>
    </row>
    <row r="1084" spans="1:16" x14ac:dyDescent="0.35">
      <c r="A1084" s="1" t="s">
        <v>102</v>
      </c>
      <c r="B1084" s="1" t="s">
        <v>27</v>
      </c>
      <c r="C1084" s="2">
        <v>45656</v>
      </c>
      <c r="D1084" s="1" t="s">
        <v>28</v>
      </c>
      <c r="E1084" s="1" t="s">
        <v>29</v>
      </c>
      <c r="F1084" s="1" t="s">
        <v>25</v>
      </c>
      <c r="G1084" s="1" t="s">
        <v>19</v>
      </c>
      <c r="H1084" s="1">
        <v>5</v>
      </c>
      <c r="I1084" s="1">
        <v>318</v>
      </c>
      <c r="J1084" s="1">
        <v>599</v>
      </c>
      <c r="K1084" s="1">
        <v>15</v>
      </c>
      <c r="L1084" s="1">
        <f>ROUNDDOWN(formatted_data[[#This Row],[Selling_Price]]*formatted_data[[#This Row],[Discount_%]]/100,0)</f>
        <v>89</v>
      </c>
      <c r="M1084" s="1">
        <f>(formatted_data[[#This Row],[Selling_Price]]-formatted_data[[#This Row],[Discount_Amount]])*formatted_data[[#This Row],[Units]]</f>
        <v>2550</v>
      </c>
      <c r="N1084" s="1">
        <f>formatted_data[[#This Row],[Total_Revenue]]-(formatted_data[[#This Row],[Cost_Price]]*formatted_data[[#This Row],[Units]])</f>
        <v>960</v>
      </c>
      <c r="O1084" s="1" t="s">
        <v>21</v>
      </c>
      <c r="P1084"/>
    </row>
    <row r="1085" spans="1:16" x14ac:dyDescent="0.35">
      <c r="A1085" s="1" t="s">
        <v>86</v>
      </c>
      <c r="B1085" s="1" t="s">
        <v>27</v>
      </c>
      <c r="C1085" s="2">
        <v>45452</v>
      </c>
      <c r="D1085" s="1" t="s">
        <v>17</v>
      </c>
      <c r="E1085" s="1" t="s">
        <v>55</v>
      </c>
      <c r="F1085" s="1" t="s">
        <v>37</v>
      </c>
      <c r="G1085" s="1" t="s">
        <v>19</v>
      </c>
      <c r="H1085" s="1">
        <v>3</v>
      </c>
      <c r="I1085" s="1">
        <v>396</v>
      </c>
      <c r="J1085" s="1">
        <v>599</v>
      </c>
      <c r="K1085" s="1">
        <v>0</v>
      </c>
      <c r="L1085" s="1">
        <f>ROUNDDOWN(formatted_data[[#This Row],[Selling_Price]]*formatted_data[[#This Row],[Discount_%]]/100,0)</f>
        <v>0</v>
      </c>
      <c r="M1085" s="1">
        <f>(formatted_data[[#This Row],[Selling_Price]]-formatted_data[[#This Row],[Discount_Amount]])*formatted_data[[#This Row],[Units]]</f>
        <v>1797</v>
      </c>
      <c r="N1085" s="1">
        <f>formatted_data[[#This Row],[Total_Revenue]]-(formatted_data[[#This Row],[Cost_Price]]*formatted_data[[#This Row],[Units]])</f>
        <v>609</v>
      </c>
      <c r="O1085" s="1" t="s">
        <v>21</v>
      </c>
      <c r="P1085"/>
    </row>
    <row r="1086" spans="1:16" x14ac:dyDescent="0.35">
      <c r="A1086" s="1" t="s">
        <v>73</v>
      </c>
      <c r="B1086" s="1" t="s">
        <v>16</v>
      </c>
      <c r="C1086" s="2">
        <v>45574</v>
      </c>
      <c r="D1086" s="1" t="s">
        <v>35</v>
      </c>
      <c r="E1086" s="1" t="s">
        <v>100</v>
      </c>
      <c r="F1086" s="1" t="s">
        <v>37</v>
      </c>
      <c r="G1086" s="1" t="s">
        <v>20</v>
      </c>
      <c r="H1086" s="1">
        <v>2</v>
      </c>
      <c r="I1086" s="1">
        <v>887</v>
      </c>
      <c r="J1086" s="1">
        <v>1199</v>
      </c>
      <c r="K1086" s="1">
        <v>10</v>
      </c>
      <c r="L1086" s="1">
        <f>ROUNDDOWN(formatted_data[[#This Row],[Selling_Price]]*formatted_data[[#This Row],[Discount_%]]/100,0)</f>
        <v>119</v>
      </c>
      <c r="M1086" s="1">
        <f>(formatted_data[[#This Row],[Selling_Price]]-formatted_data[[#This Row],[Discount_Amount]])*formatted_data[[#This Row],[Units]]</f>
        <v>2160</v>
      </c>
      <c r="N1086" s="1">
        <f>formatted_data[[#This Row],[Total_Revenue]]-(formatted_data[[#This Row],[Cost_Price]]*formatted_data[[#This Row],[Units]])</f>
        <v>386</v>
      </c>
      <c r="O1086" s="1" t="s">
        <v>33</v>
      </c>
      <c r="P1086"/>
    </row>
    <row r="1087" spans="1:16" x14ac:dyDescent="0.35">
      <c r="A1087" s="1" t="s">
        <v>67</v>
      </c>
      <c r="B1087" s="1" t="s">
        <v>27</v>
      </c>
      <c r="C1087" s="2">
        <v>45509</v>
      </c>
      <c r="D1087" s="1" t="s">
        <v>23</v>
      </c>
      <c r="E1087" s="1" t="s">
        <v>24</v>
      </c>
      <c r="F1087" s="1" t="s">
        <v>37</v>
      </c>
      <c r="G1087" s="1" t="s">
        <v>19</v>
      </c>
      <c r="H1087" s="1">
        <v>1</v>
      </c>
      <c r="I1087" s="1">
        <v>1649</v>
      </c>
      <c r="J1087" s="1">
        <v>2299</v>
      </c>
      <c r="K1087" s="1">
        <v>10</v>
      </c>
      <c r="L1087" s="1">
        <f>ROUNDDOWN(formatted_data[[#This Row],[Selling_Price]]*formatted_data[[#This Row],[Discount_%]]/100,0)</f>
        <v>229</v>
      </c>
      <c r="M1087" s="1">
        <f>(formatted_data[[#This Row],[Selling_Price]]-formatted_data[[#This Row],[Discount_Amount]])*formatted_data[[#This Row],[Units]]</f>
        <v>2070</v>
      </c>
      <c r="N1087" s="1">
        <f>formatted_data[[#This Row],[Total_Revenue]]-(formatted_data[[#This Row],[Cost_Price]]*formatted_data[[#This Row],[Units]])</f>
        <v>421</v>
      </c>
      <c r="O1087" s="1" t="s">
        <v>21</v>
      </c>
      <c r="P1087"/>
    </row>
    <row r="1088" spans="1:16" x14ac:dyDescent="0.35">
      <c r="A1088" s="1" t="s">
        <v>57</v>
      </c>
      <c r="B1088" s="1" t="s">
        <v>27</v>
      </c>
      <c r="C1088" s="2">
        <v>45582</v>
      </c>
      <c r="D1088" s="1" t="s">
        <v>28</v>
      </c>
      <c r="E1088" s="1" t="s">
        <v>29</v>
      </c>
      <c r="F1088" s="1" t="s">
        <v>37</v>
      </c>
      <c r="G1088" s="1" t="s">
        <v>20</v>
      </c>
      <c r="H1088" s="1">
        <v>1</v>
      </c>
      <c r="I1088" s="1">
        <v>310</v>
      </c>
      <c r="J1088" s="1">
        <v>499</v>
      </c>
      <c r="K1088" s="1">
        <v>10</v>
      </c>
      <c r="L1088" s="1">
        <f>ROUNDDOWN(formatted_data[[#This Row],[Selling_Price]]*formatted_data[[#This Row],[Discount_%]]/100,0)</f>
        <v>49</v>
      </c>
      <c r="M1088" s="1">
        <f>(formatted_data[[#This Row],[Selling_Price]]-formatted_data[[#This Row],[Discount_Amount]])*formatted_data[[#This Row],[Units]]</f>
        <v>450</v>
      </c>
      <c r="N1088" s="1">
        <f>formatted_data[[#This Row],[Total_Revenue]]-(formatted_data[[#This Row],[Cost_Price]]*formatted_data[[#This Row],[Units]])</f>
        <v>140</v>
      </c>
      <c r="O1088" s="1" t="s">
        <v>21</v>
      </c>
      <c r="P1088"/>
    </row>
    <row r="1089" spans="1:16" x14ac:dyDescent="0.35">
      <c r="A1089" s="1" t="s">
        <v>34</v>
      </c>
      <c r="B1089" s="1" t="s">
        <v>27</v>
      </c>
      <c r="C1089" s="2">
        <v>45522</v>
      </c>
      <c r="D1089" s="1" t="s">
        <v>35</v>
      </c>
      <c r="E1089" s="1" t="s">
        <v>41</v>
      </c>
      <c r="F1089" s="1" t="s">
        <v>19</v>
      </c>
      <c r="G1089" s="1" t="s">
        <v>19</v>
      </c>
      <c r="H1089" s="1">
        <v>2</v>
      </c>
      <c r="I1089" s="1">
        <v>850</v>
      </c>
      <c r="J1089" s="1">
        <v>1199</v>
      </c>
      <c r="K1089" s="1">
        <v>10</v>
      </c>
      <c r="L1089" s="1">
        <f>ROUNDDOWN(formatted_data[[#This Row],[Selling_Price]]*formatted_data[[#This Row],[Discount_%]]/100,0)</f>
        <v>119</v>
      </c>
      <c r="M1089" s="1">
        <f>(formatted_data[[#This Row],[Selling_Price]]-formatted_data[[#This Row],[Discount_Amount]])*formatted_data[[#This Row],[Units]]</f>
        <v>2160</v>
      </c>
      <c r="N1089" s="1">
        <f>formatted_data[[#This Row],[Total_Revenue]]-(formatted_data[[#This Row],[Cost_Price]]*formatted_data[[#This Row],[Units]])</f>
        <v>460</v>
      </c>
      <c r="O1089" s="1" t="s">
        <v>33</v>
      </c>
      <c r="P1089"/>
    </row>
    <row r="1090" spans="1:16" x14ac:dyDescent="0.35">
      <c r="A1090" s="1" t="s">
        <v>34</v>
      </c>
      <c r="B1090" s="1" t="s">
        <v>27</v>
      </c>
      <c r="C1090" s="2">
        <v>45635</v>
      </c>
      <c r="D1090" s="1" t="s">
        <v>31</v>
      </c>
      <c r="E1090" s="1" t="s">
        <v>32</v>
      </c>
      <c r="F1090" s="1" t="s">
        <v>19</v>
      </c>
      <c r="G1090" s="1" t="s">
        <v>20</v>
      </c>
      <c r="H1090" s="1">
        <v>2</v>
      </c>
      <c r="I1090" s="1">
        <v>839</v>
      </c>
      <c r="J1090" s="1">
        <v>1499</v>
      </c>
      <c r="K1090" s="1">
        <v>0</v>
      </c>
      <c r="L1090" s="1">
        <f>ROUNDDOWN(formatted_data[[#This Row],[Selling_Price]]*formatted_data[[#This Row],[Discount_%]]/100,0)</f>
        <v>0</v>
      </c>
      <c r="M1090" s="1">
        <f>(formatted_data[[#This Row],[Selling_Price]]-formatted_data[[#This Row],[Discount_Amount]])*formatted_data[[#This Row],[Units]]</f>
        <v>2998</v>
      </c>
      <c r="N1090" s="1">
        <f>formatted_data[[#This Row],[Total_Revenue]]-(formatted_data[[#This Row],[Cost_Price]]*formatted_data[[#This Row],[Units]])</f>
        <v>1320</v>
      </c>
      <c r="O1090" s="1" t="s">
        <v>21</v>
      </c>
      <c r="P1090"/>
    </row>
    <row r="1091" spans="1:16" x14ac:dyDescent="0.35">
      <c r="A1091" s="1" t="s">
        <v>95</v>
      </c>
      <c r="B1091" s="1" t="s">
        <v>27</v>
      </c>
      <c r="C1091" s="2">
        <v>45543</v>
      </c>
      <c r="D1091" s="1" t="s">
        <v>23</v>
      </c>
      <c r="E1091" s="1" t="s">
        <v>24</v>
      </c>
      <c r="F1091" s="1" t="s">
        <v>37</v>
      </c>
      <c r="G1091" s="1" t="s">
        <v>20</v>
      </c>
      <c r="H1091" s="1">
        <v>1</v>
      </c>
      <c r="I1091" s="1">
        <v>753</v>
      </c>
      <c r="J1091" s="1">
        <v>1299</v>
      </c>
      <c r="K1091" s="1">
        <v>5</v>
      </c>
      <c r="L1091" s="1">
        <f>ROUNDDOWN(formatted_data[[#This Row],[Selling_Price]]*formatted_data[[#This Row],[Discount_%]]/100,0)</f>
        <v>64</v>
      </c>
      <c r="M1091" s="1">
        <f>(formatted_data[[#This Row],[Selling_Price]]-formatted_data[[#This Row],[Discount_Amount]])*formatted_data[[#This Row],[Units]]</f>
        <v>1235</v>
      </c>
      <c r="N1091" s="1">
        <f>formatted_data[[#This Row],[Total_Revenue]]-(formatted_data[[#This Row],[Cost_Price]]*formatted_data[[#This Row],[Units]])</f>
        <v>482</v>
      </c>
      <c r="O1091" s="1" t="s">
        <v>21</v>
      </c>
      <c r="P1091"/>
    </row>
    <row r="1092" spans="1:16" x14ac:dyDescent="0.35">
      <c r="A1092" s="1" t="s">
        <v>96</v>
      </c>
      <c r="B1092" s="1" t="s">
        <v>16</v>
      </c>
      <c r="C1092" s="2">
        <v>45544</v>
      </c>
      <c r="D1092" s="1" t="s">
        <v>28</v>
      </c>
      <c r="E1092" s="1" t="s">
        <v>29</v>
      </c>
      <c r="F1092" s="1" t="s">
        <v>19</v>
      </c>
      <c r="G1092" s="1" t="s">
        <v>19</v>
      </c>
      <c r="H1092" s="1">
        <v>3</v>
      </c>
      <c r="I1092" s="1">
        <v>358</v>
      </c>
      <c r="J1092" s="1">
        <v>499</v>
      </c>
      <c r="K1092" s="1">
        <v>10</v>
      </c>
      <c r="L1092" s="1">
        <f>ROUNDDOWN(formatted_data[[#This Row],[Selling_Price]]*formatted_data[[#This Row],[Discount_%]]/100,0)</f>
        <v>49</v>
      </c>
      <c r="M1092" s="1">
        <f>(formatted_data[[#This Row],[Selling_Price]]-formatted_data[[#This Row],[Discount_Amount]])*formatted_data[[#This Row],[Units]]</f>
        <v>1350</v>
      </c>
      <c r="N1092" s="1">
        <f>formatted_data[[#This Row],[Total_Revenue]]-(formatted_data[[#This Row],[Cost_Price]]*formatted_data[[#This Row],[Units]])</f>
        <v>276</v>
      </c>
      <c r="O1092" s="1" t="s">
        <v>21</v>
      </c>
      <c r="P1092"/>
    </row>
    <row r="1093" spans="1:16" x14ac:dyDescent="0.35">
      <c r="A1093" s="1" t="s">
        <v>84</v>
      </c>
      <c r="B1093" s="1" t="s">
        <v>27</v>
      </c>
      <c r="C1093" s="2">
        <v>45468</v>
      </c>
      <c r="D1093" s="1" t="s">
        <v>31</v>
      </c>
      <c r="E1093" s="1" t="s">
        <v>32</v>
      </c>
      <c r="F1093" s="1" t="s">
        <v>37</v>
      </c>
      <c r="G1093" s="1" t="s">
        <v>20</v>
      </c>
      <c r="H1093" s="1">
        <v>1</v>
      </c>
      <c r="I1093" s="1">
        <v>639</v>
      </c>
      <c r="J1093" s="1">
        <v>999</v>
      </c>
      <c r="K1093" s="1">
        <v>0</v>
      </c>
      <c r="L1093" s="1">
        <f>ROUNDDOWN(formatted_data[[#This Row],[Selling_Price]]*formatted_data[[#This Row],[Discount_%]]/100,0)</f>
        <v>0</v>
      </c>
      <c r="M1093" s="1">
        <f>(formatted_data[[#This Row],[Selling_Price]]-formatted_data[[#This Row],[Discount_Amount]])*formatted_data[[#This Row],[Units]]</f>
        <v>999</v>
      </c>
      <c r="N1093" s="1">
        <f>formatted_data[[#This Row],[Total_Revenue]]-(formatted_data[[#This Row],[Cost_Price]]*formatted_data[[#This Row],[Units]])</f>
        <v>360</v>
      </c>
      <c r="O1093" s="1" t="s">
        <v>33</v>
      </c>
      <c r="P1093"/>
    </row>
    <row r="1094" spans="1:16" x14ac:dyDescent="0.35">
      <c r="A1094" s="1" t="s">
        <v>34</v>
      </c>
      <c r="B1094" s="1" t="s">
        <v>27</v>
      </c>
      <c r="C1094" s="2">
        <v>45486</v>
      </c>
      <c r="D1094" s="1" t="s">
        <v>35</v>
      </c>
      <c r="E1094" s="1" t="s">
        <v>58</v>
      </c>
      <c r="F1094" s="1" t="s">
        <v>19</v>
      </c>
      <c r="G1094" s="1" t="s">
        <v>19</v>
      </c>
      <c r="H1094" s="1">
        <v>3</v>
      </c>
      <c r="I1094" s="1">
        <v>1721</v>
      </c>
      <c r="J1094" s="1">
        <v>2499</v>
      </c>
      <c r="K1094" s="1">
        <v>20</v>
      </c>
      <c r="L1094" s="1">
        <f>ROUNDDOWN(formatted_data[[#This Row],[Selling_Price]]*formatted_data[[#This Row],[Discount_%]]/100,0)</f>
        <v>499</v>
      </c>
      <c r="M1094" s="1">
        <f>(formatted_data[[#This Row],[Selling_Price]]-formatted_data[[#This Row],[Discount_Amount]])*formatted_data[[#This Row],[Units]]</f>
        <v>6000</v>
      </c>
      <c r="N1094" s="1">
        <f>formatted_data[[#This Row],[Total_Revenue]]-(formatted_data[[#This Row],[Cost_Price]]*formatted_data[[#This Row],[Units]])</f>
        <v>837</v>
      </c>
      <c r="O1094" s="1" t="s">
        <v>33</v>
      </c>
      <c r="P1094"/>
    </row>
    <row r="1095" spans="1:16" x14ac:dyDescent="0.35">
      <c r="A1095" s="1" t="s">
        <v>60</v>
      </c>
      <c r="B1095" s="1" t="s">
        <v>27</v>
      </c>
      <c r="C1095" s="2">
        <v>45459</v>
      </c>
      <c r="D1095" s="1" t="s">
        <v>31</v>
      </c>
      <c r="E1095" s="1" t="s">
        <v>76</v>
      </c>
      <c r="F1095" s="1" t="s">
        <v>19</v>
      </c>
      <c r="G1095" s="1" t="s">
        <v>19</v>
      </c>
      <c r="H1095" s="1">
        <v>5</v>
      </c>
      <c r="I1095" s="1">
        <v>699</v>
      </c>
      <c r="J1095" s="1">
        <v>999</v>
      </c>
      <c r="K1095" s="1">
        <v>0</v>
      </c>
      <c r="L1095" s="1">
        <f>ROUNDDOWN(formatted_data[[#This Row],[Selling_Price]]*formatted_data[[#This Row],[Discount_%]]/100,0)</f>
        <v>0</v>
      </c>
      <c r="M1095" s="1">
        <f>(formatted_data[[#This Row],[Selling_Price]]-formatted_data[[#This Row],[Discount_Amount]])*formatted_data[[#This Row],[Units]]</f>
        <v>4995</v>
      </c>
      <c r="N1095" s="1">
        <f>formatted_data[[#This Row],[Total_Revenue]]-(formatted_data[[#This Row],[Cost_Price]]*formatted_data[[#This Row],[Units]])</f>
        <v>1500</v>
      </c>
      <c r="O1095" s="1" t="s">
        <v>21</v>
      </c>
      <c r="P1095"/>
    </row>
    <row r="1096" spans="1:16" x14ac:dyDescent="0.35">
      <c r="A1096" s="1" t="s">
        <v>26</v>
      </c>
      <c r="B1096" s="1" t="s">
        <v>27</v>
      </c>
      <c r="C1096" s="2">
        <v>45545</v>
      </c>
      <c r="D1096" s="1" t="s">
        <v>28</v>
      </c>
      <c r="E1096" s="1" t="s">
        <v>29</v>
      </c>
      <c r="F1096" s="1" t="s">
        <v>37</v>
      </c>
      <c r="G1096" s="1" t="s">
        <v>19</v>
      </c>
      <c r="H1096" s="1">
        <v>2</v>
      </c>
      <c r="I1096" s="1">
        <v>382</v>
      </c>
      <c r="J1096" s="1">
        <v>599</v>
      </c>
      <c r="K1096" s="1">
        <v>10</v>
      </c>
      <c r="L1096" s="1">
        <f>ROUNDDOWN(formatted_data[[#This Row],[Selling_Price]]*formatted_data[[#This Row],[Discount_%]]/100,0)</f>
        <v>59</v>
      </c>
      <c r="M1096" s="1">
        <f>(formatted_data[[#This Row],[Selling_Price]]-formatted_data[[#This Row],[Discount_Amount]])*formatted_data[[#This Row],[Units]]</f>
        <v>1080</v>
      </c>
      <c r="N1096" s="1">
        <f>formatted_data[[#This Row],[Total_Revenue]]-(formatted_data[[#This Row],[Cost_Price]]*formatted_data[[#This Row],[Units]])</f>
        <v>316</v>
      </c>
      <c r="O1096" s="1" t="s">
        <v>21</v>
      </c>
      <c r="P1096"/>
    </row>
    <row r="1097" spans="1:16" x14ac:dyDescent="0.35">
      <c r="A1097" s="1" t="s">
        <v>40</v>
      </c>
      <c r="B1097" s="1" t="s">
        <v>27</v>
      </c>
      <c r="C1097" s="2">
        <v>45515</v>
      </c>
      <c r="D1097" s="1" t="s">
        <v>28</v>
      </c>
      <c r="E1097" s="1" t="s">
        <v>45</v>
      </c>
      <c r="F1097" s="1" t="s">
        <v>25</v>
      </c>
      <c r="G1097" s="1" t="s">
        <v>20</v>
      </c>
      <c r="H1097" s="1">
        <v>5</v>
      </c>
      <c r="I1097" s="1">
        <v>1204</v>
      </c>
      <c r="J1097" s="1">
        <v>1699</v>
      </c>
      <c r="K1097" s="1">
        <v>10</v>
      </c>
      <c r="L1097" s="1">
        <f>ROUNDDOWN(formatted_data[[#This Row],[Selling_Price]]*formatted_data[[#This Row],[Discount_%]]/100,0)</f>
        <v>169</v>
      </c>
      <c r="M1097" s="1">
        <f>(formatted_data[[#This Row],[Selling_Price]]-formatted_data[[#This Row],[Discount_Amount]])*formatted_data[[#This Row],[Units]]</f>
        <v>7650</v>
      </c>
      <c r="N1097" s="1">
        <f>formatted_data[[#This Row],[Total_Revenue]]-(formatted_data[[#This Row],[Cost_Price]]*formatted_data[[#This Row],[Units]])</f>
        <v>1630</v>
      </c>
      <c r="O1097" s="1" t="s">
        <v>33</v>
      </c>
      <c r="P1097"/>
    </row>
    <row r="1098" spans="1:16" x14ac:dyDescent="0.35">
      <c r="A1098" s="1" t="s">
        <v>67</v>
      </c>
      <c r="B1098" s="1" t="s">
        <v>27</v>
      </c>
      <c r="C1098" s="2">
        <v>45521</v>
      </c>
      <c r="D1098" s="1" t="s">
        <v>17</v>
      </c>
      <c r="E1098" s="1" t="s">
        <v>72</v>
      </c>
      <c r="F1098" s="1" t="s">
        <v>37</v>
      </c>
      <c r="G1098" s="1" t="s">
        <v>19</v>
      </c>
      <c r="H1098" s="1">
        <v>1</v>
      </c>
      <c r="I1098" s="1">
        <v>252</v>
      </c>
      <c r="J1098" s="1">
        <v>499</v>
      </c>
      <c r="K1098" s="1">
        <v>0</v>
      </c>
      <c r="L1098" s="1">
        <f>ROUNDDOWN(formatted_data[[#This Row],[Selling_Price]]*formatted_data[[#This Row],[Discount_%]]/100,0)</f>
        <v>0</v>
      </c>
      <c r="M1098" s="1">
        <f>(formatted_data[[#This Row],[Selling_Price]]-formatted_data[[#This Row],[Discount_Amount]])*formatted_data[[#This Row],[Units]]</f>
        <v>499</v>
      </c>
      <c r="N1098" s="1">
        <f>formatted_data[[#This Row],[Total_Revenue]]-(formatted_data[[#This Row],[Cost_Price]]*formatted_data[[#This Row],[Units]])</f>
        <v>247</v>
      </c>
      <c r="O1098" s="1" t="s">
        <v>33</v>
      </c>
      <c r="P1098"/>
    </row>
    <row r="1099" spans="1:16" x14ac:dyDescent="0.35">
      <c r="A1099" s="1" t="s">
        <v>64</v>
      </c>
      <c r="B1099" s="1" t="s">
        <v>16</v>
      </c>
      <c r="C1099" s="2">
        <v>45487</v>
      </c>
      <c r="D1099" s="1" t="s">
        <v>35</v>
      </c>
      <c r="E1099" s="1" t="s">
        <v>36</v>
      </c>
      <c r="F1099" s="1" t="s">
        <v>19</v>
      </c>
      <c r="G1099" s="1" t="s">
        <v>19</v>
      </c>
      <c r="H1099" s="1">
        <v>1</v>
      </c>
      <c r="I1099" s="1">
        <v>272</v>
      </c>
      <c r="J1099" s="1">
        <v>499</v>
      </c>
      <c r="K1099" s="1">
        <v>20</v>
      </c>
      <c r="L1099" s="1">
        <f>ROUNDDOWN(formatted_data[[#This Row],[Selling_Price]]*formatted_data[[#This Row],[Discount_%]]/100,0)</f>
        <v>99</v>
      </c>
      <c r="M1099" s="1">
        <f>(formatted_data[[#This Row],[Selling_Price]]-formatted_data[[#This Row],[Discount_Amount]])*formatted_data[[#This Row],[Units]]</f>
        <v>400</v>
      </c>
      <c r="N1099" s="1">
        <f>formatted_data[[#This Row],[Total_Revenue]]-(formatted_data[[#This Row],[Cost_Price]]*formatted_data[[#This Row],[Units]])</f>
        <v>128</v>
      </c>
      <c r="O1099" s="1" t="s">
        <v>21</v>
      </c>
      <c r="P1099"/>
    </row>
    <row r="1100" spans="1:16" x14ac:dyDescent="0.35">
      <c r="A1100" s="1" t="s">
        <v>81</v>
      </c>
      <c r="B1100" s="1" t="s">
        <v>27</v>
      </c>
      <c r="C1100" s="2">
        <v>45648</v>
      </c>
      <c r="D1100" s="1" t="s">
        <v>17</v>
      </c>
      <c r="E1100" s="1" t="s">
        <v>55</v>
      </c>
      <c r="F1100" s="1" t="s">
        <v>25</v>
      </c>
      <c r="G1100" s="1" t="s">
        <v>20</v>
      </c>
      <c r="H1100" s="1">
        <v>5</v>
      </c>
      <c r="I1100" s="1">
        <v>222</v>
      </c>
      <c r="J1100" s="1">
        <v>399</v>
      </c>
      <c r="K1100" s="1">
        <v>0</v>
      </c>
      <c r="L1100" s="1">
        <f>ROUNDDOWN(formatted_data[[#This Row],[Selling_Price]]*formatted_data[[#This Row],[Discount_%]]/100,0)</f>
        <v>0</v>
      </c>
      <c r="M1100" s="1">
        <f>(formatted_data[[#This Row],[Selling_Price]]-formatted_data[[#This Row],[Discount_Amount]])*formatted_data[[#This Row],[Units]]</f>
        <v>1995</v>
      </c>
      <c r="N1100" s="1">
        <f>formatted_data[[#This Row],[Total_Revenue]]-(formatted_data[[#This Row],[Cost_Price]]*formatted_data[[#This Row],[Units]])</f>
        <v>885</v>
      </c>
      <c r="O1100" s="1" t="s">
        <v>33</v>
      </c>
      <c r="P1100"/>
    </row>
    <row r="1101" spans="1:16" x14ac:dyDescent="0.35">
      <c r="A1101" s="1" t="s">
        <v>93</v>
      </c>
      <c r="B1101" s="1" t="s">
        <v>16</v>
      </c>
      <c r="C1101" s="2">
        <v>45561</v>
      </c>
      <c r="D1101" s="1" t="s">
        <v>31</v>
      </c>
      <c r="E1101" s="1" t="s">
        <v>32</v>
      </c>
      <c r="F1101" s="1" t="s">
        <v>37</v>
      </c>
      <c r="G1101" s="1" t="s">
        <v>19</v>
      </c>
      <c r="H1101" s="1">
        <v>5</v>
      </c>
      <c r="I1101" s="1">
        <v>914</v>
      </c>
      <c r="J1101" s="1">
        <v>1499</v>
      </c>
      <c r="K1101" s="1">
        <v>0</v>
      </c>
      <c r="L1101" s="1">
        <f>ROUNDDOWN(formatted_data[[#This Row],[Selling_Price]]*formatted_data[[#This Row],[Discount_%]]/100,0)</f>
        <v>0</v>
      </c>
      <c r="M1101" s="1">
        <f>(formatted_data[[#This Row],[Selling_Price]]-formatted_data[[#This Row],[Discount_Amount]])*formatted_data[[#This Row],[Units]]</f>
        <v>7495</v>
      </c>
      <c r="N1101" s="1">
        <f>formatted_data[[#This Row],[Total_Revenue]]-(formatted_data[[#This Row],[Cost_Price]]*formatted_data[[#This Row],[Units]])</f>
        <v>2925</v>
      </c>
      <c r="O1101" s="1" t="s">
        <v>21</v>
      </c>
      <c r="P1101"/>
    </row>
    <row r="1102" spans="1:16" x14ac:dyDescent="0.35">
      <c r="A1102" s="1" t="s">
        <v>86</v>
      </c>
      <c r="B1102" s="1" t="s">
        <v>27</v>
      </c>
      <c r="C1102" s="2">
        <v>45574</v>
      </c>
      <c r="D1102" s="1" t="s">
        <v>35</v>
      </c>
      <c r="E1102" s="1" t="s">
        <v>87</v>
      </c>
      <c r="F1102" s="1" t="s">
        <v>37</v>
      </c>
      <c r="G1102" s="1" t="s">
        <v>20</v>
      </c>
      <c r="H1102" s="1">
        <v>1</v>
      </c>
      <c r="I1102" s="1">
        <v>1507</v>
      </c>
      <c r="J1102" s="1">
        <v>2699</v>
      </c>
      <c r="K1102" s="1">
        <v>5</v>
      </c>
      <c r="L1102" s="1">
        <f>ROUNDDOWN(formatted_data[[#This Row],[Selling_Price]]*formatted_data[[#This Row],[Discount_%]]/100,0)</f>
        <v>134</v>
      </c>
      <c r="M1102" s="1">
        <f>(formatted_data[[#This Row],[Selling_Price]]-formatted_data[[#This Row],[Discount_Amount]])*formatted_data[[#This Row],[Units]]</f>
        <v>2565</v>
      </c>
      <c r="N1102" s="1">
        <f>formatted_data[[#This Row],[Total_Revenue]]-(formatted_data[[#This Row],[Cost_Price]]*formatted_data[[#This Row],[Units]])</f>
        <v>1058</v>
      </c>
      <c r="O1102" s="1" t="s">
        <v>33</v>
      </c>
      <c r="P1102"/>
    </row>
    <row r="1103" spans="1:16" x14ac:dyDescent="0.35">
      <c r="A1103" s="1" t="s">
        <v>109</v>
      </c>
      <c r="B1103" s="1" t="s">
        <v>16</v>
      </c>
      <c r="C1103" s="2">
        <v>45642</v>
      </c>
      <c r="D1103" s="1" t="s">
        <v>17</v>
      </c>
      <c r="E1103" s="1" t="s">
        <v>18</v>
      </c>
      <c r="F1103" s="1" t="s">
        <v>37</v>
      </c>
      <c r="G1103" s="1" t="s">
        <v>19</v>
      </c>
      <c r="H1103" s="1">
        <v>1</v>
      </c>
      <c r="I1103" s="1">
        <v>374</v>
      </c>
      <c r="J1103" s="1">
        <v>499</v>
      </c>
      <c r="K1103" s="1">
        <v>0</v>
      </c>
      <c r="L1103" s="1">
        <f>ROUNDDOWN(formatted_data[[#This Row],[Selling_Price]]*formatted_data[[#This Row],[Discount_%]]/100,0)</f>
        <v>0</v>
      </c>
      <c r="M1103" s="1">
        <f>(formatted_data[[#This Row],[Selling_Price]]-formatted_data[[#This Row],[Discount_Amount]])*formatted_data[[#This Row],[Units]]</f>
        <v>499</v>
      </c>
      <c r="N1103" s="1">
        <f>formatted_data[[#This Row],[Total_Revenue]]-(formatted_data[[#This Row],[Cost_Price]]*formatted_data[[#This Row],[Units]])</f>
        <v>125</v>
      </c>
      <c r="O1103" s="1" t="s">
        <v>21</v>
      </c>
      <c r="P1103"/>
    </row>
    <row r="1104" spans="1:16" x14ac:dyDescent="0.35">
      <c r="A1104" s="1" t="s">
        <v>97</v>
      </c>
      <c r="B1104" s="1" t="s">
        <v>16</v>
      </c>
      <c r="C1104" s="2">
        <v>45526</v>
      </c>
      <c r="D1104" s="1" t="s">
        <v>31</v>
      </c>
      <c r="E1104" s="1" t="s">
        <v>76</v>
      </c>
      <c r="F1104" s="1" t="s">
        <v>37</v>
      </c>
      <c r="G1104" s="1" t="s">
        <v>19</v>
      </c>
      <c r="H1104" s="1">
        <v>2</v>
      </c>
      <c r="I1104" s="1">
        <v>1075</v>
      </c>
      <c r="J1104" s="1">
        <v>1499</v>
      </c>
      <c r="K1104" s="1">
        <v>0</v>
      </c>
      <c r="L1104" s="1">
        <f>ROUNDDOWN(formatted_data[[#This Row],[Selling_Price]]*formatted_data[[#This Row],[Discount_%]]/100,0)</f>
        <v>0</v>
      </c>
      <c r="M1104" s="1">
        <f>(formatted_data[[#This Row],[Selling_Price]]-formatted_data[[#This Row],[Discount_Amount]])*formatted_data[[#This Row],[Units]]</f>
        <v>2998</v>
      </c>
      <c r="N1104" s="1">
        <f>formatted_data[[#This Row],[Total_Revenue]]-(formatted_data[[#This Row],[Cost_Price]]*formatted_data[[#This Row],[Units]])</f>
        <v>848</v>
      </c>
      <c r="O1104" s="1" t="s">
        <v>21</v>
      </c>
      <c r="P1104"/>
    </row>
    <row r="1105" spans="1:16" x14ac:dyDescent="0.35">
      <c r="A1105" s="1" t="s">
        <v>89</v>
      </c>
      <c r="B1105" s="1" t="s">
        <v>16</v>
      </c>
      <c r="C1105" s="2">
        <v>45612</v>
      </c>
      <c r="D1105" s="1" t="s">
        <v>31</v>
      </c>
      <c r="E1105" s="1" t="s">
        <v>76</v>
      </c>
      <c r="F1105" s="1" t="s">
        <v>37</v>
      </c>
      <c r="G1105" s="1" t="s">
        <v>20</v>
      </c>
      <c r="H1105" s="1">
        <v>2</v>
      </c>
      <c r="I1105" s="1">
        <v>936</v>
      </c>
      <c r="J1105" s="1">
        <v>1499</v>
      </c>
      <c r="K1105" s="1">
        <v>0</v>
      </c>
      <c r="L1105" s="1">
        <f>ROUNDDOWN(formatted_data[[#This Row],[Selling_Price]]*formatted_data[[#This Row],[Discount_%]]/100,0)</f>
        <v>0</v>
      </c>
      <c r="M1105" s="1">
        <f>(formatted_data[[#This Row],[Selling_Price]]-formatted_data[[#This Row],[Discount_Amount]])*formatted_data[[#This Row],[Units]]</f>
        <v>2998</v>
      </c>
      <c r="N1105" s="1">
        <f>formatted_data[[#This Row],[Total_Revenue]]-(formatted_data[[#This Row],[Cost_Price]]*formatted_data[[#This Row],[Units]])</f>
        <v>1126</v>
      </c>
      <c r="O1105" s="1" t="s">
        <v>33</v>
      </c>
      <c r="P1105"/>
    </row>
    <row r="1106" spans="1:16" x14ac:dyDescent="0.35">
      <c r="A1106" s="1" t="s">
        <v>80</v>
      </c>
      <c r="B1106" s="1" t="s">
        <v>27</v>
      </c>
      <c r="C1106" s="2">
        <v>45454</v>
      </c>
      <c r="D1106" s="1" t="s">
        <v>28</v>
      </c>
      <c r="E1106" s="1" t="s">
        <v>45</v>
      </c>
      <c r="F1106" s="1" t="s">
        <v>37</v>
      </c>
      <c r="G1106" s="1" t="s">
        <v>20</v>
      </c>
      <c r="H1106" s="1">
        <v>1</v>
      </c>
      <c r="I1106" s="1">
        <v>1094</v>
      </c>
      <c r="J1106" s="1">
        <v>1499</v>
      </c>
      <c r="K1106" s="1">
        <v>20</v>
      </c>
      <c r="L1106" s="1">
        <f>ROUNDDOWN(formatted_data[[#This Row],[Selling_Price]]*formatted_data[[#This Row],[Discount_%]]/100,0)</f>
        <v>299</v>
      </c>
      <c r="M1106" s="1">
        <f>(formatted_data[[#This Row],[Selling_Price]]-formatted_data[[#This Row],[Discount_Amount]])*formatted_data[[#This Row],[Units]]</f>
        <v>1200</v>
      </c>
      <c r="N1106" s="1">
        <f>formatted_data[[#This Row],[Total_Revenue]]-(formatted_data[[#This Row],[Cost_Price]]*formatted_data[[#This Row],[Units]])</f>
        <v>106</v>
      </c>
      <c r="O1106" s="1" t="s">
        <v>33</v>
      </c>
      <c r="P1106"/>
    </row>
    <row r="1107" spans="1:16" x14ac:dyDescent="0.35">
      <c r="A1107" s="1" t="s">
        <v>91</v>
      </c>
      <c r="B1107" s="1" t="s">
        <v>16</v>
      </c>
      <c r="C1107" s="2">
        <v>45586</v>
      </c>
      <c r="D1107" s="1" t="s">
        <v>17</v>
      </c>
      <c r="E1107" s="1" t="s">
        <v>55</v>
      </c>
      <c r="F1107" s="1" t="s">
        <v>25</v>
      </c>
      <c r="G1107" s="1" t="s">
        <v>20</v>
      </c>
      <c r="H1107" s="1">
        <v>1</v>
      </c>
      <c r="I1107" s="1">
        <v>278</v>
      </c>
      <c r="J1107" s="1">
        <v>499</v>
      </c>
      <c r="K1107" s="1">
        <v>0</v>
      </c>
      <c r="L1107" s="1">
        <f>ROUNDDOWN(formatted_data[[#This Row],[Selling_Price]]*formatted_data[[#This Row],[Discount_%]]/100,0)</f>
        <v>0</v>
      </c>
      <c r="M1107" s="1">
        <f>(formatted_data[[#This Row],[Selling_Price]]-formatted_data[[#This Row],[Discount_Amount]])*formatted_data[[#This Row],[Units]]</f>
        <v>499</v>
      </c>
      <c r="N1107" s="1">
        <f>formatted_data[[#This Row],[Total_Revenue]]-(formatted_data[[#This Row],[Cost_Price]]*formatted_data[[#This Row],[Units]])</f>
        <v>221</v>
      </c>
      <c r="O1107" s="1" t="s">
        <v>21</v>
      </c>
      <c r="P1107"/>
    </row>
    <row r="1108" spans="1:16" x14ac:dyDescent="0.35">
      <c r="A1108" s="1" t="s">
        <v>86</v>
      </c>
      <c r="B1108" s="1" t="s">
        <v>27</v>
      </c>
      <c r="C1108" s="2">
        <v>45597</v>
      </c>
      <c r="D1108" s="1" t="s">
        <v>31</v>
      </c>
      <c r="E1108" s="1" t="s">
        <v>32</v>
      </c>
      <c r="F1108" s="1" t="s">
        <v>37</v>
      </c>
      <c r="G1108" s="1" t="s">
        <v>19</v>
      </c>
      <c r="H1108" s="1">
        <v>2</v>
      </c>
      <c r="I1108" s="1">
        <v>490</v>
      </c>
      <c r="J1108" s="1">
        <v>899</v>
      </c>
      <c r="K1108" s="1">
        <v>0</v>
      </c>
      <c r="L1108" s="1">
        <f>ROUNDDOWN(formatted_data[[#This Row],[Selling_Price]]*formatted_data[[#This Row],[Discount_%]]/100,0)</f>
        <v>0</v>
      </c>
      <c r="M1108" s="1">
        <f>(formatted_data[[#This Row],[Selling_Price]]-formatted_data[[#This Row],[Discount_Amount]])*formatted_data[[#This Row],[Units]]</f>
        <v>1798</v>
      </c>
      <c r="N1108" s="1">
        <f>formatted_data[[#This Row],[Total_Revenue]]-(formatted_data[[#This Row],[Cost_Price]]*formatted_data[[#This Row],[Units]])</f>
        <v>818</v>
      </c>
      <c r="O1108" s="1" t="s">
        <v>21</v>
      </c>
      <c r="P1108"/>
    </row>
    <row r="1109" spans="1:16" x14ac:dyDescent="0.35">
      <c r="A1109" s="1" t="s">
        <v>77</v>
      </c>
      <c r="B1109" s="1" t="s">
        <v>27</v>
      </c>
      <c r="C1109" s="2">
        <v>45581</v>
      </c>
      <c r="D1109" s="1" t="s">
        <v>23</v>
      </c>
      <c r="E1109" s="1" t="s">
        <v>43</v>
      </c>
      <c r="F1109" s="1" t="s">
        <v>37</v>
      </c>
      <c r="G1109" s="1" t="s">
        <v>19</v>
      </c>
      <c r="H1109" s="1">
        <v>1</v>
      </c>
      <c r="I1109" s="1">
        <v>1694</v>
      </c>
      <c r="J1109" s="1">
        <v>2499</v>
      </c>
      <c r="K1109" s="1">
        <v>20</v>
      </c>
      <c r="L1109" s="1">
        <f>ROUNDDOWN(formatted_data[[#This Row],[Selling_Price]]*formatted_data[[#This Row],[Discount_%]]/100,0)</f>
        <v>499</v>
      </c>
      <c r="M1109" s="1">
        <f>(formatted_data[[#This Row],[Selling_Price]]-formatted_data[[#This Row],[Discount_Amount]])*formatted_data[[#This Row],[Units]]</f>
        <v>2000</v>
      </c>
      <c r="N1109" s="1">
        <f>formatted_data[[#This Row],[Total_Revenue]]-(formatted_data[[#This Row],[Cost_Price]]*formatted_data[[#This Row],[Units]])</f>
        <v>306</v>
      </c>
      <c r="O1109" s="1" t="s">
        <v>21</v>
      </c>
      <c r="P1109"/>
    </row>
    <row r="1110" spans="1:16" x14ac:dyDescent="0.35">
      <c r="A1110" s="1" t="s">
        <v>53</v>
      </c>
      <c r="B1110" s="1" t="s">
        <v>27</v>
      </c>
      <c r="C1110" s="2">
        <v>45592</v>
      </c>
      <c r="D1110" s="1" t="s">
        <v>35</v>
      </c>
      <c r="E1110" s="1" t="s">
        <v>41</v>
      </c>
      <c r="F1110" s="1" t="s">
        <v>37</v>
      </c>
      <c r="G1110" s="1" t="s">
        <v>20</v>
      </c>
      <c r="H1110" s="1">
        <v>1</v>
      </c>
      <c r="I1110" s="1">
        <v>626</v>
      </c>
      <c r="J1110" s="1">
        <v>899</v>
      </c>
      <c r="K1110" s="1">
        <v>10</v>
      </c>
      <c r="L1110" s="1">
        <f>ROUNDDOWN(formatted_data[[#This Row],[Selling_Price]]*formatted_data[[#This Row],[Discount_%]]/100,0)</f>
        <v>89</v>
      </c>
      <c r="M1110" s="1">
        <f>(formatted_data[[#This Row],[Selling_Price]]-formatted_data[[#This Row],[Discount_Amount]])*formatted_data[[#This Row],[Units]]</f>
        <v>810</v>
      </c>
      <c r="N1110" s="1">
        <f>formatted_data[[#This Row],[Total_Revenue]]-(formatted_data[[#This Row],[Cost_Price]]*formatted_data[[#This Row],[Units]])</f>
        <v>184</v>
      </c>
      <c r="O1110" s="1" t="s">
        <v>33</v>
      </c>
      <c r="P1110"/>
    </row>
    <row r="1111" spans="1:16" x14ac:dyDescent="0.35">
      <c r="A1111" s="1" t="s">
        <v>80</v>
      </c>
      <c r="B1111" s="1" t="s">
        <v>27</v>
      </c>
      <c r="C1111" s="2">
        <v>45490</v>
      </c>
      <c r="D1111" s="1" t="s">
        <v>23</v>
      </c>
      <c r="E1111" s="1" t="s">
        <v>24</v>
      </c>
      <c r="F1111" s="1" t="s">
        <v>19</v>
      </c>
      <c r="G1111" s="1" t="s">
        <v>20</v>
      </c>
      <c r="H1111" s="1">
        <v>2</v>
      </c>
      <c r="I1111" s="1">
        <v>838</v>
      </c>
      <c r="J1111" s="1">
        <v>1199</v>
      </c>
      <c r="K1111" s="1">
        <v>10</v>
      </c>
      <c r="L1111" s="1">
        <f>ROUNDDOWN(formatted_data[[#This Row],[Selling_Price]]*formatted_data[[#This Row],[Discount_%]]/100,0)</f>
        <v>119</v>
      </c>
      <c r="M1111" s="1">
        <f>(formatted_data[[#This Row],[Selling_Price]]-formatted_data[[#This Row],[Discount_Amount]])*formatted_data[[#This Row],[Units]]</f>
        <v>2160</v>
      </c>
      <c r="N1111" s="1">
        <f>formatted_data[[#This Row],[Total_Revenue]]-(formatted_data[[#This Row],[Cost_Price]]*formatted_data[[#This Row],[Units]])</f>
        <v>484</v>
      </c>
      <c r="O1111" s="1" t="s">
        <v>21</v>
      </c>
      <c r="P1111"/>
    </row>
    <row r="1112" spans="1:16" x14ac:dyDescent="0.35">
      <c r="A1112" s="1" t="s">
        <v>61</v>
      </c>
      <c r="B1112" s="1" t="s">
        <v>27</v>
      </c>
      <c r="C1112" s="2">
        <v>45509</v>
      </c>
      <c r="D1112" s="1" t="s">
        <v>31</v>
      </c>
      <c r="E1112" s="1" t="s">
        <v>32</v>
      </c>
      <c r="F1112" s="1" t="s">
        <v>25</v>
      </c>
      <c r="G1112" s="1" t="s">
        <v>20</v>
      </c>
      <c r="H1112" s="1">
        <v>5</v>
      </c>
      <c r="I1112" s="1">
        <v>521</v>
      </c>
      <c r="J1112" s="1">
        <v>999</v>
      </c>
      <c r="K1112" s="1">
        <v>0</v>
      </c>
      <c r="L1112" s="1">
        <f>ROUNDDOWN(formatted_data[[#This Row],[Selling_Price]]*formatted_data[[#This Row],[Discount_%]]/100,0)</f>
        <v>0</v>
      </c>
      <c r="M1112" s="1">
        <f>(formatted_data[[#This Row],[Selling_Price]]-formatted_data[[#This Row],[Discount_Amount]])*formatted_data[[#This Row],[Units]]</f>
        <v>4995</v>
      </c>
      <c r="N1112" s="1">
        <f>formatted_data[[#This Row],[Total_Revenue]]-(formatted_data[[#This Row],[Cost_Price]]*formatted_data[[#This Row],[Units]])</f>
        <v>2390</v>
      </c>
      <c r="O1112" s="1" t="s">
        <v>21</v>
      </c>
      <c r="P1112"/>
    </row>
    <row r="1113" spans="1:16" x14ac:dyDescent="0.35">
      <c r="A1113" s="1" t="s">
        <v>89</v>
      </c>
      <c r="B1113" s="1" t="s">
        <v>16</v>
      </c>
      <c r="C1113" s="2">
        <v>45554</v>
      </c>
      <c r="D1113" s="1" t="s">
        <v>17</v>
      </c>
      <c r="E1113" s="1" t="s">
        <v>18</v>
      </c>
      <c r="F1113" s="1" t="s">
        <v>25</v>
      </c>
      <c r="G1113" s="1" t="s">
        <v>20</v>
      </c>
      <c r="H1113" s="1">
        <v>4</v>
      </c>
      <c r="I1113" s="1">
        <v>410</v>
      </c>
      <c r="J1113" s="1">
        <v>599</v>
      </c>
      <c r="K1113" s="1">
        <v>0</v>
      </c>
      <c r="L1113" s="1">
        <f>ROUNDDOWN(formatted_data[[#This Row],[Selling_Price]]*formatted_data[[#This Row],[Discount_%]]/100,0)</f>
        <v>0</v>
      </c>
      <c r="M1113" s="1">
        <f>(formatted_data[[#This Row],[Selling_Price]]-formatted_data[[#This Row],[Discount_Amount]])*formatted_data[[#This Row],[Units]]</f>
        <v>2396</v>
      </c>
      <c r="N1113" s="1">
        <f>formatted_data[[#This Row],[Total_Revenue]]-(formatted_data[[#This Row],[Cost_Price]]*formatted_data[[#This Row],[Units]])</f>
        <v>756</v>
      </c>
      <c r="O1113" s="1" t="s">
        <v>21</v>
      </c>
      <c r="P1113"/>
    </row>
    <row r="1114" spans="1:16" x14ac:dyDescent="0.35">
      <c r="A1114" s="1" t="s">
        <v>92</v>
      </c>
      <c r="B1114" s="1" t="s">
        <v>27</v>
      </c>
      <c r="C1114" s="2">
        <v>45558</v>
      </c>
      <c r="D1114" s="1" t="s">
        <v>17</v>
      </c>
      <c r="E1114" s="1" t="s">
        <v>72</v>
      </c>
      <c r="F1114" s="1" t="s">
        <v>25</v>
      </c>
      <c r="G1114" s="1" t="s">
        <v>20</v>
      </c>
      <c r="H1114" s="1">
        <v>2</v>
      </c>
      <c r="I1114" s="1">
        <v>249</v>
      </c>
      <c r="J1114" s="1">
        <v>399</v>
      </c>
      <c r="K1114" s="1">
        <v>0</v>
      </c>
      <c r="L1114" s="1">
        <f>ROUNDDOWN(formatted_data[[#This Row],[Selling_Price]]*formatted_data[[#This Row],[Discount_%]]/100,0)</f>
        <v>0</v>
      </c>
      <c r="M1114" s="1">
        <f>(formatted_data[[#This Row],[Selling_Price]]-formatted_data[[#This Row],[Discount_Amount]])*formatted_data[[#This Row],[Units]]</f>
        <v>798</v>
      </c>
      <c r="N1114" s="1">
        <f>formatted_data[[#This Row],[Total_Revenue]]-(formatted_data[[#This Row],[Cost_Price]]*formatted_data[[#This Row],[Units]])</f>
        <v>300</v>
      </c>
      <c r="O1114" s="1" t="s">
        <v>21</v>
      </c>
      <c r="P1114"/>
    </row>
    <row r="1115" spans="1:16" x14ac:dyDescent="0.35">
      <c r="A1115" s="1" t="s">
        <v>103</v>
      </c>
      <c r="B1115" s="1" t="s">
        <v>16</v>
      </c>
      <c r="C1115" s="2">
        <v>45515</v>
      </c>
      <c r="D1115" s="1" t="s">
        <v>17</v>
      </c>
      <c r="E1115" s="1" t="s">
        <v>72</v>
      </c>
      <c r="F1115" s="1" t="s">
        <v>37</v>
      </c>
      <c r="G1115" s="1" t="s">
        <v>19</v>
      </c>
      <c r="H1115" s="1">
        <v>1</v>
      </c>
      <c r="I1115" s="1">
        <v>359</v>
      </c>
      <c r="J1115" s="1">
        <v>499</v>
      </c>
      <c r="K1115" s="1">
        <v>0</v>
      </c>
      <c r="L1115" s="1">
        <f>ROUNDDOWN(formatted_data[[#This Row],[Selling_Price]]*formatted_data[[#This Row],[Discount_%]]/100,0)</f>
        <v>0</v>
      </c>
      <c r="M1115" s="1">
        <f>(formatted_data[[#This Row],[Selling_Price]]-formatted_data[[#This Row],[Discount_Amount]])*formatted_data[[#This Row],[Units]]</f>
        <v>499</v>
      </c>
      <c r="N1115" s="1">
        <f>formatted_data[[#This Row],[Total_Revenue]]-(formatted_data[[#This Row],[Cost_Price]]*formatted_data[[#This Row],[Units]])</f>
        <v>140</v>
      </c>
      <c r="O1115" s="1" t="s">
        <v>33</v>
      </c>
      <c r="P1115"/>
    </row>
    <row r="1116" spans="1:16" x14ac:dyDescent="0.35">
      <c r="A1116" s="1" t="s">
        <v>99</v>
      </c>
      <c r="B1116" s="1" t="s">
        <v>27</v>
      </c>
      <c r="C1116" s="2">
        <v>45591</v>
      </c>
      <c r="D1116" s="1" t="s">
        <v>17</v>
      </c>
      <c r="E1116" s="1" t="s">
        <v>55</v>
      </c>
      <c r="F1116" s="1" t="s">
        <v>25</v>
      </c>
      <c r="G1116" s="1" t="s">
        <v>20</v>
      </c>
      <c r="H1116" s="1">
        <v>5</v>
      </c>
      <c r="I1116" s="1">
        <v>393</v>
      </c>
      <c r="J1116" s="1">
        <v>599</v>
      </c>
      <c r="K1116" s="1">
        <v>0</v>
      </c>
      <c r="L1116" s="1">
        <f>ROUNDDOWN(formatted_data[[#This Row],[Selling_Price]]*formatted_data[[#This Row],[Discount_%]]/100,0)</f>
        <v>0</v>
      </c>
      <c r="M1116" s="1">
        <f>(formatted_data[[#This Row],[Selling_Price]]-formatted_data[[#This Row],[Discount_Amount]])*formatted_data[[#This Row],[Units]]</f>
        <v>2995</v>
      </c>
      <c r="N1116" s="1">
        <f>formatted_data[[#This Row],[Total_Revenue]]-(formatted_data[[#This Row],[Cost_Price]]*formatted_data[[#This Row],[Units]])</f>
        <v>1030</v>
      </c>
      <c r="O1116" s="1" t="s">
        <v>21</v>
      </c>
      <c r="P1116"/>
    </row>
    <row r="1117" spans="1:16" x14ac:dyDescent="0.35">
      <c r="A1117" s="1" t="s">
        <v>85</v>
      </c>
      <c r="B1117" s="1" t="s">
        <v>27</v>
      </c>
      <c r="C1117" s="2">
        <v>45565</v>
      </c>
      <c r="D1117" s="1" t="s">
        <v>17</v>
      </c>
      <c r="E1117" s="1" t="s">
        <v>72</v>
      </c>
      <c r="F1117" s="1" t="s">
        <v>19</v>
      </c>
      <c r="G1117" s="1" t="s">
        <v>20</v>
      </c>
      <c r="H1117" s="1">
        <v>5</v>
      </c>
      <c r="I1117" s="1">
        <v>271</v>
      </c>
      <c r="J1117" s="1">
        <v>399</v>
      </c>
      <c r="K1117" s="1">
        <v>0</v>
      </c>
      <c r="L1117" s="1">
        <f>ROUNDDOWN(formatted_data[[#This Row],[Selling_Price]]*formatted_data[[#This Row],[Discount_%]]/100,0)</f>
        <v>0</v>
      </c>
      <c r="M1117" s="1">
        <f>(formatted_data[[#This Row],[Selling_Price]]-formatted_data[[#This Row],[Discount_Amount]])*formatted_data[[#This Row],[Units]]</f>
        <v>1995</v>
      </c>
      <c r="N1117" s="1">
        <f>formatted_data[[#This Row],[Total_Revenue]]-(formatted_data[[#This Row],[Cost_Price]]*formatted_data[[#This Row],[Units]])</f>
        <v>640</v>
      </c>
      <c r="O1117" s="1" t="s">
        <v>21</v>
      </c>
      <c r="P1117"/>
    </row>
    <row r="1118" spans="1:16" x14ac:dyDescent="0.35">
      <c r="A1118" s="1" t="s">
        <v>26</v>
      </c>
      <c r="B1118" s="1" t="s">
        <v>27</v>
      </c>
      <c r="C1118" s="2">
        <v>45653</v>
      </c>
      <c r="D1118" s="1" t="s">
        <v>35</v>
      </c>
      <c r="E1118" s="1" t="s">
        <v>58</v>
      </c>
      <c r="F1118" s="1" t="s">
        <v>37</v>
      </c>
      <c r="G1118" s="1" t="s">
        <v>19</v>
      </c>
      <c r="H1118" s="1">
        <v>4</v>
      </c>
      <c r="I1118" s="1">
        <v>1138</v>
      </c>
      <c r="J1118" s="1">
        <v>1899</v>
      </c>
      <c r="K1118" s="1">
        <v>20</v>
      </c>
      <c r="L1118" s="1">
        <f>ROUNDDOWN(formatted_data[[#This Row],[Selling_Price]]*formatted_data[[#This Row],[Discount_%]]/100,0)</f>
        <v>379</v>
      </c>
      <c r="M1118" s="1">
        <f>(formatted_data[[#This Row],[Selling_Price]]-formatted_data[[#This Row],[Discount_Amount]])*formatted_data[[#This Row],[Units]]</f>
        <v>6080</v>
      </c>
      <c r="N1118" s="1">
        <f>formatted_data[[#This Row],[Total_Revenue]]-(formatted_data[[#This Row],[Cost_Price]]*formatted_data[[#This Row],[Units]])</f>
        <v>1528</v>
      </c>
      <c r="O1118" s="1" t="s">
        <v>21</v>
      </c>
      <c r="P1118"/>
    </row>
    <row r="1119" spans="1:16" x14ac:dyDescent="0.35">
      <c r="A1119" s="1" t="s">
        <v>91</v>
      </c>
      <c r="B1119" s="1" t="s">
        <v>16</v>
      </c>
      <c r="C1119" s="2">
        <v>45469</v>
      </c>
      <c r="D1119" s="1" t="s">
        <v>35</v>
      </c>
      <c r="E1119" s="1" t="s">
        <v>58</v>
      </c>
      <c r="F1119" s="1" t="s">
        <v>19</v>
      </c>
      <c r="G1119" s="1" t="s">
        <v>20</v>
      </c>
      <c r="H1119" s="1">
        <v>1</v>
      </c>
      <c r="I1119" s="1">
        <v>1505</v>
      </c>
      <c r="J1119" s="1">
        <v>2399</v>
      </c>
      <c r="K1119" s="1">
        <v>15</v>
      </c>
      <c r="L1119" s="1">
        <f>ROUNDDOWN(formatted_data[[#This Row],[Selling_Price]]*formatted_data[[#This Row],[Discount_%]]/100,0)</f>
        <v>359</v>
      </c>
      <c r="M1119" s="1">
        <f>(formatted_data[[#This Row],[Selling_Price]]-formatted_data[[#This Row],[Discount_Amount]])*formatted_data[[#This Row],[Units]]</f>
        <v>2040</v>
      </c>
      <c r="N1119" s="1">
        <f>formatted_data[[#This Row],[Total_Revenue]]-(formatted_data[[#This Row],[Cost_Price]]*formatted_data[[#This Row],[Units]])</f>
        <v>535</v>
      </c>
      <c r="O1119" s="1" t="s">
        <v>21</v>
      </c>
      <c r="P1119"/>
    </row>
    <row r="1120" spans="1:16" x14ac:dyDescent="0.35">
      <c r="A1120" s="1" t="s">
        <v>46</v>
      </c>
      <c r="B1120" s="1" t="s">
        <v>16</v>
      </c>
      <c r="C1120" s="2">
        <v>45571</v>
      </c>
      <c r="D1120" s="1" t="s">
        <v>28</v>
      </c>
      <c r="E1120" s="1" t="s">
        <v>29</v>
      </c>
      <c r="F1120" s="1" t="s">
        <v>25</v>
      </c>
      <c r="G1120" s="1" t="s">
        <v>20</v>
      </c>
      <c r="H1120" s="1">
        <v>1</v>
      </c>
      <c r="I1120" s="1">
        <v>349</v>
      </c>
      <c r="J1120" s="1">
        <v>499</v>
      </c>
      <c r="K1120" s="1">
        <v>10</v>
      </c>
      <c r="L1120" s="1">
        <f>ROUNDDOWN(formatted_data[[#This Row],[Selling_Price]]*formatted_data[[#This Row],[Discount_%]]/100,0)</f>
        <v>49</v>
      </c>
      <c r="M1120" s="1">
        <f>(formatted_data[[#This Row],[Selling_Price]]-formatted_data[[#This Row],[Discount_Amount]])*formatted_data[[#This Row],[Units]]</f>
        <v>450</v>
      </c>
      <c r="N1120" s="1">
        <f>formatted_data[[#This Row],[Total_Revenue]]-(formatted_data[[#This Row],[Cost_Price]]*formatted_data[[#This Row],[Units]])</f>
        <v>101</v>
      </c>
      <c r="O1120" s="1" t="s">
        <v>21</v>
      </c>
      <c r="P1120"/>
    </row>
    <row r="1121" spans="1:16" x14ac:dyDescent="0.35">
      <c r="A1121" s="1" t="s">
        <v>95</v>
      </c>
      <c r="B1121" s="1" t="s">
        <v>27</v>
      </c>
      <c r="C1121" s="2">
        <v>45614</v>
      </c>
      <c r="D1121" s="1" t="s">
        <v>35</v>
      </c>
      <c r="E1121" s="1" t="s">
        <v>41</v>
      </c>
      <c r="F1121" s="1" t="s">
        <v>37</v>
      </c>
      <c r="G1121" s="1" t="s">
        <v>20</v>
      </c>
      <c r="H1121" s="1">
        <v>2</v>
      </c>
      <c r="I1121" s="1">
        <v>612</v>
      </c>
      <c r="J1121" s="1">
        <v>999</v>
      </c>
      <c r="K1121" s="1">
        <v>20</v>
      </c>
      <c r="L1121" s="1">
        <f>ROUNDDOWN(formatted_data[[#This Row],[Selling_Price]]*formatted_data[[#This Row],[Discount_%]]/100,0)</f>
        <v>199</v>
      </c>
      <c r="M1121" s="1">
        <f>(formatted_data[[#This Row],[Selling_Price]]-formatted_data[[#This Row],[Discount_Amount]])*formatted_data[[#This Row],[Units]]</f>
        <v>1600</v>
      </c>
      <c r="N1121" s="1">
        <f>formatted_data[[#This Row],[Total_Revenue]]-(formatted_data[[#This Row],[Cost_Price]]*formatted_data[[#This Row],[Units]])</f>
        <v>376</v>
      </c>
      <c r="O1121" s="1" t="s">
        <v>21</v>
      </c>
      <c r="P1121"/>
    </row>
    <row r="1122" spans="1:16" x14ac:dyDescent="0.35">
      <c r="A1122" s="1" t="s">
        <v>30</v>
      </c>
      <c r="B1122" s="1" t="s">
        <v>16</v>
      </c>
      <c r="C1122" s="2">
        <v>45552</v>
      </c>
      <c r="D1122" s="1" t="s">
        <v>31</v>
      </c>
      <c r="E1122" s="1" t="s">
        <v>76</v>
      </c>
      <c r="F1122" s="1" t="s">
        <v>25</v>
      </c>
      <c r="G1122" s="1" t="s">
        <v>19</v>
      </c>
      <c r="H1122" s="1">
        <v>2</v>
      </c>
      <c r="I1122" s="1">
        <v>1100</v>
      </c>
      <c r="J1122" s="1">
        <v>1499</v>
      </c>
      <c r="K1122" s="1">
        <v>0</v>
      </c>
      <c r="L1122" s="1">
        <f>ROUNDDOWN(formatted_data[[#This Row],[Selling_Price]]*formatted_data[[#This Row],[Discount_%]]/100,0)</f>
        <v>0</v>
      </c>
      <c r="M1122" s="1">
        <f>(formatted_data[[#This Row],[Selling_Price]]-formatted_data[[#This Row],[Discount_Amount]])*formatted_data[[#This Row],[Units]]</f>
        <v>2998</v>
      </c>
      <c r="N1122" s="1">
        <f>formatted_data[[#This Row],[Total_Revenue]]-(formatted_data[[#This Row],[Cost_Price]]*formatted_data[[#This Row],[Units]])</f>
        <v>798</v>
      </c>
      <c r="O1122" s="1" t="s">
        <v>21</v>
      </c>
      <c r="P1122"/>
    </row>
    <row r="1123" spans="1:16" x14ac:dyDescent="0.35">
      <c r="A1123" s="1" t="s">
        <v>106</v>
      </c>
      <c r="B1123" s="1" t="s">
        <v>27</v>
      </c>
      <c r="C1123" s="2">
        <v>45553</v>
      </c>
      <c r="D1123" s="1" t="s">
        <v>35</v>
      </c>
      <c r="E1123" s="1" t="s">
        <v>100</v>
      </c>
      <c r="F1123" s="1" t="s">
        <v>19</v>
      </c>
      <c r="G1123" s="1" t="s">
        <v>19</v>
      </c>
      <c r="H1123" s="1">
        <v>2</v>
      </c>
      <c r="I1123" s="1">
        <v>1186</v>
      </c>
      <c r="J1123" s="1">
        <v>2199</v>
      </c>
      <c r="K1123" s="1">
        <v>5</v>
      </c>
      <c r="L1123" s="1">
        <f>ROUNDDOWN(formatted_data[[#This Row],[Selling_Price]]*formatted_data[[#This Row],[Discount_%]]/100,0)</f>
        <v>109</v>
      </c>
      <c r="M1123" s="1">
        <f>(formatted_data[[#This Row],[Selling_Price]]-formatted_data[[#This Row],[Discount_Amount]])*formatted_data[[#This Row],[Units]]</f>
        <v>4180</v>
      </c>
      <c r="N1123" s="1">
        <f>formatted_data[[#This Row],[Total_Revenue]]-(formatted_data[[#This Row],[Cost_Price]]*formatted_data[[#This Row],[Units]])</f>
        <v>1808</v>
      </c>
      <c r="O1123" s="1" t="s">
        <v>21</v>
      </c>
      <c r="P1123"/>
    </row>
    <row r="1124" spans="1:16" x14ac:dyDescent="0.35">
      <c r="A1124" s="1" t="s">
        <v>34</v>
      </c>
      <c r="B1124" s="1" t="s">
        <v>27</v>
      </c>
      <c r="C1124" s="2">
        <v>45513</v>
      </c>
      <c r="D1124" s="1" t="s">
        <v>35</v>
      </c>
      <c r="E1124" s="1" t="s">
        <v>87</v>
      </c>
      <c r="F1124" s="1" t="s">
        <v>19</v>
      </c>
      <c r="G1124" s="1" t="s">
        <v>19</v>
      </c>
      <c r="H1124" s="1">
        <v>4</v>
      </c>
      <c r="I1124" s="1">
        <v>1561</v>
      </c>
      <c r="J1124" s="1">
        <v>2199</v>
      </c>
      <c r="K1124" s="1">
        <v>5</v>
      </c>
      <c r="L1124" s="1">
        <f>ROUNDDOWN(formatted_data[[#This Row],[Selling_Price]]*formatted_data[[#This Row],[Discount_%]]/100,0)</f>
        <v>109</v>
      </c>
      <c r="M1124" s="1">
        <f>(formatted_data[[#This Row],[Selling_Price]]-formatted_data[[#This Row],[Discount_Amount]])*formatted_data[[#This Row],[Units]]</f>
        <v>8360</v>
      </c>
      <c r="N1124" s="1">
        <f>formatted_data[[#This Row],[Total_Revenue]]-(formatted_data[[#This Row],[Cost_Price]]*formatted_data[[#This Row],[Units]])</f>
        <v>2116</v>
      </c>
      <c r="O1124" s="1" t="s">
        <v>21</v>
      </c>
      <c r="P1124"/>
    </row>
    <row r="1125" spans="1:16" x14ac:dyDescent="0.35">
      <c r="A1125" s="1" t="s">
        <v>15</v>
      </c>
      <c r="B1125" s="1" t="s">
        <v>16</v>
      </c>
      <c r="C1125" s="2">
        <v>45540</v>
      </c>
      <c r="D1125" s="1" t="s">
        <v>35</v>
      </c>
      <c r="E1125" s="1" t="s">
        <v>39</v>
      </c>
      <c r="F1125" s="1" t="s">
        <v>19</v>
      </c>
      <c r="G1125" s="1" t="s">
        <v>19</v>
      </c>
      <c r="H1125" s="1">
        <v>2</v>
      </c>
      <c r="I1125" s="1">
        <v>959</v>
      </c>
      <c r="J1125" s="1">
        <v>1399</v>
      </c>
      <c r="K1125" s="1">
        <v>5</v>
      </c>
      <c r="L1125" s="1">
        <f>ROUNDDOWN(formatted_data[[#This Row],[Selling_Price]]*formatted_data[[#This Row],[Discount_%]]/100,0)</f>
        <v>69</v>
      </c>
      <c r="M1125" s="1">
        <f>(formatted_data[[#This Row],[Selling_Price]]-formatted_data[[#This Row],[Discount_Amount]])*formatted_data[[#This Row],[Units]]</f>
        <v>2660</v>
      </c>
      <c r="N1125" s="1">
        <f>formatted_data[[#This Row],[Total_Revenue]]-(formatted_data[[#This Row],[Cost_Price]]*formatted_data[[#This Row],[Units]])</f>
        <v>742</v>
      </c>
      <c r="O1125" s="1" t="s">
        <v>33</v>
      </c>
      <c r="P1125"/>
    </row>
    <row r="1126" spans="1:16" x14ac:dyDescent="0.35">
      <c r="A1126" s="1" t="s">
        <v>108</v>
      </c>
      <c r="B1126" s="1" t="s">
        <v>27</v>
      </c>
      <c r="C1126" s="2">
        <v>45579</v>
      </c>
      <c r="D1126" s="1" t="s">
        <v>17</v>
      </c>
      <c r="E1126" s="1" t="s">
        <v>72</v>
      </c>
      <c r="F1126" s="1" t="s">
        <v>37</v>
      </c>
      <c r="G1126" s="1" t="s">
        <v>20</v>
      </c>
      <c r="H1126" s="1">
        <v>4</v>
      </c>
      <c r="I1126" s="1">
        <v>303</v>
      </c>
      <c r="J1126" s="1">
        <v>499</v>
      </c>
      <c r="K1126" s="1">
        <v>0</v>
      </c>
      <c r="L1126" s="1">
        <f>ROUNDDOWN(formatted_data[[#This Row],[Selling_Price]]*formatted_data[[#This Row],[Discount_%]]/100,0)</f>
        <v>0</v>
      </c>
      <c r="M1126" s="1">
        <f>(formatted_data[[#This Row],[Selling_Price]]-formatted_data[[#This Row],[Discount_Amount]])*formatted_data[[#This Row],[Units]]</f>
        <v>1996</v>
      </c>
      <c r="N1126" s="1">
        <f>formatted_data[[#This Row],[Total_Revenue]]-(formatted_data[[#This Row],[Cost_Price]]*formatted_data[[#This Row],[Units]])</f>
        <v>784</v>
      </c>
      <c r="O1126" s="1" t="s">
        <v>21</v>
      </c>
      <c r="P1126"/>
    </row>
    <row r="1127" spans="1:16" x14ac:dyDescent="0.35">
      <c r="A1127" s="1" t="s">
        <v>78</v>
      </c>
      <c r="B1127" s="1" t="s">
        <v>16</v>
      </c>
      <c r="C1127" s="2">
        <v>45583</v>
      </c>
      <c r="D1127" s="1" t="s">
        <v>28</v>
      </c>
      <c r="E1127" s="1" t="s">
        <v>45</v>
      </c>
      <c r="F1127" s="1" t="s">
        <v>37</v>
      </c>
      <c r="G1127" s="1" t="s">
        <v>20</v>
      </c>
      <c r="H1127" s="1">
        <v>2</v>
      </c>
      <c r="I1127" s="1">
        <v>1398</v>
      </c>
      <c r="J1127" s="1">
        <v>1999</v>
      </c>
      <c r="K1127" s="1">
        <v>10</v>
      </c>
      <c r="L1127" s="1">
        <f>ROUNDDOWN(formatted_data[[#This Row],[Selling_Price]]*formatted_data[[#This Row],[Discount_%]]/100,0)</f>
        <v>199</v>
      </c>
      <c r="M1127" s="1">
        <f>(formatted_data[[#This Row],[Selling_Price]]-formatted_data[[#This Row],[Discount_Amount]])*formatted_data[[#This Row],[Units]]</f>
        <v>3600</v>
      </c>
      <c r="N1127" s="1">
        <f>formatted_data[[#This Row],[Total_Revenue]]-(formatted_data[[#This Row],[Cost_Price]]*formatted_data[[#This Row],[Units]])</f>
        <v>804</v>
      </c>
      <c r="O1127" s="1" t="s">
        <v>21</v>
      </c>
      <c r="P1127"/>
    </row>
    <row r="1128" spans="1:16" x14ac:dyDescent="0.35">
      <c r="A1128" s="1" t="s">
        <v>65</v>
      </c>
      <c r="B1128" s="1" t="s">
        <v>16</v>
      </c>
      <c r="C1128" s="2">
        <v>45567</v>
      </c>
      <c r="D1128" s="1" t="s">
        <v>35</v>
      </c>
      <c r="E1128" s="1" t="s">
        <v>39</v>
      </c>
      <c r="F1128" s="1" t="s">
        <v>25</v>
      </c>
      <c r="G1128" s="1" t="s">
        <v>20</v>
      </c>
      <c r="H1128" s="1">
        <v>4</v>
      </c>
      <c r="I1128" s="1">
        <v>497</v>
      </c>
      <c r="J1128" s="1">
        <v>899</v>
      </c>
      <c r="K1128" s="1">
        <v>15</v>
      </c>
      <c r="L1128" s="1">
        <f>ROUNDDOWN(formatted_data[[#This Row],[Selling_Price]]*formatted_data[[#This Row],[Discount_%]]/100,0)</f>
        <v>134</v>
      </c>
      <c r="M1128" s="1">
        <f>(formatted_data[[#This Row],[Selling_Price]]-formatted_data[[#This Row],[Discount_Amount]])*formatted_data[[#This Row],[Units]]</f>
        <v>3060</v>
      </c>
      <c r="N1128" s="1">
        <f>formatted_data[[#This Row],[Total_Revenue]]-(formatted_data[[#This Row],[Cost_Price]]*formatted_data[[#This Row],[Units]])</f>
        <v>1072</v>
      </c>
      <c r="O1128" s="1" t="s">
        <v>21</v>
      </c>
      <c r="P1128"/>
    </row>
    <row r="1129" spans="1:16" x14ac:dyDescent="0.35">
      <c r="A1129" s="1" t="s">
        <v>30</v>
      </c>
      <c r="B1129" s="1" t="s">
        <v>16</v>
      </c>
      <c r="C1129" s="2">
        <v>45613</v>
      </c>
      <c r="D1129" s="1" t="s">
        <v>17</v>
      </c>
      <c r="E1129" s="1" t="s">
        <v>48</v>
      </c>
      <c r="F1129" s="1" t="s">
        <v>19</v>
      </c>
      <c r="G1129" s="1" t="s">
        <v>20</v>
      </c>
      <c r="H1129" s="1">
        <v>1</v>
      </c>
      <c r="I1129" s="1">
        <v>175</v>
      </c>
      <c r="J1129" s="1">
        <v>299</v>
      </c>
      <c r="K1129" s="1">
        <v>0</v>
      </c>
      <c r="L1129" s="1">
        <f>ROUNDDOWN(formatted_data[[#This Row],[Selling_Price]]*formatted_data[[#This Row],[Discount_%]]/100,0)</f>
        <v>0</v>
      </c>
      <c r="M1129" s="1">
        <f>(formatted_data[[#This Row],[Selling_Price]]-formatted_data[[#This Row],[Discount_Amount]])*formatted_data[[#This Row],[Units]]</f>
        <v>299</v>
      </c>
      <c r="N1129" s="1">
        <f>formatted_data[[#This Row],[Total_Revenue]]-(formatted_data[[#This Row],[Cost_Price]]*formatted_data[[#This Row],[Units]])</f>
        <v>124</v>
      </c>
      <c r="O1129" s="1" t="s">
        <v>21</v>
      </c>
      <c r="P1129"/>
    </row>
    <row r="1130" spans="1:16" x14ac:dyDescent="0.35">
      <c r="A1130" s="1" t="s">
        <v>90</v>
      </c>
      <c r="B1130" s="1" t="s">
        <v>27</v>
      </c>
      <c r="C1130" s="2">
        <v>45473</v>
      </c>
      <c r="D1130" s="1" t="s">
        <v>28</v>
      </c>
      <c r="E1130" s="1" t="s">
        <v>29</v>
      </c>
      <c r="F1130" s="1" t="s">
        <v>19</v>
      </c>
      <c r="G1130" s="1" t="s">
        <v>19</v>
      </c>
      <c r="H1130" s="1">
        <v>5</v>
      </c>
      <c r="I1130" s="1">
        <v>544</v>
      </c>
      <c r="J1130" s="1">
        <v>799</v>
      </c>
      <c r="K1130" s="1">
        <v>15</v>
      </c>
      <c r="L1130" s="1">
        <f>ROUNDDOWN(formatted_data[[#This Row],[Selling_Price]]*formatted_data[[#This Row],[Discount_%]]/100,0)</f>
        <v>119</v>
      </c>
      <c r="M1130" s="1">
        <f>(formatted_data[[#This Row],[Selling_Price]]-formatted_data[[#This Row],[Discount_Amount]])*formatted_data[[#This Row],[Units]]</f>
        <v>3400</v>
      </c>
      <c r="N1130" s="1">
        <f>formatted_data[[#This Row],[Total_Revenue]]-(formatted_data[[#This Row],[Cost_Price]]*formatted_data[[#This Row],[Units]])</f>
        <v>680</v>
      </c>
      <c r="O1130" s="1" t="s">
        <v>21</v>
      </c>
      <c r="P1130"/>
    </row>
    <row r="1131" spans="1:16" x14ac:dyDescent="0.35">
      <c r="A1131" s="1" t="s">
        <v>73</v>
      </c>
      <c r="B1131" s="1" t="s">
        <v>16</v>
      </c>
      <c r="C1131" s="2">
        <v>45520</v>
      </c>
      <c r="D1131" s="1" t="s">
        <v>35</v>
      </c>
      <c r="E1131" s="1" t="s">
        <v>41</v>
      </c>
      <c r="F1131" s="1" t="s">
        <v>19</v>
      </c>
      <c r="G1131" s="1" t="s">
        <v>20</v>
      </c>
      <c r="H1131" s="1">
        <v>2</v>
      </c>
      <c r="I1131" s="1">
        <v>453</v>
      </c>
      <c r="J1131" s="1">
        <v>699</v>
      </c>
      <c r="K1131" s="1">
        <v>20</v>
      </c>
      <c r="L1131" s="1">
        <f>ROUNDDOWN(formatted_data[[#This Row],[Selling_Price]]*formatted_data[[#This Row],[Discount_%]]/100,0)</f>
        <v>139</v>
      </c>
      <c r="M1131" s="1">
        <f>(formatted_data[[#This Row],[Selling_Price]]-formatted_data[[#This Row],[Discount_Amount]])*formatted_data[[#This Row],[Units]]</f>
        <v>1120</v>
      </c>
      <c r="N1131" s="1">
        <f>formatted_data[[#This Row],[Total_Revenue]]-(formatted_data[[#This Row],[Cost_Price]]*formatted_data[[#This Row],[Units]])</f>
        <v>214</v>
      </c>
      <c r="O1131" s="1" t="s">
        <v>21</v>
      </c>
      <c r="P1131"/>
    </row>
    <row r="1132" spans="1:16" x14ac:dyDescent="0.35">
      <c r="A1132" s="1" t="s">
        <v>30</v>
      </c>
      <c r="B1132" s="1" t="s">
        <v>16</v>
      </c>
      <c r="C1132" s="2">
        <v>45462</v>
      </c>
      <c r="D1132" s="1" t="s">
        <v>28</v>
      </c>
      <c r="E1132" s="1" t="s">
        <v>45</v>
      </c>
      <c r="F1132" s="1" t="s">
        <v>19</v>
      </c>
      <c r="G1132" s="1" t="s">
        <v>19</v>
      </c>
      <c r="H1132" s="1">
        <v>4</v>
      </c>
      <c r="I1132" s="1">
        <v>430</v>
      </c>
      <c r="J1132" s="1">
        <v>699</v>
      </c>
      <c r="K1132" s="1">
        <v>5</v>
      </c>
      <c r="L1132" s="1">
        <f>ROUNDDOWN(formatted_data[[#This Row],[Selling_Price]]*formatted_data[[#This Row],[Discount_%]]/100,0)</f>
        <v>34</v>
      </c>
      <c r="M1132" s="1">
        <f>(formatted_data[[#This Row],[Selling_Price]]-formatted_data[[#This Row],[Discount_Amount]])*formatted_data[[#This Row],[Units]]</f>
        <v>2660</v>
      </c>
      <c r="N1132" s="1">
        <f>formatted_data[[#This Row],[Total_Revenue]]-(formatted_data[[#This Row],[Cost_Price]]*formatted_data[[#This Row],[Units]])</f>
        <v>940</v>
      </c>
      <c r="O1132" s="1" t="s">
        <v>21</v>
      </c>
      <c r="P1132"/>
    </row>
    <row r="1133" spans="1:16" x14ac:dyDescent="0.35">
      <c r="A1133" s="1" t="s">
        <v>82</v>
      </c>
      <c r="B1133" s="1" t="s">
        <v>27</v>
      </c>
      <c r="C1133" s="2">
        <v>45459</v>
      </c>
      <c r="D1133" s="1" t="s">
        <v>17</v>
      </c>
      <c r="E1133" s="1" t="s">
        <v>55</v>
      </c>
      <c r="F1133" s="1" t="s">
        <v>25</v>
      </c>
      <c r="G1133" s="1" t="s">
        <v>20</v>
      </c>
      <c r="H1133" s="1">
        <v>4</v>
      </c>
      <c r="I1133" s="1">
        <v>212</v>
      </c>
      <c r="J1133" s="1">
        <v>299</v>
      </c>
      <c r="K1133" s="1">
        <v>0</v>
      </c>
      <c r="L1133" s="1">
        <f>ROUNDDOWN(formatted_data[[#This Row],[Selling_Price]]*formatted_data[[#This Row],[Discount_%]]/100,0)</f>
        <v>0</v>
      </c>
      <c r="M1133" s="1">
        <f>(formatted_data[[#This Row],[Selling_Price]]-formatted_data[[#This Row],[Discount_Amount]])*formatted_data[[#This Row],[Units]]</f>
        <v>1196</v>
      </c>
      <c r="N1133" s="1">
        <f>formatted_data[[#This Row],[Total_Revenue]]-(formatted_data[[#This Row],[Cost_Price]]*formatted_data[[#This Row],[Units]])</f>
        <v>348</v>
      </c>
      <c r="O1133" s="1" t="s">
        <v>33</v>
      </c>
      <c r="P1133"/>
    </row>
    <row r="1134" spans="1:16" x14ac:dyDescent="0.35">
      <c r="A1134" s="1" t="s">
        <v>54</v>
      </c>
      <c r="B1134" s="1" t="s">
        <v>27</v>
      </c>
      <c r="C1134" s="2">
        <v>45507</v>
      </c>
      <c r="D1134" s="1" t="s">
        <v>35</v>
      </c>
      <c r="E1134" s="1" t="s">
        <v>58</v>
      </c>
      <c r="F1134" s="1" t="s">
        <v>37</v>
      </c>
      <c r="G1134" s="1" t="s">
        <v>20</v>
      </c>
      <c r="H1134" s="1">
        <v>2</v>
      </c>
      <c r="I1134" s="1">
        <v>1123</v>
      </c>
      <c r="J1134" s="1">
        <v>2199</v>
      </c>
      <c r="K1134" s="1">
        <v>5</v>
      </c>
      <c r="L1134" s="1">
        <f>ROUNDDOWN(formatted_data[[#This Row],[Selling_Price]]*formatted_data[[#This Row],[Discount_%]]/100,0)</f>
        <v>109</v>
      </c>
      <c r="M1134" s="1">
        <f>(formatted_data[[#This Row],[Selling_Price]]-formatted_data[[#This Row],[Discount_Amount]])*formatted_data[[#This Row],[Units]]</f>
        <v>4180</v>
      </c>
      <c r="N1134" s="1">
        <f>formatted_data[[#This Row],[Total_Revenue]]-(formatted_data[[#This Row],[Cost_Price]]*formatted_data[[#This Row],[Units]])</f>
        <v>1934</v>
      </c>
      <c r="O1134" s="1" t="s">
        <v>21</v>
      </c>
      <c r="P1134"/>
    </row>
    <row r="1135" spans="1:16" x14ac:dyDescent="0.35">
      <c r="A1135" s="1" t="s">
        <v>61</v>
      </c>
      <c r="B1135" s="1" t="s">
        <v>27</v>
      </c>
      <c r="C1135" s="2">
        <v>45583</v>
      </c>
      <c r="D1135" s="1" t="s">
        <v>28</v>
      </c>
      <c r="E1135" s="1" t="s">
        <v>29</v>
      </c>
      <c r="F1135" s="1" t="s">
        <v>19</v>
      </c>
      <c r="G1135" s="1" t="s">
        <v>20</v>
      </c>
      <c r="H1135" s="1">
        <v>2</v>
      </c>
      <c r="I1135" s="1">
        <v>271</v>
      </c>
      <c r="J1135" s="1">
        <v>499</v>
      </c>
      <c r="K1135" s="1">
        <v>20</v>
      </c>
      <c r="L1135" s="1">
        <f>ROUNDDOWN(formatted_data[[#This Row],[Selling_Price]]*formatted_data[[#This Row],[Discount_%]]/100,0)</f>
        <v>99</v>
      </c>
      <c r="M1135" s="1">
        <f>(formatted_data[[#This Row],[Selling_Price]]-formatted_data[[#This Row],[Discount_Amount]])*formatted_data[[#This Row],[Units]]</f>
        <v>800</v>
      </c>
      <c r="N1135" s="1">
        <f>formatted_data[[#This Row],[Total_Revenue]]-(formatted_data[[#This Row],[Cost_Price]]*formatted_data[[#This Row],[Units]])</f>
        <v>258</v>
      </c>
      <c r="O1135" s="1" t="s">
        <v>21</v>
      </c>
      <c r="P1135"/>
    </row>
    <row r="1136" spans="1:16" x14ac:dyDescent="0.35">
      <c r="A1136" s="1" t="s">
        <v>98</v>
      </c>
      <c r="B1136" s="1" t="s">
        <v>16</v>
      </c>
      <c r="C1136" s="2">
        <v>45524</v>
      </c>
      <c r="D1136" s="1" t="s">
        <v>17</v>
      </c>
      <c r="E1136" s="1" t="s">
        <v>72</v>
      </c>
      <c r="F1136" s="1" t="s">
        <v>19</v>
      </c>
      <c r="G1136" s="1" t="s">
        <v>19</v>
      </c>
      <c r="H1136" s="1">
        <v>1</v>
      </c>
      <c r="I1136" s="1">
        <v>272</v>
      </c>
      <c r="J1136" s="1">
        <v>399</v>
      </c>
      <c r="K1136" s="1">
        <v>0</v>
      </c>
      <c r="L1136" s="1">
        <f>ROUNDDOWN(formatted_data[[#This Row],[Selling_Price]]*formatted_data[[#This Row],[Discount_%]]/100,0)</f>
        <v>0</v>
      </c>
      <c r="M1136" s="1">
        <f>(formatted_data[[#This Row],[Selling_Price]]-formatted_data[[#This Row],[Discount_Amount]])*formatted_data[[#This Row],[Units]]</f>
        <v>399</v>
      </c>
      <c r="N1136" s="1">
        <f>formatted_data[[#This Row],[Total_Revenue]]-(formatted_data[[#This Row],[Cost_Price]]*formatted_data[[#This Row],[Units]])</f>
        <v>127</v>
      </c>
      <c r="O1136" s="1" t="s">
        <v>21</v>
      </c>
      <c r="P1136"/>
    </row>
    <row r="1137" spans="1:16" x14ac:dyDescent="0.35">
      <c r="A1137" s="1" t="s">
        <v>98</v>
      </c>
      <c r="B1137" s="1" t="s">
        <v>16</v>
      </c>
      <c r="C1137" s="2">
        <v>45479</v>
      </c>
      <c r="D1137" s="1" t="s">
        <v>23</v>
      </c>
      <c r="E1137" s="1" t="s">
        <v>24</v>
      </c>
      <c r="F1137" s="1" t="s">
        <v>25</v>
      </c>
      <c r="G1137" s="1" t="s">
        <v>20</v>
      </c>
      <c r="H1137" s="1">
        <v>5</v>
      </c>
      <c r="I1137" s="1">
        <v>1503</v>
      </c>
      <c r="J1137" s="1">
        <v>2199</v>
      </c>
      <c r="K1137" s="1">
        <v>5</v>
      </c>
      <c r="L1137" s="1">
        <f>ROUNDDOWN(formatted_data[[#This Row],[Selling_Price]]*formatted_data[[#This Row],[Discount_%]]/100,0)</f>
        <v>109</v>
      </c>
      <c r="M1137" s="1">
        <f>(formatted_data[[#This Row],[Selling_Price]]-formatted_data[[#This Row],[Discount_Amount]])*formatted_data[[#This Row],[Units]]</f>
        <v>10450</v>
      </c>
      <c r="N1137" s="1">
        <f>formatted_data[[#This Row],[Total_Revenue]]-(formatted_data[[#This Row],[Cost_Price]]*formatted_data[[#This Row],[Units]])</f>
        <v>2935</v>
      </c>
      <c r="O1137" s="1" t="s">
        <v>21</v>
      </c>
      <c r="P1137"/>
    </row>
    <row r="1138" spans="1:16" x14ac:dyDescent="0.35">
      <c r="A1138" s="1" t="s">
        <v>108</v>
      </c>
      <c r="B1138" s="1" t="s">
        <v>27</v>
      </c>
      <c r="C1138" s="2">
        <v>45598</v>
      </c>
      <c r="D1138" s="1" t="s">
        <v>23</v>
      </c>
      <c r="E1138" s="1" t="s">
        <v>43</v>
      </c>
      <c r="F1138" s="1" t="s">
        <v>37</v>
      </c>
      <c r="G1138" s="1" t="s">
        <v>19</v>
      </c>
      <c r="H1138" s="1">
        <v>1</v>
      </c>
      <c r="I1138" s="1">
        <v>1896</v>
      </c>
      <c r="J1138" s="1">
        <v>2699</v>
      </c>
      <c r="K1138" s="1">
        <v>5</v>
      </c>
      <c r="L1138" s="1">
        <f>ROUNDDOWN(formatted_data[[#This Row],[Selling_Price]]*formatted_data[[#This Row],[Discount_%]]/100,0)</f>
        <v>134</v>
      </c>
      <c r="M1138" s="1">
        <f>(formatted_data[[#This Row],[Selling_Price]]-formatted_data[[#This Row],[Discount_Amount]])*formatted_data[[#This Row],[Units]]</f>
        <v>2565</v>
      </c>
      <c r="N1138" s="1">
        <f>formatted_data[[#This Row],[Total_Revenue]]-(formatted_data[[#This Row],[Cost_Price]]*formatted_data[[#This Row],[Units]])</f>
        <v>669</v>
      </c>
      <c r="O1138" s="1" t="s">
        <v>21</v>
      </c>
      <c r="P1138"/>
    </row>
    <row r="1139" spans="1:16" x14ac:dyDescent="0.35">
      <c r="A1139" s="1" t="s">
        <v>61</v>
      </c>
      <c r="B1139" s="1" t="s">
        <v>27</v>
      </c>
      <c r="C1139" s="2">
        <v>45634</v>
      </c>
      <c r="D1139" s="1" t="s">
        <v>28</v>
      </c>
      <c r="E1139" s="1" t="s">
        <v>29</v>
      </c>
      <c r="F1139" s="1" t="s">
        <v>19</v>
      </c>
      <c r="G1139" s="1" t="s">
        <v>20</v>
      </c>
      <c r="H1139" s="1">
        <v>1</v>
      </c>
      <c r="I1139" s="1">
        <v>429</v>
      </c>
      <c r="J1139" s="1">
        <v>799</v>
      </c>
      <c r="K1139" s="1">
        <v>15</v>
      </c>
      <c r="L1139" s="1">
        <f>ROUNDDOWN(formatted_data[[#This Row],[Selling_Price]]*formatted_data[[#This Row],[Discount_%]]/100,0)</f>
        <v>119</v>
      </c>
      <c r="M1139" s="1">
        <f>(formatted_data[[#This Row],[Selling_Price]]-formatted_data[[#This Row],[Discount_Amount]])*formatted_data[[#This Row],[Units]]</f>
        <v>680</v>
      </c>
      <c r="N1139" s="1">
        <f>formatted_data[[#This Row],[Total_Revenue]]-(formatted_data[[#This Row],[Cost_Price]]*formatted_data[[#This Row],[Units]])</f>
        <v>251</v>
      </c>
      <c r="O1139" s="1" t="s">
        <v>33</v>
      </c>
      <c r="P1139"/>
    </row>
    <row r="1140" spans="1:16" x14ac:dyDescent="0.35">
      <c r="A1140" s="1" t="s">
        <v>105</v>
      </c>
      <c r="B1140" s="1" t="s">
        <v>16</v>
      </c>
      <c r="C1140" s="2">
        <v>45536</v>
      </c>
      <c r="D1140" s="1" t="s">
        <v>31</v>
      </c>
      <c r="E1140" s="1" t="s">
        <v>32</v>
      </c>
      <c r="F1140" s="1" t="s">
        <v>37</v>
      </c>
      <c r="G1140" s="1" t="s">
        <v>19</v>
      </c>
      <c r="H1140" s="1">
        <v>4</v>
      </c>
      <c r="I1140" s="1">
        <v>518</v>
      </c>
      <c r="J1140" s="1">
        <v>999</v>
      </c>
      <c r="K1140" s="1">
        <v>0</v>
      </c>
      <c r="L1140" s="1">
        <f>ROUNDDOWN(formatted_data[[#This Row],[Selling_Price]]*formatted_data[[#This Row],[Discount_%]]/100,0)</f>
        <v>0</v>
      </c>
      <c r="M1140" s="1">
        <f>(formatted_data[[#This Row],[Selling_Price]]-formatted_data[[#This Row],[Discount_Amount]])*formatted_data[[#This Row],[Units]]</f>
        <v>3996</v>
      </c>
      <c r="N1140" s="1">
        <f>formatted_data[[#This Row],[Total_Revenue]]-(formatted_data[[#This Row],[Cost_Price]]*formatted_data[[#This Row],[Units]])</f>
        <v>1924</v>
      </c>
      <c r="O1140" s="1" t="s">
        <v>33</v>
      </c>
      <c r="P1140"/>
    </row>
    <row r="1141" spans="1:16" x14ac:dyDescent="0.35">
      <c r="A1141" s="1" t="s">
        <v>104</v>
      </c>
      <c r="B1141" s="1" t="s">
        <v>27</v>
      </c>
      <c r="C1141" s="2">
        <v>45539</v>
      </c>
      <c r="D1141" s="1" t="s">
        <v>28</v>
      </c>
      <c r="E1141" s="1" t="s">
        <v>29</v>
      </c>
      <c r="F1141" s="1" t="s">
        <v>25</v>
      </c>
      <c r="G1141" s="1" t="s">
        <v>19</v>
      </c>
      <c r="H1141" s="1">
        <v>2</v>
      </c>
      <c r="I1141" s="1">
        <v>588</v>
      </c>
      <c r="J1141" s="1">
        <v>799</v>
      </c>
      <c r="K1141" s="1">
        <v>20</v>
      </c>
      <c r="L1141" s="1">
        <f>ROUNDDOWN(formatted_data[[#This Row],[Selling_Price]]*formatted_data[[#This Row],[Discount_%]]/100,0)</f>
        <v>159</v>
      </c>
      <c r="M1141" s="1">
        <f>(formatted_data[[#This Row],[Selling_Price]]-formatted_data[[#This Row],[Discount_Amount]])*formatted_data[[#This Row],[Units]]</f>
        <v>1280</v>
      </c>
      <c r="N1141" s="1">
        <f>formatted_data[[#This Row],[Total_Revenue]]-(formatted_data[[#This Row],[Cost_Price]]*formatted_data[[#This Row],[Units]])</f>
        <v>104</v>
      </c>
      <c r="O1141" s="1" t="s">
        <v>33</v>
      </c>
      <c r="P1141"/>
    </row>
    <row r="1142" spans="1:16" x14ac:dyDescent="0.35">
      <c r="A1142" s="1" t="s">
        <v>67</v>
      </c>
      <c r="B1142" s="1" t="s">
        <v>27</v>
      </c>
      <c r="C1142" s="2">
        <v>45480</v>
      </c>
      <c r="D1142" s="1" t="s">
        <v>31</v>
      </c>
      <c r="E1142" s="1" t="s">
        <v>32</v>
      </c>
      <c r="F1142" s="1" t="s">
        <v>25</v>
      </c>
      <c r="G1142" s="1" t="s">
        <v>20</v>
      </c>
      <c r="H1142" s="1">
        <v>1</v>
      </c>
      <c r="I1142" s="1">
        <v>640</v>
      </c>
      <c r="J1142" s="1">
        <v>899</v>
      </c>
      <c r="K1142" s="1">
        <v>0</v>
      </c>
      <c r="L1142" s="1">
        <f>ROUNDDOWN(formatted_data[[#This Row],[Selling_Price]]*formatted_data[[#This Row],[Discount_%]]/100,0)</f>
        <v>0</v>
      </c>
      <c r="M1142" s="1">
        <f>(formatted_data[[#This Row],[Selling_Price]]-formatted_data[[#This Row],[Discount_Amount]])*formatted_data[[#This Row],[Units]]</f>
        <v>899</v>
      </c>
      <c r="N1142" s="1">
        <f>formatted_data[[#This Row],[Total_Revenue]]-(formatted_data[[#This Row],[Cost_Price]]*formatted_data[[#This Row],[Units]])</f>
        <v>259</v>
      </c>
      <c r="O1142" s="1" t="s">
        <v>21</v>
      </c>
      <c r="P1142"/>
    </row>
    <row r="1143" spans="1:16" x14ac:dyDescent="0.35">
      <c r="A1143" s="1" t="s">
        <v>104</v>
      </c>
      <c r="B1143" s="1" t="s">
        <v>27</v>
      </c>
      <c r="C1143" s="2">
        <v>45647</v>
      </c>
      <c r="D1143" s="1" t="s">
        <v>35</v>
      </c>
      <c r="E1143" s="1" t="s">
        <v>36</v>
      </c>
      <c r="F1143" s="1" t="s">
        <v>25</v>
      </c>
      <c r="G1143" s="1" t="s">
        <v>19</v>
      </c>
      <c r="H1143" s="1">
        <v>1</v>
      </c>
      <c r="I1143" s="1">
        <v>246</v>
      </c>
      <c r="J1143" s="1">
        <v>399</v>
      </c>
      <c r="K1143" s="1">
        <v>20</v>
      </c>
      <c r="L1143" s="1">
        <f>ROUNDDOWN(formatted_data[[#This Row],[Selling_Price]]*formatted_data[[#This Row],[Discount_%]]/100,0)</f>
        <v>79</v>
      </c>
      <c r="M1143" s="1">
        <f>(formatted_data[[#This Row],[Selling_Price]]-formatted_data[[#This Row],[Discount_Amount]])*formatted_data[[#This Row],[Units]]</f>
        <v>320</v>
      </c>
      <c r="N1143" s="1">
        <f>formatted_data[[#This Row],[Total_Revenue]]-(formatted_data[[#This Row],[Cost_Price]]*formatted_data[[#This Row],[Units]])</f>
        <v>74</v>
      </c>
      <c r="O1143" s="1" t="s">
        <v>21</v>
      </c>
      <c r="P1143"/>
    </row>
    <row r="1144" spans="1:16" x14ac:dyDescent="0.35">
      <c r="A1144" s="1" t="s">
        <v>66</v>
      </c>
      <c r="B1144" s="1" t="s">
        <v>27</v>
      </c>
      <c r="C1144" s="2">
        <v>45599</v>
      </c>
      <c r="D1144" s="1" t="s">
        <v>23</v>
      </c>
      <c r="E1144" s="1" t="s">
        <v>43</v>
      </c>
      <c r="F1144" s="1" t="s">
        <v>25</v>
      </c>
      <c r="G1144" s="1" t="s">
        <v>20</v>
      </c>
      <c r="H1144" s="1">
        <v>5</v>
      </c>
      <c r="I1144" s="1">
        <v>1740</v>
      </c>
      <c r="J1144" s="1">
        <v>2799</v>
      </c>
      <c r="K1144" s="1">
        <v>10</v>
      </c>
      <c r="L1144" s="1">
        <f>ROUNDDOWN(formatted_data[[#This Row],[Selling_Price]]*formatted_data[[#This Row],[Discount_%]]/100,0)</f>
        <v>279</v>
      </c>
      <c r="M1144" s="1">
        <f>(formatted_data[[#This Row],[Selling_Price]]-formatted_data[[#This Row],[Discount_Amount]])*formatted_data[[#This Row],[Units]]</f>
        <v>12600</v>
      </c>
      <c r="N1144" s="1">
        <f>formatted_data[[#This Row],[Total_Revenue]]-(formatted_data[[#This Row],[Cost_Price]]*formatted_data[[#This Row],[Units]])</f>
        <v>3900</v>
      </c>
      <c r="O1144" s="1" t="s">
        <v>21</v>
      </c>
      <c r="P1144"/>
    </row>
    <row r="1145" spans="1:16" x14ac:dyDescent="0.35">
      <c r="A1145" s="1" t="s">
        <v>104</v>
      </c>
      <c r="B1145" s="1" t="s">
        <v>27</v>
      </c>
      <c r="C1145" s="2">
        <v>45589</v>
      </c>
      <c r="D1145" s="1" t="s">
        <v>28</v>
      </c>
      <c r="E1145" s="1" t="s">
        <v>45</v>
      </c>
      <c r="F1145" s="1" t="s">
        <v>19</v>
      </c>
      <c r="G1145" s="1" t="s">
        <v>19</v>
      </c>
      <c r="H1145" s="1">
        <v>4</v>
      </c>
      <c r="I1145" s="1">
        <v>446</v>
      </c>
      <c r="J1145" s="1">
        <v>799</v>
      </c>
      <c r="K1145" s="1">
        <v>15</v>
      </c>
      <c r="L1145" s="1">
        <f>ROUNDDOWN(formatted_data[[#This Row],[Selling_Price]]*formatted_data[[#This Row],[Discount_%]]/100,0)</f>
        <v>119</v>
      </c>
      <c r="M1145" s="1">
        <f>(formatted_data[[#This Row],[Selling_Price]]-formatted_data[[#This Row],[Discount_Amount]])*formatted_data[[#This Row],[Units]]</f>
        <v>2720</v>
      </c>
      <c r="N1145" s="1">
        <f>formatted_data[[#This Row],[Total_Revenue]]-(formatted_data[[#This Row],[Cost_Price]]*formatted_data[[#This Row],[Units]])</f>
        <v>936</v>
      </c>
      <c r="O1145" s="1" t="s">
        <v>21</v>
      </c>
      <c r="P1145"/>
    </row>
    <row r="1146" spans="1:16" x14ac:dyDescent="0.35">
      <c r="A1146" s="1" t="s">
        <v>80</v>
      </c>
      <c r="B1146" s="1" t="s">
        <v>27</v>
      </c>
      <c r="C1146" s="2">
        <v>45640</v>
      </c>
      <c r="D1146" s="1" t="s">
        <v>17</v>
      </c>
      <c r="E1146" s="1" t="s">
        <v>72</v>
      </c>
      <c r="F1146" s="1" t="s">
        <v>25</v>
      </c>
      <c r="G1146" s="1" t="s">
        <v>20</v>
      </c>
      <c r="H1146" s="1">
        <v>1</v>
      </c>
      <c r="I1146" s="1">
        <v>208</v>
      </c>
      <c r="J1146" s="1">
        <v>399</v>
      </c>
      <c r="K1146" s="1">
        <v>0</v>
      </c>
      <c r="L1146" s="1">
        <f>ROUNDDOWN(formatted_data[[#This Row],[Selling_Price]]*formatted_data[[#This Row],[Discount_%]]/100,0)</f>
        <v>0</v>
      </c>
      <c r="M1146" s="1">
        <f>(formatted_data[[#This Row],[Selling_Price]]-formatted_data[[#This Row],[Discount_Amount]])*formatted_data[[#This Row],[Units]]</f>
        <v>399</v>
      </c>
      <c r="N1146" s="1">
        <f>formatted_data[[#This Row],[Total_Revenue]]-(formatted_data[[#This Row],[Cost_Price]]*formatted_data[[#This Row],[Units]])</f>
        <v>191</v>
      </c>
      <c r="O1146" s="1" t="s">
        <v>33</v>
      </c>
      <c r="P1146"/>
    </row>
    <row r="1147" spans="1:16" x14ac:dyDescent="0.35">
      <c r="A1147" s="1" t="s">
        <v>68</v>
      </c>
      <c r="B1147" s="1" t="s">
        <v>16</v>
      </c>
      <c r="C1147" s="2">
        <v>45652</v>
      </c>
      <c r="D1147" s="1" t="s">
        <v>35</v>
      </c>
      <c r="E1147" s="1" t="s">
        <v>58</v>
      </c>
      <c r="F1147" s="1" t="s">
        <v>19</v>
      </c>
      <c r="G1147" s="1" t="s">
        <v>19</v>
      </c>
      <c r="H1147" s="1">
        <v>1</v>
      </c>
      <c r="I1147" s="1">
        <v>1134</v>
      </c>
      <c r="J1147" s="1">
        <v>2199</v>
      </c>
      <c r="K1147" s="1">
        <v>5</v>
      </c>
      <c r="L1147" s="1">
        <f>ROUNDDOWN(formatted_data[[#This Row],[Selling_Price]]*formatted_data[[#This Row],[Discount_%]]/100,0)</f>
        <v>109</v>
      </c>
      <c r="M1147" s="1">
        <f>(formatted_data[[#This Row],[Selling_Price]]-formatted_data[[#This Row],[Discount_Amount]])*formatted_data[[#This Row],[Units]]</f>
        <v>2090</v>
      </c>
      <c r="N1147" s="1">
        <f>formatted_data[[#This Row],[Total_Revenue]]-(formatted_data[[#This Row],[Cost_Price]]*formatted_data[[#This Row],[Units]])</f>
        <v>956</v>
      </c>
      <c r="O1147" s="1" t="s">
        <v>33</v>
      </c>
      <c r="P1147"/>
    </row>
    <row r="1148" spans="1:16" x14ac:dyDescent="0.35">
      <c r="A1148" s="1" t="s">
        <v>57</v>
      </c>
      <c r="B1148" s="1" t="s">
        <v>27</v>
      </c>
      <c r="C1148" s="2">
        <v>45648</v>
      </c>
      <c r="D1148" s="1" t="s">
        <v>35</v>
      </c>
      <c r="E1148" s="1" t="s">
        <v>39</v>
      </c>
      <c r="F1148" s="1" t="s">
        <v>37</v>
      </c>
      <c r="G1148" s="1" t="s">
        <v>20</v>
      </c>
      <c r="H1148" s="1">
        <v>1</v>
      </c>
      <c r="I1148" s="1">
        <v>650</v>
      </c>
      <c r="J1148" s="1">
        <v>899</v>
      </c>
      <c r="K1148" s="1">
        <v>15</v>
      </c>
      <c r="L1148" s="1">
        <f>ROUNDDOWN(formatted_data[[#This Row],[Selling_Price]]*formatted_data[[#This Row],[Discount_%]]/100,0)</f>
        <v>134</v>
      </c>
      <c r="M1148" s="1">
        <f>(formatted_data[[#This Row],[Selling_Price]]-formatted_data[[#This Row],[Discount_Amount]])*formatted_data[[#This Row],[Units]]</f>
        <v>765</v>
      </c>
      <c r="N1148" s="1">
        <f>formatted_data[[#This Row],[Total_Revenue]]-(formatted_data[[#This Row],[Cost_Price]]*formatted_data[[#This Row],[Units]])</f>
        <v>115</v>
      </c>
      <c r="O1148" s="1" t="s">
        <v>21</v>
      </c>
      <c r="P1148"/>
    </row>
    <row r="1149" spans="1:16" x14ac:dyDescent="0.35">
      <c r="A1149" s="1" t="s">
        <v>77</v>
      </c>
      <c r="B1149" s="1" t="s">
        <v>27</v>
      </c>
      <c r="C1149" s="2">
        <v>45486</v>
      </c>
      <c r="D1149" s="1" t="s">
        <v>28</v>
      </c>
      <c r="E1149" s="1" t="s">
        <v>45</v>
      </c>
      <c r="F1149" s="1" t="s">
        <v>25</v>
      </c>
      <c r="G1149" s="1" t="s">
        <v>19</v>
      </c>
      <c r="H1149" s="1">
        <v>2</v>
      </c>
      <c r="I1149" s="1">
        <v>1412</v>
      </c>
      <c r="J1149" s="1">
        <v>1999</v>
      </c>
      <c r="K1149" s="1">
        <v>10</v>
      </c>
      <c r="L1149" s="1">
        <f>ROUNDDOWN(formatted_data[[#This Row],[Selling_Price]]*formatted_data[[#This Row],[Discount_%]]/100,0)</f>
        <v>199</v>
      </c>
      <c r="M1149" s="1">
        <f>(formatted_data[[#This Row],[Selling_Price]]-formatted_data[[#This Row],[Discount_Amount]])*formatted_data[[#This Row],[Units]]</f>
        <v>3600</v>
      </c>
      <c r="N1149" s="1">
        <f>formatted_data[[#This Row],[Total_Revenue]]-(formatted_data[[#This Row],[Cost_Price]]*formatted_data[[#This Row],[Units]])</f>
        <v>776</v>
      </c>
      <c r="O1149" s="1" t="s">
        <v>21</v>
      </c>
      <c r="P1149"/>
    </row>
    <row r="1150" spans="1:16" x14ac:dyDescent="0.35">
      <c r="A1150" s="1" t="s">
        <v>92</v>
      </c>
      <c r="B1150" s="1" t="s">
        <v>27</v>
      </c>
      <c r="C1150" s="2">
        <v>45628</v>
      </c>
      <c r="D1150" s="1" t="s">
        <v>31</v>
      </c>
      <c r="E1150" s="1" t="s">
        <v>76</v>
      </c>
      <c r="F1150" s="1" t="s">
        <v>25</v>
      </c>
      <c r="G1150" s="1" t="s">
        <v>20</v>
      </c>
      <c r="H1150" s="1">
        <v>1</v>
      </c>
      <c r="I1150" s="1">
        <v>395</v>
      </c>
      <c r="J1150" s="1">
        <v>699</v>
      </c>
      <c r="K1150" s="1">
        <v>0</v>
      </c>
      <c r="L1150" s="1">
        <f>ROUNDDOWN(formatted_data[[#This Row],[Selling_Price]]*formatted_data[[#This Row],[Discount_%]]/100,0)</f>
        <v>0</v>
      </c>
      <c r="M1150" s="1">
        <f>(formatted_data[[#This Row],[Selling_Price]]-formatted_data[[#This Row],[Discount_Amount]])*formatted_data[[#This Row],[Units]]</f>
        <v>699</v>
      </c>
      <c r="N1150" s="1">
        <f>formatted_data[[#This Row],[Total_Revenue]]-(formatted_data[[#This Row],[Cost_Price]]*formatted_data[[#This Row],[Units]])</f>
        <v>304</v>
      </c>
      <c r="O1150" s="1" t="s">
        <v>21</v>
      </c>
      <c r="P1150"/>
    </row>
    <row r="1151" spans="1:16" x14ac:dyDescent="0.35">
      <c r="A1151" s="1" t="s">
        <v>63</v>
      </c>
      <c r="B1151" s="1" t="s">
        <v>27</v>
      </c>
      <c r="C1151" s="2">
        <v>45604</v>
      </c>
      <c r="D1151" s="1" t="s">
        <v>31</v>
      </c>
      <c r="E1151" s="1" t="s">
        <v>76</v>
      </c>
      <c r="F1151" s="1" t="s">
        <v>25</v>
      </c>
      <c r="G1151" s="1" t="s">
        <v>19</v>
      </c>
      <c r="H1151" s="1">
        <v>1</v>
      </c>
      <c r="I1151" s="1">
        <v>688</v>
      </c>
      <c r="J1151" s="1">
        <v>999</v>
      </c>
      <c r="K1151" s="1">
        <v>0</v>
      </c>
      <c r="L1151" s="1">
        <f>ROUNDDOWN(formatted_data[[#This Row],[Selling_Price]]*formatted_data[[#This Row],[Discount_%]]/100,0)</f>
        <v>0</v>
      </c>
      <c r="M1151" s="1">
        <f>(formatted_data[[#This Row],[Selling_Price]]-formatted_data[[#This Row],[Discount_Amount]])*formatted_data[[#This Row],[Units]]</f>
        <v>999</v>
      </c>
      <c r="N1151" s="1">
        <f>formatted_data[[#This Row],[Total_Revenue]]-(formatted_data[[#This Row],[Cost_Price]]*formatted_data[[#This Row],[Units]])</f>
        <v>311</v>
      </c>
      <c r="O1151" s="1" t="s">
        <v>21</v>
      </c>
      <c r="P1151"/>
    </row>
    <row r="1152" spans="1:16" x14ac:dyDescent="0.35">
      <c r="A1152" s="1" t="s">
        <v>54</v>
      </c>
      <c r="B1152" s="1" t="s">
        <v>27</v>
      </c>
      <c r="C1152" s="2">
        <v>45583</v>
      </c>
      <c r="D1152" s="1" t="s">
        <v>17</v>
      </c>
      <c r="E1152" s="1" t="s">
        <v>72</v>
      </c>
      <c r="F1152" s="1" t="s">
        <v>19</v>
      </c>
      <c r="G1152" s="1" t="s">
        <v>20</v>
      </c>
      <c r="H1152" s="1">
        <v>1</v>
      </c>
      <c r="I1152" s="1">
        <v>258</v>
      </c>
      <c r="J1152" s="1">
        <v>499</v>
      </c>
      <c r="K1152" s="1">
        <v>0</v>
      </c>
      <c r="L1152" s="1">
        <f>ROUNDDOWN(formatted_data[[#This Row],[Selling_Price]]*formatted_data[[#This Row],[Discount_%]]/100,0)</f>
        <v>0</v>
      </c>
      <c r="M1152" s="1">
        <f>(formatted_data[[#This Row],[Selling_Price]]-formatted_data[[#This Row],[Discount_Amount]])*formatted_data[[#This Row],[Units]]</f>
        <v>499</v>
      </c>
      <c r="N1152" s="1">
        <f>formatted_data[[#This Row],[Total_Revenue]]-(formatted_data[[#This Row],[Cost_Price]]*formatted_data[[#This Row],[Units]])</f>
        <v>241</v>
      </c>
      <c r="O1152" s="1" t="s">
        <v>33</v>
      </c>
      <c r="P1152"/>
    </row>
    <row r="1153" spans="1:16" x14ac:dyDescent="0.35">
      <c r="A1153" s="1" t="s">
        <v>69</v>
      </c>
      <c r="B1153" s="1" t="s">
        <v>16</v>
      </c>
      <c r="C1153" s="2">
        <v>45444</v>
      </c>
      <c r="D1153" s="1" t="s">
        <v>17</v>
      </c>
      <c r="E1153" s="1" t="s">
        <v>18</v>
      </c>
      <c r="F1153" s="1" t="s">
        <v>19</v>
      </c>
      <c r="G1153" s="1" t="s">
        <v>19</v>
      </c>
      <c r="H1153" s="1">
        <v>1</v>
      </c>
      <c r="I1153" s="1">
        <v>418</v>
      </c>
      <c r="J1153" s="1">
        <v>599</v>
      </c>
      <c r="K1153" s="1">
        <v>0</v>
      </c>
      <c r="L1153" s="1">
        <f>ROUNDDOWN(formatted_data[[#This Row],[Selling_Price]]*formatted_data[[#This Row],[Discount_%]]/100,0)</f>
        <v>0</v>
      </c>
      <c r="M1153" s="1">
        <f>(formatted_data[[#This Row],[Selling_Price]]-formatted_data[[#This Row],[Discount_Amount]])*formatted_data[[#This Row],[Units]]</f>
        <v>599</v>
      </c>
      <c r="N1153" s="1">
        <f>formatted_data[[#This Row],[Total_Revenue]]-(formatted_data[[#This Row],[Cost_Price]]*formatted_data[[#This Row],[Units]])</f>
        <v>181</v>
      </c>
      <c r="O1153" s="1" t="s">
        <v>33</v>
      </c>
      <c r="P1153"/>
    </row>
    <row r="1154" spans="1:16" x14ac:dyDescent="0.35">
      <c r="A1154" s="1" t="s">
        <v>70</v>
      </c>
      <c r="B1154" s="1" t="s">
        <v>27</v>
      </c>
      <c r="C1154" s="2">
        <v>45550</v>
      </c>
      <c r="D1154" s="1" t="s">
        <v>35</v>
      </c>
      <c r="E1154" s="1" t="s">
        <v>50</v>
      </c>
      <c r="F1154" s="1" t="s">
        <v>19</v>
      </c>
      <c r="G1154" s="1" t="s">
        <v>20</v>
      </c>
      <c r="H1154" s="1">
        <v>1</v>
      </c>
      <c r="I1154" s="1">
        <v>559</v>
      </c>
      <c r="J1154" s="1">
        <v>899</v>
      </c>
      <c r="K1154" s="1">
        <v>10</v>
      </c>
      <c r="L1154" s="1">
        <f>ROUNDDOWN(formatted_data[[#This Row],[Selling_Price]]*formatted_data[[#This Row],[Discount_%]]/100,0)</f>
        <v>89</v>
      </c>
      <c r="M1154" s="1">
        <f>(formatted_data[[#This Row],[Selling_Price]]-formatted_data[[#This Row],[Discount_Amount]])*formatted_data[[#This Row],[Units]]</f>
        <v>810</v>
      </c>
      <c r="N1154" s="1">
        <f>formatted_data[[#This Row],[Total_Revenue]]-(formatted_data[[#This Row],[Cost_Price]]*formatted_data[[#This Row],[Units]])</f>
        <v>251</v>
      </c>
      <c r="O1154" s="1" t="s">
        <v>33</v>
      </c>
      <c r="P1154"/>
    </row>
    <row r="1155" spans="1:16" x14ac:dyDescent="0.35">
      <c r="A1155" s="1" t="s">
        <v>79</v>
      </c>
      <c r="B1155" s="1" t="s">
        <v>16</v>
      </c>
      <c r="C1155" s="2">
        <v>45447</v>
      </c>
      <c r="D1155" s="1" t="s">
        <v>35</v>
      </c>
      <c r="E1155" s="1" t="s">
        <v>41</v>
      </c>
      <c r="F1155" s="1" t="s">
        <v>37</v>
      </c>
      <c r="G1155" s="1" t="s">
        <v>19</v>
      </c>
      <c r="H1155" s="1">
        <v>4</v>
      </c>
      <c r="I1155" s="1">
        <v>642</v>
      </c>
      <c r="J1155" s="1">
        <v>899</v>
      </c>
      <c r="K1155" s="1">
        <v>5</v>
      </c>
      <c r="L1155" s="1">
        <f>ROUNDDOWN(formatted_data[[#This Row],[Selling_Price]]*formatted_data[[#This Row],[Discount_%]]/100,0)</f>
        <v>44</v>
      </c>
      <c r="M1155" s="1">
        <f>(formatted_data[[#This Row],[Selling_Price]]-formatted_data[[#This Row],[Discount_Amount]])*formatted_data[[#This Row],[Units]]</f>
        <v>3420</v>
      </c>
      <c r="N1155" s="1">
        <f>formatted_data[[#This Row],[Total_Revenue]]-(formatted_data[[#This Row],[Cost_Price]]*formatted_data[[#This Row],[Units]])</f>
        <v>852</v>
      </c>
      <c r="O1155" s="1" t="s">
        <v>21</v>
      </c>
      <c r="P1155"/>
    </row>
    <row r="1156" spans="1:16" x14ac:dyDescent="0.35">
      <c r="A1156" s="1" t="s">
        <v>34</v>
      </c>
      <c r="B1156" s="1" t="s">
        <v>27</v>
      </c>
      <c r="C1156" s="2">
        <v>45447</v>
      </c>
      <c r="D1156" s="1" t="s">
        <v>35</v>
      </c>
      <c r="E1156" s="1" t="s">
        <v>100</v>
      </c>
      <c r="F1156" s="1" t="s">
        <v>37</v>
      </c>
      <c r="G1156" s="1" t="s">
        <v>19</v>
      </c>
      <c r="H1156" s="1">
        <v>1</v>
      </c>
      <c r="I1156" s="1">
        <v>1333</v>
      </c>
      <c r="J1156" s="1">
        <v>1799</v>
      </c>
      <c r="K1156" s="1">
        <v>15</v>
      </c>
      <c r="L1156" s="1">
        <f>ROUNDDOWN(formatted_data[[#This Row],[Selling_Price]]*formatted_data[[#This Row],[Discount_%]]/100,0)</f>
        <v>269</v>
      </c>
      <c r="M1156" s="1">
        <f>(formatted_data[[#This Row],[Selling_Price]]-formatted_data[[#This Row],[Discount_Amount]])*formatted_data[[#This Row],[Units]]</f>
        <v>1530</v>
      </c>
      <c r="N1156" s="1">
        <f>formatted_data[[#This Row],[Total_Revenue]]-(formatted_data[[#This Row],[Cost_Price]]*formatted_data[[#This Row],[Units]])</f>
        <v>197</v>
      </c>
      <c r="O1156" s="1" t="s">
        <v>33</v>
      </c>
      <c r="P1156"/>
    </row>
    <row r="1157" spans="1:16" x14ac:dyDescent="0.35">
      <c r="A1157" s="1" t="s">
        <v>75</v>
      </c>
      <c r="B1157" s="1" t="s">
        <v>27</v>
      </c>
      <c r="C1157" s="2">
        <v>45620</v>
      </c>
      <c r="D1157" s="1" t="s">
        <v>28</v>
      </c>
      <c r="E1157" s="1" t="s">
        <v>45</v>
      </c>
      <c r="F1157" s="1" t="s">
        <v>25</v>
      </c>
      <c r="G1157" s="1" t="s">
        <v>20</v>
      </c>
      <c r="H1157" s="1">
        <v>1</v>
      </c>
      <c r="I1157" s="1">
        <v>719</v>
      </c>
      <c r="J1157" s="1">
        <v>1299</v>
      </c>
      <c r="K1157" s="1">
        <v>20</v>
      </c>
      <c r="L1157" s="1">
        <f>ROUNDDOWN(formatted_data[[#This Row],[Selling_Price]]*formatted_data[[#This Row],[Discount_%]]/100,0)</f>
        <v>259</v>
      </c>
      <c r="M1157" s="1">
        <f>(formatted_data[[#This Row],[Selling_Price]]-formatted_data[[#This Row],[Discount_Amount]])*formatted_data[[#This Row],[Units]]</f>
        <v>1040</v>
      </c>
      <c r="N1157" s="1">
        <f>formatted_data[[#This Row],[Total_Revenue]]-(formatted_data[[#This Row],[Cost_Price]]*formatted_data[[#This Row],[Units]])</f>
        <v>321</v>
      </c>
      <c r="O1157" s="1" t="s">
        <v>33</v>
      </c>
      <c r="P1157"/>
    </row>
    <row r="1158" spans="1:16" x14ac:dyDescent="0.35">
      <c r="A1158" s="1" t="s">
        <v>96</v>
      </c>
      <c r="B1158" s="1" t="s">
        <v>16</v>
      </c>
      <c r="C1158" s="2">
        <v>45645</v>
      </c>
      <c r="D1158" s="1" t="s">
        <v>31</v>
      </c>
      <c r="E1158" s="1" t="s">
        <v>32</v>
      </c>
      <c r="F1158" s="1" t="s">
        <v>37</v>
      </c>
      <c r="G1158" s="1" t="s">
        <v>20</v>
      </c>
      <c r="H1158" s="1">
        <v>1</v>
      </c>
      <c r="I1158" s="1">
        <v>699</v>
      </c>
      <c r="J1158" s="1">
        <v>1199</v>
      </c>
      <c r="K1158" s="1">
        <v>0</v>
      </c>
      <c r="L1158" s="1">
        <f>ROUNDDOWN(formatted_data[[#This Row],[Selling_Price]]*formatted_data[[#This Row],[Discount_%]]/100,0)</f>
        <v>0</v>
      </c>
      <c r="M1158" s="1">
        <f>(formatted_data[[#This Row],[Selling_Price]]-formatted_data[[#This Row],[Discount_Amount]])*formatted_data[[#This Row],[Units]]</f>
        <v>1199</v>
      </c>
      <c r="N1158" s="1">
        <f>formatted_data[[#This Row],[Total_Revenue]]-(formatted_data[[#This Row],[Cost_Price]]*formatted_data[[#This Row],[Units]])</f>
        <v>500</v>
      </c>
      <c r="O1158" s="1" t="s">
        <v>33</v>
      </c>
      <c r="P1158"/>
    </row>
    <row r="1159" spans="1:16" x14ac:dyDescent="0.35">
      <c r="A1159" s="1" t="s">
        <v>42</v>
      </c>
      <c r="B1159" s="1" t="s">
        <v>27</v>
      </c>
      <c r="C1159" s="2">
        <v>45473</v>
      </c>
      <c r="D1159" s="1" t="s">
        <v>31</v>
      </c>
      <c r="E1159" s="1" t="s">
        <v>32</v>
      </c>
      <c r="F1159" s="1" t="s">
        <v>37</v>
      </c>
      <c r="G1159" s="1" t="s">
        <v>19</v>
      </c>
      <c r="H1159" s="1">
        <v>1</v>
      </c>
      <c r="I1159" s="1">
        <v>774</v>
      </c>
      <c r="J1159" s="1">
        <v>1199</v>
      </c>
      <c r="K1159" s="1">
        <v>0</v>
      </c>
      <c r="L1159" s="1">
        <f>ROUNDDOWN(formatted_data[[#This Row],[Selling_Price]]*formatted_data[[#This Row],[Discount_%]]/100,0)</f>
        <v>0</v>
      </c>
      <c r="M1159" s="1">
        <f>(formatted_data[[#This Row],[Selling_Price]]-formatted_data[[#This Row],[Discount_Amount]])*formatted_data[[#This Row],[Units]]</f>
        <v>1199</v>
      </c>
      <c r="N1159" s="1">
        <f>formatted_data[[#This Row],[Total_Revenue]]-(formatted_data[[#This Row],[Cost_Price]]*formatted_data[[#This Row],[Units]])</f>
        <v>425</v>
      </c>
      <c r="O1159" s="1" t="s">
        <v>21</v>
      </c>
      <c r="P1159"/>
    </row>
    <row r="1160" spans="1:16" x14ac:dyDescent="0.35">
      <c r="A1160" s="1" t="s">
        <v>77</v>
      </c>
      <c r="B1160" s="1" t="s">
        <v>27</v>
      </c>
      <c r="C1160" s="2">
        <v>45503</v>
      </c>
      <c r="D1160" s="1" t="s">
        <v>17</v>
      </c>
      <c r="E1160" s="1" t="s">
        <v>48</v>
      </c>
      <c r="F1160" s="1" t="s">
        <v>19</v>
      </c>
      <c r="G1160" s="1" t="s">
        <v>20</v>
      </c>
      <c r="H1160" s="1">
        <v>1</v>
      </c>
      <c r="I1160" s="1">
        <v>345</v>
      </c>
      <c r="J1160" s="1">
        <v>499</v>
      </c>
      <c r="K1160" s="1">
        <v>0</v>
      </c>
      <c r="L1160" s="1">
        <f>ROUNDDOWN(formatted_data[[#This Row],[Selling_Price]]*formatted_data[[#This Row],[Discount_%]]/100,0)</f>
        <v>0</v>
      </c>
      <c r="M1160" s="1">
        <f>(formatted_data[[#This Row],[Selling_Price]]-formatted_data[[#This Row],[Discount_Amount]])*formatted_data[[#This Row],[Units]]</f>
        <v>499</v>
      </c>
      <c r="N1160" s="1">
        <f>formatted_data[[#This Row],[Total_Revenue]]-(formatted_data[[#This Row],[Cost_Price]]*formatted_data[[#This Row],[Units]])</f>
        <v>154</v>
      </c>
      <c r="O1160" s="1" t="s">
        <v>33</v>
      </c>
      <c r="P1160"/>
    </row>
    <row r="1161" spans="1:16" x14ac:dyDescent="0.35">
      <c r="A1161" s="1" t="s">
        <v>67</v>
      </c>
      <c r="B1161" s="1" t="s">
        <v>27</v>
      </c>
      <c r="C1161" s="2">
        <v>45600</v>
      </c>
      <c r="D1161" s="1" t="s">
        <v>28</v>
      </c>
      <c r="E1161" s="1" t="s">
        <v>29</v>
      </c>
      <c r="F1161" s="1" t="s">
        <v>19</v>
      </c>
      <c r="G1161" s="1" t="s">
        <v>20</v>
      </c>
      <c r="H1161" s="1">
        <v>2</v>
      </c>
      <c r="I1161" s="1">
        <v>381</v>
      </c>
      <c r="J1161" s="1">
        <v>599</v>
      </c>
      <c r="K1161" s="1">
        <v>15</v>
      </c>
      <c r="L1161" s="1">
        <f>ROUNDDOWN(formatted_data[[#This Row],[Selling_Price]]*formatted_data[[#This Row],[Discount_%]]/100,0)</f>
        <v>89</v>
      </c>
      <c r="M1161" s="1">
        <f>(formatted_data[[#This Row],[Selling_Price]]-formatted_data[[#This Row],[Discount_Amount]])*formatted_data[[#This Row],[Units]]</f>
        <v>1020</v>
      </c>
      <c r="N1161" s="1">
        <f>formatted_data[[#This Row],[Total_Revenue]]-(formatted_data[[#This Row],[Cost_Price]]*formatted_data[[#This Row],[Units]])</f>
        <v>258</v>
      </c>
      <c r="O1161" s="1" t="s">
        <v>33</v>
      </c>
      <c r="P1161"/>
    </row>
    <row r="1162" spans="1:16" x14ac:dyDescent="0.35">
      <c r="A1162" s="1" t="s">
        <v>68</v>
      </c>
      <c r="B1162" s="1" t="s">
        <v>16</v>
      </c>
      <c r="C1162" s="2">
        <v>45654</v>
      </c>
      <c r="D1162" s="1" t="s">
        <v>35</v>
      </c>
      <c r="E1162" s="1" t="s">
        <v>41</v>
      </c>
      <c r="F1162" s="1" t="s">
        <v>37</v>
      </c>
      <c r="G1162" s="1" t="s">
        <v>20</v>
      </c>
      <c r="H1162" s="1">
        <v>1</v>
      </c>
      <c r="I1162" s="1">
        <v>913</v>
      </c>
      <c r="J1162" s="1">
        <v>1299</v>
      </c>
      <c r="K1162" s="1">
        <v>20</v>
      </c>
      <c r="L1162" s="1">
        <f>ROUNDDOWN(formatted_data[[#This Row],[Selling_Price]]*formatted_data[[#This Row],[Discount_%]]/100,0)</f>
        <v>259</v>
      </c>
      <c r="M1162" s="1">
        <f>(formatted_data[[#This Row],[Selling_Price]]-formatted_data[[#This Row],[Discount_Amount]])*formatted_data[[#This Row],[Units]]</f>
        <v>1040</v>
      </c>
      <c r="N1162" s="1">
        <f>formatted_data[[#This Row],[Total_Revenue]]-(formatted_data[[#This Row],[Cost_Price]]*formatted_data[[#This Row],[Units]])</f>
        <v>127</v>
      </c>
      <c r="O1162" s="1" t="s">
        <v>33</v>
      </c>
      <c r="P1162"/>
    </row>
    <row r="1163" spans="1:16" x14ac:dyDescent="0.35">
      <c r="A1163" s="1" t="s">
        <v>51</v>
      </c>
      <c r="B1163" s="1" t="s">
        <v>16</v>
      </c>
      <c r="C1163" s="2">
        <v>45580</v>
      </c>
      <c r="D1163" s="1" t="s">
        <v>17</v>
      </c>
      <c r="E1163" s="1" t="s">
        <v>55</v>
      </c>
      <c r="F1163" s="1" t="s">
        <v>37</v>
      </c>
      <c r="G1163" s="1" t="s">
        <v>20</v>
      </c>
      <c r="H1163" s="1">
        <v>1</v>
      </c>
      <c r="I1163" s="1">
        <v>488</v>
      </c>
      <c r="J1163" s="1">
        <v>799</v>
      </c>
      <c r="K1163" s="1">
        <v>0</v>
      </c>
      <c r="L1163" s="1">
        <f>ROUNDDOWN(formatted_data[[#This Row],[Selling_Price]]*formatted_data[[#This Row],[Discount_%]]/100,0)</f>
        <v>0</v>
      </c>
      <c r="M1163" s="1">
        <f>(formatted_data[[#This Row],[Selling_Price]]-formatted_data[[#This Row],[Discount_Amount]])*formatted_data[[#This Row],[Units]]</f>
        <v>799</v>
      </c>
      <c r="N1163" s="1">
        <f>formatted_data[[#This Row],[Total_Revenue]]-(formatted_data[[#This Row],[Cost_Price]]*formatted_data[[#This Row],[Units]])</f>
        <v>311</v>
      </c>
      <c r="O1163" s="1" t="s">
        <v>21</v>
      </c>
      <c r="P1163"/>
    </row>
    <row r="1164" spans="1:16" x14ac:dyDescent="0.35">
      <c r="A1164" s="1" t="s">
        <v>53</v>
      </c>
      <c r="B1164" s="1" t="s">
        <v>27</v>
      </c>
      <c r="C1164" s="2">
        <v>45648</v>
      </c>
      <c r="D1164" s="1" t="s">
        <v>31</v>
      </c>
      <c r="E1164" s="1" t="s">
        <v>32</v>
      </c>
      <c r="F1164" s="1" t="s">
        <v>37</v>
      </c>
      <c r="G1164" s="1" t="s">
        <v>20</v>
      </c>
      <c r="H1164" s="1">
        <v>2</v>
      </c>
      <c r="I1164" s="1">
        <v>737</v>
      </c>
      <c r="J1164" s="1">
        <v>1399</v>
      </c>
      <c r="K1164" s="1">
        <v>0</v>
      </c>
      <c r="L1164" s="1">
        <f>ROUNDDOWN(formatted_data[[#This Row],[Selling_Price]]*formatted_data[[#This Row],[Discount_%]]/100,0)</f>
        <v>0</v>
      </c>
      <c r="M1164" s="1">
        <f>(formatted_data[[#This Row],[Selling_Price]]-formatted_data[[#This Row],[Discount_Amount]])*formatted_data[[#This Row],[Units]]</f>
        <v>2798</v>
      </c>
      <c r="N1164" s="1">
        <f>formatted_data[[#This Row],[Total_Revenue]]-(formatted_data[[#This Row],[Cost_Price]]*formatted_data[[#This Row],[Units]])</f>
        <v>1324</v>
      </c>
      <c r="O1164" s="1" t="s">
        <v>21</v>
      </c>
      <c r="P1164"/>
    </row>
    <row r="1165" spans="1:16" x14ac:dyDescent="0.35">
      <c r="A1165" s="1" t="s">
        <v>101</v>
      </c>
      <c r="B1165" s="1" t="s">
        <v>16</v>
      </c>
      <c r="C1165" s="2">
        <v>45550</v>
      </c>
      <c r="D1165" s="1" t="s">
        <v>28</v>
      </c>
      <c r="E1165" s="1" t="s">
        <v>29</v>
      </c>
      <c r="F1165" s="1" t="s">
        <v>19</v>
      </c>
      <c r="G1165" s="1" t="s">
        <v>19</v>
      </c>
      <c r="H1165" s="1">
        <v>1</v>
      </c>
      <c r="I1165" s="1">
        <v>343</v>
      </c>
      <c r="J1165" s="1">
        <v>499</v>
      </c>
      <c r="K1165" s="1">
        <v>15</v>
      </c>
      <c r="L1165" s="1">
        <f>ROUNDDOWN(formatted_data[[#This Row],[Selling_Price]]*formatted_data[[#This Row],[Discount_%]]/100,0)</f>
        <v>74</v>
      </c>
      <c r="M1165" s="1">
        <f>(formatted_data[[#This Row],[Selling_Price]]-formatted_data[[#This Row],[Discount_Amount]])*formatted_data[[#This Row],[Units]]</f>
        <v>425</v>
      </c>
      <c r="N1165" s="1">
        <f>formatted_data[[#This Row],[Total_Revenue]]-(formatted_data[[#This Row],[Cost_Price]]*formatted_data[[#This Row],[Units]])</f>
        <v>82</v>
      </c>
      <c r="O1165" s="1" t="s">
        <v>21</v>
      </c>
      <c r="P1165"/>
    </row>
    <row r="1166" spans="1:16" x14ac:dyDescent="0.35">
      <c r="A1166" s="1" t="s">
        <v>99</v>
      </c>
      <c r="B1166" s="1" t="s">
        <v>27</v>
      </c>
      <c r="C1166" s="2">
        <v>45641</v>
      </c>
      <c r="D1166" s="1" t="s">
        <v>28</v>
      </c>
      <c r="E1166" s="1" t="s">
        <v>45</v>
      </c>
      <c r="F1166" s="1" t="s">
        <v>19</v>
      </c>
      <c r="G1166" s="1" t="s">
        <v>19</v>
      </c>
      <c r="H1166" s="1">
        <v>5</v>
      </c>
      <c r="I1166" s="1">
        <v>778</v>
      </c>
      <c r="J1166" s="1">
        <v>1299</v>
      </c>
      <c r="K1166" s="1">
        <v>20</v>
      </c>
      <c r="L1166" s="1">
        <f>ROUNDDOWN(formatted_data[[#This Row],[Selling_Price]]*formatted_data[[#This Row],[Discount_%]]/100,0)</f>
        <v>259</v>
      </c>
      <c r="M1166" s="1">
        <f>(formatted_data[[#This Row],[Selling_Price]]-formatted_data[[#This Row],[Discount_Amount]])*formatted_data[[#This Row],[Units]]</f>
        <v>5200</v>
      </c>
      <c r="N1166" s="1">
        <f>formatted_data[[#This Row],[Total_Revenue]]-(formatted_data[[#This Row],[Cost_Price]]*formatted_data[[#This Row],[Units]])</f>
        <v>1310</v>
      </c>
      <c r="O1166" s="1" t="s">
        <v>21</v>
      </c>
      <c r="P1166"/>
    </row>
    <row r="1167" spans="1:16" x14ac:dyDescent="0.35">
      <c r="A1167" s="1" t="s">
        <v>106</v>
      </c>
      <c r="B1167" s="1" t="s">
        <v>27</v>
      </c>
      <c r="C1167" s="2">
        <v>45491</v>
      </c>
      <c r="D1167" s="1" t="s">
        <v>23</v>
      </c>
      <c r="E1167" s="1" t="s">
        <v>43</v>
      </c>
      <c r="F1167" s="1" t="s">
        <v>37</v>
      </c>
      <c r="G1167" s="1" t="s">
        <v>19</v>
      </c>
      <c r="H1167" s="1">
        <v>1</v>
      </c>
      <c r="I1167" s="1">
        <v>1985</v>
      </c>
      <c r="J1167" s="1">
        <v>2799</v>
      </c>
      <c r="K1167" s="1">
        <v>20</v>
      </c>
      <c r="L1167" s="1">
        <f>ROUNDDOWN(formatted_data[[#This Row],[Selling_Price]]*formatted_data[[#This Row],[Discount_%]]/100,0)</f>
        <v>559</v>
      </c>
      <c r="M1167" s="1">
        <f>(formatted_data[[#This Row],[Selling_Price]]-formatted_data[[#This Row],[Discount_Amount]])*formatted_data[[#This Row],[Units]]</f>
        <v>2240</v>
      </c>
      <c r="N1167" s="1">
        <f>formatted_data[[#This Row],[Total_Revenue]]-(formatted_data[[#This Row],[Cost_Price]]*formatted_data[[#This Row],[Units]])</f>
        <v>255</v>
      </c>
      <c r="O1167" s="1" t="s">
        <v>21</v>
      </c>
      <c r="P1167"/>
    </row>
    <row r="1168" spans="1:16" x14ac:dyDescent="0.35">
      <c r="A1168" s="1" t="s">
        <v>101</v>
      </c>
      <c r="B1168" s="1" t="s">
        <v>16</v>
      </c>
      <c r="C1168" s="2">
        <v>45637</v>
      </c>
      <c r="D1168" s="1" t="s">
        <v>28</v>
      </c>
      <c r="E1168" s="1" t="s">
        <v>29</v>
      </c>
      <c r="F1168" s="1" t="s">
        <v>25</v>
      </c>
      <c r="G1168" s="1" t="s">
        <v>19</v>
      </c>
      <c r="H1168" s="1">
        <v>1</v>
      </c>
      <c r="I1168" s="1">
        <v>346</v>
      </c>
      <c r="J1168" s="1">
        <v>599</v>
      </c>
      <c r="K1168" s="1">
        <v>10</v>
      </c>
      <c r="L1168" s="1">
        <f>ROUNDDOWN(formatted_data[[#This Row],[Selling_Price]]*formatted_data[[#This Row],[Discount_%]]/100,0)</f>
        <v>59</v>
      </c>
      <c r="M1168" s="1">
        <f>(formatted_data[[#This Row],[Selling_Price]]-formatted_data[[#This Row],[Discount_Amount]])*formatted_data[[#This Row],[Units]]</f>
        <v>540</v>
      </c>
      <c r="N1168" s="1">
        <f>formatted_data[[#This Row],[Total_Revenue]]-(formatted_data[[#This Row],[Cost_Price]]*formatted_data[[#This Row],[Units]])</f>
        <v>194</v>
      </c>
      <c r="O1168" s="1" t="s">
        <v>33</v>
      </c>
      <c r="P1168"/>
    </row>
    <row r="1169" spans="1:16" x14ac:dyDescent="0.35">
      <c r="A1169" s="1" t="s">
        <v>79</v>
      </c>
      <c r="B1169" s="1" t="s">
        <v>16</v>
      </c>
      <c r="C1169" s="2">
        <v>45652</v>
      </c>
      <c r="D1169" s="1" t="s">
        <v>23</v>
      </c>
      <c r="E1169" s="1" t="s">
        <v>24</v>
      </c>
      <c r="F1169" s="1" t="s">
        <v>37</v>
      </c>
      <c r="G1169" s="1" t="s">
        <v>19</v>
      </c>
      <c r="H1169" s="1">
        <v>1</v>
      </c>
      <c r="I1169" s="1">
        <v>870</v>
      </c>
      <c r="J1169" s="1">
        <v>1299</v>
      </c>
      <c r="K1169" s="1">
        <v>5</v>
      </c>
      <c r="L1169" s="1">
        <f>ROUNDDOWN(formatted_data[[#This Row],[Selling_Price]]*formatted_data[[#This Row],[Discount_%]]/100,0)</f>
        <v>64</v>
      </c>
      <c r="M1169" s="1">
        <f>(formatted_data[[#This Row],[Selling_Price]]-formatted_data[[#This Row],[Discount_Amount]])*formatted_data[[#This Row],[Units]]</f>
        <v>1235</v>
      </c>
      <c r="N1169" s="1">
        <f>formatted_data[[#This Row],[Total_Revenue]]-(formatted_data[[#This Row],[Cost_Price]]*formatted_data[[#This Row],[Units]])</f>
        <v>365</v>
      </c>
      <c r="O1169" s="1" t="s">
        <v>21</v>
      </c>
      <c r="P1169"/>
    </row>
    <row r="1170" spans="1:16" x14ac:dyDescent="0.35">
      <c r="A1170" s="1" t="s">
        <v>85</v>
      </c>
      <c r="B1170" s="1" t="s">
        <v>27</v>
      </c>
      <c r="C1170" s="2">
        <v>45512</v>
      </c>
      <c r="D1170" s="1" t="s">
        <v>31</v>
      </c>
      <c r="E1170" s="1" t="s">
        <v>32</v>
      </c>
      <c r="F1170" s="1" t="s">
        <v>19</v>
      </c>
      <c r="G1170" s="1" t="s">
        <v>20</v>
      </c>
      <c r="H1170" s="1">
        <v>2</v>
      </c>
      <c r="I1170" s="1">
        <v>783</v>
      </c>
      <c r="J1170" s="1">
        <v>1499</v>
      </c>
      <c r="K1170" s="1">
        <v>0</v>
      </c>
      <c r="L1170" s="1">
        <f>ROUNDDOWN(formatted_data[[#This Row],[Selling_Price]]*formatted_data[[#This Row],[Discount_%]]/100,0)</f>
        <v>0</v>
      </c>
      <c r="M1170" s="1">
        <f>(formatted_data[[#This Row],[Selling_Price]]-formatted_data[[#This Row],[Discount_Amount]])*formatted_data[[#This Row],[Units]]</f>
        <v>2998</v>
      </c>
      <c r="N1170" s="1">
        <f>formatted_data[[#This Row],[Total_Revenue]]-(formatted_data[[#This Row],[Cost_Price]]*formatted_data[[#This Row],[Units]])</f>
        <v>1432</v>
      </c>
      <c r="O1170" s="1" t="s">
        <v>33</v>
      </c>
      <c r="P1170"/>
    </row>
    <row r="1171" spans="1:16" x14ac:dyDescent="0.35">
      <c r="A1171" s="1" t="s">
        <v>75</v>
      </c>
      <c r="B1171" s="1" t="s">
        <v>27</v>
      </c>
      <c r="C1171" s="2">
        <v>45526</v>
      </c>
      <c r="D1171" s="1" t="s">
        <v>31</v>
      </c>
      <c r="E1171" s="1" t="s">
        <v>76</v>
      </c>
      <c r="F1171" s="1" t="s">
        <v>37</v>
      </c>
      <c r="G1171" s="1" t="s">
        <v>20</v>
      </c>
      <c r="H1171" s="1">
        <v>1</v>
      </c>
      <c r="I1171" s="1">
        <v>480</v>
      </c>
      <c r="J1171" s="1">
        <v>799</v>
      </c>
      <c r="K1171" s="1">
        <v>0</v>
      </c>
      <c r="L1171" s="1">
        <f>ROUNDDOWN(formatted_data[[#This Row],[Selling_Price]]*formatted_data[[#This Row],[Discount_%]]/100,0)</f>
        <v>0</v>
      </c>
      <c r="M1171" s="1">
        <f>(formatted_data[[#This Row],[Selling_Price]]-formatted_data[[#This Row],[Discount_Amount]])*formatted_data[[#This Row],[Units]]</f>
        <v>799</v>
      </c>
      <c r="N1171" s="1">
        <f>formatted_data[[#This Row],[Total_Revenue]]-(formatted_data[[#This Row],[Cost_Price]]*formatted_data[[#This Row],[Units]])</f>
        <v>319</v>
      </c>
      <c r="O1171" s="1" t="s">
        <v>21</v>
      </c>
      <c r="P1171"/>
    </row>
    <row r="1172" spans="1:16" x14ac:dyDescent="0.35">
      <c r="A1172" s="1" t="s">
        <v>26</v>
      </c>
      <c r="B1172" s="1" t="s">
        <v>27</v>
      </c>
      <c r="C1172" s="2">
        <v>45446</v>
      </c>
      <c r="D1172" s="1" t="s">
        <v>17</v>
      </c>
      <c r="E1172" s="1" t="s">
        <v>48</v>
      </c>
      <c r="F1172" s="1" t="s">
        <v>19</v>
      </c>
      <c r="G1172" s="1" t="s">
        <v>19</v>
      </c>
      <c r="H1172" s="1">
        <v>1</v>
      </c>
      <c r="I1172" s="1">
        <v>306</v>
      </c>
      <c r="J1172" s="1">
        <v>499</v>
      </c>
      <c r="K1172" s="1">
        <v>0</v>
      </c>
      <c r="L1172" s="1">
        <f>ROUNDDOWN(formatted_data[[#This Row],[Selling_Price]]*formatted_data[[#This Row],[Discount_%]]/100,0)</f>
        <v>0</v>
      </c>
      <c r="M1172" s="1">
        <f>(formatted_data[[#This Row],[Selling_Price]]-formatted_data[[#This Row],[Discount_Amount]])*formatted_data[[#This Row],[Units]]</f>
        <v>499</v>
      </c>
      <c r="N1172" s="1">
        <f>formatted_data[[#This Row],[Total_Revenue]]-(formatted_data[[#This Row],[Cost_Price]]*formatted_data[[#This Row],[Units]])</f>
        <v>193</v>
      </c>
      <c r="O1172" s="1" t="s">
        <v>33</v>
      </c>
      <c r="P1172"/>
    </row>
    <row r="1173" spans="1:16" x14ac:dyDescent="0.35">
      <c r="A1173" s="1" t="s">
        <v>71</v>
      </c>
      <c r="B1173" s="1" t="s">
        <v>16</v>
      </c>
      <c r="C1173" s="2">
        <v>45466</v>
      </c>
      <c r="D1173" s="1" t="s">
        <v>23</v>
      </c>
      <c r="E1173" s="1" t="s">
        <v>43</v>
      </c>
      <c r="F1173" s="1" t="s">
        <v>25</v>
      </c>
      <c r="G1173" s="1" t="s">
        <v>20</v>
      </c>
      <c r="H1173" s="1">
        <v>1</v>
      </c>
      <c r="I1173" s="1">
        <v>1549</v>
      </c>
      <c r="J1173" s="1">
        <v>2399</v>
      </c>
      <c r="K1173" s="1">
        <v>5</v>
      </c>
      <c r="L1173" s="1">
        <f>ROUNDDOWN(formatted_data[[#This Row],[Selling_Price]]*formatted_data[[#This Row],[Discount_%]]/100,0)</f>
        <v>119</v>
      </c>
      <c r="M1173" s="1">
        <f>(formatted_data[[#This Row],[Selling_Price]]-formatted_data[[#This Row],[Discount_Amount]])*formatted_data[[#This Row],[Units]]</f>
        <v>2280</v>
      </c>
      <c r="N1173" s="1">
        <f>formatted_data[[#This Row],[Total_Revenue]]-(formatted_data[[#This Row],[Cost_Price]]*formatted_data[[#This Row],[Units]])</f>
        <v>731</v>
      </c>
      <c r="O1173" s="1" t="s">
        <v>33</v>
      </c>
      <c r="P1173"/>
    </row>
    <row r="1174" spans="1:16" x14ac:dyDescent="0.35">
      <c r="A1174" s="1" t="s">
        <v>82</v>
      </c>
      <c r="B1174" s="1" t="s">
        <v>27</v>
      </c>
      <c r="C1174" s="2">
        <v>45466</v>
      </c>
      <c r="D1174" s="1" t="s">
        <v>23</v>
      </c>
      <c r="E1174" s="1" t="s">
        <v>24</v>
      </c>
      <c r="F1174" s="1" t="s">
        <v>19</v>
      </c>
      <c r="G1174" s="1" t="s">
        <v>20</v>
      </c>
      <c r="H1174" s="1">
        <v>2</v>
      </c>
      <c r="I1174" s="1">
        <v>1188</v>
      </c>
      <c r="J1174" s="1">
        <v>1699</v>
      </c>
      <c r="K1174" s="1">
        <v>10</v>
      </c>
      <c r="L1174" s="1">
        <f>ROUNDDOWN(formatted_data[[#This Row],[Selling_Price]]*formatted_data[[#This Row],[Discount_%]]/100,0)</f>
        <v>169</v>
      </c>
      <c r="M1174" s="1">
        <f>(formatted_data[[#This Row],[Selling_Price]]-formatted_data[[#This Row],[Discount_Amount]])*formatted_data[[#This Row],[Units]]</f>
        <v>3060</v>
      </c>
      <c r="N1174" s="1">
        <f>formatted_data[[#This Row],[Total_Revenue]]-(formatted_data[[#This Row],[Cost_Price]]*formatted_data[[#This Row],[Units]])</f>
        <v>684</v>
      </c>
      <c r="O1174" s="1" t="s">
        <v>33</v>
      </c>
      <c r="P1174"/>
    </row>
    <row r="1175" spans="1:16" x14ac:dyDescent="0.35">
      <c r="A1175" s="1" t="s">
        <v>65</v>
      </c>
      <c r="B1175" s="1" t="s">
        <v>16</v>
      </c>
      <c r="C1175" s="2">
        <v>45463</v>
      </c>
      <c r="D1175" s="1" t="s">
        <v>23</v>
      </c>
      <c r="E1175" s="1" t="s">
        <v>43</v>
      </c>
      <c r="F1175" s="1" t="s">
        <v>25</v>
      </c>
      <c r="G1175" s="1" t="s">
        <v>19</v>
      </c>
      <c r="H1175" s="1">
        <v>1</v>
      </c>
      <c r="I1175" s="1">
        <v>1390</v>
      </c>
      <c r="J1175" s="1">
        <v>2599</v>
      </c>
      <c r="K1175" s="1">
        <v>15</v>
      </c>
      <c r="L1175" s="1">
        <f>ROUNDDOWN(formatted_data[[#This Row],[Selling_Price]]*formatted_data[[#This Row],[Discount_%]]/100,0)</f>
        <v>389</v>
      </c>
      <c r="M1175" s="1">
        <f>(formatted_data[[#This Row],[Selling_Price]]-formatted_data[[#This Row],[Discount_Amount]])*formatted_data[[#This Row],[Units]]</f>
        <v>2210</v>
      </c>
      <c r="N1175" s="1">
        <f>formatted_data[[#This Row],[Total_Revenue]]-(formatted_data[[#This Row],[Cost_Price]]*formatted_data[[#This Row],[Units]])</f>
        <v>820</v>
      </c>
      <c r="O1175" s="1" t="s">
        <v>21</v>
      </c>
      <c r="P1175"/>
    </row>
    <row r="1176" spans="1:16" x14ac:dyDescent="0.35">
      <c r="A1176" s="1" t="s">
        <v>40</v>
      </c>
      <c r="B1176" s="1" t="s">
        <v>27</v>
      </c>
      <c r="C1176" s="2">
        <v>45644</v>
      </c>
      <c r="D1176" s="1" t="s">
        <v>35</v>
      </c>
      <c r="E1176" s="1" t="s">
        <v>36</v>
      </c>
      <c r="F1176" s="1" t="s">
        <v>25</v>
      </c>
      <c r="G1176" s="1" t="s">
        <v>20</v>
      </c>
      <c r="H1176" s="1">
        <v>1</v>
      </c>
      <c r="I1176" s="1">
        <v>249</v>
      </c>
      <c r="J1176" s="1">
        <v>399</v>
      </c>
      <c r="K1176" s="1">
        <v>5</v>
      </c>
      <c r="L1176" s="1">
        <f>ROUNDDOWN(formatted_data[[#This Row],[Selling_Price]]*formatted_data[[#This Row],[Discount_%]]/100,0)</f>
        <v>19</v>
      </c>
      <c r="M1176" s="1">
        <f>(formatted_data[[#This Row],[Selling_Price]]-formatted_data[[#This Row],[Discount_Amount]])*formatted_data[[#This Row],[Units]]</f>
        <v>380</v>
      </c>
      <c r="N1176" s="1">
        <f>formatted_data[[#This Row],[Total_Revenue]]-(formatted_data[[#This Row],[Cost_Price]]*formatted_data[[#This Row],[Units]])</f>
        <v>131</v>
      </c>
      <c r="O1176" s="1" t="s">
        <v>33</v>
      </c>
      <c r="P1176"/>
    </row>
    <row r="1177" spans="1:16" x14ac:dyDescent="0.35">
      <c r="A1177" s="1" t="s">
        <v>54</v>
      </c>
      <c r="B1177" s="1" t="s">
        <v>27</v>
      </c>
      <c r="C1177" s="2">
        <v>45621</v>
      </c>
      <c r="D1177" s="1" t="s">
        <v>23</v>
      </c>
      <c r="E1177" s="1" t="s">
        <v>24</v>
      </c>
      <c r="F1177" s="1" t="s">
        <v>25</v>
      </c>
      <c r="G1177" s="1" t="s">
        <v>20</v>
      </c>
      <c r="H1177" s="1">
        <v>2</v>
      </c>
      <c r="I1177" s="1">
        <v>994</v>
      </c>
      <c r="J1177" s="1">
        <v>1399</v>
      </c>
      <c r="K1177" s="1">
        <v>10</v>
      </c>
      <c r="L1177" s="1">
        <f>ROUNDDOWN(formatted_data[[#This Row],[Selling_Price]]*formatted_data[[#This Row],[Discount_%]]/100,0)</f>
        <v>139</v>
      </c>
      <c r="M1177" s="1">
        <f>(formatted_data[[#This Row],[Selling_Price]]-formatted_data[[#This Row],[Discount_Amount]])*formatted_data[[#This Row],[Units]]</f>
        <v>2520</v>
      </c>
      <c r="N1177" s="1">
        <f>formatted_data[[#This Row],[Total_Revenue]]-(formatted_data[[#This Row],[Cost_Price]]*formatted_data[[#This Row],[Units]])</f>
        <v>532</v>
      </c>
      <c r="O1177" s="1" t="s">
        <v>21</v>
      </c>
      <c r="P1177"/>
    </row>
    <row r="1178" spans="1:16" x14ac:dyDescent="0.35">
      <c r="A1178" s="1" t="s">
        <v>57</v>
      </c>
      <c r="B1178" s="1" t="s">
        <v>27</v>
      </c>
      <c r="C1178" s="2">
        <v>45507</v>
      </c>
      <c r="D1178" s="1" t="s">
        <v>35</v>
      </c>
      <c r="E1178" s="1" t="s">
        <v>41</v>
      </c>
      <c r="F1178" s="1" t="s">
        <v>19</v>
      </c>
      <c r="G1178" s="1" t="s">
        <v>19</v>
      </c>
      <c r="H1178" s="1">
        <v>5</v>
      </c>
      <c r="I1178" s="1">
        <v>652</v>
      </c>
      <c r="J1178" s="1">
        <v>899</v>
      </c>
      <c r="K1178" s="1">
        <v>10</v>
      </c>
      <c r="L1178" s="1">
        <f>ROUNDDOWN(formatted_data[[#This Row],[Selling_Price]]*formatted_data[[#This Row],[Discount_%]]/100,0)</f>
        <v>89</v>
      </c>
      <c r="M1178" s="1">
        <f>(formatted_data[[#This Row],[Selling_Price]]-formatted_data[[#This Row],[Discount_Amount]])*formatted_data[[#This Row],[Units]]</f>
        <v>4050</v>
      </c>
      <c r="N1178" s="1">
        <f>formatted_data[[#This Row],[Total_Revenue]]-(formatted_data[[#This Row],[Cost_Price]]*formatted_data[[#This Row],[Units]])</f>
        <v>790</v>
      </c>
      <c r="O1178" s="1" t="s">
        <v>21</v>
      </c>
      <c r="P1178"/>
    </row>
    <row r="1179" spans="1:16" x14ac:dyDescent="0.35">
      <c r="A1179" s="1" t="s">
        <v>108</v>
      </c>
      <c r="B1179" s="1" t="s">
        <v>27</v>
      </c>
      <c r="C1179" s="2">
        <v>45609</v>
      </c>
      <c r="D1179" s="1" t="s">
        <v>23</v>
      </c>
      <c r="E1179" s="1" t="s">
        <v>24</v>
      </c>
      <c r="F1179" s="1" t="s">
        <v>19</v>
      </c>
      <c r="G1179" s="1" t="s">
        <v>20</v>
      </c>
      <c r="H1179" s="1">
        <v>4</v>
      </c>
      <c r="I1179" s="1">
        <v>939</v>
      </c>
      <c r="J1179" s="1">
        <v>1399</v>
      </c>
      <c r="K1179" s="1">
        <v>10</v>
      </c>
      <c r="L1179" s="1">
        <f>ROUNDDOWN(formatted_data[[#This Row],[Selling_Price]]*formatted_data[[#This Row],[Discount_%]]/100,0)</f>
        <v>139</v>
      </c>
      <c r="M1179" s="1">
        <f>(formatted_data[[#This Row],[Selling_Price]]-formatted_data[[#This Row],[Discount_Amount]])*formatted_data[[#This Row],[Units]]</f>
        <v>5040</v>
      </c>
      <c r="N1179" s="1">
        <f>formatted_data[[#This Row],[Total_Revenue]]-(formatted_data[[#This Row],[Cost_Price]]*formatted_data[[#This Row],[Units]])</f>
        <v>1284</v>
      </c>
      <c r="O1179" s="1" t="s">
        <v>21</v>
      </c>
      <c r="P1179"/>
    </row>
    <row r="1180" spans="1:16" x14ac:dyDescent="0.35">
      <c r="A1180" s="1" t="s">
        <v>105</v>
      </c>
      <c r="B1180" s="1" t="s">
        <v>16</v>
      </c>
      <c r="C1180" s="2">
        <v>45524</v>
      </c>
      <c r="D1180" s="1" t="s">
        <v>28</v>
      </c>
      <c r="E1180" s="1" t="s">
        <v>29</v>
      </c>
      <c r="F1180" s="1" t="s">
        <v>25</v>
      </c>
      <c r="G1180" s="1" t="s">
        <v>20</v>
      </c>
      <c r="H1180" s="1">
        <v>1</v>
      </c>
      <c r="I1180" s="1">
        <v>440</v>
      </c>
      <c r="J1180" s="1">
        <v>699</v>
      </c>
      <c r="K1180" s="1">
        <v>20</v>
      </c>
      <c r="L1180" s="1">
        <f>ROUNDDOWN(formatted_data[[#This Row],[Selling_Price]]*formatted_data[[#This Row],[Discount_%]]/100,0)</f>
        <v>139</v>
      </c>
      <c r="M1180" s="1">
        <f>(formatted_data[[#This Row],[Selling_Price]]-formatted_data[[#This Row],[Discount_Amount]])*formatted_data[[#This Row],[Units]]</f>
        <v>560</v>
      </c>
      <c r="N1180" s="1">
        <f>formatted_data[[#This Row],[Total_Revenue]]-(formatted_data[[#This Row],[Cost_Price]]*formatted_data[[#This Row],[Units]])</f>
        <v>120</v>
      </c>
      <c r="O1180" s="1" t="s">
        <v>21</v>
      </c>
      <c r="P1180"/>
    </row>
    <row r="1181" spans="1:16" x14ac:dyDescent="0.35">
      <c r="A1181" s="1" t="s">
        <v>66</v>
      </c>
      <c r="B1181" s="1" t="s">
        <v>27</v>
      </c>
      <c r="C1181" s="2">
        <v>45475</v>
      </c>
      <c r="D1181" s="1" t="s">
        <v>35</v>
      </c>
      <c r="E1181" s="1" t="s">
        <v>39</v>
      </c>
      <c r="F1181" s="1" t="s">
        <v>37</v>
      </c>
      <c r="G1181" s="1" t="s">
        <v>19</v>
      </c>
      <c r="H1181" s="1">
        <v>4</v>
      </c>
      <c r="I1181" s="1">
        <v>913</v>
      </c>
      <c r="J1181" s="1">
        <v>1299</v>
      </c>
      <c r="K1181" s="1">
        <v>20</v>
      </c>
      <c r="L1181" s="1">
        <f>ROUNDDOWN(formatted_data[[#This Row],[Selling_Price]]*formatted_data[[#This Row],[Discount_%]]/100,0)</f>
        <v>259</v>
      </c>
      <c r="M1181" s="1">
        <f>(formatted_data[[#This Row],[Selling_Price]]-formatted_data[[#This Row],[Discount_Amount]])*formatted_data[[#This Row],[Units]]</f>
        <v>4160</v>
      </c>
      <c r="N1181" s="1">
        <f>formatted_data[[#This Row],[Total_Revenue]]-(formatted_data[[#This Row],[Cost_Price]]*formatted_data[[#This Row],[Units]])</f>
        <v>508</v>
      </c>
      <c r="O1181" s="1" t="s">
        <v>21</v>
      </c>
      <c r="P1181"/>
    </row>
    <row r="1182" spans="1:16" x14ac:dyDescent="0.35">
      <c r="A1182" s="1" t="s">
        <v>97</v>
      </c>
      <c r="B1182" s="1" t="s">
        <v>16</v>
      </c>
      <c r="C1182" s="2">
        <v>45458</v>
      </c>
      <c r="D1182" s="1" t="s">
        <v>28</v>
      </c>
      <c r="E1182" s="1" t="s">
        <v>45</v>
      </c>
      <c r="F1182" s="1" t="s">
        <v>37</v>
      </c>
      <c r="G1182" s="1" t="s">
        <v>20</v>
      </c>
      <c r="H1182" s="1">
        <v>1</v>
      </c>
      <c r="I1182" s="1">
        <v>866</v>
      </c>
      <c r="J1182" s="1">
        <v>1299</v>
      </c>
      <c r="K1182" s="1">
        <v>20</v>
      </c>
      <c r="L1182" s="1">
        <f>ROUNDDOWN(formatted_data[[#This Row],[Selling_Price]]*formatted_data[[#This Row],[Discount_%]]/100,0)</f>
        <v>259</v>
      </c>
      <c r="M1182" s="1">
        <f>(formatted_data[[#This Row],[Selling_Price]]-formatted_data[[#This Row],[Discount_Amount]])*formatted_data[[#This Row],[Units]]</f>
        <v>1040</v>
      </c>
      <c r="N1182" s="1">
        <f>formatted_data[[#This Row],[Total_Revenue]]-(formatted_data[[#This Row],[Cost_Price]]*formatted_data[[#This Row],[Units]])</f>
        <v>174</v>
      </c>
      <c r="O1182" s="1" t="s">
        <v>33</v>
      </c>
      <c r="P1182"/>
    </row>
    <row r="1183" spans="1:16" x14ac:dyDescent="0.35">
      <c r="A1183" s="1" t="s">
        <v>34</v>
      </c>
      <c r="B1183" s="1" t="s">
        <v>27</v>
      </c>
      <c r="C1183" s="2">
        <v>45620</v>
      </c>
      <c r="D1183" s="1" t="s">
        <v>31</v>
      </c>
      <c r="E1183" s="1" t="s">
        <v>32</v>
      </c>
      <c r="F1183" s="1" t="s">
        <v>37</v>
      </c>
      <c r="G1183" s="1" t="s">
        <v>20</v>
      </c>
      <c r="H1183" s="1">
        <v>5</v>
      </c>
      <c r="I1183" s="1">
        <v>630</v>
      </c>
      <c r="J1183" s="1">
        <v>899</v>
      </c>
      <c r="K1183" s="1">
        <v>0</v>
      </c>
      <c r="L1183" s="1">
        <f>ROUNDDOWN(formatted_data[[#This Row],[Selling_Price]]*formatted_data[[#This Row],[Discount_%]]/100,0)</f>
        <v>0</v>
      </c>
      <c r="M1183" s="1">
        <f>(formatted_data[[#This Row],[Selling_Price]]-formatted_data[[#This Row],[Discount_Amount]])*formatted_data[[#This Row],[Units]]</f>
        <v>4495</v>
      </c>
      <c r="N1183" s="1">
        <f>formatted_data[[#This Row],[Total_Revenue]]-(formatted_data[[#This Row],[Cost_Price]]*formatted_data[[#This Row],[Units]])</f>
        <v>1345</v>
      </c>
      <c r="O1183" s="1" t="s">
        <v>21</v>
      </c>
      <c r="P1183"/>
    </row>
    <row r="1184" spans="1:16" x14ac:dyDescent="0.35">
      <c r="A1184" s="1" t="s">
        <v>103</v>
      </c>
      <c r="B1184" s="1" t="s">
        <v>16</v>
      </c>
      <c r="C1184" s="2">
        <v>45557</v>
      </c>
      <c r="D1184" s="1" t="s">
        <v>31</v>
      </c>
      <c r="E1184" s="1" t="s">
        <v>76</v>
      </c>
      <c r="F1184" s="1" t="s">
        <v>19</v>
      </c>
      <c r="G1184" s="1" t="s">
        <v>20</v>
      </c>
      <c r="H1184" s="1">
        <v>1</v>
      </c>
      <c r="I1184" s="1">
        <v>1083</v>
      </c>
      <c r="J1184" s="1">
        <v>1499</v>
      </c>
      <c r="K1184" s="1">
        <v>0</v>
      </c>
      <c r="L1184" s="1">
        <f>ROUNDDOWN(formatted_data[[#This Row],[Selling_Price]]*formatted_data[[#This Row],[Discount_%]]/100,0)</f>
        <v>0</v>
      </c>
      <c r="M1184" s="1">
        <f>(formatted_data[[#This Row],[Selling_Price]]-formatted_data[[#This Row],[Discount_Amount]])*formatted_data[[#This Row],[Units]]</f>
        <v>1499</v>
      </c>
      <c r="N1184" s="1">
        <f>formatted_data[[#This Row],[Total_Revenue]]-(formatted_data[[#This Row],[Cost_Price]]*formatted_data[[#This Row],[Units]])</f>
        <v>416</v>
      </c>
      <c r="O1184" s="1" t="s">
        <v>21</v>
      </c>
      <c r="P1184"/>
    </row>
    <row r="1185" spans="1:16" x14ac:dyDescent="0.35">
      <c r="A1185" s="1" t="s">
        <v>44</v>
      </c>
      <c r="B1185" s="1" t="s">
        <v>16</v>
      </c>
      <c r="C1185" s="2">
        <v>45647</v>
      </c>
      <c r="D1185" s="1" t="s">
        <v>35</v>
      </c>
      <c r="E1185" s="1" t="s">
        <v>58</v>
      </c>
      <c r="F1185" s="1" t="s">
        <v>25</v>
      </c>
      <c r="G1185" s="1" t="s">
        <v>19</v>
      </c>
      <c r="H1185" s="1">
        <v>4</v>
      </c>
      <c r="I1185" s="1">
        <v>1218</v>
      </c>
      <c r="J1185" s="1">
        <v>2199</v>
      </c>
      <c r="K1185" s="1">
        <v>5</v>
      </c>
      <c r="L1185" s="1">
        <f>ROUNDDOWN(formatted_data[[#This Row],[Selling_Price]]*formatted_data[[#This Row],[Discount_%]]/100,0)</f>
        <v>109</v>
      </c>
      <c r="M1185" s="1">
        <f>(formatted_data[[#This Row],[Selling_Price]]-formatted_data[[#This Row],[Discount_Amount]])*formatted_data[[#This Row],[Units]]</f>
        <v>8360</v>
      </c>
      <c r="N1185" s="1">
        <f>formatted_data[[#This Row],[Total_Revenue]]-(formatted_data[[#This Row],[Cost_Price]]*formatted_data[[#This Row],[Units]])</f>
        <v>3488</v>
      </c>
      <c r="O1185" s="1" t="s">
        <v>21</v>
      </c>
      <c r="P1185"/>
    </row>
    <row r="1186" spans="1:16" x14ac:dyDescent="0.35">
      <c r="A1186" s="1" t="s">
        <v>99</v>
      </c>
      <c r="B1186" s="1" t="s">
        <v>27</v>
      </c>
      <c r="C1186" s="2">
        <v>45601</v>
      </c>
      <c r="D1186" s="1" t="s">
        <v>28</v>
      </c>
      <c r="E1186" s="1" t="s">
        <v>29</v>
      </c>
      <c r="F1186" s="1" t="s">
        <v>25</v>
      </c>
      <c r="G1186" s="1" t="s">
        <v>19</v>
      </c>
      <c r="H1186" s="1">
        <v>3</v>
      </c>
      <c r="I1186" s="1">
        <v>490</v>
      </c>
      <c r="J1186" s="1">
        <v>699</v>
      </c>
      <c r="K1186" s="1">
        <v>10</v>
      </c>
      <c r="L1186" s="1">
        <f>ROUNDDOWN(formatted_data[[#This Row],[Selling_Price]]*formatted_data[[#This Row],[Discount_%]]/100,0)</f>
        <v>69</v>
      </c>
      <c r="M1186" s="1">
        <f>(formatted_data[[#This Row],[Selling_Price]]-formatted_data[[#This Row],[Discount_Amount]])*formatted_data[[#This Row],[Units]]</f>
        <v>1890</v>
      </c>
      <c r="N1186" s="1">
        <f>formatted_data[[#This Row],[Total_Revenue]]-(formatted_data[[#This Row],[Cost_Price]]*formatted_data[[#This Row],[Units]])</f>
        <v>420</v>
      </c>
      <c r="O1186" s="1" t="s">
        <v>21</v>
      </c>
      <c r="P1186"/>
    </row>
    <row r="1187" spans="1:16" x14ac:dyDescent="0.35">
      <c r="A1187" s="1" t="s">
        <v>74</v>
      </c>
      <c r="B1187" s="1" t="s">
        <v>16</v>
      </c>
      <c r="C1187" s="2">
        <v>45531</v>
      </c>
      <c r="D1187" s="1" t="s">
        <v>35</v>
      </c>
      <c r="E1187" s="1" t="s">
        <v>36</v>
      </c>
      <c r="F1187" s="1" t="s">
        <v>37</v>
      </c>
      <c r="G1187" s="1" t="s">
        <v>20</v>
      </c>
      <c r="H1187" s="1">
        <v>1</v>
      </c>
      <c r="I1187" s="1">
        <v>422</v>
      </c>
      <c r="J1187" s="1">
        <v>599</v>
      </c>
      <c r="K1187" s="1">
        <v>10</v>
      </c>
      <c r="L1187" s="1">
        <f>ROUNDDOWN(formatted_data[[#This Row],[Selling_Price]]*formatted_data[[#This Row],[Discount_%]]/100,0)</f>
        <v>59</v>
      </c>
      <c r="M1187" s="1">
        <f>(formatted_data[[#This Row],[Selling_Price]]-formatted_data[[#This Row],[Discount_Amount]])*formatted_data[[#This Row],[Units]]</f>
        <v>540</v>
      </c>
      <c r="N1187" s="1">
        <f>formatted_data[[#This Row],[Total_Revenue]]-(formatted_data[[#This Row],[Cost_Price]]*formatted_data[[#This Row],[Units]])</f>
        <v>118</v>
      </c>
      <c r="O1187" s="1" t="s">
        <v>21</v>
      </c>
      <c r="P1187"/>
    </row>
    <row r="1188" spans="1:16" x14ac:dyDescent="0.35">
      <c r="A1188" s="1" t="s">
        <v>62</v>
      </c>
      <c r="B1188" s="1" t="s">
        <v>16</v>
      </c>
      <c r="C1188" s="2">
        <v>45521</v>
      </c>
      <c r="D1188" s="1" t="s">
        <v>28</v>
      </c>
      <c r="E1188" s="1" t="s">
        <v>29</v>
      </c>
      <c r="F1188" s="1" t="s">
        <v>25</v>
      </c>
      <c r="G1188" s="1" t="s">
        <v>20</v>
      </c>
      <c r="H1188" s="1">
        <v>1</v>
      </c>
      <c r="I1188" s="1">
        <v>429</v>
      </c>
      <c r="J1188" s="1">
        <v>799</v>
      </c>
      <c r="K1188" s="1">
        <v>15</v>
      </c>
      <c r="L1188" s="1">
        <f>ROUNDDOWN(formatted_data[[#This Row],[Selling_Price]]*formatted_data[[#This Row],[Discount_%]]/100,0)</f>
        <v>119</v>
      </c>
      <c r="M1188" s="1">
        <f>(formatted_data[[#This Row],[Selling_Price]]-formatted_data[[#This Row],[Discount_Amount]])*formatted_data[[#This Row],[Units]]</f>
        <v>680</v>
      </c>
      <c r="N1188" s="1">
        <f>formatted_data[[#This Row],[Total_Revenue]]-(formatted_data[[#This Row],[Cost_Price]]*formatted_data[[#This Row],[Units]])</f>
        <v>251</v>
      </c>
      <c r="O1188" s="1" t="s">
        <v>21</v>
      </c>
      <c r="P1188"/>
    </row>
    <row r="1189" spans="1:16" x14ac:dyDescent="0.35">
      <c r="A1189" s="1" t="s">
        <v>83</v>
      </c>
      <c r="B1189" s="1" t="s">
        <v>27</v>
      </c>
      <c r="C1189" s="2">
        <v>45605</v>
      </c>
      <c r="D1189" s="1" t="s">
        <v>31</v>
      </c>
      <c r="E1189" s="1" t="s">
        <v>76</v>
      </c>
      <c r="F1189" s="1" t="s">
        <v>37</v>
      </c>
      <c r="G1189" s="1" t="s">
        <v>19</v>
      </c>
      <c r="H1189" s="1">
        <v>1</v>
      </c>
      <c r="I1189" s="1">
        <v>429</v>
      </c>
      <c r="J1189" s="1">
        <v>699</v>
      </c>
      <c r="K1189" s="1">
        <v>0</v>
      </c>
      <c r="L1189" s="1">
        <f>ROUNDDOWN(formatted_data[[#This Row],[Selling_Price]]*formatted_data[[#This Row],[Discount_%]]/100,0)</f>
        <v>0</v>
      </c>
      <c r="M1189" s="1">
        <f>(formatted_data[[#This Row],[Selling_Price]]-formatted_data[[#This Row],[Discount_Amount]])*formatted_data[[#This Row],[Units]]</f>
        <v>699</v>
      </c>
      <c r="N1189" s="1">
        <f>formatted_data[[#This Row],[Total_Revenue]]-(formatted_data[[#This Row],[Cost_Price]]*formatted_data[[#This Row],[Units]])</f>
        <v>270</v>
      </c>
      <c r="O1189" s="1" t="s">
        <v>21</v>
      </c>
      <c r="P1189"/>
    </row>
    <row r="1190" spans="1:16" x14ac:dyDescent="0.35">
      <c r="A1190" s="1" t="s">
        <v>80</v>
      </c>
      <c r="B1190" s="1" t="s">
        <v>27</v>
      </c>
      <c r="C1190" s="2">
        <v>45568</v>
      </c>
      <c r="D1190" s="1" t="s">
        <v>31</v>
      </c>
      <c r="E1190" s="1" t="s">
        <v>76</v>
      </c>
      <c r="F1190" s="1" t="s">
        <v>19</v>
      </c>
      <c r="G1190" s="1" t="s">
        <v>20</v>
      </c>
      <c r="H1190" s="1">
        <v>2</v>
      </c>
      <c r="I1190" s="1">
        <v>736</v>
      </c>
      <c r="J1190" s="1">
        <v>1199</v>
      </c>
      <c r="K1190" s="1">
        <v>0</v>
      </c>
      <c r="L1190" s="1">
        <f>ROUNDDOWN(formatted_data[[#This Row],[Selling_Price]]*formatted_data[[#This Row],[Discount_%]]/100,0)</f>
        <v>0</v>
      </c>
      <c r="M1190" s="1">
        <f>(formatted_data[[#This Row],[Selling_Price]]-formatted_data[[#This Row],[Discount_Amount]])*formatted_data[[#This Row],[Units]]</f>
        <v>2398</v>
      </c>
      <c r="N1190" s="1">
        <f>formatted_data[[#This Row],[Total_Revenue]]-(formatted_data[[#This Row],[Cost_Price]]*formatted_data[[#This Row],[Units]])</f>
        <v>926</v>
      </c>
      <c r="O1190" s="1" t="s">
        <v>33</v>
      </c>
      <c r="P1190"/>
    </row>
    <row r="1191" spans="1:16" x14ac:dyDescent="0.35">
      <c r="A1191" s="1" t="s">
        <v>80</v>
      </c>
      <c r="B1191" s="1" t="s">
        <v>27</v>
      </c>
      <c r="C1191" s="2">
        <v>45470</v>
      </c>
      <c r="D1191" s="1" t="s">
        <v>31</v>
      </c>
      <c r="E1191" s="1" t="s">
        <v>32</v>
      </c>
      <c r="F1191" s="1" t="s">
        <v>19</v>
      </c>
      <c r="G1191" s="1" t="s">
        <v>20</v>
      </c>
      <c r="H1191" s="1">
        <v>1</v>
      </c>
      <c r="I1191" s="1">
        <v>770</v>
      </c>
      <c r="J1191" s="1">
        <v>1499</v>
      </c>
      <c r="K1191" s="1">
        <v>0</v>
      </c>
      <c r="L1191" s="1">
        <f>ROUNDDOWN(formatted_data[[#This Row],[Selling_Price]]*formatted_data[[#This Row],[Discount_%]]/100,0)</f>
        <v>0</v>
      </c>
      <c r="M1191" s="1">
        <f>(formatted_data[[#This Row],[Selling_Price]]-formatted_data[[#This Row],[Discount_Amount]])*formatted_data[[#This Row],[Units]]</f>
        <v>1499</v>
      </c>
      <c r="N1191" s="1">
        <f>formatted_data[[#This Row],[Total_Revenue]]-(formatted_data[[#This Row],[Cost_Price]]*formatted_data[[#This Row],[Units]])</f>
        <v>729</v>
      </c>
      <c r="O1191" s="1" t="s">
        <v>21</v>
      </c>
      <c r="P1191"/>
    </row>
    <row r="1192" spans="1:16" x14ac:dyDescent="0.35">
      <c r="A1192" s="1" t="s">
        <v>91</v>
      </c>
      <c r="B1192" s="1" t="s">
        <v>16</v>
      </c>
      <c r="C1192" s="2">
        <v>45542</v>
      </c>
      <c r="D1192" s="1" t="s">
        <v>31</v>
      </c>
      <c r="E1192" s="1" t="s">
        <v>76</v>
      </c>
      <c r="F1192" s="1" t="s">
        <v>25</v>
      </c>
      <c r="G1192" s="1" t="s">
        <v>20</v>
      </c>
      <c r="H1192" s="1">
        <v>1</v>
      </c>
      <c r="I1192" s="1">
        <v>759</v>
      </c>
      <c r="J1192" s="1">
        <v>1499</v>
      </c>
      <c r="K1192" s="1">
        <v>0</v>
      </c>
      <c r="L1192" s="1">
        <f>ROUNDDOWN(formatted_data[[#This Row],[Selling_Price]]*formatted_data[[#This Row],[Discount_%]]/100,0)</f>
        <v>0</v>
      </c>
      <c r="M1192" s="1">
        <f>(formatted_data[[#This Row],[Selling_Price]]-formatted_data[[#This Row],[Discount_Amount]])*formatted_data[[#This Row],[Units]]</f>
        <v>1499</v>
      </c>
      <c r="N1192" s="1">
        <f>formatted_data[[#This Row],[Total_Revenue]]-(formatted_data[[#This Row],[Cost_Price]]*formatted_data[[#This Row],[Units]])</f>
        <v>740</v>
      </c>
      <c r="O1192" s="1" t="s">
        <v>21</v>
      </c>
      <c r="P1192"/>
    </row>
    <row r="1193" spans="1:16" x14ac:dyDescent="0.35">
      <c r="A1193" s="1" t="s">
        <v>69</v>
      </c>
      <c r="B1193" s="1" t="s">
        <v>16</v>
      </c>
      <c r="C1193" s="2">
        <v>45641</v>
      </c>
      <c r="D1193" s="1" t="s">
        <v>31</v>
      </c>
      <c r="E1193" s="1" t="s">
        <v>32</v>
      </c>
      <c r="F1193" s="1" t="s">
        <v>25</v>
      </c>
      <c r="G1193" s="1" t="s">
        <v>19</v>
      </c>
      <c r="H1193" s="1">
        <v>1</v>
      </c>
      <c r="I1193" s="1">
        <v>1026</v>
      </c>
      <c r="J1193" s="1">
        <v>1399</v>
      </c>
      <c r="K1193" s="1">
        <v>0</v>
      </c>
      <c r="L1193" s="1">
        <f>ROUNDDOWN(formatted_data[[#This Row],[Selling_Price]]*formatted_data[[#This Row],[Discount_%]]/100,0)</f>
        <v>0</v>
      </c>
      <c r="M1193" s="1">
        <f>(formatted_data[[#This Row],[Selling_Price]]-formatted_data[[#This Row],[Discount_Amount]])*formatted_data[[#This Row],[Units]]</f>
        <v>1399</v>
      </c>
      <c r="N1193" s="1">
        <f>formatted_data[[#This Row],[Total_Revenue]]-(formatted_data[[#This Row],[Cost_Price]]*formatted_data[[#This Row],[Units]])</f>
        <v>373</v>
      </c>
      <c r="O1193" s="1" t="s">
        <v>21</v>
      </c>
      <c r="P1193"/>
    </row>
    <row r="1194" spans="1:16" x14ac:dyDescent="0.35">
      <c r="A1194" s="1" t="s">
        <v>61</v>
      </c>
      <c r="B1194" s="1" t="s">
        <v>27</v>
      </c>
      <c r="C1194" s="2">
        <v>45486</v>
      </c>
      <c r="D1194" s="1" t="s">
        <v>17</v>
      </c>
      <c r="E1194" s="1" t="s">
        <v>55</v>
      </c>
      <c r="F1194" s="1" t="s">
        <v>25</v>
      </c>
      <c r="G1194" s="1" t="s">
        <v>19</v>
      </c>
      <c r="H1194" s="1">
        <v>1</v>
      </c>
      <c r="I1194" s="1">
        <v>482</v>
      </c>
      <c r="J1194" s="1">
        <v>699</v>
      </c>
      <c r="K1194" s="1">
        <v>0</v>
      </c>
      <c r="L1194" s="1">
        <f>ROUNDDOWN(formatted_data[[#This Row],[Selling_Price]]*formatted_data[[#This Row],[Discount_%]]/100,0)</f>
        <v>0</v>
      </c>
      <c r="M1194" s="1">
        <f>(formatted_data[[#This Row],[Selling_Price]]-formatted_data[[#This Row],[Discount_Amount]])*formatted_data[[#This Row],[Units]]</f>
        <v>699</v>
      </c>
      <c r="N1194" s="1">
        <f>formatted_data[[#This Row],[Total_Revenue]]-(formatted_data[[#This Row],[Cost_Price]]*formatted_data[[#This Row],[Units]])</f>
        <v>217</v>
      </c>
      <c r="O1194" s="1" t="s">
        <v>21</v>
      </c>
      <c r="P1194"/>
    </row>
    <row r="1195" spans="1:16" x14ac:dyDescent="0.35">
      <c r="A1195" s="1" t="s">
        <v>70</v>
      </c>
      <c r="B1195" s="1" t="s">
        <v>27</v>
      </c>
      <c r="C1195" s="2">
        <v>45471</v>
      </c>
      <c r="D1195" s="1" t="s">
        <v>23</v>
      </c>
      <c r="E1195" s="1" t="s">
        <v>24</v>
      </c>
      <c r="F1195" s="1" t="s">
        <v>19</v>
      </c>
      <c r="G1195" s="1" t="s">
        <v>19</v>
      </c>
      <c r="H1195" s="1">
        <v>3</v>
      </c>
      <c r="I1195" s="1">
        <v>514</v>
      </c>
      <c r="J1195" s="1">
        <v>899</v>
      </c>
      <c r="K1195" s="1">
        <v>10</v>
      </c>
      <c r="L1195" s="1">
        <f>ROUNDDOWN(formatted_data[[#This Row],[Selling_Price]]*formatted_data[[#This Row],[Discount_%]]/100,0)</f>
        <v>89</v>
      </c>
      <c r="M1195" s="1">
        <f>(formatted_data[[#This Row],[Selling_Price]]-formatted_data[[#This Row],[Discount_Amount]])*formatted_data[[#This Row],[Units]]</f>
        <v>2430</v>
      </c>
      <c r="N1195" s="1">
        <f>formatted_data[[#This Row],[Total_Revenue]]-(formatted_data[[#This Row],[Cost_Price]]*formatted_data[[#This Row],[Units]])</f>
        <v>888</v>
      </c>
      <c r="O1195" s="1" t="s">
        <v>21</v>
      </c>
      <c r="P1195"/>
    </row>
    <row r="1196" spans="1:16" x14ac:dyDescent="0.35">
      <c r="A1196" s="1" t="s">
        <v>54</v>
      </c>
      <c r="B1196" s="1" t="s">
        <v>27</v>
      </c>
      <c r="C1196" s="2">
        <v>45467</v>
      </c>
      <c r="D1196" s="1" t="s">
        <v>35</v>
      </c>
      <c r="E1196" s="1" t="s">
        <v>87</v>
      </c>
      <c r="F1196" s="1" t="s">
        <v>19</v>
      </c>
      <c r="G1196" s="1" t="s">
        <v>20</v>
      </c>
      <c r="H1196" s="1">
        <v>1</v>
      </c>
      <c r="I1196" s="1">
        <v>1838</v>
      </c>
      <c r="J1196" s="1">
        <v>2799</v>
      </c>
      <c r="K1196" s="1">
        <v>10</v>
      </c>
      <c r="L1196" s="1">
        <f>ROUNDDOWN(formatted_data[[#This Row],[Selling_Price]]*formatted_data[[#This Row],[Discount_%]]/100,0)</f>
        <v>279</v>
      </c>
      <c r="M1196" s="1">
        <f>(formatted_data[[#This Row],[Selling_Price]]-formatted_data[[#This Row],[Discount_Amount]])*formatted_data[[#This Row],[Units]]</f>
        <v>2520</v>
      </c>
      <c r="N1196" s="1">
        <f>formatted_data[[#This Row],[Total_Revenue]]-(formatted_data[[#This Row],[Cost_Price]]*formatted_data[[#This Row],[Units]])</f>
        <v>682</v>
      </c>
      <c r="O1196" s="1" t="s">
        <v>21</v>
      </c>
      <c r="P1196"/>
    </row>
    <row r="1197" spans="1:16" x14ac:dyDescent="0.35">
      <c r="A1197" s="1" t="s">
        <v>49</v>
      </c>
      <c r="B1197" s="1" t="s">
        <v>27</v>
      </c>
      <c r="C1197" s="2">
        <v>45582</v>
      </c>
      <c r="D1197" s="1" t="s">
        <v>35</v>
      </c>
      <c r="E1197" s="1" t="s">
        <v>41</v>
      </c>
      <c r="F1197" s="1" t="s">
        <v>37</v>
      </c>
      <c r="G1197" s="1" t="s">
        <v>19</v>
      </c>
      <c r="H1197" s="1">
        <v>1</v>
      </c>
      <c r="I1197" s="1">
        <v>519</v>
      </c>
      <c r="J1197" s="1">
        <v>899</v>
      </c>
      <c r="K1197" s="1">
        <v>10</v>
      </c>
      <c r="L1197" s="1">
        <f>ROUNDDOWN(formatted_data[[#This Row],[Selling_Price]]*formatted_data[[#This Row],[Discount_%]]/100,0)</f>
        <v>89</v>
      </c>
      <c r="M1197" s="1">
        <f>(formatted_data[[#This Row],[Selling_Price]]-formatted_data[[#This Row],[Discount_Amount]])*formatted_data[[#This Row],[Units]]</f>
        <v>810</v>
      </c>
      <c r="N1197" s="1">
        <f>formatted_data[[#This Row],[Total_Revenue]]-(formatted_data[[#This Row],[Cost_Price]]*formatted_data[[#This Row],[Units]])</f>
        <v>291</v>
      </c>
      <c r="O1197" s="1" t="s">
        <v>21</v>
      </c>
      <c r="P1197"/>
    </row>
    <row r="1198" spans="1:16" x14ac:dyDescent="0.35">
      <c r="A1198" s="1" t="s">
        <v>88</v>
      </c>
      <c r="B1198" s="1" t="s">
        <v>27</v>
      </c>
      <c r="C1198" s="2">
        <v>45543</v>
      </c>
      <c r="D1198" s="1" t="s">
        <v>28</v>
      </c>
      <c r="E1198" s="1" t="s">
        <v>45</v>
      </c>
      <c r="F1198" s="1" t="s">
        <v>19</v>
      </c>
      <c r="G1198" s="1" t="s">
        <v>19</v>
      </c>
      <c r="H1198" s="1">
        <v>3</v>
      </c>
      <c r="I1198" s="1">
        <v>559</v>
      </c>
      <c r="J1198" s="1">
        <v>899</v>
      </c>
      <c r="K1198" s="1">
        <v>10</v>
      </c>
      <c r="L1198" s="1">
        <f>ROUNDDOWN(formatted_data[[#This Row],[Selling_Price]]*formatted_data[[#This Row],[Discount_%]]/100,0)</f>
        <v>89</v>
      </c>
      <c r="M1198" s="1">
        <f>(formatted_data[[#This Row],[Selling_Price]]-formatted_data[[#This Row],[Discount_Amount]])*formatted_data[[#This Row],[Units]]</f>
        <v>2430</v>
      </c>
      <c r="N1198" s="1">
        <f>formatted_data[[#This Row],[Total_Revenue]]-(formatted_data[[#This Row],[Cost_Price]]*formatted_data[[#This Row],[Units]])</f>
        <v>753</v>
      </c>
      <c r="O1198" s="1" t="s">
        <v>21</v>
      </c>
      <c r="P1198"/>
    </row>
    <row r="1199" spans="1:16" x14ac:dyDescent="0.35">
      <c r="A1199" s="1" t="s">
        <v>81</v>
      </c>
      <c r="B1199" s="1" t="s">
        <v>27</v>
      </c>
      <c r="C1199" s="2">
        <v>45625</v>
      </c>
      <c r="D1199" s="1" t="s">
        <v>23</v>
      </c>
      <c r="E1199" s="1" t="s">
        <v>43</v>
      </c>
      <c r="F1199" s="1" t="s">
        <v>37</v>
      </c>
      <c r="G1199" s="1" t="s">
        <v>19</v>
      </c>
      <c r="H1199" s="1">
        <v>1</v>
      </c>
      <c r="I1199" s="1">
        <v>1166</v>
      </c>
      <c r="J1199" s="1">
        <v>1999</v>
      </c>
      <c r="K1199" s="1">
        <v>5</v>
      </c>
      <c r="L1199" s="1">
        <f>ROUNDDOWN(formatted_data[[#This Row],[Selling_Price]]*formatted_data[[#This Row],[Discount_%]]/100,0)</f>
        <v>99</v>
      </c>
      <c r="M1199" s="1">
        <f>(formatted_data[[#This Row],[Selling_Price]]-formatted_data[[#This Row],[Discount_Amount]])*formatted_data[[#This Row],[Units]]</f>
        <v>1900</v>
      </c>
      <c r="N1199" s="1">
        <f>formatted_data[[#This Row],[Total_Revenue]]-(formatted_data[[#This Row],[Cost_Price]]*formatted_data[[#This Row],[Units]])</f>
        <v>734</v>
      </c>
      <c r="O1199" s="1" t="s">
        <v>21</v>
      </c>
      <c r="P1199"/>
    </row>
    <row r="1200" spans="1:16" x14ac:dyDescent="0.35">
      <c r="A1200" s="1" t="s">
        <v>83</v>
      </c>
      <c r="B1200" s="1" t="s">
        <v>27</v>
      </c>
      <c r="C1200" s="2">
        <v>45649</v>
      </c>
      <c r="D1200" s="1" t="s">
        <v>17</v>
      </c>
      <c r="E1200" s="1" t="s">
        <v>18</v>
      </c>
      <c r="F1200" s="1" t="s">
        <v>37</v>
      </c>
      <c r="G1200" s="1" t="s">
        <v>19</v>
      </c>
      <c r="H1200" s="1">
        <v>5</v>
      </c>
      <c r="I1200" s="1">
        <v>417</v>
      </c>
      <c r="J1200" s="1">
        <v>599</v>
      </c>
      <c r="K1200" s="1">
        <v>0</v>
      </c>
      <c r="L1200" s="1">
        <f>ROUNDDOWN(formatted_data[[#This Row],[Selling_Price]]*formatted_data[[#This Row],[Discount_%]]/100,0)</f>
        <v>0</v>
      </c>
      <c r="M1200" s="1">
        <f>(formatted_data[[#This Row],[Selling_Price]]-formatted_data[[#This Row],[Discount_Amount]])*formatted_data[[#This Row],[Units]]</f>
        <v>2995</v>
      </c>
      <c r="N1200" s="1">
        <f>formatted_data[[#This Row],[Total_Revenue]]-(formatted_data[[#This Row],[Cost_Price]]*formatted_data[[#This Row],[Units]])</f>
        <v>910</v>
      </c>
      <c r="O1200" s="1" t="s">
        <v>21</v>
      </c>
      <c r="P1200"/>
    </row>
    <row r="1201" spans="1:16" x14ac:dyDescent="0.35">
      <c r="A1201" s="1" t="s">
        <v>53</v>
      </c>
      <c r="B1201" s="1" t="s">
        <v>27</v>
      </c>
      <c r="C1201" s="2">
        <v>45638</v>
      </c>
      <c r="D1201" s="1" t="s">
        <v>35</v>
      </c>
      <c r="E1201" s="1" t="s">
        <v>39</v>
      </c>
      <c r="F1201" s="1" t="s">
        <v>25</v>
      </c>
      <c r="G1201" s="1" t="s">
        <v>19</v>
      </c>
      <c r="H1201" s="1">
        <v>4</v>
      </c>
      <c r="I1201" s="1">
        <v>424</v>
      </c>
      <c r="J1201" s="1">
        <v>799</v>
      </c>
      <c r="K1201" s="1">
        <v>10</v>
      </c>
      <c r="L1201" s="1">
        <f>ROUNDDOWN(formatted_data[[#This Row],[Selling_Price]]*formatted_data[[#This Row],[Discount_%]]/100,0)</f>
        <v>79</v>
      </c>
      <c r="M1201" s="1">
        <f>(formatted_data[[#This Row],[Selling_Price]]-formatted_data[[#This Row],[Discount_Amount]])*formatted_data[[#This Row],[Units]]</f>
        <v>2880</v>
      </c>
      <c r="N1201" s="1">
        <f>formatted_data[[#This Row],[Total_Revenue]]-(formatted_data[[#This Row],[Cost_Price]]*formatted_data[[#This Row],[Units]])</f>
        <v>1184</v>
      </c>
      <c r="O1201" s="1" t="s">
        <v>21</v>
      </c>
      <c r="P1201"/>
    </row>
    <row r="1202" spans="1:16" x14ac:dyDescent="0.35">
      <c r="A1202" s="1" t="s">
        <v>54</v>
      </c>
      <c r="B1202" s="1" t="s">
        <v>27</v>
      </c>
      <c r="C1202" s="2">
        <v>45562</v>
      </c>
      <c r="D1202" s="1" t="s">
        <v>23</v>
      </c>
      <c r="E1202" s="1" t="s">
        <v>43</v>
      </c>
      <c r="F1202" s="1" t="s">
        <v>25</v>
      </c>
      <c r="G1202" s="1" t="s">
        <v>20</v>
      </c>
      <c r="H1202" s="1">
        <v>1</v>
      </c>
      <c r="I1202" s="1">
        <v>1805</v>
      </c>
      <c r="J1202" s="1">
        <v>2799</v>
      </c>
      <c r="K1202" s="1">
        <v>20</v>
      </c>
      <c r="L1202" s="1">
        <f>ROUNDDOWN(formatted_data[[#This Row],[Selling_Price]]*formatted_data[[#This Row],[Discount_%]]/100,0)</f>
        <v>559</v>
      </c>
      <c r="M1202" s="1">
        <f>(formatted_data[[#This Row],[Selling_Price]]-formatted_data[[#This Row],[Discount_Amount]])*formatted_data[[#This Row],[Units]]</f>
        <v>2240</v>
      </c>
      <c r="N1202" s="1">
        <f>formatted_data[[#This Row],[Total_Revenue]]-(formatted_data[[#This Row],[Cost_Price]]*formatted_data[[#This Row],[Units]])</f>
        <v>435</v>
      </c>
      <c r="O1202" s="1" t="s">
        <v>21</v>
      </c>
      <c r="P1202"/>
    </row>
    <row r="1203" spans="1:16" x14ac:dyDescent="0.35">
      <c r="A1203" s="1" t="s">
        <v>103</v>
      </c>
      <c r="B1203" s="1" t="s">
        <v>16</v>
      </c>
      <c r="C1203" s="2">
        <v>45536</v>
      </c>
      <c r="D1203" s="1" t="s">
        <v>31</v>
      </c>
      <c r="E1203" s="1" t="s">
        <v>32</v>
      </c>
      <c r="F1203" s="1" t="s">
        <v>37</v>
      </c>
      <c r="G1203" s="1" t="s">
        <v>20</v>
      </c>
      <c r="H1203" s="1">
        <v>4</v>
      </c>
      <c r="I1203" s="1">
        <v>1089</v>
      </c>
      <c r="J1203" s="1">
        <v>1499</v>
      </c>
      <c r="K1203" s="1">
        <v>0</v>
      </c>
      <c r="L1203" s="1">
        <f>ROUNDDOWN(formatted_data[[#This Row],[Selling_Price]]*formatted_data[[#This Row],[Discount_%]]/100,0)</f>
        <v>0</v>
      </c>
      <c r="M1203" s="1">
        <f>(formatted_data[[#This Row],[Selling_Price]]-formatted_data[[#This Row],[Discount_Amount]])*formatted_data[[#This Row],[Units]]</f>
        <v>5996</v>
      </c>
      <c r="N1203" s="1">
        <f>formatted_data[[#This Row],[Total_Revenue]]-(formatted_data[[#This Row],[Cost_Price]]*formatted_data[[#This Row],[Units]])</f>
        <v>1640</v>
      </c>
      <c r="O1203" s="1" t="s">
        <v>33</v>
      </c>
      <c r="P1203"/>
    </row>
    <row r="1204" spans="1:16" x14ac:dyDescent="0.35">
      <c r="A1204" s="1" t="s">
        <v>104</v>
      </c>
      <c r="B1204" s="1" t="s">
        <v>27</v>
      </c>
      <c r="C1204" s="2">
        <v>45542</v>
      </c>
      <c r="D1204" s="1" t="s">
        <v>35</v>
      </c>
      <c r="E1204" s="1" t="s">
        <v>39</v>
      </c>
      <c r="F1204" s="1" t="s">
        <v>37</v>
      </c>
      <c r="G1204" s="1" t="s">
        <v>19</v>
      </c>
      <c r="H1204" s="1">
        <v>2</v>
      </c>
      <c r="I1204" s="1">
        <v>773</v>
      </c>
      <c r="J1204" s="1">
        <v>1199</v>
      </c>
      <c r="K1204" s="1">
        <v>10</v>
      </c>
      <c r="L1204" s="1">
        <f>ROUNDDOWN(formatted_data[[#This Row],[Selling_Price]]*formatted_data[[#This Row],[Discount_%]]/100,0)</f>
        <v>119</v>
      </c>
      <c r="M1204" s="1">
        <f>(formatted_data[[#This Row],[Selling_Price]]-formatted_data[[#This Row],[Discount_Amount]])*formatted_data[[#This Row],[Units]]</f>
        <v>2160</v>
      </c>
      <c r="N1204" s="1">
        <f>formatted_data[[#This Row],[Total_Revenue]]-(formatted_data[[#This Row],[Cost_Price]]*formatted_data[[#This Row],[Units]])</f>
        <v>614</v>
      </c>
      <c r="O1204" s="1" t="s">
        <v>21</v>
      </c>
      <c r="P1204"/>
    </row>
    <row r="1205" spans="1:16" x14ac:dyDescent="0.35">
      <c r="A1205" s="1" t="s">
        <v>78</v>
      </c>
      <c r="B1205" s="1" t="s">
        <v>16</v>
      </c>
      <c r="C1205" s="2">
        <v>45567</v>
      </c>
      <c r="D1205" s="1" t="s">
        <v>23</v>
      </c>
      <c r="E1205" s="1" t="s">
        <v>43</v>
      </c>
      <c r="F1205" s="1" t="s">
        <v>19</v>
      </c>
      <c r="G1205" s="1" t="s">
        <v>19</v>
      </c>
      <c r="H1205" s="1">
        <v>1</v>
      </c>
      <c r="I1205" s="1">
        <v>2010</v>
      </c>
      <c r="J1205" s="1">
        <v>2799</v>
      </c>
      <c r="K1205" s="1">
        <v>10</v>
      </c>
      <c r="L1205" s="1">
        <f>ROUNDDOWN(formatted_data[[#This Row],[Selling_Price]]*formatted_data[[#This Row],[Discount_%]]/100,0)</f>
        <v>279</v>
      </c>
      <c r="M1205" s="1">
        <f>(formatted_data[[#This Row],[Selling_Price]]-formatted_data[[#This Row],[Discount_Amount]])*formatted_data[[#This Row],[Units]]</f>
        <v>2520</v>
      </c>
      <c r="N1205" s="1">
        <f>formatted_data[[#This Row],[Total_Revenue]]-(formatted_data[[#This Row],[Cost_Price]]*formatted_data[[#This Row],[Units]])</f>
        <v>510</v>
      </c>
      <c r="O1205" s="1" t="s">
        <v>21</v>
      </c>
      <c r="P1205"/>
    </row>
    <row r="1206" spans="1:16" x14ac:dyDescent="0.35">
      <c r="A1206" s="1" t="s">
        <v>40</v>
      </c>
      <c r="B1206" s="1" t="s">
        <v>27</v>
      </c>
      <c r="C1206" s="2">
        <v>45480</v>
      </c>
      <c r="D1206" s="1" t="s">
        <v>23</v>
      </c>
      <c r="E1206" s="1" t="s">
        <v>24</v>
      </c>
      <c r="F1206" s="1" t="s">
        <v>25</v>
      </c>
      <c r="G1206" s="1" t="s">
        <v>20</v>
      </c>
      <c r="H1206" s="1">
        <v>1</v>
      </c>
      <c r="I1206" s="1">
        <v>577</v>
      </c>
      <c r="J1206" s="1">
        <v>999</v>
      </c>
      <c r="K1206" s="1">
        <v>20</v>
      </c>
      <c r="L1206" s="1">
        <f>ROUNDDOWN(formatted_data[[#This Row],[Selling_Price]]*formatted_data[[#This Row],[Discount_%]]/100,0)</f>
        <v>199</v>
      </c>
      <c r="M1206" s="1">
        <f>(formatted_data[[#This Row],[Selling_Price]]-formatted_data[[#This Row],[Discount_Amount]])*formatted_data[[#This Row],[Units]]</f>
        <v>800</v>
      </c>
      <c r="N1206" s="1">
        <f>formatted_data[[#This Row],[Total_Revenue]]-(formatted_data[[#This Row],[Cost_Price]]*formatted_data[[#This Row],[Units]])</f>
        <v>223</v>
      </c>
      <c r="O1206" s="1" t="s">
        <v>33</v>
      </c>
      <c r="P1206"/>
    </row>
    <row r="1207" spans="1:16" x14ac:dyDescent="0.35">
      <c r="A1207" s="1" t="s">
        <v>93</v>
      </c>
      <c r="B1207" s="1" t="s">
        <v>16</v>
      </c>
      <c r="C1207" s="2">
        <v>45468</v>
      </c>
      <c r="D1207" s="1" t="s">
        <v>23</v>
      </c>
      <c r="E1207" s="1" t="s">
        <v>24</v>
      </c>
      <c r="F1207" s="1" t="s">
        <v>25</v>
      </c>
      <c r="G1207" s="1" t="s">
        <v>20</v>
      </c>
      <c r="H1207" s="1">
        <v>1</v>
      </c>
      <c r="I1207" s="1">
        <v>1557</v>
      </c>
      <c r="J1207" s="1">
        <v>2299</v>
      </c>
      <c r="K1207" s="1">
        <v>10</v>
      </c>
      <c r="L1207" s="1">
        <f>ROUNDDOWN(formatted_data[[#This Row],[Selling_Price]]*formatted_data[[#This Row],[Discount_%]]/100,0)</f>
        <v>229</v>
      </c>
      <c r="M1207" s="1">
        <f>(formatted_data[[#This Row],[Selling_Price]]-formatted_data[[#This Row],[Discount_Amount]])*formatted_data[[#This Row],[Units]]</f>
        <v>2070</v>
      </c>
      <c r="N1207" s="1">
        <f>formatted_data[[#This Row],[Total_Revenue]]-(formatted_data[[#This Row],[Cost_Price]]*formatted_data[[#This Row],[Units]])</f>
        <v>513</v>
      </c>
      <c r="O1207" s="1" t="s">
        <v>21</v>
      </c>
      <c r="P1207"/>
    </row>
    <row r="1208" spans="1:16" x14ac:dyDescent="0.35">
      <c r="A1208" s="1" t="s">
        <v>80</v>
      </c>
      <c r="B1208" s="1" t="s">
        <v>27</v>
      </c>
      <c r="C1208" s="2">
        <v>45537</v>
      </c>
      <c r="D1208" s="1" t="s">
        <v>31</v>
      </c>
      <c r="E1208" s="1" t="s">
        <v>32</v>
      </c>
      <c r="F1208" s="1" t="s">
        <v>25</v>
      </c>
      <c r="G1208" s="1" t="s">
        <v>20</v>
      </c>
      <c r="H1208" s="1">
        <v>1</v>
      </c>
      <c r="I1208" s="1">
        <v>616</v>
      </c>
      <c r="J1208" s="1">
        <v>899</v>
      </c>
      <c r="K1208" s="1">
        <v>0</v>
      </c>
      <c r="L1208" s="1">
        <f>ROUNDDOWN(formatted_data[[#This Row],[Selling_Price]]*formatted_data[[#This Row],[Discount_%]]/100,0)</f>
        <v>0</v>
      </c>
      <c r="M1208" s="1">
        <f>(formatted_data[[#This Row],[Selling_Price]]-formatted_data[[#This Row],[Discount_Amount]])*formatted_data[[#This Row],[Units]]</f>
        <v>899</v>
      </c>
      <c r="N1208" s="1">
        <f>formatted_data[[#This Row],[Total_Revenue]]-(formatted_data[[#This Row],[Cost_Price]]*formatted_data[[#This Row],[Units]])</f>
        <v>283</v>
      </c>
      <c r="O1208" s="1" t="s">
        <v>33</v>
      </c>
      <c r="P1208"/>
    </row>
    <row r="1209" spans="1:16" x14ac:dyDescent="0.35">
      <c r="A1209" s="1" t="s">
        <v>30</v>
      </c>
      <c r="B1209" s="1" t="s">
        <v>16</v>
      </c>
      <c r="C1209" s="2">
        <v>45569</v>
      </c>
      <c r="D1209" s="1" t="s">
        <v>17</v>
      </c>
      <c r="E1209" s="1" t="s">
        <v>48</v>
      </c>
      <c r="F1209" s="1" t="s">
        <v>19</v>
      </c>
      <c r="G1209" s="1" t="s">
        <v>20</v>
      </c>
      <c r="H1209" s="1">
        <v>1</v>
      </c>
      <c r="I1209" s="1">
        <v>297</v>
      </c>
      <c r="J1209" s="1">
        <v>499</v>
      </c>
      <c r="K1209" s="1">
        <v>0</v>
      </c>
      <c r="L1209" s="1">
        <f>ROUNDDOWN(formatted_data[[#This Row],[Selling_Price]]*formatted_data[[#This Row],[Discount_%]]/100,0)</f>
        <v>0</v>
      </c>
      <c r="M1209" s="1">
        <f>(formatted_data[[#This Row],[Selling_Price]]-formatted_data[[#This Row],[Discount_Amount]])*formatted_data[[#This Row],[Units]]</f>
        <v>499</v>
      </c>
      <c r="N1209" s="1">
        <f>formatted_data[[#This Row],[Total_Revenue]]-(formatted_data[[#This Row],[Cost_Price]]*formatted_data[[#This Row],[Units]])</f>
        <v>202</v>
      </c>
      <c r="O1209" s="1" t="s">
        <v>33</v>
      </c>
      <c r="P1209"/>
    </row>
    <row r="1210" spans="1:16" x14ac:dyDescent="0.35">
      <c r="A1210" s="1" t="s">
        <v>44</v>
      </c>
      <c r="B1210" s="1" t="s">
        <v>16</v>
      </c>
      <c r="C1210" s="2">
        <v>45496</v>
      </c>
      <c r="D1210" s="1" t="s">
        <v>31</v>
      </c>
      <c r="E1210" s="1" t="s">
        <v>76</v>
      </c>
      <c r="F1210" s="1" t="s">
        <v>37</v>
      </c>
      <c r="G1210" s="1" t="s">
        <v>20</v>
      </c>
      <c r="H1210" s="1">
        <v>3</v>
      </c>
      <c r="I1210" s="1">
        <v>616</v>
      </c>
      <c r="J1210" s="1">
        <v>999</v>
      </c>
      <c r="K1210" s="1">
        <v>0</v>
      </c>
      <c r="L1210" s="1">
        <f>ROUNDDOWN(formatted_data[[#This Row],[Selling_Price]]*formatted_data[[#This Row],[Discount_%]]/100,0)</f>
        <v>0</v>
      </c>
      <c r="M1210" s="1">
        <f>(formatted_data[[#This Row],[Selling_Price]]-formatted_data[[#This Row],[Discount_Amount]])*formatted_data[[#This Row],[Units]]</f>
        <v>2997</v>
      </c>
      <c r="N1210" s="1">
        <f>formatted_data[[#This Row],[Total_Revenue]]-(formatted_data[[#This Row],[Cost_Price]]*formatted_data[[#This Row],[Units]])</f>
        <v>1149</v>
      </c>
      <c r="O1210" s="1" t="s">
        <v>33</v>
      </c>
      <c r="P1210"/>
    </row>
    <row r="1211" spans="1:16" x14ac:dyDescent="0.35">
      <c r="A1211" s="1" t="s">
        <v>97</v>
      </c>
      <c r="B1211" s="1" t="s">
        <v>16</v>
      </c>
      <c r="C1211" s="2">
        <v>45531</v>
      </c>
      <c r="D1211" s="1" t="s">
        <v>31</v>
      </c>
      <c r="E1211" s="1" t="s">
        <v>76</v>
      </c>
      <c r="F1211" s="1" t="s">
        <v>25</v>
      </c>
      <c r="G1211" s="1" t="s">
        <v>20</v>
      </c>
      <c r="H1211" s="1">
        <v>3</v>
      </c>
      <c r="I1211" s="1">
        <v>816</v>
      </c>
      <c r="J1211" s="1">
        <v>1499</v>
      </c>
      <c r="K1211" s="1">
        <v>0</v>
      </c>
      <c r="L1211" s="1">
        <f>ROUNDDOWN(formatted_data[[#This Row],[Selling_Price]]*formatted_data[[#This Row],[Discount_%]]/100,0)</f>
        <v>0</v>
      </c>
      <c r="M1211" s="1">
        <f>(formatted_data[[#This Row],[Selling_Price]]-formatted_data[[#This Row],[Discount_Amount]])*formatted_data[[#This Row],[Units]]</f>
        <v>4497</v>
      </c>
      <c r="N1211" s="1">
        <f>formatted_data[[#This Row],[Total_Revenue]]-(formatted_data[[#This Row],[Cost_Price]]*formatted_data[[#This Row],[Units]])</f>
        <v>2049</v>
      </c>
      <c r="O1211" s="1" t="s">
        <v>21</v>
      </c>
      <c r="P1211"/>
    </row>
    <row r="1212" spans="1:16" x14ac:dyDescent="0.35">
      <c r="A1212" s="1" t="s">
        <v>107</v>
      </c>
      <c r="B1212" s="1" t="s">
        <v>27</v>
      </c>
      <c r="C1212" s="2">
        <v>45584</v>
      </c>
      <c r="D1212" s="1" t="s">
        <v>28</v>
      </c>
      <c r="E1212" s="1" t="s">
        <v>45</v>
      </c>
      <c r="F1212" s="1" t="s">
        <v>19</v>
      </c>
      <c r="G1212" s="1" t="s">
        <v>19</v>
      </c>
      <c r="H1212" s="1">
        <v>3</v>
      </c>
      <c r="I1212" s="1">
        <v>451</v>
      </c>
      <c r="J1212" s="1">
        <v>899</v>
      </c>
      <c r="K1212" s="1">
        <v>10</v>
      </c>
      <c r="L1212" s="1">
        <f>ROUNDDOWN(formatted_data[[#This Row],[Selling_Price]]*formatted_data[[#This Row],[Discount_%]]/100,0)</f>
        <v>89</v>
      </c>
      <c r="M1212" s="1">
        <f>(formatted_data[[#This Row],[Selling_Price]]-formatted_data[[#This Row],[Discount_Amount]])*formatted_data[[#This Row],[Units]]</f>
        <v>2430</v>
      </c>
      <c r="N1212" s="1">
        <f>formatted_data[[#This Row],[Total_Revenue]]-(formatted_data[[#This Row],[Cost_Price]]*formatted_data[[#This Row],[Units]])</f>
        <v>1077</v>
      </c>
      <c r="O1212" s="1" t="s">
        <v>33</v>
      </c>
      <c r="P1212"/>
    </row>
    <row r="1213" spans="1:16" x14ac:dyDescent="0.35">
      <c r="A1213" s="1" t="s">
        <v>15</v>
      </c>
      <c r="B1213" s="1" t="s">
        <v>16</v>
      </c>
      <c r="C1213" s="2">
        <v>45514</v>
      </c>
      <c r="D1213" s="1" t="s">
        <v>31</v>
      </c>
      <c r="E1213" s="1" t="s">
        <v>32</v>
      </c>
      <c r="F1213" s="1" t="s">
        <v>25</v>
      </c>
      <c r="G1213" s="1" t="s">
        <v>20</v>
      </c>
      <c r="H1213" s="1">
        <v>1</v>
      </c>
      <c r="I1213" s="1">
        <v>711</v>
      </c>
      <c r="J1213" s="1">
        <v>1199</v>
      </c>
      <c r="K1213" s="1">
        <v>0</v>
      </c>
      <c r="L1213" s="1">
        <f>ROUNDDOWN(formatted_data[[#This Row],[Selling_Price]]*formatted_data[[#This Row],[Discount_%]]/100,0)</f>
        <v>0</v>
      </c>
      <c r="M1213" s="1">
        <f>(formatted_data[[#This Row],[Selling_Price]]-formatted_data[[#This Row],[Discount_Amount]])*formatted_data[[#This Row],[Units]]</f>
        <v>1199</v>
      </c>
      <c r="N1213" s="1">
        <f>formatted_data[[#This Row],[Total_Revenue]]-(formatted_data[[#This Row],[Cost_Price]]*formatted_data[[#This Row],[Units]])</f>
        <v>488</v>
      </c>
      <c r="O1213" s="1" t="s">
        <v>21</v>
      </c>
      <c r="P1213"/>
    </row>
    <row r="1214" spans="1:16" x14ac:dyDescent="0.35">
      <c r="A1214" s="1" t="s">
        <v>60</v>
      </c>
      <c r="B1214" s="1" t="s">
        <v>27</v>
      </c>
      <c r="C1214" s="2">
        <v>45634</v>
      </c>
      <c r="D1214" s="1" t="s">
        <v>35</v>
      </c>
      <c r="E1214" s="1" t="s">
        <v>58</v>
      </c>
      <c r="F1214" s="1" t="s">
        <v>25</v>
      </c>
      <c r="G1214" s="1" t="s">
        <v>19</v>
      </c>
      <c r="H1214" s="1">
        <v>4</v>
      </c>
      <c r="I1214" s="1">
        <v>1453</v>
      </c>
      <c r="J1214" s="1">
        <v>2399</v>
      </c>
      <c r="K1214" s="1">
        <v>15</v>
      </c>
      <c r="L1214" s="1">
        <f>ROUNDDOWN(formatted_data[[#This Row],[Selling_Price]]*formatted_data[[#This Row],[Discount_%]]/100,0)</f>
        <v>359</v>
      </c>
      <c r="M1214" s="1">
        <f>(formatted_data[[#This Row],[Selling_Price]]-formatted_data[[#This Row],[Discount_Amount]])*formatted_data[[#This Row],[Units]]</f>
        <v>8160</v>
      </c>
      <c r="N1214" s="1">
        <f>formatted_data[[#This Row],[Total_Revenue]]-(formatted_data[[#This Row],[Cost_Price]]*formatted_data[[#This Row],[Units]])</f>
        <v>2348</v>
      </c>
      <c r="O1214" s="1" t="s">
        <v>21</v>
      </c>
      <c r="P1214"/>
    </row>
    <row r="1215" spans="1:16" x14ac:dyDescent="0.35">
      <c r="A1215" s="1" t="s">
        <v>62</v>
      </c>
      <c r="B1215" s="1" t="s">
        <v>16</v>
      </c>
      <c r="C1215" s="2">
        <v>45622</v>
      </c>
      <c r="D1215" s="1" t="s">
        <v>28</v>
      </c>
      <c r="E1215" s="1" t="s">
        <v>45</v>
      </c>
      <c r="F1215" s="1" t="s">
        <v>25</v>
      </c>
      <c r="G1215" s="1" t="s">
        <v>20</v>
      </c>
      <c r="H1215" s="1">
        <v>5</v>
      </c>
      <c r="I1215" s="1">
        <v>948</v>
      </c>
      <c r="J1215" s="1">
        <v>1499</v>
      </c>
      <c r="K1215" s="1">
        <v>20</v>
      </c>
      <c r="L1215" s="1">
        <f>ROUNDDOWN(formatted_data[[#This Row],[Selling_Price]]*formatted_data[[#This Row],[Discount_%]]/100,0)</f>
        <v>299</v>
      </c>
      <c r="M1215" s="1">
        <f>(formatted_data[[#This Row],[Selling_Price]]-formatted_data[[#This Row],[Discount_Amount]])*formatted_data[[#This Row],[Units]]</f>
        <v>6000</v>
      </c>
      <c r="N1215" s="1">
        <f>formatted_data[[#This Row],[Total_Revenue]]-(formatted_data[[#This Row],[Cost_Price]]*formatted_data[[#This Row],[Units]])</f>
        <v>1260</v>
      </c>
      <c r="O1215" s="1" t="s">
        <v>33</v>
      </c>
      <c r="P1215"/>
    </row>
    <row r="1216" spans="1:16" x14ac:dyDescent="0.35">
      <c r="A1216" s="1" t="s">
        <v>26</v>
      </c>
      <c r="B1216" s="1" t="s">
        <v>27</v>
      </c>
      <c r="C1216" s="2">
        <v>45573</v>
      </c>
      <c r="D1216" s="1" t="s">
        <v>17</v>
      </c>
      <c r="E1216" s="1" t="s">
        <v>18</v>
      </c>
      <c r="F1216" s="1" t="s">
        <v>37</v>
      </c>
      <c r="G1216" s="1" t="s">
        <v>19</v>
      </c>
      <c r="H1216" s="1">
        <v>1</v>
      </c>
      <c r="I1216" s="1">
        <v>341</v>
      </c>
      <c r="J1216" s="1">
        <v>599</v>
      </c>
      <c r="K1216" s="1">
        <v>0</v>
      </c>
      <c r="L1216" s="1">
        <f>ROUNDDOWN(formatted_data[[#This Row],[Selling_Price]]*formatted_data[[#This Row],[Discount_%]]/100,0)</f>
        <v>0</v>
      </c>
      <c r="M1216" s="1">
        <f>(formatted_data[[#This Row],[Selling_Price]]-formatted_data[[#This Row],[Discount_Amount]])*formatted_data[[#This Row],[Units]]</f>
        <v>599</v>
      </c>
      <c r="N1216" s="1">
        <f>formatted_data[[#This Row],[Total_Revenue]]-(formatted_data[[#This Row],[Cost_Price]]*formatted_data[[#This Row],[Units]])</f>
        <v>258</v>
      </c>
      <c r="O1216" s="1" t="s">
        <v>33</v>
      </c>
      <c r="P1216"/>
    </row>
    <row r="1217" spans="1:16" x14ac:dyDescent="0.35">
      <c r="A1217" s="1" t="s">
        <v>75</v>
      </c>
      <c r="B1217" s="1" t="s">
        <v>27</v>
      </c>
      <c r="C1217" s="2">
        <v>45528</v>
      </c>
      <c r="D1217" s="1" t="s">
        <v>23</v>
      </c>
      <c r="E1217" s="1" t="s">
        <v>43</v>
      </c>
      <c r="F1217" s="1" t="s">
        <v>37</v>
      </c>
      <c r="G1217" s="1" t="s">
        <v>19</v>
      </c>
      <c r="H1217" s="1">
        <v>3</v>
      </c>
      <c r="I1217" s="1">
        <v>2460</v>
      </c>
      <c r="J1217" s="1">
        <v>3399</v>
      </c>
      <c r="K1217" s="1">
        <v>10</v>
      </c>
      <c r="L1217" s="1">
        <f>ROUNDDOWN(formatted_data[[#This Row],[Selling_Price]]*formatted_data[[#This Row],[Discount_%]]/100,0)</f>
        <v>339</v>
      </c>
      <c r="M1217" s="1">
        <f>(formatted_data[[#This Row],[Selling_Price]]-formatted_data[[#This Row],[Discount_Amount]])*formatted_data[[#This Row],[Units]]</f>
        <v>9180</v>
      </c>
      <c r="N1217" s="1">
        <f>formatted_data[[#This Row],[Total_Revenue]]-(formatted_data[[#This Row],[Cost_Price]]*formatted_data[[#This Row],[Units]])</f>
        <v>1800</v>
      </c>
      <c r="O1217" s="1" t="s">
        <v>33</v>
      </c>
      <c r="P1217"/>
    </row>
    <row r="1218" spans="1:16" x14ac:dyDescent="0.35">
      <c r="A1218" s="1" t="s">
        <v>74</v>
      </c>
      <c r="B1218" s="1" t="s">
        <v>16</v>
      </c>
      <c r="C1218" s="2">
        <v>45601</v>
      </c>
      <c r="D1218" s="1" t="s">
        <v>17</v>
      </c>
      <c r="E1218" s="1" t="s">
        <v>48</v>
      </c>
      <c r="F1218" s="1" t="s">
        <v>25</v>
      </c>
      <c r="G1218" s="1" t="s">
        <v>19</v>
      </c>
      <c r="H1218" s="1">
        <v>1</v>
      </c>
      <c r="I1218" s="1">
        <v>263</v>
      </c>
      <c r="J1218" s="1">
        <v>399</v>
      </c>
      <c r="K1218" s="1">
        <v>0</v>
      </c>
      <c r="L1218" s="1">
        <f>ROUNDDOWN(formatted_data[[#This Row],[Selling_Price]]*formatted_data[[#This Row],[Discount_%]]/100,0)</f>
        <v>0</v>
      </c>
      <c r="M1218" s="1">
        <f>(formatted_data[[#This Row],[Selling_Price]]-formatted_data[[#This Row],[Discount_Amount]])*formatted_data[[#This Row],[Units]]</f>
        <v>399</v>
      </c>
      <c r="N1218" s="1">
        <f>formatted_data[[#This Row],[Total_Revenue]]-(formatted_data[[#This Row],[Cost_Price]]*formatted_data[[#This Row],[Units]])</f>
        <v>136</v>
      </c>
      <c r="O1218" s="1" t="s">
        <v>33</v>
      </c>
      <c r="P1218"/>
    </row>
    <row r="1219" spans="1:16" x14ac:dyDescent="0.35">
      <c r="A1219" s="1" t="s">
        <v>60</v>
      </c>
      <c r="B1219" s="1" t="s">
        <v>27</v>
      </c>
      <c r="C1219" s="2">
        <v>45608</v>
      </c>
      <c r="D1219" s="1" t="s">
        <v>28</v>
      </c>
      <c r="E1219" s="1" t="s">
        <v>45</v>
      </c>
      <c r="F1219" s="1" t="s">
        <v>37</v>
      </c>
      <c r="G1219" s="1" t="s">
        <v>20</v>
      </c>
      <c r="H1219" s="1">
        <v>5</v>
      </c>
      <c r="I1219" s="1">
        <v>1171</v>
      </c>
      <c r="J1219" s="1">
        <v>2199</v>
      </c>
      <c r="K1219" s="1">
        <v>15</v>
      </c>
      <c r="L1219" s="1">
        <f>ROUNDDOWN(formatted_data[[#This Row],[Selling_Price]]*formatted_data[[#This Row],[Discount_%]]/100,0)</f>
        <v>329</v>
      </c>
      <c r="M1219" s="1">
        <f>(formatted_data[[#This Row],[Selling_Price]]-formatted_data[[#This Row],[Discount_Amount]])*formatted_data[[#This Row],[Units]]</f>
        <v>9350</v>
      </c>
      <c r="N1219" s="1">
        <f>formatted_data[[#This Row],[Total_Revenue]]-(formatted_data[[#This Row],[Cost_Price]]*formatted_data[[#This Row],[Units]])</f>
        <v>3495</v>
      </c>
      <c r="O1219" s="1" t="s">
        <v>21</v>
      </c>
      <c r="P1219"/>
    </row>
    <row r="1220" spans="1:16" x14ac:dyDescent="0.35">
      <c r="A1220" s="1" t="s">
        <v>30</v>
      </c>
      <c r="B1220" s="1" t="s">
        <v>16</v>
      </c>
      <c r="C1220" s="2">
        <v>45551</v>
      </c>
      <c r="D1220" s="1" t="s">
        <v>17</v>
      </c>
      <c r="E1220" s="1" t="s">
        <v>18</v>
      </c>
      <c r="F1220" s="1" t="s">
        <v>37</v>
      </c>
      <c r="G1220" s="1" t="s">
        <v>20</v>
      </c>
      <c r="H1220" s="1">
        <v>1</v>
      </c>
      <c r="I1220" s="1">
        <v>150</v>
      </c>
      <c r="J1220" s="1">
        <v>299</v>
      </c>
      <c r="K1220" s="1">
        <v>0</v>
      </c>
      <c r="L1220" s="1">
        <f>ROUNDDOWN(formatted_data[[#This Row],[Selling_Price]]*formatted_data[[#This Row],[Discount_%]]/100,0)</f>
        <v>0</v>
      </c>
      <c r="M1220" s="1">
        <f>(formatted_data[[#This Row],[Selling_Price]]-formatted_data[[#This Row],[Discount_Amount]])*formatted_data[[#This Row],[Units]]</f>
        <v>299</v>
      </c>
      <c r="N1220" s="1">
        <f>formatted_data[[#This Row],[Total_Revenue]]-(formatted_data[[#This Row],[Cost_Price]]*formatted_data[[#This Row],[Units]])</f>
        <v>149</v>
      </c>
      <c r="O1220" s="1" t="s">
        <v>33</v>
      </c>
      <c r="P1220"/>
    </row>
    <row r="1221" spans="1:16" x14ac:dyDescent="0.35">
      <c r="A1221" s="1" t="s">
        <v>52</v>
      </c>
      <c r="B1221" s="1" t="s">
        <v>27</v>
      </c>
      <c r="C1221" s="2">
        <v>45567</v>
      </c>
      <c r="D1221" s="1" t="s">
        <v>31</v>
      </c>
      <c r="E1221" s="1" t="s">
        <v>32</v>
      </c>
      <c r="F1221" s="1" t="s">
        <v>25</v>
      </c>
      <c r="G1221" s="1" t="s">
        <v>20</v>
      </c>
      <c r="H1221" s="1">
        <v>5</v>
      </c>
      <c r="I1221" s="1">
        <v>882</v>
      </c>
      <c r="J1221" s="1">
        <v>1499</v>
      </c>
      <c r="K1221" s="1">
        <v>0</v>
      </c>
      <c r="L1221" s="1">
        <f>ROUNDDOWN(formatted_data[[#This Row],[Selling_Price]]*formatted_data[[#This Row],[Discount_%]]/100,0)</f>
        <v>0</v>
      </c>
      <c r="M1221" s="1">
        <f>(formatted_data[[#This Row],[Selling_Price]]-formatted_data[[#This Row],[Discount_Amount]])*formatted_data[[#This Row],[Units]]</f>
        <v>7495</v>
      </c>
      <c r="N1221" s="1">
        <f>formatted_data[[#This Row],[Total_Revenue]]-(formatted_data[[#This Row],[Cost_Price]]*formatted_data[[#This Row],[Units]])</f>
        <v>3085</v>
      </c>
      <c r="O1221" s="1" t="s">
        <v>21</v>
      </c>
      <c r="P1221"/>
    </row>
    <row r="1222" spans="1:16" x14ac:dyDescent="0.35">
      <c r="A1222" s="1" t="s">
        <v>60</v>
      </c>
      <c r="B1222" s="1" t="s">
        <v>27</v>
      </c>
      <c r="C1222" s="2">
        <v>45501</v>
      </c>
      <c r="D1222" s="1" t="s">
        <v>23</v>
      </c>
      <c r="E1222" s="1" t="s">
        <v>43</v>
      </c>
      <c r="F1222" s="1" t="s">
        <v>19</v>
      </c>
      <c r="G1222" s="1" t="s">
        <v>20</v>
      </c>
      <c r="H1222" s="1">
        <v>5</v>
      </c>
      <c r="I1222" s="1">
        <v>2021</v>
      </c>
      <c r="J1222" s="1">
        <v>3399</v>
      </c>
      <c r="K1222" s="1">
        <v>10</v>
      </c>
      <c r="L1222" s="1">
        <f>ROUNDDOWN(formatted_data[[#This Row],[Selling_Price]]*formatted_data[[#This Row],[Discount_%]]/100,0)</f>
        <v>339</v>
      </c>
      <c r="M1222" s="1">
        <f>(formatted_data[[#This Row],[Selling_Price]]-formatted_data[[#This Row],[Discount_Amount]])*formatted_data[[#This Row],[Units]]</f>
        <v>15300</v>
      </c>
      <c r="N1222" s="1">
        <f>formatted_data[[#This Row],[Total_Revenue]]-(formatted_data[[#This Row],[Cost_Price]]*formatted_data[[#This Row],[Units]])</f>
        <v>5195</v>
      </c>
      <c r="O1222" s="1" t="s">
        <v>21</v>
      </c>
      <c r="P1222"/>
    </row>
    <row r="1223" spans="1:16" x14ac:dyDescent="0.35">
      <c r="A1223" s="1" t="s">
        <v>107</v>
      </c>
      <c r="B1223" s="1" t="s">
        <v>27</v>
      </c>
      <c r="C1223" s="2">
        <v>45464</v>
      </c>
      <c r="D1223" s="1" t="s">
        <v>17</v>
      </c>
      <c r="E1223" s="1" t="s">
        <v>18</v>
      </c>
      <c r="F1223" s="1" t="s">
        <v>19</v>
      </c>
      <c r="G1223" s="1" t="s">
        <v>20</v>
      </c>
      <c r="H1223" s="1">
        <v>4</v>
      </c>
      <c r="I1223" s="1">
        <v>344</v>
      </c>
      <c r="J1223" s="1">
        <v>499</v>
      </c>
      <c r="K1223" s="1">
        <v>0</v>
      </c>
      <c r="L1223" s="1">
        <f>ROUNDDOWN(formatted_data[[#This Row],[Selling_Price]]*formatted_data[[#This Row],[Discount_%]]/100,0)</f>
        <v>0</v>
      </c>
      <c r="M1223" s="1">
        <f>(formatted_data[[#This Row],[Selling_Price]]-formatted_data[[#This Row],[Discount_Amount]])*formatted_data[[#This Row],[Units]]</f>
        <v>1996</v>
      </c>
      <c r="N1223" s="1">
        <f>formatted_data[[#This Row],[Total_Revenue]]-(formatted_data[[#This Row],[Cost_Price]]*formatted_data[[#This Row],[Units]])</f>
        <v>620</v>
      </c>
      <c r="O1223" s="1" t="s">
        <v>33</v>
      </c>
      <c r="P1223"/>
    </row>
    <row r="1224" spans="1:16" x14ac:dyDescent="0.35">
      <c r="A1224" s="1" t="s">
        <v>42</v>
      </c>
      <c r="B1224" s="1" t="s">
        <v>27</v>
      </c>
      <c r="C1224" s="2">
        <v>45589</v>
      </c>
      <c r="D1224" s="1" t="s">
        <v>23</v>
      </c>
      <c r="E1224" s="1" t="s">
        <v>24</v>
      </c>
      <c r="F1224" s="1" t="s">
        <v>37</v>
      </c>
      <c r="G1224" s="1" t="s">
        <v>19</v>
      </c>
      <c r="H1224" s="1">
        <v>5</v>
      </c>
      <c r="I1224" s="1">
        <v>878</v>
      </c>
      <c r="J1224" s="1">
        <v>1199</v>
      </c>
      <c r="K1224" s="1">
        <v>15</v>
      </c>
      <c r="L1224" s="1">
        <f>ROUNDDOWN(formatted_data[[#This Row],[Selling_Price]]*formatted_data[[#This Row],[Discount_%]]/100,0)</f>
        <v>179</v>
      </c>
      <c r="M1224" s="1">
        <f>(formatted_data[[#This Row],[Selling_Price]]-formatted_data[[#This Row],[Discount_Amount]])*formatted_data[[#This Row],[Units]]</f>
        <v>5100</v>
      </c>
      <c r="N1224" s="1">
        <f>formatted_data[[#This Row],[Total_Revenue]]-(formatted_data[[#This Row],[Cost_Price]]*formatted_data[[#This Row],[Units]])</f>
        <v>710</v>
      </c>
      <c r="O1224" s="1" t="s">
        <v>21</v>
      </c>
      <c r="P1224"/>
    </row>
    <row r="1225" spans="1:16" x14ac:dyDescent="0.35">
      <c r="A1225" s="1" t="s">
        <v>84</v>
      </c>
      <c r="B1225" s="1" t="s">
        <v>27</v>
      </c>
      <c r="C1225" s="2">
        <v>45560</v>
      </c>
      <c r="D1225" s="1" t="s">
        <v>17</v>
      </c>
      <c r="E1225" s="1" t="s">
        <v>72</v>
      </c>
      <c r="F1225" s="1" t="s">
        <v>19</v>
      </c>
      <c r="G1225" s="1" t="s">
        <v>20</v>
      </c>
      <c r="H1225" s="1">
        <v>2</v>
      </c>
      <c r="I1225" s="1">
        <v>274</v>
      </c>
      <c r="J1225" s="1">
        <v>399</v>
      </c>
      <c r="K1225" s="1">
        <v>0</v>
      </c>
      <c r="L1225" s="1">
        <f>ROUNDDOWN(formatted_data[[#This Row],[Selling_Price]]*formatted_data[[#This Row],[Discount_%]]/100,0)</f>
        <v>0</v>
      </c>
      <c r="M1225" s="1">
        <f>(formatted_data[[#This Row],[Selling_Price]]-formatted_data[[#This Row],[Discount_Amount]])*formatted_data[[#This Row],[Units]]</f>
        <v>798</v>
      </c>
      <c r="N1225" s="1">
        <f>formatted_data[[#This Row],[Total_Revenue]]-(formatted_data[[#This Row],[Cost_Price]]*formatted_data[[#This Row],[Units]])</f>
        <v>250</v>
      </c>
      <c r="O1225" s="1" t="s">
        <v>33</v>
      </c>
      <c r="P1225"/>
    </row>
    <row r="1226" spans="1:16" x14ac:dyDescent="0.35">
      <c r="A1226" s="1" t="s">
        <v>67</v>
      </c>
      <c r="B1226" s="1" t="s">
        <v>27</v>
      </c>
      <c r="C1226" s="2">
        <v>45609</v>
      </c>
      <c r="D1226" s="1" t="s">
        <v>23</v>
      </c>
      <c r="E1226" s="1" t="s">
        <v>43</v>
      </c>
      <c r="F1226" s="1" t="s">
        <v>25</v>
      </c>
      <c r="G1226" s="1" t="s">
        <v>20</v>
      </c>
      <c r="H1226" s="1">
        <v>1</v>
      </c>
      <c r="I1226" s="1">
        <v>2335</v>
      </c>
      <c r="J1226" s="1">
        <v>3399</v>
      </c>
      <c r="K1226" s="1">
        <v>10</v>
      </c>
      <c r="L1226" s="1">
        <f>ROUNDDOWN(formatted_data[[#This Row],[Selling_Price]]*formatted_data[[#This Row],[Discount_%]]/100,0)</f>
        <v>339</v>
      </c>
      <c r="M1226" s="1">
        <f>(formatted_data[[#This Row],[Selling_Price]]-formatted_data[[#This Row],[Discount_Amount]])*formatted_data[[#This Row],[Units]]</f>
        <v>3060</v>
      </c>
      <c r="N1226" s="1">
        <f>formatted_data[[#This Row],[Total_Revenue]]-(formatted_data[[#This Row],[Cost_Price]]*formatted_data[[#This Row],[Units]])</f>
        <v>725</v>
      </c>
      <c r="O1226" s="1" t="s">
        <v>21</v>
      </c>
      <c r="P1226"/>
    </row>
    <row r="1227" spans="1:16" x14ac:dyDescent="0.35">
      <c r="A1227" s="1" t="s">
        <v>107</v>
      </c>
      <c r="B1227" s="1" t="s">
        <v>27</v>
      </c>
      <c r="C1227" s="2">
        <v>45556</v>
      </c>
      <c r="D1227" s="1" t="s">
        <v>17</v>
      </c>
      <c r="E1227" s="1" t="s">
        <v>72</v>
      </c>
      <c r="F1227" s="1" t="s">
        <v>25</v>
      </c>
      <c r="G1227" s="1" t="s">
        <v>20</v>
      </c>
      <c r="H1227" s="1">
        <v>2</v>
      </c>
      <c r="I1227" s="1">
        <v>202</v>
      </c>
      <c r="J1227" s="1">
        <v>399</v>
      </c>
      <c r="K1227" s="1">
        <v>0</v>
      </c>
      <c r="L1227" s="1">
        <f>ROUNDDOWN(formatted_data[[#This Row],[Selling_Price]]*formatted_data[[#This Row],[Discount_%]]/100,0)</f>
        <v>0</v>
      </c>
      <c r="M1227" s="1">
        <f>(formatted_data[[#This Row],[Selling_Price]]-formatted_data[[#This Row],[Discount_Amount]])*formatted_data[[#This Row],[Units]]</f>
        <v>798</v>
      </c>
      <c r="N1227" s="1">
        <f>formatted_data[[#This Row],[Total_Revenue]]-(formatted_data[[#This Row],[Cost_Price]]*formatted_data[[#This Row],[Units]])</f>
        <v>394</v>
      </c>
      <c r="O1227" s="1" t="s">
        <v>33</v>
      </c>
      <c r="P1227"/>
    </row>
    <row r="1228" spans="1:16" x14ac:dyDescent="0.35">
      <c r="A1228" s="1" t="s">
        <v>57</v>
      </c>
      <c r="B1228" s="1" t="s">
        <v>27</v>
      </c>
      <c r="C1228" s="2">
        <v>45484</v>
      </c>
      <c r="D1228" s="1" t="s">
        <v>23</v>
      </c>
      <c r="E1228" s="1" t="s">
        <v>43</v>
      </c>
      <c r="F1228" s="1" t="s">
        <v>37</v>
      </c>
      <c r="G1228" s="1" t="s">
        <v>19</v>
      </c>
      <c r="H1228" s="1">
        <v>4</v>
      </c>
      <c r="I1228" s="1">
        <v>1438</v>
      </c>
      <c r="J1228" s="1">
        <v>2499</v>
      </c>
      <c r="K1228" s="1">
        <v>20</v>
      </c>
      <c r="L1228" s="1">
        <f>ROUNDDOWN(formatted_data[[#This Row],[Selling_Price]]*formatted_data[[#This Row],[Discount_%]]/100,0)</f>
        <v>499</v>
      </c>
      <c r="M1228" s="1">
        <f>(formatted_data[[#This Row],[Selling_Price]]-formatted_data[[#This Row],[Discount_Amount]])*formatted_data[[#This Row],[Units]]</f>
        <v>8000</v>
      </c>
      <c r="N1228" s="1">
        <f>formatted_data[[#This Row],[Total_Revenue]]-(formatted_data[[#This Row],[Cost_Price]]*formatted_data[[#This Row],[Units]])</f>
        <v>2248</v>
      </c>
      <c r="O1228" s="1" t="s">
        <v>21</v>
      </c>
      <c r="P1228"/>
    </row>
    <row r="1229" spans="1:16" x14ac:dyDescent="0.35">
      <c r="A1229" s="1" t="s">
        <v>99</v>
      </c>
      <c r="B1229" s="1" t="s">
        <v>27</v>
      </c>
      <c r="C1229" s="2">
        <v>45510</v>
      </c>
      <c r="D1229" s="1" t="s">
        <v>31</v>
      </c>
      <c r="E1229" s="1" t="s">
        <v>76</v>
      </c>
      <c r="F1229" s="1" t="s">
        <v>37</v>
      </c>
      <c r="G1229" s="1" t="s">
        <v>19</v>
      </c>
      <c r="H1229" s="1">
        <v>1</v>
      </c>
      <c r="I1229" s="1">
        <v>570</v>
      </c>
      <c r="J1229" s="1">
        <v>799</v>
      </c>
      <c r="K1229" s="1">
        <v>0</v>
      </c>
      <c r="L1229" s="1">
        <f>ROUNDDOWN(formatted_data[[#This Row],[Selling_Price]]*formatted_data[[#This Row],[Discount_%]]/100,0)</f>
        <v>0</v>
      </c>
      <c r="M1229" s="1">
        <f>(formatted_data[[#This Row],[Selling_Price]]-formatted_data[[#This Row],[Discount_Amount]])*formatted_data[[#This Row],[Units]]</f>
        <v>799</v>
      </c>
      <c r="N1229" s="1">
        <f>formatted_data[[#This Row],[Total_Revenue]]-(formatted_data[[#This Row],[Cost_Price]]*formatted_data[[#This Row],[Units]])</f>
        <v>229</v>
      </c>
      <c r="O1229" s="1" t="s">
        <v>21</v>
      </c>
      <c r="P1229"/>
    </row>
    <row r="1230" spans="1:16" x14ac:dyDescent="0.35">
      <c r="A1230" s="1" t="s">
        <v>46</v>
      </c>
      <c r="B1230" s="1" t="s">
        <v>16</v>
      </c>
      <c r="C1230" s="2">
        <v>45563</v>
      </c>
      <c r="D1230" s="1" t="s">
        <v>23</v>
      </c>
      <c r="E1230" s="1" t="s">
        <v>24</v>
      </c>
      <c r="F1230" s="1" t="s">
        <v>25</v>
      </c>
      <c r="G1230" s="1" t="s">
        <v>20</v>
      </c>
      <c r="H1230" s="1">
        <v>5</v>
      </c>
      <c r="I1230" s="1">
        <v>824</v>
      </c>
      <c r="J1230" s="1">
        <v>1199</v>
      </c>
      <c r="K1230" s="1">
        <v>10</v>
      </c>
      <c r="L1230" s="1">
        <f>ROUNDDOWN(formatted_data[[#This Row],[Selling_Price]]*formatted_data[[#This Row],[Discount_%]]/100,0)</f>
        <v>119</v>
      </c>
      <c r="M1230" s="1">
        <f>(formatted_data[[#This Row],[Selling_Price]]-formatted_data[[#This Row],[Discount_Amount]])*formatted_data[[#This Row],[Units]]</f>
        <v>5400</v>
      </c>
      <c r="N1230" s="1">
        <f>formatted_data[[#This Row],[Total_Revenue]]-(formatted_data[[#This Row],[Cost_Price]]*formatted_data[[#This Row],[Units]])</f>
        <v>1280</v>
      </c>
      <c r="O1230" s="1" t="s">
        <v>21</v>
      </c>
      <c r="P1230"/>
    </row>
    <row r="1231" spans="1:16" x14ac:dyDescent="0.35">
      <c r="A1231" s="1" t="s">
        <v>88</v>
      </c>
      <c r="B1231" s="1" t="s">
        <v>27</v>
      </c>
      <c r="C1231" s="2">
        <v>45631</v>
      </c>
      <c r="D1231" s="1" t="s">
        <v>28</v>
      </c>
      <c r="E1231" s="1" t="s">
        <v>29</v>
      </c>
      <c r="F1231" s="1" t="s">
        <v>25</v>
      </c>
      <c r="G1231" s="1" t="s">
        <v>19</v>
      </c>
      <c r="H1231" s="1">
        <v>1</v>
      </c>
      <c r="I1231" s="1">
        <v>264</v>
      </c>
      <c r="J1231" s="1">
        <v>499</v>
      </c>
      <c r="K1231" s="1">
        <v>20</v>
      </c>
      <c r="L1231" s="1">
        <f>ROUNDDOWN(formatted_data[[#This Row],[Selling_Price]]*formatted_data[[#This Row],[Discount_%]]/100,0)</f>
        <v>99</v>
      </c>
      <c r="M1231" s="1">
        <f>(formatted_data[[#This Row],[Selling_Price]]-formatted_data[[#This Row],[Discount_Amount]])*formatted_data[[#This Row],[Units]]</f>
        <v>400</v>
      </c>
      <c r="N1231" s="1">
        <f>formatted_data[[#This Row],[Total_Revenue]]-(formatted_data[[#This Row],[Cost_Price]]*formatted_data[[#This Row],[Units]])</f>
        <v>136</v>
      </c>
      <c r="O1231" s="1" t="s">
        <v>33</v>
      </c>
      <c r="P1231"/>
    </row>
    <row r="1232" spans="1:16" x14ac:dyDescent="0.35">
      <c r="A1232" s="1" t="s">
        <v>44</v>
      </c>
      <c r="B1232" s="1" t="s">
        <v>16</v>
      </c>
      <c r="C1232" s="2">
        <v>45633</v>
      </c>
      <c r="D1232" s="1" t="s">
        <v>35</v>
      </c>
      <c r="E1232" s="1" t="s">
        <v>39</v>
      </c>
      <c r="F1232" s="1" t="s">
        <v>19</v>
      </c>
      <c r="G1232" s="1" t="s">
        <v>20</v>
      </c>
      <c r="H1232" s="1">
        <v>2</v>
      </c>
      <c r="I1232" s="1">
        <v>817</v>
      </c>
      <c r="J1232" s="1">
        <v>1099</v>
      </c>
      <c r="K1232" s="1">
        <v>5</v>
      </c>
      <c r="L1232" s="1">
        <f>ROUNDDOWN(formatted_data[[#This Row],[Selling_Price]]*formatted_data[[#This Row],[Discount_%]]/100,0)</f>
        <v>54</v>
      </c>
      <c r="M1232" s="1">
        <f>(formatted_data[[#This Row],[Selling_Price]]-formatted_data[[#This Row],[Discount_Amount]])*formatted_data[[#This Row],[Units]]</f>
        <v>2090</v>
      </c>
      <c r="N1232" s="1">
        <f>formatted_data[[#This Row],[Total_Revenue]]-(formatted_data[[#This Row],[Cost_Price]]*formatted_data[[#This Row],[Units]])</f>
        <v>456</v>
      </c>
      <c r="O1232" s="1" t="s">
        <v>21</v>
      </c>
      <c r="P1232"/>
    </row>
    <row r="1233" spans="1:16" x14ac:dyDescent="0.35">
      <c r="A1233" s="1" t="s">
        <v>67</v>
      </c>
      <c r="B1233" s="1" t="s">
        <v>27</v>
      </c>
      <c r="C1233" s="2">
        <v>45541</v>
      </c>
      <c r="D1233" s="1" t="s">
        <v>31</v>
      </c>
      <c r="E1233" s="1" t="s">
        <v>76</v>
      </c>
      <c r="F1233" s="1" t="s">
        <v>25</v>
      </c>
      <c r="G1233" s="1" t="s">
        <v>19</v>
      </c>
      <c r="H1233" s="1">
        <v>1</v>
      </c>
      <c r="I1233" s="1">
        <v>445</v>
      </c>
      <c r="J1233" s="1">
        <v>799</v>
      </c>
      <c r="K1233" s="1">
        <v>0</v>
      </c>
      <c r="L1233" s="1">
        <f>ROUNDDOWN(formatted_data[[#This Row],[Selling_Price]]*formatted_data[[#This Row],[Discount_%]]/100,0)</f>
        <v>0</v>
      </c>
      <c r="M1233" s="1">
        <f>(formatted_data[[#This Row],[Selling_Price]]-formatted_data[[#This Row],[Discount_Amount]])*formatted_data[[#This Row],[Units]]</f>
        <v>799</v>
      </c>
      <c r="N1233" s="1">
        <f>formatted_data[[#This Row],[Total_Revenue]]-(formatted_data[[#This Row],[Cost_Price]]*formatted_data[[#This Row],[Units]])</f>
        <v>354</v>
      </c>
      <c r="O1233" s="1" t="s">
        <v>33</v>
      </c>
      <c r="P1233"/>
    </row>
    <row r="1234" spans="1:16" x14ac:dyDescent="0.35">
      <c r="A1234" s="1" t="s">
        <v>26</v>
      </c>
      <c r="B1234" s="1" t="s">
        <v>27</v>
      </c>
      <c r="C1234" s="2">
        <v>45537</v>
      </c>
      <c r="D1234" s="1" t="s">
        <v>35</v>
      </c>
      <c r="E1234" s="1" t="s">
        <v>39</v>
      </c>
      <c r="F1234" s="1" t="s">
        <v>19</v>
      </c>
      <c r="G1234" s="1" t="s">
        <v>19</v>
      </c>
      <c r="H1234" s="1">
        <v>2</v>
      </c>
      <c r="I1234" s="1">
        <v>689</v>
      </c>
      <c r="J1234" s="1">
        <v>1099</v>
      </c>
      <c r="K1234" s="1">
        <v>5</v>
      </c>
      <c r="L1234" s="1">
        <f>ROUNDDOWN(formatted_data[[#This Row],[Selling_Price]]*formatted_data[[#This Row],[Discount_%]]/100,0)</f>
        <v>54</v>
      </c>
      <c r="M1234" s="1">
        <f>(formatted_data[[#This Row],[Selling_Price]]-formatted_data[[#This Row],[Discount_Amount]])*formatted_data[[#This Row],[Units]]</f>
        <v>2090</v>
      </c>
      <c r="N1234" s="1">
        <f>formatted_data[[#This Row],[Total_Revenue]]-(formatted_data[[#This Row],[Cost_Price]]*formatted_data[[#This Row],[Units]])</f>
        <v>712</v>
      </c>
      <c r="O1234" s="1" t="s">
        <v>33</v>
      </c>
      <c r="P1234"/>
    </row>
    <row r="1235" spans="1:16" x14ac:dyDescent="0.35">
      <c r="A1235" s="1" t="s">
        <v>109</v>
      </c>
      <c r="B1235" s="1" t="s">
        <v>16</v>
      </c>
      <c r="C1235" s="2">
        <v>45640</v>
      </c>
      <c r="D1235" s="1" t="s">
        <v>23</v>
      </c>
      <c r="E1235" s="1" t="s">
        <v>43</v>
      </c>
      <c r="F1235" s="1" t="s">
        <v>25</v>
      </c>
      <c r="G1235" s="1" t="s">
        <v>19</v>
      </c>
      <c r="H1235" s="1">
        <v>1</v>
      </c>
      <c r="I1235" s="1">
        <v>1320</v>
      </c>
      <c r="J1235" s="1">
        <v>2499</v>
      </c>
      <c r="K1235" s="1">
        <v>20</v>
      </c>
      <c r="L1235" s="1">
        <f>ROUNDDOWN(formatted_data[[#This Row],[Selling_Price]]*formatted_data[[#This Row],[Discount_%]]/100,0)</f>
        <v>499</v>
      </c>
      <c r="M1235" s="1">
        <f>(formatted_data[[#This Row],[Selling_Price]]-formatted_data[[#This Row],[Discount_Amount]])*formatted_data[[#This Row],[Units]]</f>
        <v>2000</v>
      </c>
      <c r="N1235" s="1">
        <f>formatted_data[[#This Row],[Total_Revenue]]-(formatted_data[[#This Row],[Cost_Price]]*formatted_data[[#This Row],[Units]])</f>
        <v>680</v>
      </c>
      <c r="O1235" s="1" t="s">
        <v>21</v>
      </c>
      <c r="P1235"/>
    </row>
    <row r="1236" spans="1:16" x14ac:dyDescent="0.35">
      <c r="A1236" s="1" t="s">
        <v>54</v>
      </c>
      <c r="B1236" s="1" t="s">
        <v>27</v>
      </c>
      <c r="C1236" s="2">
        <v>45456</v>
      </c>
      <c r="D1236" s="1" t="s">
        <v>28</v>
      </c>
      <c r="E1236" s="1" t="s">
        <v>29</v>
      </c>
      <c r="F1236" s="1" t="s">
        <v>37</v>
      </c>
      <c r="G1236" s="1" t="s">
        <v>20</v>
      </c>
      <c r="H1236" s="1">
        <v>3</v>
      </c>
      <c r="I1236" s="1">
        <v>385</v>
      </c>
      <c r="J1236" s="1">
        <v>599</v>
      </c>
      <c r="K1236" s="1">
        <v>5</v>
      </c>
      <c r="L1236" s="1">
        <f>ROUNDDOWN(formatted_data[[#This Row],[Selling_Price]]*formatted_data[[#This Row],[Discount_%]]/100,0)</f>
        <v>29</v>
      </c>
      <c r="M1236" s="1">
        <f>(formatted_data[[#This Row],[Selling_Price]]-formatted_data[[#This Row],[Discount_Amount]])*formatted_data[[#This Row],[Units]]</f>
        <v>1710</v>
      </c>
      <c r="N1236" s="1">
        <f>formatted_data[[#This Row],[Total_Revenue]]-(formatted_data[[#This Row],[Cost_Price]]*formatted_data[[#This Row],[Units]])</f>
        <v>555</v>
      </c>
      <c r="O1236" s="1" t="s">
        <v>21</v>
      </c>
      <c r="P1236"/>
    </row>
    <row r="1237" spans="1:16" x14ac:dyDescent="0.35">
      <c r="A1237" s="1" t="s">
        <v>67</v>
      </c>
      <c r="B1237" s="1" t="s">
        <v>27</v>
      </c>
      <c r="C1237" s="2">
        <v>45597</v>
      </c>
      <c r="D1237" s="1" t="s">
        <v>28</v>
      </c>
      <c r="E1237" s="1" t="s">
        <v>29</v>
      </c>
      <c r="F1237" s="1" t="s">
        <v>37</v>
      </c>
      <c r="G1237" s="1" t="s">
        <v>20</v>
      </c>
      <c r="H1237" s="1">
        <v>3</v>
      </c>
      <c r="I1237" s="1">
        <v>420</v>
      </c>
      <c r="J1237" s="1">
        <v>599</v>
      </c>
      <c r="K1237" s="1">
        <v>20</v>
      </c>
      <c r="L1237" s="1">
        <f>ROUNDDOWN(formatted_data[[#This Row],[Selling_Price]]*formatted_data[[#This Row],[Discount_%]]/100,0)</f>
        <v>119</v>
      </c>
      <c r="M1237" s="1">
        <f>(formatted_data[[#This Row],[Selling_Price]]-formatted_data[[#This Row],[Discount_Amount]])*formatted_data[[#This Row],[Units]]</f>
        <v>1440</v>
      </c>
      <c r="N1237" s="1">
        <f>formatted_data[[#This Row],[Total_Revenue]]-(formatted_data[[#This Row],[Cost_Price]]*formatted_data[[#This Row],[Units]])</f>
        <v>180</v>
      </c>
      <c r="O1237" s="1" t="s">
        <v>21</v>
      </c>
      <c r="P1237"/>
    </row>
    <row r="1238" spans="1:16" x14ac:dyDescent="0.35">
      <c r="A1238" s="1" t="s">
        <v>46</v>
      </c>
      <c r="B1238" s="1" t="s">
        <v>16</v>
      </c>
      <c r="C1238" s="2">
        <v>45550</v>
      </c>
      <c r="D1238" s="1" t="s">
        <v>28</v>
      </c>
      <c r="E1238" s="1" t="s">
        <v>45</v>
      </c>
      <c r="F1238" s="1" t="s">
        <v>25</v>
      </c>
      <c r="G1238" s="1" t="s">
        <v>19</v>
      </c>
      <c r="H1238" s="1">
        <v>2</v>
      </c>
      <c r="I1238" s="1">
        <v>1409</v>
      </c>
      <c r="J1238" s="1">
        <v>1899</v>
      </c>
      <c r="K1238" s="1">
        <v>5</v>
      </c>
      <c r="L1238" s="1">
        <f>ROUNDDOWN(formatted_data[[#This Row],[Selling_Price]]*formatted_data[[#This Row],[Discount_%]]/100,0)</f>
        <v>94</v>
      </c>
      <c r="M1238" s="1">
        <f>(formatted_data[[#This Row],[Selling_Price]]-formatted_data[[#This Row],[Discount_Amount]])*formatted_data[[#This Row],[Units]]</f>
        <v>3610</v>
      </c>
      <c r="N1238" s="1">
        <f>formatted_data[[#This Row],[Total_Revenue]]-(formatted_data[[#This Row],[Cost_Price]]*formatted_data[[#This Row],[Units]])</f>
        <v>792</v>
      </c>
      <c r="O1238" s="1" t="s">
        <v>21</v>
      </c>
      <c r="P1238"/>
    </row>
    <row r="1239" spans="1:16" x14ac:dyDescent="0.35">
      <c r="A1239" s="1" t="s">
        <v>51</v>
      </c>
      <c r="B1239" s="1" t="s">
        <v>16</v>
      </c>
      <c r="C1239" s="2">
        <v>45479</v>
      </c>
      <c r="D1239" s="1" t="s">
        <v>23</v>
      </c>
      <c r="E1239" s="1" t="s">
        <v>43</v>
      </c>
      <c r="F1239" s="1" t="s">
        <v>37</v>
      </c>
      <c r="G1239" s="1" t="s">
        <v>19</v>
      </c>
      <c r="H1239" s="1">
        <v>1</v>
      </c>
      <c r="I1239" s="1">
        <v>1522</v>
      </c>
      <c r="J1239" s="1">
        <v>2299</v>
      </c>
      <c r="K1239" s="1">
        <v>10</v>
      </c>
      <c r="L1239" s="1">
        <f>ROUNDDOWN(formatted_data[[#This Row],[Selling_Price]]*formatted_data[[#This Row],[Discount_%]]/100,0)</f>
        <v>229</v>
      </c>
      <c r="M1239" s="1">
        <f>(formatted_data[[#This Row],[Selling_Price]]-formatted_data[[#This Row],[Discount_Amount]])*formatted_data[[#This Row],[Units]]</f>
        <v>2070</v>
      </c>
      <c r="N1239" s="1">
        <f>formatted_data[[#This Row],[Total_Revenue]]-(formatted_data[[#This Row],[Cost_Price]]*formatted_data[[#This Row],[Units]])</f>
        <v>548</v>
      </c>
      <c r="O1239" s="1" t="s">
        <v>21</v>
      </c>
      <c r="P1239"/>
    </row>
    <row r="1240" spans="1:16" x14ac:dyDescent="0.35">
      <c r="A1240" s="1" t="s">
        <v>96</v>
      </c>
      <c r="B1240" s="1" t="s">
        <v>16</v>
      </c>
      <c r="C1240" s="2">
        <v>45485</v>
      </c>
      <c r="D1240" s="1" t="s">
        <v>23</v>
      </c>
      <c r="E1240" s="1" t="s">
        <v>24</v>
      </c>
      <c r="F1240" s="1" t="s">
        <v>25</v>
      </c>
      <c r="G1240" s="1" t="s">
        <v>19</v>
      </c>
      <c r="H1240" s="1">
        <v>1</v>
      </c>
      <c r="I1240" s="1">
        <v>494</v>
      </c>
      <c r="J1240" s="1">
        <v>899</v>
      </c>
      <c r="K1240" s="1">
        <v>5</v>
      </c>
      <c r="L1240" s="1">
        <f>ROUNDDOWN(formatted_data[[#This Row],[Selling_Price]]*formatted_data[[#This Row],[Discount_%]]/100,0)</f>
        <v>44</v>
      </c>
      <c r="M1240" s="1">
        <f>(formatted_data[[#This Row],[Selling_Price]]-formatted_data[[#This Row],[Discount_Amount]])*formatted_data[[#This Row],[Units]]</f>
        <v>855</v>
      </c>
      <c r="N1240" s="1">
        <f>formatted_data[[#This Row],[Total_Revenue]]-(formatted_data[[#This Row],[Cost_Price]]*formatted_data[[#This Row],[Units]])</f>
        <v>361</v>
      </c>
      <c r="O1240" s="1" t="s">
        <v>21</v>
      </c>
      <c r="P1240"/>
    </row>
    <row r="1241" spans="1:16" x14ac:dyDescent="0.35">
      <c r="A1241" s="1" t="s">
        <v>95</v>
      </c>
      <c r="B1241" s="1" t="s">
        <v>27</v>
      </c>
      <c r="C1241" s="2">
        <v>45479</v>
      </c>
      <c r="D1241" s="1" t="s">
        <v>28</v>
      </c>
      <c r="E1241" s="1" t="s">
        <v>29</v>
      </c>
      <c r="F1241" s="1" t="s">
        <v>25</v>
      </c>
      <c r="G1241" s="1" t="s">
        <v>20</v>
      </c>
      <c r="H1241" s="1">
        <v>1</v>
      </c>
      <c r="I1241" s="1">
        <v>324</v>
      </c>
      <c r="J1241" s="1">
        <v>499</v>
      </c>
      <c r="K1241" s="1">
        <v>10</v>
      </c>
      <c r="L1241" s="1">
        <f>ROUNDDOWN(formatted_data[[#This Row],[Selling_Price]]*formatted_data[[#This Row],[Discount_%]]/100,0)</f>
        <v>49</v>
      </c>
      <c r="M1241" s="1">
        <f>(formatted_data[[#This Row],[Selling_Price]]-formatted_data[[#This Row],[Discount_Amount]])*formatted_data[[#This Row],[Units]]</f>
        <v>450</v>
      </c>
      <c r="N1241" s="1">
        <f>formatted_data[[#This Row],[Total_Revenue]]-(formatted_data[[#This Row],[Cost_Price]]*formatted_data[[#This Row],[Units]])</f>
        <v>126</v>
      </c>
      <c r="O1241" s="1" t="s">
        <v>33</v>
      </c>
      <c r="P1241"/>
    </row>
    <row r="1242" spans="1:16" x14ac:dyDescent="0.35">
      <c r="A1242" s="1" t="s">
        <v>69</v>
      </c>
      <c r="B1242" s="1" t="s">
        <v>16</v>
      </c>
      <c r="C1242" s="2">
        <v>45495</v>
      </c>
      <c r="D1242" s="1" t="s">
        <v>23</v>
      </c>
      <c r="E1242" s="1" t="s">
        <v>24</v>
      </c>
      <c r="F1242" s="1" t="s">
        <v>37</v>
      </c>
      <c r="G1242" s="1" t="s">
        <v>20</v>
      </c>
      <c r="H1242" s="1">
        <v>1</v>
      </c>
      <c r="I1242" s="1">
        <v>552</v>
      </c>
      <c r="J1242" s="1">
        <v>899</v>
      </c>
      <c r="K1242" s="1">
        <v>10</v>
      </c>
      <c r="L1242" s="1">
        <f>ROUNDDOWN(formatted_data[[#This Row],[Selling_Price]]*formatted_data[[#This Row],[Discount_%]]/100,0)</f>
        <v>89</v>
      </c>
      <c r="M1242" s="1">
        <f>(formatted_data[[#This Row],[Selling_Price]]-formatted_data[[#This Row],[Discount_Amount]])*formatted_data[[#This Row],[Units]]</f>
        <v>810</v>
      </c>
      <c r="N1242" s="1">
        <f>formatted_data[[#This Row],[Total_Revenue]]-(formatted_data[[#This Row],[Cost_Price]]*formatted_data[[#This Row],[Units]])</f>
        <v>258</v>
      </c>
      <c r="O1242" s="1" t="s">
        <v>21</v>
      </c>
      <c r="P1242"/>
    </row>
    <row r="1243" spans="1:16" x14ac:dyDescent="0.35">
      <c r="A1243" s="1" t="s">
        <v>107</v>
      </c>
      <c r="B1243" s="1" t="s">
        <v>27</v>
      </c>
      <c r="C1243" s="2">
        <v>45550</v>
      </c>
      <c r="D1243" s="1" t="s">
        <v>31</v>
      </c>
      <c r="E1243" s="1" t="s">
        <v>76</v>
      </c>
      <c r="F1243" s="1" t="s">
        <v>19</v>
      </c>
      <c r="G1243" s="1" t="s">
        <v>19</v>
      </c>
      <c r="H1243" s="1">
        <v>5</v>
      </c>
      <c r="I1243" s="1">
        <v>423</v>
      </c>
      <c r="J1243" s="1">
        <v>699</v>
      </c>
      <c r="K1243" s="1">
        <v>0</v>
      </c>
      <c r="L1243" s="1">
        <f>ROUNDDOWN(formatted_data[[#This Row],[Selling_Price]]*formatted_data[[#This Row],[Discount_%]]/100,0)</f>
        <v>0</v>
      </c>
      <c r="M1243" s="1">
        <f>(formatted_data[[#This Row],[Selling_Price]]-formatted_data[[#This Row],[Discount_Amount]])*formatted_data[[#This Row],[Units]]</f>
        <v>3495</v>
      </c>
      <c r="N1243" s="1">
        <f>formatted_data[[#This Row],[Total_Revenue]]-(formatted_data[[#This Row],[Cost_Price]]*formatted_data[[#This Row],[Units]])</f>
        <v>1380</v>
      </c>
      <c r="O1243" s="1" t="s">
        <v>21</v>
      </c>
      <c r="P1243"/>
    </row>
    <row r="1244" spans="1:16" x14ac:dyDescent="0.35">
      <c r="A1244" s="1" t="s">
        <v>57</v>
      </c>
      <c r="B1244" s="1" t="s">
        <v>27</v>
      </c>
      <c r="C1244" s="2">
        <v>45591</v>
      </c>
      <c r="D1244" s="1" t="s">
        <v>35</v>
      </c>
      <c r="E1244" s="1" t="s">
        <v>39</v>
      </c>
      <c r="F1244" s="1" t="s">
        <v>19</v>
      </c>
      <c r="G1244" s="1" t="s">
        <v>19</v>
      </c>
      <c r="H1244" s="1">
        <v>5</v>
      </c>
      <c r="I1244" s="1">
        <v>532</v>
      </c>
      <c r="J1244" s="1">
        <v>899</v>
      </c>
      <c r="K1244" s="1">
        <v>15</v>
      </c>
      <c r="L1244" s="1">
        <f>ROUNDDOWN(formatted_data[[#This Row],[Selling_Price]]*formatted_data[[#This Row],[Discount_%]]/100,0)</f>
        <v>134</v>
      </c>
      <c r="M1244" s="1">
        <f>(formatted_data[[#This Row],[Selling_Price]]-formatted_data[[#This Row],[Discount_Amount]])*formatted_data[[#This Row],[Units]]</f>
        <v>3825</v>
      </c>
      <c r="N1244" s="1">
        <f>formatted_data[[#This Row],[Total_Revenue]]-(formatted_data[[#This Row],[Cost_Price]]*formatted_data[[#This Row],[Units]])</f>
        <v>1165</v>
      </c>
      <c r="O1244" s="1" t="s">
        <v>21</v>
      </c>
      <c r="P1244"/>
    </row>
    <row r="1245" spans="1:16" x14ac:dyDescent="0.35">
      <c r="A1245" s="1" t="s">
        <v>26</v>
      </c>
      <c r="B1245" s="1" t="s">
        <v>27</v>
      </c>
      <c r="C1245" s="2">
        <v>45582</v>
      </c>
      <c r="D1245" s="1" t="s">
        <v>28</v>
      </c>
      <c r="E1245" s="1" t="s">
        <v>29</v>
      </c>
      <c r="F1245" s="1" t="s">
        <v>37</v>
      </c>
      <c r="G1245" s="1" t="s">
        <v>20</v>
      </c>
      <c r="H1245" s="1">
        <v>1</v>
      </c>
      <c r="I1245" s="1">
        <v>575</v>
      </c>
      <c r="J1245" s="1">
        <v>799</v>
      </c>
      <c r="K1245" s="1">
        <v>15</v>
      </c>
      <c r="L1245" s="1">
        <f>ROUNDDOWN(formatted_data[[#This Row],[Selling_Price]]*formatted_data[[#This Row],[Discount_%]]/100,0)</f>
        <v>119</v>
      </c>
      <c r="M1245" s="1">
        <f>(formatted_data[[#This Row],[Selling_Price]]-formatted_data[[#This Row],[Discount_Amount]])*formatted_data[[#This Row],[Units]]</f>
        <v>680</v>
      </c>
      <c r="N1245" s="1">
        <f>formatted_data[[#This Row],[Total_Revenue]]-(formatted_data[[#This Row],[Cost_Price]]*formatted_data[[#This Row],[Units]])</f>
        <v>105</v>
      </c>
      <c r="O1245" s="1" t="s">
        <v>33</v>
      </c>
      <c r="P1245"/>
    </row>
    <row r="1246" spans="1:16" x14ac:dyDescent="0.35">
      <c r="A1246" s="1" t="s">
        <v>77</v>
      </c>
      <c r="B1246" s="1" t="s">
        <v>27</v>
      </c>
      <c r="C1246" s="2">
        <v>45575</v>
      </c>
      <c r="D1246" s="1" t="s">
        <v>31</v>
      </c>
      <c r="E1246" s="1" t="s">
        <v>76</v>
      </c>
      <c r="F1246" s="1" t="s">
        <v>19</v>
      </c>
      <c r="G1246" s="1" t="s">
        <v>20</v>
      </c>
      <c r="H1246" s="1">
        <v>4</v>
      </c>
      <c r="I1246" s="1">
        <v>524</v>
      </c>
      <c r="J1246" s="1">
        <v>699</v>
      </c>
      <c r="K1246" s="1">
        <v>0</v>
      </c>
      <c r="L1246" s="1">
        <f>ROUNDDOWN(formatted_data[[#This Row],[Selling_Price]]*formatted_data[[#This Row],[Discount_%]]/100,0)</f>
        <v>0</v>
      </c>
      <c r="M1246" s="1">
        <f>(formatted_data[[#This Row],[Selling_Price]]-formatted_data[[#This Row],[Discount_Amount]])*formatted_data[[#This Row],[Units]]</f>
        <v>2796</v>
      </c>
      <c r="N1246" s="1">
        <f>formatted_data[[#This Row],[Total_Revenue]]-(formatted_data[[#This Row],[Cost_Price]]*formatted_data[[#This Row],[Units]])</f>
        <v>700</v>
      </c>
      <c r="O1246" s="1" t="s">
        <v>33</v>
      </c>
      <c r="P1246"/>
    </row>
    <row r="1247" spans="1:16" x14ac:dyDescent="0.35">
      <c r="A1247" s="1" t="s">
        <v>96</v>
      </c>
      <c r="B1247" s="1" t="s">
        <v>16</v>
      </c>
      <c r="C1247" s="2">
        <v>45647</v>
      </c>
      <c r="D1247" s="1" t="s">
        <v>17</v>
      </c>
      <c r="E1247" s="1" t="s">
        <v>72</v>
      </c>
      <c r="F1247" s="1" t="s">
        <v>25</v>
      </c>
      <c r="G1247" s="1" t="s">
        <v>20</v>
      </c>
      <c r="H1247" s="1">
        <v>3</v>
      </c>
      <c r="I1247" s="1">
        <v>373</v>
      </c>
      <c r="J1247" s="1">
        <v>499</v>
      </c>
      <c r="K1247" s="1">
        <v>0</v>
      </c>
      <c r="L1247" s="1">
        <f>ROUNDDOWN(formatted_data[[#This Row],[Selling_Price]]*formatted_data[[#This Row],[Discount_%]]/100,0)</f>
        <v>0</v>
      </c>
      <c r="M1247" s="1">
        <f>(formatted_data[[#This Row],[Selling_Price]]-formatted_data[[#This Row],[Discount_Amount]])*formatted_data[[#This Row],[Units]]</f>
        <v>1497</v>
      </c>
      <c r="N1247" s="1">
        <f>formatted_data[[#This Row],[Total_Revenue]]-(formatted_data[[#This Row],[Cost_Price]]*formatted_data[[#This Row],[Units]])</f>
        <v>378</v>
      </c>
      <c r="O1247" s="1" t="s">
        <v>33</v>
      </c>
      <c r="P1247"/>
    </row>
    <row r="1248" spans="1:16" x14ac:dyDescent="0.35">
      <c r="A1248" s="1" t="s">
        <v>82</v>
      </c>
      <c r="B1248" s="1" t="s">
        <v>27</v>
      </c>
      <c r="C1248" s="2">
        <v>45609</v>
      </c>
      <c r="D1248" s="1" t="s">
        <v>28</v>
      </c>
      <c r="E1248" s="1" t="s">
        <v>29</v>
      </c>
      <c r="F1248" s="1" t="s">
        <v>25</v>
      </c>
      <c r="G1248" s="1" t="s">
        <v>20</v>
      </c>
      <c r="H1248" s="1">
        <v>5</v>
      </c>
      <c r="I1248" s="1">
        <v>407</v>
      </c>
      <c r="J1248" s="1">
        <v>599</v>
      </c>
      <c r="K1248" s="1">
        <v>15</v>
      </c>
      <c r="L1248" s="1">
        <f>ROUNDDOWN(formatted_data[[#This Row],[Selling_Price]]*formatted_data[[#This Row],[Discount_%]]/100,0)</f>
        <v>89</v>
      </c>
      <c r="M1248" s="1">
        <f>(formatted_data[[#This Row],[Selling_Price]]-formatted_data[[#This Row],[Discount_Amount]])*formatted_data[[#This Row],[Units]]</f>
        <v>2550</v>
      </c>
      <c r="N1248" s="1">
        <f>formatted_data[[#This Row],[Total_Revenue]]-(formatted_data[[#This Row],[Cost_Price]]*formatted_data[[#This Row],[Units]])</f>
        <v>515</v>
      </c>
      <c r="O1248" s="1" t="s">
        <v>21</v>
      </c>
      <c r="P1248"/>
    </row>
    <row r="1249" spans="1:16" x14ac:dyDescent="0.35">
      <c r="A1249" s="1" t="s">
        <v>47</v>
      </c>
      <c r="B1249" s="1" t="s">
        <v>16</v>
      </c>
      <c r="C1249" s="2">
        <v>45509</v>
      </c>
      <c r="D1249" s="1" t="s">
        <v>31</v>
      </c>
      <c r="E1249" s="1" t="s">
        <v>76</v>
      </c>
      <c r="F1249" s="1" t="s">
        <v>25</v>
      </c>
      <c r="G1249" s="1" t="s">
        <v>20</v>
      </c>
      <c r="H1249" s="1">
        <v>2</v>
      </c>
      <c r="I1249" s="1">
        <v>795</v>
      </c>
      <c r="J1249" s="1">
        <v>1199</v>
      </c>
      <c r="K1249" s="1">
        <v>0</v>
      </c>
      <c r="L1249" s="1">
        <f>ROUNDDOWN(formatted_data[[#This Row],[Selling_Price]]*formatted_data[[#This Row],[Discount_%]]/100,0)</f>
        <v>0</v>
      </c>
      <c r="M1249" s="1">
        <f>(formatted_data[[#This Row],[Selling_Price]]-formatted_data[[#This Row],[Discount_Amount]])*formatted_data[[#This Row],[Units]]</f>
        <v>2398</v>
      </c>
      <c r="N1249" s="1">
        <f>formatted_data[[#This Row],[Total_Revenue]]-(formatted_data[[#This Row],[Cost_Price]]*formatted_data[[#This Row],[Units]])</f>
        <v>808</v>
      </c>
      <c r="O1249" s="1" t="s">
        <v>21</v>
      </c>
      <c r="P1249"/>
    </row>
    <row r="1250" spans="1:16" x14ac:dyDescent="0.35">
      <c r="A1250" s="1" t="s">
        <v>38</v>
      </c>
      <c r="B1250" s="1" t="s">
        <v>27</v>
      </c>
      <c r="C1250" s="2">
        <v>45567</v>
      </c>
      <c r="D1250" s="1" t="s">
        <v>35</v>
      </c>
      <c r="E1250" s="1" t="s">
        <v>87</v>
      </c>
      <c r="F1250" s="1" t="s">
        <v>25</v>
      </c>
      <c r="G1250" s="1" t="s">
        <v>19</v>
      </c>
      <c r="H1250" s="1">
        <v>4</v>
      </c>
      <c r="I1250" s="1">
        <v>1901</v>
      </c>
      <c r="J1250" s="1">
        <v>2699</v>
      </c>
      <c r="K1250" s="1">
        <v>5</v>
      </c>
      <c r="L1250" s="1">
        <f>ROUNDDOWN(formatted_data[[#This Row],[Selling_Price]]*formatted_data[[#This Row],[Discount_%]]/100,0)</f>
        <v>134</v>
      </c>
      <c r="M1250" s="1">
        <f>(formatted_data[[#This Row],[Selling_Price]]-formatted_data[[#This Row],[Discount_Amount]])*formatted_data[[#This Row],[Units]]</f>
        <v>10260</v>
      </c>
      <c r="N1250" s="1">
        <f>formatted_data[[#This Row],[Total_Revenue]]-(formatted_data[[#This Row],[Cost_Price]]*formatted_data[[#This Row],[Units]])</f>
        <v>2656</v>
      </c>
      <c r="O1250" s="1" t="s">
        <v>21</v>
      </c>
      <c r="P1250"/>
    </row>
    <row r="1251" spans="1:16" x14ac:dyDescent="0.35">
      <c r="A1251" s="1" t="s">
        <v>103</v>
      </c>
      <c r="B1251" s="1" t="s">
        <v>16</v>
      </c>
      <c r="C1251" s="2">
        <v>45648</v>
      </c>
      <c r="D1251" s="1" t="s">
        <v>35</v>
      </c>
      <c r="E1251" s="1" t="s">
        <v>39</v>
      </c>
      <c r="F1251" s="1" t="s">
        <v>19</v>
      </c>
      <c r="G1251" s="1" t="s">
        <v>19</v>
      </c>
      <c r="H1251" s="1">
        <v>1</v>
      </c>
      <c r="I1251" s="1">
        <v>1004</v>
      </c>
      <c r="J1251" s="1">
        <v>1499</v>
      </c>
      <c r="K1251" s="1">
        <v>10</v>
      </c>
      <c r="L1251" s="1">
        <f>ROUNDDOWN(formatted_data[[#This Row],[Selling_Price]]*formatted_data[[#This Row],[Discount_%]]/100,0)</f>
        <v>149</v>
      </c>
      <c r="M1251" s="1">
        <f>(formatted_data[[#This Row],[Selling_Price]]-formatted_data[[#This Row],[Discount_Amount]])*formatted_data[[#This Row],[Units]]</f>
        <v>1350</v>
      </c>
      <c r="N1251" s="1">
        <f>formatted_data[[#This Row],[Total_Revenue]]-(formatted_data[[#This Row],[Cost_Price]]*formatted_data[[#This Row],[Units]])</f>
        <v>346</v>
      </c>
      <c r="O1251" s="1" t="s">
        <v>21</v>
      </c>
      <c r="P1251"/>
    </row>
    <row r="1252" spans="1:16" x14ac:dyDescent="0.35">
      <c r="A1252" s="1" t="s">
        <v>69</v>
      </c>
      <c r="B1252" s="1" t="s">
        <v>16</v>
      </c>
      <c r="C1252" s="2">
        <v>45594</v>
      </c>
      <c r="D1252" s="1" t="s">
        <v>23</v>
      </c>
      <c r="E1252" s="1" t="s">
        <v>43</v>
      </c>
      <c r="F1252" s="1" t="s">
        <v>25</v>
      </c>
      <c r="G1252" s="1" t="s">
        <v>20</v>
      </c>
      <c r="H1252" s="1">
        <v>5</v>
      </c>
      <c r="I1252" s="1">
        <v>1668</v>
      </c>
      <c r="J1252" s="1">
        <v>2399</v>
      </c>
      <c r="K1252" s="1">
        <v>20</v>
      </c>
      <c r="L1252" s="1">
        <f>ROUNDDOWN(formatted_data[[#This Row],[Selling_Price]]*formatted_data[[#This Row],[Discount_%]]/100,0)</f>
        <v>479</v>
      </c>
      <c r="M1252" s="1">
        <f>(formatted_data[[#This Row],[Selling_Price]]-formatted_data[[#This Row],[Discount_Amount]])*formatted_data[[#This Row],[Units]]</f>
        <v>9600</v>
      </c>
      <c r="N1252" s="1">
        <f>formatted_data[[#This Row],[Total_Revenue]]-(formatted_data[[#This Row],[Cost_Price]]*formatted_data[[#This Row],[Units]])</f>
        <v>1260</v>
      </c>
      <c r="O1252" s="1" t="s">
        <v>21</v>
      </c>
      <c r="P1252"/>
    </row>
    <row r="1253" spans="1:16" x14ac:dyDescent="0.35">
      <c r="A1253" s="1" t="s">
        <v>22</v>
      </c>
      <c r="B1253" s="1" t="s">
        <v>16</v>
      </c>
      <c r="C1253" s="2">
        <v>45543</v>
      </c>
      <c r="D1253" s="1" t="s">
        <v>28</v>
      </c>
      <c r="E1253" s="1" t="s">
        <v>29</v>
      </c>
      <c r="F1253" s="1" t="s">
        <v>19</v>
      </c>
      <c r="G1253" s="1" t="s">
        <v>20</v>
      </c>
      <c r="H1253" s="1">
        <v>2</v>
      </c>
      <c r="I1253" s="1">
        <v>413</v>
      </c>
      <c r="J1253" s="1">
        <v>599</v>
      </c>
      <c r="K1253" s="1">
        <v>10</v>
      </c>
      <c r="L1253" s="1">
        <f>ROUNDDOWN(formatted_data[[#This Row],[Selling_Price]]*formatted_data[[#This Row],[Discount_%]]/100,0)</f>
        <v>59</v>
      </c>
      <c r="M1253" s="1">
        <f>(formatted_data[[#This Row],[Selling_Price]]-formatted_data[[#This Row],[Discount_Amount]])*formatted_data[[#This Row],[Units]]</f>
        <v>1080</v>
      </c>
      <c r="N1253" s="1">
        <f>formatted_data[[#This Row],[Total_Revenue]]-(formatted_data[[#This Row],[Cost_Price]]*formatted_data[[#This Row],[Units]])</f>
        <v>254</v>
      </c>
      <c r="O1253" s="1" t="s">
        <v>21</v>
      </c>
      <c r="P1253"/>
    </row>
    <row r="1254" spans="1:16" x14ac:dyDescent="0.35">
      <c r="A1254" s="1" t="s">
        <v>49</v>
      </c>
      <c r="B1254" s="1" t="s">
        <v>27</v>
      </c>
      <c r="C1254" s="2">
        <v>45558</v>
      </c>
      <c r="D1254" s="1" t="s">
        <v>35</v>
      </c>
      <c r="E1254" s="1" t="s">
        <v>41</v>
      </c>
      <c r="F1254" s="1" t="s">
        <v>19</v>
      </c>
      <c r="G1254" s="1" t="s">
        <v>19</v>
      </c>
      <c r="H1254" s="1">
        <v>4</v>
      </c>
      <c r="I1254" s="1">
        <v>656</v>
      </c>
      <c r="J1254" s="1">
        <v>999</v>
      </c>
      <c r="K1254" s="1">
        <v>15</v>
      </c>
      <c r="L1254" s="1">
        <f>ROUNDDOWN(formatted_data[[#This Row],[Selling_Price]]*formatted_data[[#This Row],[Discount_%]]/100,0)</f>
        <v>149</v>
      </c>
      <c r="M1254" s="1">
        <f>(formatted_data[[#This Row],[Selling_Price]]-formatted_data[[#This Row],[Discount_Amount]])*formatted_data[[#This Row],[Units]]</f>
        <v>3400</v>
      </c>
      <c r="N1254" s="1">
        <f>formatted_data[[#This Row],[Total_Revenue]]-(formatted_data[[#This Row],[Cost_Price]]*formatted_data[[#This Row],[Units]])</f>
        <v>776</v>
      </c>
      <c r="O1254" s="1" t="s">
        <v>33</v>
      </c>
      <c r="P1254"/>
    </row>
    <row r="1255" spans="1:16" x14ac:dyDescent="0.35">
      <c r="A1255" s="1" t="s">
        <v>63</v>
      </c>
      <c r="B1255" s="1" t="s">
        <v>27</v>
      </c>
      <c r="C1255" s="2">
        <v>45533</v>
      </c>
      <c r="D1255" s="1" t="s">
        <v>35</v>
      </c>
      <c r="E1255" s="1" t="s">
        <v>39</v>
      </c>
      <c r="F1255" s="1" t="s">
        <v>19</v>
      </c>
      <c r="G1255" s="1" t="s">
        <v>19</v>
      </c>
      <c r="H1255" s="1">
        <v>5</v>
      </c>
      <c r="I1255" s="1">
        <v>428</v>
      </c>
      <c r="J1255" s="1">
        <v>799</v>
      </c>
      <c r="K1255" s="1">
        <v>10</v>
      </c>
      <c r="L1255" s="1">
        <f>ROUNDDOWN(formatted_data[[#This Row],[Selling_Price]]*formatted_data[[#This Row],[Discount_%]]/100,0)</f>
        <v>79</v>
      </c>
      <c r="M1255" s="1">
        <f>(formatted_data[[#This Row],[Selling_Price]]-formatted_data[[#This Row],[Discount_Amount]])*formatted_data[[#This Row],[Units]]</f>
        <v>3600</v>
      </c>
      <c r="N1255" s="1">
        <f>formatted_data[[#This Row],[Total_Revenue]]-(formatted_data[[#This Row],[Cost_Price]]*formatted_data[[#This Row],[Units]])</f>
        <v>1460</v>
      </c>
      <c r="O1255" s="1" t="s">
        <v>21</v>
      </c>
      <c r="P1255"/>
    </row>
    <row r="1256" spans="1:16" x14ac:dyDescent="0.35">
      <c r="A1256" s="1" t="s">
        <v>81</v>
      </c>
      <c r="B1256" s="1" t="s">
        <v>27</v>
      </c>
      <c r="C1256" s="2">
        <v>45573</v>
      </c>
      <c r="D1256" s="1" t="s">
        <v>28</v>
      </c>
      <c r="E1256" s="1" t="s">
        <v>29</v>
      </c>
      <c r="F1256" s="1" t="s">
        <v>19</v>
      </c>
      <c r="G1256" s="1" t="s">
        <v>20</v>
      </c>
      <c r="H1256" s="1">
        <v>5</v>
      </c>
      <c r="I1256" s="1">
        <v>414</v>
      </c>
      <c r="J1256" s="1">
        <v>599</v>
      </c>
      <c r="K1256" s="1">
        <v>10</v>
      </c>
      <c r="L1256" s="1">
        <f>ROUNDDOWN(formatted_data[[#This Row],[Selling_Price]]*formatted_data[[#This Row],[Discount_%]]/100,0)</f>
        <v>59</v>
      </c>
      <c r="M1256" s="1">
        <f>(formatted_data[[#This Row],[Selling_Price]]-formatted_data[[#This Row],[Discount_Amount]])*formatted_data[[#This Row],[Units]]</f>
        <v>2700</v>
      </c>
      <c r="N1256" s="1">
        <f>formatted_data[[#This Row],[Total_Revenue]]-(formatted_data[[#This Row],[Cost_Price]]*formatted_data[[#This Row],[Units]])</f>
        <v>630</v>
      </c>
      <c r="O1256" s="1" t="s">
        <v>21</v>
      </c>
      <c r="P1256"/>
    </row>
    <row r="1257" spans="1:16" x14ac:dyDescent="0.35">
      <c r="A1257" s="1" t="s">
        <v>105</v>
      </c>
      <c r="B1257" s="1" t="s">
        <v>16</v>
      </c>
      <c r="C1257" s="2">
        <v>45448</v>
      </c>
      <c r="D1257" s="1" t="s">
        <v>17</v>
      </c>
      <c r="E1257" s="1" t="s">
        <v>18</v>
      </c>
      <c r="F1257" s="1" t="s">
        <v>25</v>
      </c>
      <c r="G1257" s="1" t="s">
        <v>20</v>
      </c>
      <c r="H1257" s="1">
        <v>1</v>
      </c>
      <c r="I1257" s="1">
        <v>287</v>
      </c>
      <c r="J1257" s="1">
        <v>499</v>
      </c>
      <c r="K1257" s="1">
        <v>0</v>
      </c>
      <c r="L1257" s="1">
        <f>ROUNDDOWN(formatted_data[[#This Row],[Selling_Price]]*formatted_data[[#This Row],[Discount_%]]/100,0)</f>
        <v>0</v>
      </c>
      <c r="M1257" s="1">
        <f>(formatted_data[[#This Row],[Selling_Price]]-formatted_data[[#This Row],[Discount_Amount]])*formatted_data[[#This Row],[Units]]</f>
        <v>499</v>
      </c>
      <c r="N1257" s="1">
        <f>formatted_data[[#This Row],[Total_Revenue]]-(formatted_data[[#This Row],[Cost_Price]]*formatted_data[[#This Row],[Units]])</f>
        <v>212</v>
      </c>
      <c r="O1257" s="1" t="s">
        <v>21</v>
      </c>
      <c r="P1257"/>
    </row>
    <row r="1258" spans="1:16" x14ac:dyDescent="0.35">
      <c r="A1258" s="1" t="s">
        <v>54</v>
      </c>
      <c r="B1258" s="1" t="s">
        <v>27</v>
      </c>
      <c r="C1258" s="2">
        <v>45591</v>
      </c>
      <c r="D1258" s="1" t="s">
        <v>28</v>
      </c>
      <c r="E1258" s="1" t="s">
        <v>45</v>
      </c>
      <c r="F1258" s="1" t="s">
        <v>37</v>
      </c>
      <c r="G1258" s="1" t="s">
        <v>19</v>
      </c>
      <c r="H1258" s="1">
        <v>3</v>
      </c>
      <c r="I1258" s="1">
        <v>904</v>
      </c>
      <c r="J1258" s="1">
        <v>1699</v>
      </c>
      <c r="K1258" s="1">
        <v>10</v>
      </c>
      <c r="L1258" s="1">
        <f>ROUNDDOWN(formatted_data[[#This Row],[Selling_Price]]*formatted_data[[#This Row],[Discount_%]]/100,0)</f>
        <v>169</v>
      </c>
      <c r="M1258" s="1">
        <f>(formatted_data[[#This Row],[Selling_Price]]-formatted_data[[#This Row],[Discount_Amount]])*formatted_data[[#This Row],[Units]]</f>
        <v>4590</v>
      </c>
      <c r="N1258" s="1">
        <f>formatted_data[[#This Row],[Total_Revenue]]-(formatted_data[[#This Row],[Cost_Price]]*formatted_data[[#This Row],[Units]])</f>
        <v>1878</v>
      </c>
      <c r="O1258" s="1" t="s">
        <v>21</v>
      </c>
      <c r="P1258"/>
    </row>
    <row r="1259" spans="1:16" x14ac:dyDescent="0.35">
      <c r="A1259" s="1" t="s">
        <v>85</v>
      </c>
      <c r="B1259" s="1" t="s">
        <v>27</v>
      </c>
      <c r="C1259" s="2">
        <v>45620</v>
      </c>
      <c r="D1259" s="1" t="s">
        <v>31</v>
      </c>
      <c r="E1259" s="1" t="s">
        <v>76</v>
      </c>
      <c r="F1259" s="1" t="s">
        <v>19</v>
      </c>
      <c r="G1259" s="1" t="s">
        <v>20</v>
      </c>
      <c r="H1259" s="1">
        <v>3</v>
      </c>
      <c r="I1259" s="1">
        <v>827</v>
      </c>
      <c r="J1259" s="1">
        <v>1499</v>
      </c>
      <c r="K1259" s="1">
        <v>0</v>
      </c>
      <c r="L1259" s="1">
        <f>ROUNDDOWN(formatted_data[[#This Row],[Selling_Price]]*formatted_data[[#This Row],[Discount_%]]/100,0)</f>
        <v>0</v>
      </c>
      <c r="M1259" s="1">
        <f>(formatted_data[[#This Row],[Selling_Price]]-formatted_data[[#This Row],[Discount_Amount]])*formatted_data[[#This Row],[Units]]</f>
        <v>4497</v>
      </c>
      <c r="N1259" s="1">
        <f>formatted_data[[#This Row],[Total_Revenue]]-(formatted_data[[#This Row],[Cost_Price]]*formatted_data[[#This Row],[Units]])</f>
        <v>2016</v>
      </c>
      <c r="O1259" s="1" t="s">
        <v>21</v>
      </c>
      <c r="P1259"/>
    </row>
    <row r="1260" spans="1:16" x14ac:dyDescent="0.35">
      <c r="A1260" s="1" t="s">
        <v>54</v>
      </c>
      <c r="B1260" s="1" t="s">
        <v>27</v>
      </c>
      <c r="C1260" s="2">
        <v>45477</v>
      </c>
      <c r="D1260" s="1" t="s">
        <v>23</v>
      </c>
      <c r="E1260" s="1" t="s">
        <v>43</v>
      </c>
      <c r="F1260" s="1" t="s">
        <v>25</v>
      </c>
      <c r="G1260" s="1" t="s">
        <v>20</v>
      </c>
      <c r="H1260" s="1">
        <v>2</v>
      </c>
      <c r="I1260" s="1">
        <v>2998</v>
      </c>
      <c r="J1260" s="1">
        <v>4499</v>
      </c>
      <c r="K1260" s="1">
        <v>10</v>
      </c>
      <c r="L1260" s="1">
        <f>ROUNDDOWN(formatted_data[[#This Row],[Selling_Price]]*formatted_data[[#This Row],[Discount_%]]/100,0)</f>
        <v>449</v>
      </c>
      <c r="M1260" s="1">
        <f>(formatted_data[[#This Row],[Selling_Price]]-formatted_data[[#This Row],[Discount_Amount]])*formatted_data[[#This Row],[Units]]</f>
        <v>8100</v>
      </c>
      <c r="N1260" s="1">
        <f>formatted_data[[#This Row],[Total_Revenue]]-(formatted_data[[#This Row],[Cost_Price]]*formatted_data[[#This Row],[Units]])</f>
        <v>2104</v>
      </c>
      <c r="O1260" s="1" t="s">
        <v>33</v>
      </c>
      <c r="P1260"/>
    </row>
    <row r="1261" spans="1:16" x14ac:dyDescent="0.35">
      <c r="A1261" s="1" t="s">
        <v>70</v>
      </c>
      <c r="B1261" s="1" t="s">
        <v>27</v>
      </c>
      <c r="C1261" s="2">
        <v>45561</v>
      </c>
      <c r="D1261" s="1" t="s">
        <v>28</v>
      </c>
      <c r="E1261" s="1" t="s">
        <v>45</v>
      </c>
      <c r="F1261" s="1" t="s">
        <v>19</v>
      </c>
      <c r="G1261" s="1" t="s">
        <v>19</v>
      </c>
      <c r="H1261" s="1">
        <v>1</v>
      </c>
      <c r="I1261" s="1">
        <v>1187</v>
      </c>
      <c r="J1261" s="1">
        <v>1699</v>
      </c>
      <c r="K1261" s="1">
        <v>10</v>
      </c>
      <c r="L1261" s="1">
        <f>ROUNDDOWN(formatted_data[[#This Row],[Selling_Price]]*formatted_data[[#This Row],[Discount_%]]/100,0)</f>
        <v>169</v>
      </c>
      <c r="M1261" s="1">
        <f>(formatted_data[[#This Row],[Selling_Price]]-formatted_data[[#This Row],[Discount_Amount]])*formatted_data[[#This Row],[Units]]</f>
        <v>1530</v>
      </c>
      <c r="N1261" s="1">
        <f>formatted_data[[#This Row],[Total_Revenue]]-(formatted_data[[#This Row],[Cost_Price]]*formatted_data[[#This Row],[Units]])</f>
        <v>343</v>
      </c>
      <c r="O1261" s="1" t="s">
        <v>33</v>
      </c>
      <c r="P1261"/>
    </row>
    <row r="1262" spans="1:16" x14ac:dyDescent="0.35">
      <c r="A1262" s="1" t="s">
        <v>65</v>
      </c>
      <c r="B1262" s="1" t="s">
        <v>16</v>
      </c>
      <c r="C1262" s="2">
        <v>45642</v>
      </c>
      <c r="D1262" s="1" t="s">
        <v>35</v>
      </c>
      <c r="E1262" s="1" t="s">
        <v>87</v>
      </c>
      <c r="F1262" s="1" t="s">
        <v>25</v>
      </c>
      <c r="G1262" s="1" t="s">
        <v>20</v>
      </c>
      <c r="H1262" s="1">
        <v>1</v>
      </c>
      <c r="I1262" s="1">
        <v>2397</v>
      </c>
      <c r="J1262" s="1">
        <v>3599</v>
      </c>
      <c r="K1262" s="1">
        <v>15</v>
      </c>
      <c r="L1262" s="1">
        <f>ROUNDDOWN(formatted_data[[#This Row],[Selling_Price]]*formatted_data[[#This Row],[Discount_%]]/100,0)</f>
        <v>539</v>
      </c>
      <c r="M1262" s="1">
        <f>(formatted_data[[#This Row],[Selling_Price]]-formatted_data[[#This Row],[Discount_Amount]])*formatted_data[[#This Row],[Units]]</f>
        <v>3060</v>
      </c>
      <c r="N1262" s="1">
        <f>formatted_data[[#This Row],[Total_Revenue]]-(formatted_data[[#This Row],[Cost_Price]]*formatted_data[[#This Row],[Units]])</f>
        <v>663</v>
      </c>
      <c r="O1262" s="1" t="s">
        <v>21</v>
      </c>
      <c r="P1262"/>
    </row>
    <row r="1263" spans="1:16" x14ac:dyDescent="0.35">
      <c r="A1263" s="1" t="s">
        <v>57</v>
      </c>
      <c r="B1263" s="1" t="s">
        <v>27</v>
      </c>
      <c r="C1263" s="2">
        <v>45565</v>
      </c>
      <c r="D1263" s="1" t="s">
        <v>17</v>
      </c>
      <c r="E1263" s="1" t="s">
        <v>55</v>
      </c>
      <c r="F1263" s="1" t="s">
        <v>25</v>
      </c>
      <c r="G1263" s="1" t="s">
        <v>19</v>
      </c>
      <c r="H1263" s="1">
        <v>4</v>
      </c>
      <c r="I1263" s="1">
        <v>438</v>
      </c>
      <c r="J1263" s="1">
        <v>599</v>
      </c>
      <c r="K1263" s="1">
        <v>0</v>
      </c>
      <c r="L1263" s="1">
        <f>ROUNDDOWN(formatted_data[[#This Row],[Selling_Price]]*formatted_data[[#This Row],[Discount_%]]/100,0)</f>
        <v>0</v>
      </c>
      <c r="M1263" s="1">
        <f>(formatted_data[[#This Row],[Selling_Price]]-formatted_data[[#This Row],[Discount_Amount]])*formatted_data[[#This Row],[Units]]</f>
        <v>2396</v>
      </c>
      <c r="N1263" s="1">
        <f>formatted_data[[#This Row],[Total_Revenue]]-(formatted_data[[#This Row],[Cost_Price]]*formatted_data[[#This Row],[Units]])</f>
        <v>644</v>
      </c>
      <c r="O1263" s="1" t="s">
        <v>21</v>
      </c>
      <c r="P1263"/>
    </row>
    <row r="1264" spans="1:16" x14ac:dyDescent="0.35">
      <c r="A1264" s="1" t="s">
        <v>67</v>
      </c>
      <c r="B1264" s="1" t="s">
        <v>27</v>
      </c>
      <c r="C1264" s="2">
        <v>45493</v>
      </c>
      <c r="D1264" s="1" t="s">
        <v>28</v>
      </c>
      <c r="E1264" s="1" t="s">
        <v>29</v>
      </c>
      <c r="F1264" s="1" t="s">
        <v>25</v>
      </c>
      <c r="G1264" s="1" t="s">
        <v>20</v>
      </c>
      <c r="H1264" s="1">
        <v>1</v>
      </c>
      <c r="I1264" s="1">
        <v>443</v>
      </c>
      <c r="J1264" s="1">
        <v>599</v>
      </c>
      <c r="K1264" s="1">
        <v>20</v>
      </c>
      <c r="L1264" s="1">
        <f>ROUNDDOWN(formatted_data[[#This Row],[Selling_Price]]*formatted_data[[#This Row],[Discount_%]]/100,0)</f>
        <v>119</v>
      </c>
      <c r="M1264" s="1">
        <f>(formatted_data[[#This Row],[Selling_Price]]-formatted_data[[#This Row],[Discount_Amount]])*formatted_data[[#This Row],[Units]]</f>
        <v>480</v>
      </c>
      <c r="N1264" s="1">
        <f>formatted_data[[#This Row],[Total_Revenue]]-(formatted_data[[#This Row],[Cost_Price]]*formatted_data[[#This Row],[Units]])</f>
        <v>37</v>
      </c>
      <c r="O1264" s="1" t="s">
        <v>21</v>
      </c>
      <c r="P1264"/>
    </row>
    <row r="1265" spans="1:16" x14ac:dyDescent="0.35">
      <c r="A1265" s="1" t="s">
        <v>68</v>
      </c>
      <c r="B1265" s="1" t="s">
        <v>16</v>
      </c>
      <c r="C1265" s="2">
        <v>45464</v>
      </c>
      <c r="D1265" s="1" t="s">
        <v>17</v>
      </c>
      <c r="E1265" s="1" t="s">
        <v>48</v>
      </c>
      <c r="F1265" s="1" t="s">
        <v>19</v>
      </c>
      <c r="G1265" s="1" t="s">
        <v>19</v>
      </c>
      <c r="H1265" s="1">
        <v>3</v>
      </c>
      <c r="I1265" s="1">
        <v>361</v>
      </c>
      <c r="J1265" s="1">
        <v>599</v>
      </c>
      <c r="K1265" s="1">
        <v>0</v>
      </c>
      <c r="L1265" s="1">
        <f>ROUNDDOWN(formatted_data[[#This Row],[Selling_Price]]*formatted_data[[#This Row],[Discount_%]]/100,0)</f>
        <v>0</v>
      </c>
      <c r="M1265" s="1">
        <f>(formatted_data[[#This Row],[Selling_Price]]-formatted_data[[#This Row],[Discount_Amount]])*formatted_data[[#This Row],[Units]]</f>
        <v>1797</v>
      </c>
      <c r="N1265" s="1">
        <f>formatted_data[[#This Row],[Total_Revenue]]-(formatted_data[[#This Row],[Cost_Price]]*formatted_data[[#This Row],[Units]])</f>
        <v>714</v>
      </c>
      <c r="O1265" s="1" t="s">
        <v>21</v>
      </c>
      <c r="P1265"/>
    </row>
    <row r="1266" spans="1:16" x14ac:dyDescent="0.35">
      <c r="A1266" s="1" t="s">
        <v>73</v>
      </c>
      <c r="B1266" s="1" t="s">
        <v>16</v>
      </c>
      <c r="C1266" s="2">
        <v>45592</v>
      </c>
      <c r="D1266" s="1" t="s">
        <v>17</v>
      </c>
      <c r="E1266" s="1" t="s">
        <v>18</v>
      </c>
      <c r="F1266" s="1" t="s">
        <v>19</v>
      </c>
      <c r="G1266" s="1" t="s">
        <v>19</v>
      </c>
      <c r="H1266" s="1">
        <v>1</v>
      </c>
      <c r="I1266" s="1">
        <v>323</v>
      </c>
      <c r="J1266" s="1">
        <v>499</v>
      </c>
      <c r="K1266" s="1">
        <v>0</v>
      </c>
      <c r="L1266" s="1">
        <f>ROUNDDOWN(formatted_data[[#This Row],[Selling_Price]]*formatted_data[[#This Row],[Discount_%]]/100,0)</f>
        <v>0</v>
      </c>
      <c r="M1266" s="1">
        <f>(formatted_data[[#This Row],[Selling_Price]]-formatted_data[[#This Row],[Discount_Amount]])*formatted_data[[#This Row],[Units]]</f>
        <v>499</v>
      </c>
      <c r="N1266" s="1">
        <f>formatted_data[[#This Row],[Total_Revenue]]-(formatted_data[[#This Row],[Cost_Price]]*formatted_data[[#This Row],[Units]])</f>
        <v>176</v>
      </c>
      <c r="O1266" s="1" t="s">
        <v>33</v>
      </c>
      <c r="P1266"/>
    </row>
    <row r="1267" spans="1:16" x14ac:dyDescent="0.35">
      <c r="A1267" s="1" t="s">
        <v>68</v>
      </c>
      <c r="B1267" s="1" t="s">
        <v>16</v>
      </c>
      <c r="C1267" s="2">
        <v>45452</v>
      </c>
      <c r="D1267" s="1" t="s">
        <v>28</v>
      </c>
      <c r="E1267" s="1" t="s">
        <v>29</v>
      </c>
      <c r="F1267" s="1" t="s">
        <v>19</v>
      </c>
      <c r="G1267" s="1" t="s">
        <v>20</v>
      </c>
      <c r="H1267" s="1">
        <v>1</v>
      </c>
      <c r="I1267" s="1">
        <v>441</v>
      </c>
      <c r="J1267" s="1">
        <v>799</v>
      </c>
      <c r="K1267" s="1">
        <v>20</v>
      </c>
      <c r="L1267" s="1">
        <f>ROUNDDOWN(formatted_data[[#This Row],[Selling_Price]]*formatted_data[[#This Row],[Discount_%]]/100,0)</f>
        <v>159</v>
      </c>
      <c r="M1267" s="1">
        <f>(formatted_data[[#This Row],[Selling_Price]]-formatted_data[[#This Row],[Discount_Amount]])*formatted_data[[#This Row],[Units]]</f>
        <v>640</v>
      </c>
      <c r="N1267" s="1">
        <f>formatted_data[[#This Row],[Total_Revenue]]-(formatted_data[[#This Row],[Cost_Price]]*formatted_data[[#This Row],[Units]])</f>
        <v>199</v>
      </c>
      <c r="O1267" s="1" t="s">
        <v>21</v>
      </c>
      <c r="P1267"/>
    </row>
    <row r="1268" spans="1:16" x14ac:dyDescent="0.35">
      <c r="A1268" s="1" t="s">
        <v>102</v>
      </c>
      <c r="B1268" s="1" t="s">
        <v>27</v>
      </c>
      <c r="C1268" s="2">
        <v>45591</v>
      </c>
      <c r="D1268" s="1" t="s">
        <v>17</v>
      </c>
      <c r="E1268" s="1" t="s">
        <v>18</v>
      </c>
      <c r="F1268" s="1" t="s">
        <v>25</v>
      </c>
      <c r="G1268" s="1" t="s">
        <v>19</v>
      </c>
      <c r="H1268" s="1">
        <v>1</v>
      </c>
      <c r="I1268" s="1">
        <v>211</v>
      </c>
      <c r="J1268" s="1">
        <v>299</v>
      </c>
      <c r="K1268" s="1">
        <v>0</v>
      </c>
      <c r="L1268" s="1">
        <f>ROUNDDOWN(formatted_data[[#This Row],[Selling_Price]]*formatted_data[[#This Row],[Discount_%]]/100,0)</f>
        <v>0</v>
      </c>
      <c r="M1268" s="1">
        <f>(formatted_data[[#This Row],[Selling_Price]]-formatted_data[[#This Row],[Discount_Amount]])*formatted_data[[#This Row],[Units]]</f>
        <v>299</v>
      </c>
      <c r="N1268" s="1">
        <f>formatted_data[[#This Row],[Total_Revenue]]-(formatted_data[[#This Row],[Cost_Price]]*formatted_data[[#This Row],[Units]])</f>
        <v>88</v>
      </c>
      <c r="O1268" s="1" t="s">
        <v>33</v>
      </c>
      <c r="P1268"/>
    </row>
    <row r="1269" spans="1:16" x14ac:dyDescent="0.35">
      <c r="A1269" s="1" t="s">
        <v>107</v>
      </c>
      <c r="B1269" s="1" t="s">
        <v>27</v>
      </c>
      <c r="C1269" s="2">
        <v>45583</v>
      </c>
      <c r="D1269" s="1" t="s">
        <v>28</v>
      </c>
      <c r="E1269" s="1" t="s">
        <v>45</v>
      </c>
      <c r="F1269" s="1" t="s">
        <v>37</v>
      </c>
      <c r="G1269" s="1" t="s">
        <v>19</v>
      </c>
      <c r="H1269" s="1">
        <v>1</v>
      </c>
      <c r="I1269" s="1">
        <v>526</v>
      </c>
      <c r="J1269" s="1">
        <v>999</v>
      </c>
      <c r="K1269" s="1">
        <v>20</v>
      </c>
      <c r="L1269" s="1">
        <f>ROUNDDOWN(formatted_data[[#This Row],[Selling_Price]]*formatted_data[[#This Row],[Discount_%]]/100,0)</f>
        <v>199</v>
      </c>
      <c r="M1269" s="1">
        <f>(formatted_data[[#This Row],[Selling_Price]]-formatted_data[[#This Row],[Discount_Amount]])*formatted_data[[#This Row],[Units]]</f>
        <v>800</v>
      </c>
      <c r="N1269" s="1">
        <f>formatted_data[[#This Row],[Total_Revenue]]-(formatted_data[[#This Row],[Cost_Price]]*formatted_data[[#This Row],[Units]])</f>
        <v>274</v>
      </c>
      <c r="O1269" s="1" t="s">
        <v>33</v>
      </c>
      <c r="P1269"/>
    </row>
    <row r="1270" spans="1:16" x14ac:dyDescent="0.35">
      <c r="A1270" s="1" t="s">
        <v>90</v>
      </c>
      <c r="B1270" s="1" t="s">
        <v>27</v>
      </c>
      <c r="C1270" s="2">
        <v>45579</v>
      </c>
      <c r="D1270" s="1" t="s">
        <v>17</v>
      </c>
      <c r="E1270" s="1" t="s">
        <v>55</v>
      </c>
      <c r="F1270" s="1" t="s">
        <v>37</v>
      </c>
      <c r="G1270" s="1" t="s">
        <v>20</v>
      </c>
      <c r="H1270" s="1">
        <v>1</v>
      </c>
      <c r="I1270" s="1">
        <v>186</v>
      </c>
      <c r="J1270" s="1">
        <v>299</v>
      </c>
      <c r="K1270" s="1">
        <v>0</v>
      </c>
      <c r="L1270" s="1">
        <f>ROUNDDOWN(formatted_data[[#This Row],[Selling_Price]]*formatted_data[[#This Row],[Discount_%]]/100,0)</f>
        <v>0</v>
      </c>
      <c r="M1270" s="1">
        <f>(formatted_data[[#This Row],[Selling_Price]]-formatted_data[[#This Row],[Discount_Amount]])*formatted_data[[#This Row],[Units]]</f>
        <v>299</v>
      </c>
      <c r="N1270" s="1">
        <f>formatted_data[[#This Row],[Total_Revenue]]-(formatted_data[[#This Row],[Cost_Price]]*formatted_data[[#This Row],[Units]])</f>
        <v>113</v>
      </c>
      <c r="O1270" s="1" t="s">
        <v>21</v>
      </c>
      <c r="P1270"/>
    </row>
    <row r="1271" spans="1:16" x14ac:dyDescent="0.35">
      <c r="A1271" s="1" t="s">
        <v>68</v>
      </c>
      <c r="B1271" s="1" t="s">
        <v>16</v>
      </c>
      <c r="C1271" s="2">
        <v>45626</v>
      </c>
      <c r="D1271" s="1" t="s">
        <v>28</v>
      </c>
      <c r="E1271" s="1" t="s">
        <v>29</v>
      </c>
      <c r="F1271" s="1" t="s">
        <v>25</v>
      </c>
      <c r="G1271" s="1" t="s">
        <v>19</v>
      </c>
      <c r="H1271" s="1">
        <v>1</v>
      </c>
      <c r="I1271" s="1">
        <v>520</v>
      </c>
      <c r="J1271" s="1">
        <v>799</v>
      </c>
      <c r="K1271" s="1">
        <v>15</v>
      </c>
      <c r="L1271" s="1">
        <f>ROUNDDOWN(formatted_data[[#This Row],[Selling_Price]]*formatted_data[[#This Row],[Discount_%]]/100,0)</f>
        <v>119</v>
      </c>
      <c r="M1271" s="1">
        <f>(formatted_data[[#This Row],[Selling_Price]]-formatted_data[[#This Row],[Discount_Amount]])*formatted_data[[#This Row],[Units]]</f>
        <v>680</v>
      </c>
      <c r="N1271" s="1">
        <f>formatted_data[[#This Row],[Total_Revenue]]-(formatted_data[[#This Row],[Cost_Price]]*formatted_data[[#This Row],[Units]])</f>
        <v>160</v>
      </c>
      <c r="O1271" s="1" t="s">
        <v>21</v>
      </c>
      <c r="P1271"/>
    </row>
    <row r="1272" spans="1:16" x14ac:dyDescent="0.35">
      <c r="A1272" s="1" t="s">
        <v>96</v>
      </c>
      <c r="B1272" s="1" t="s">
        <v>16</v>
      </c>
      <c r="C1272" s="2">
        <v>45611</v>
      </c>
      <c r="D1272" s="1" t="s">
        <v>23</v>
      </c>
      <c r="E1272" s="1" t="s">
        <v>43</v>
      </c>
      <c r="F1272" s="1" t="s">
        <v>37</v>
      </c>
      <c r="G1272" s="1" t="s">
        <v>20</v>
      </c>
      <c r="H1272" s="1">
        <v>1</v>
      </c>
      <c r="I1272" s="1">
        <v>2271</v>
      </c>
      <c r="J1272" s="1">
        <v>4299</v>
      </c>
      <c r="K1272" s="1">
        <v>5</v>
      </c>
      <c r="L1272" s="1">
        <f>ROUNDDOWN(formatted_data[[#This Row],[Selling_Price]]*formatted_data[[#This Row],[Discount_%]]/100,0)</f>
        <v>214</v>
      </c>
      <c r="M1272" s="1">
        <f>(formatted_data[[#This Row],[Selling_Price]]-formatted_data[[#This Row],[Discount_Amount]])*formatted_data[[#This Row],[Units]]</f>
        <v>4085</v>
      </c>
      <c r="N1272" s="1">
        <f>formatted_data[[#This Row],[Total_Revenue]]-(formatted_data[[#This Row],[Cost_Price]]*formatted_data[[#This Row],[Units]])</f>
        <v>1814</v>
      </c>
      <c r="O1272" s="1" t="s">
        <v>21</v>
      </c>
      <c r="P1272"/>
    </row>
    <row r="1273" spans="1:16" x14ac:dyDescent="0.35">
      <c r="A1273" s="1" t="s">
        <v>67</v>
      </c>
      <c r="B1273" s="1" t="s">
        <v>27</v>
      </c>
      <c r="C1273" s="2">
        <v>45517</v>
      </c>
      <c r="D1273" s="1" t="s">
        <v>28</v>
      </c>
      <c r="E1273" s="1" t="s">
        <v>45</v>
      </c>
      <c r="F1273" s="1" t="s">
        <v>25</v>
      </c>
      <c r="G1273" s="1" t="s">
        <v>19</v>
      </c>
      <c r="H1273" s="1">
        <v>1</v>
      </c>
      <c r="I1273" s="1">
        <v>662</v>
      </c>
      <c r="J1273" s="1">
        <v>899</v>
      </c>
      <c r="K1273" s="1">
        <v>5</v>
      </c>
      <c r="L1273" s="1">
        <f>ROUNDDOWN(formatted_data[[#This Row],[Selling_Price]]*formatted_data[[#This Row],[Discount_%]]/100,0)</f>
        <v>44</v>
      </c>
      <c r="M1273" s="1">
        <f>(formatted_data[[#This Row],[Selling_Price]]-formatted_data[[#This Row],[Discount_Amount]])*formatted_data[[#This Row],[Units]]</f>
        <v>855</v>
      </c>
      <c r="N1273" s="1">
        <f>formatted_data[[#This Row],[Total_Revenue]]-(formatted_data[[#This Row],[Cost_Price]]*formatted_data[[#This Row],[Units]])</f>
        <v>193</v>
      </c>
      <c r="O1273" s="1" t="s">
        <v>21</v>
      </c>
      <c r="P1273"/>
    </row>
    <row r="1274" spans="1:16" x14ac:dyDescent="0.35">
      <c r="A1274" s="1" t="s">
        <v>107</v>
      </c>
      <c r="B1274" s="1" t="s">
        <v>27</v>
      </c>
      <c r="C1274" s="2">
        <v>45602</v>
      </c>
      <c r="D1274" s="1" t="s">
        <v>31</v>
      </c>
      <c r="E1274" s="1" t="s">
        <v>32</v>
      </c>
      <c r="F1274" s="1" t="s">
        <v>37</v>
      </c>
      <c r="G1274" s="1" t="s">
        <v>20</v>
      </c>
      <c r="H1274" s="1">
        <v>1</v>
      </c>
      <c r="I1274" s="1">
        <v>505</v>
      </c>
      <c r="J1274" s="1">
        <v>999</v>
      </c>
      <c r="K1274" s="1">
        <v>0</v>
      </c>
      <c r="L1274" s="1">
        <f>ROUNDDOWN(formatted_data[[#This Row],[Selling_Price]]*formatted_data[[#This Row],[Discount_%]]/100,0)</f>
        <v>0</v>
      </c>
      <c r="M1274" s="1">
        <f>(formatted_data[[#This Row],[Selling_Price]]-formatted_data[[#This Row],[Discount_Amount]])*formatted_data[[#This Row],[Units]]</f>
        <v>999</v>
      </c>
      <c r="N1274" s="1">
        <f>formatted_data[[#This Row],[Total_Revenue]]-(formatted_data[[#This Row],[Cost_Price]]*formatted_data[[#This Row],[Units]])</f>
        <v>494</v>
      </c>
      <c r="O1274" s="1" t="s">
        <v>33</v>
      </c>
      <c r="P1274"/>
    </row>
    <row r="1275" spans="1:16" x14ac:dyDescent="0.35">
      <c r="A1275" s="1" t="s">
        <v>61</v>
      </c>
      <c r="B1275" s="1" t="s">
        <v>27</v>
      </c>
      <c r="C1275" s="2">
        <v>45445</v>
      </c>
      <c r="D1275" s="1" t="s">
        <v>35</v>
      </c>
      <c r="E1275" s="1" t="s">
        <v>58</v>
      </c>
      <c r="F1275" s="1" t="s">
        <v>19</v>
      </c>
      <c r="G1275" s="1" t="s">
        <v>20</v>
      </c>
      <c r="H1275" s="1">
        <v>1</v>
      </c>
      <c r="I1275" s="1">
        <v>745</v>
      </c>
      <c r="J1275" s="1">
        <v>1199</v>
      </c>
      <c r="K1275" s="1">
        <v>15</v>
      </c>
      <c r="L1275" s="1">
        <f>ROUNDDOWN(formatted_data[[#This Row],[Selling_Price]]*formatted_data[[#This Row],[Discount_%]]/100,0)</f>
        <v>179</v>
      </c>
      <c r="M1275" s="1">
        <f>(formatted_data[[#This Row],[Selling_Price]]-formatted_data[[#This Row],[Discount_Amount]])*formatted_data[[#This Row],[Units]]</f>
        <v>1020</v>
      </c>
      <c r="N1275" s="1">
        <f>formatted_data[[#This Row],[Total_Revenue]]-(formatted_data[[#This Row],[Cost_Price]]*formatted_data[[#This Row],[Units]])</f>
        <v>275</v>
      </c>
      <c r="O1275" s="1" t="s">
        <v>21</v>
      </c>
      <c r="P1275"/>
    </row>
    <row r="1276" spans="1:16" x14ac:dyDescent="0.35">
      <c r="A1276" s="1" t="s">
        <v>52</v>
      </c>
      <c r="B1276" s="1" t="s">
        <v>27</v>
      </c>
      <c r="C1276" s="2">
        <v>45477</v>
      </c>
      <c r="D1276" s="1" t="s">
        <v>28</v>
      </c>
      <c r="E1276" s="1" t="s">
        <v>29</v>
      </c>
      <c r="F1276" s="1" t="s">
        <v>19</v>
      </c>
      <c r="G1276" s="1" t="s">
        <v>20</v>
      </c>
      <c r="H1276" s="1">
        <v>1</v>
      </c>
      <c r="I1276" s="1">
        <v>375</v>
      </c>
      <c r="J1276" s="1">
        <v>599</v>
      </c>
      <c r="K1276" s="1">
        <v>15</v>
      </c>
      <c r="L1276" s="1">
        <f>ROUNDDOWN(formatted_data[[#This Row],[Selling_Price]]*formatted_data[[#This Row],[Discount_%]]/100,0)</f>
        <v>89</v>
      </c>
      <c r="M1276" s="1">
        <f>(formatted_data[[#This Row],[Selling_Price]]-formatted_data[[#This Row],[Discount_Amount]])*formatted_data[[#This Row],[Units]]</f>
        <v>510</v>
      </c>
      <c r="N1276" s="1">
        <f>formatted_data[[#This Row],[Total_Revenue]]-(formatted_data[[#This Row],[Cost_Price]]*formatted_data[[#This Row],[Units]])</f>
        <v>135</v>
      </c>
      <c r="O1276" s="1" t="s">
        <v>21</v>
      </c>
      <c r="P1276"/>
    </row>
    <row r="1277" spans="1:16" x14ac:dyDescent="0.35">
      <c r="A1277" s="1" t="s">
        <v>54</v>
      </c>
      <c r="B1277" s="1" t="s">
        <v>27</v>
      </c>
      <c r="C1277" s="2">
        <v>45462</v>
      </c>
      <c r="D1277" s="1" t="s">
        <v>17</v>
      </c>
      <c r="E1277" s="1" t="s">
        <v>72</v>
      </c>
      <c r="F1277" s="1" t="s">
        <v>19</v>
      </c>
      <c r="G1277" s="1" t="s">
        <v>19</v>
      </c>
      <c r="H1277" s="1">
        <v>4</v>
      </c>
      <c r="I1277" s="1">
        <v>254</v>
      </c>
      <c r="J1277" s="1">
        <v>399</v>
      </c>
      <c r="K1277" s="1">
        <v>0</v>
      </c>
      <c r="L1277" s="1">
        <f>ROUNDDOWN(formatted_data[[#This Row],[Selling_Price]]*formatted_data[[#This Row],[Discount_%]]/100,0)</f>
        <v>0</v>
      </c>
      <c r="M1277" s="1">
        <f>(formatted_data[[#This Row],[Selling_Price]]-formatted_data[[#This Row],[Discount_Amount]])*formatted_data[[#This Row],[Units]]</f>
        <v>1596</v>
      </c>
      <c r="N1277" s="1">
        <f>formatted_data[[#This Row],[Total_Revenue]]-(formatted_data[[#This Row],[Cost_Price]]*formatted_data[[#This Row],[Units]])</f>
        <v>580</v>
      </c>
      <c r="O1277" s="1" t="s">
        <v>33</v>
      </c>
      <c r="P1277"/>
    </row>
    <row r="1278" spans="1:16" x14ac:dyDescent="0.35">
      <c r="A1278" s="1" t="s">
        <v>15</v>
      </c>
      <c r="B1278" s="1" t="s">
        <v>16</v>
      </c>
      <c r="C1278" s="2">
        <v>45578</v>
      </c>
      <c r="D1278" s="1" t="s">
        <v>31</v>
      </c>
      <c r="E1278" s="1" t="s">
        <v>76</v>
      </c>
      <c r="F1278" s="1" t="s">
        <v>19</v>
      </c>
      <c r="G1278" s="1" t="s">
        <v>19</v>
      </c>
      <c r="H1278" s="1">
        <v>3</v>
      </c>
      <c r="I1278" s="1">
        <v>935</v>
      </c>
      <c r="J1278" s="1">
        <v>1499</v>
      </c>
      <c r="K1278" s="1">
        <v>0</v>
      </c>
      <c r="L1278" s="1">
        <f>ROUNDDOWN(formatted_data[[#This Row],[Selling_Price]]*formatted_data[[#This Row],[Discount_%]]/100,0)</f>
        <v>0</v>
      </c>
      <c r="M1278" s="1">
        <f>(formatted_data[[#This Row],[Selling_Price]]-formatted_data[[#This Row],[Discount_Amount]])*formatted_data[[#This Row],[Units]]</f>
        <v>4497</v>
      </c>
      <c r="N1278" s="1">
        <f>formatted_data[[#This Row],[Total_Revenue]]-(formatted_data[[#This Row],[Cost_Price]]*formatted_data[[#This Row],[Units]])</f>
        <v>1692</v>
      </c>
      <c r="O1278" s="1" t="s">
        <v>21</v>
      </c>
      <c r="P1278"/>
    </row>
    <row r="1279" spans="1:16" x14ac:dyDescent="0.35">
      <c r="A1279" s="1" t="s">
        <v>94</v>
      </c>
      <c r="B1279" s="1" t="s">
        <v>16</v>
      </c>
      <c r="C1279" s="2">
        <v>45489</v>
      </c>
      <c r="D1279" s="1" t="s">
        <v>23</v>
      </c>
      <c r="E1279" s="1" t="s">
        <v>24</v>
      </c>
      <c r="F1279" s="1" t="s">
        <v>25</v>
      </c>
      <c r="G1279" s="1" t="s">
        <v>19</v>
      </c>
      <c r="H1279" s="1">
        <v>1</v>
      </c>
      <c r="I1279" s="1">
        <v>553</v>
      </c>
      <c r="J1279" s="1">
        <v>899</v>
      </c>
      <c r="K1279" s="1">
        <v>10</v>
      </c>
      <c r="L1279" s="1">
        <f>ROUNDDOWN(formatted_data[[#This Row],[Selling_Price]]*formatted_data[[#This Row],[Discount_%]]/100,0)</f>
        <v>89</v>
      </c>
      <c r="M1279" s="1">
        <f>(formatted_data[[#This Row],[Selling_Price]]-formatted_data[[#This Row],[Discount_Amount]])*formatted_data[[#This Row],[Units]]</f>
        <v>810</v>
      </c>
      <c r="N1279" s="1">
        <f>formatted_data[[#This Row],[Total_Revenue]]-(formatted_data[[#This Row],[Cost_Price]]*formatted_data[[#This Row],[Units]])</f>
        <v>257</v>
      </c>
      <c r="O1279" s="1" t="s">
        <v>33</v>
      </c>
      <c r="P1279"/>
    </row>
    <row r="1280" spans="1:16" x14ac:dyDescent="0.35">
      <c r="A1280" s="1" t="s">
        <v>101</v>
      </c>
      <c r="B1280" s="1" t="s">
        <v>16</v>
      </c>
      <c r="C1280" s="2">
        <v>45578</v>
      </c>
      <c r="D1280" s="1" t="s">
        <v>28</v>
      </c>
      <c r="E1280" s="1" t="s">
        <v>45</v>
      </c>
      <c r="F1280" s="1" t="s">
        <v>25</v>
      </c>
      <c r="G1280" s="1" t="s">
        <v>19</v>
      </c>
      <c r="H1280" s="1">
        <v>3</v>
      </c>
      <c r="I1280" s="1">
        <v>1276</v>
      </c>
      <c r="J1280" s="1">
        <v>1999</v>
      </c>
      <c r="K1280" s="1">
        <v>10</v>
      </c>
      <c r="L1280" s="1">
        <f>ROUNDDOWN(formatted_data[[#This Row],[Selling_Price]]*formatted_data[[#This Row],[Discount_%]]/100,0)</f>
        <v>199</v>
      </c>
      <c r="M1280" s="1">
        <f>(formatted_data[[#This Row],[Selling_Price]]-formatted_data[[#This Row],[Discount_Amount]])*formatted_data[[#This Row],[Units]]</f>
        <v>5400</v>
      </c>
      <c r="N1280" s="1">
        <f>formatted_data[[#This Row],[Total_Revenue]]-(formatted_data[[#This Row],[Cost_Price]]*formatted_data[[#This Row],[Units]])</f>
        <v>1572</v>
      </c>
      <c r="O1280" s="1" t="s">
        <v>21</v>
      </c>
      <c r="P1280"/>
    </row>
    <row r="1281" spans="1:16" x14ac:dyDescent="0.35">
      <c r="A1281" s="1" t="s">
        <v>96</v>
      </c>
      <c r="B1281" s="1" t="s">
        <v>16</v>
      </c>
      <c r="C1281" s="2">
        <v>45485</v>
      </c>
      <c r="D1281" s="1" t="s">
        <v>23</v>
      </c>
      <c r="E1281" s="1" t="s">
        <v>24</v>
      </c>
      <c r="F1281" s="1" t="s">
        <v>37</v>
      </c>
      <c r="G1281" s="1" t="s">
        <v>20</v>
      </c>
      <c r="H1281" s="1">
        <v>1</v>
      </c>
      <c r="I1281" s="1">
        <v>772</v>
      </c>
      <c r="J1281" s="1">
        <v>1099</v>
      </c>
      <c r="K1281" s="1">
        <v>5</v>
      </c>
      <c r="L1281" s="1">
        <f>ROUNDDOWN(formatted_data[[#This Row],[Selling_Price]]*formatted_data[[#This Row],[Discount_%]]/100,0)</f>
        <v>54</v>
      </c>
      <c r="M1281" s="1">
        <f>(formatted_data[[#This Row],[Selling_Price]]-formatted_data[[#This Row],[Discount_Amount]])*formatted_data[[#This Row],[Units]]</f>
        <v>1045</v>
      </c>
      <c r="N1281" s="1">
        <f>formatted_data[[#This Row],[Total_Revenue]]-(formatted_data[[#This Row],[Cost_Price]]*formatted_data[[#This Row],[Units]])</f>
        <v>273</v>
      </c>
      <c r="O1281" s="1" t="s">
        <v>21</v>
      </c>
      <c r="P1281"/>
    </row>
    <row r="1282" spans="1:16" x14ac:dyDescent="0.35">
      <c r="A1282" s="1" t="s">
        <v>51</v>
      </c>
      <c r="B1282" s="1" t="s">
        <v>16</v>
      </c>
      <c r="C1282" s="2">
        <v>45527</v>
      </c>
      <c r="D1282" s="1" t="s">
        <v>28</v>
      </c>
      <c r="E1282" s="1" t="s">
        <v>45</v>
      </c>
      <c r="F1282" s="1" t="s">
        <v>37</v>
      </c>
      <c r="G1282" s="1" t="s">
        <v>20</v>
      </c>
      <c r="H1282" s="1">
        <v>1</v>
      </c>
      <c r="I1282" s="1">
        <v>795</v>
      </c>
      <c r="J1282" s="1">
        <v>1299</v>
      </c>
      <c r="K1282" s="1">
        <v>5</v>
      </c>
      <c r="L1282" s="1">
        <f>ROUNDDOWN(formatted_data[[#This Row],[Selling_Price]]*formatted_data[[#This Row],[Discount_%]]/100,0)</f>
        <v>64</v>
      </c>
      <c r="M1282" s="1">
        <f>(formatted_data[[#This Row],[Selling_Price]]-formatted_data[[#This Row],[Discount_Amount]])*formatted_data[[#This Row],[Units]]</f>
        <v>1235</v>
      </c>
      <c r="N1282" s="1">
        <f>formatted_data[[#This Row],[Total_Revenue]]-(formatted_data[[#This Row],[Cost_Price]]*formatted_data[[#This Row],[Units]])</f>
        <v>440</v>
      </c>
      <c r="O1282" s="1" t="s">
        <v>21</v>
      </c>
      <c r="P1282"/>
    </row>
    <row r="1283" spans="1:16" x14ac:dyDescent="0.35">
      <c r="A1283" s="1" t="s">
        <v>103</v>
      </c>
      <c r="B1283" s="1" t="s">
        <v>16</v>
      </c>
      <c r="C1283" s="2">
        <v>45489</v>
      </c>
      <c r="D1283" s="1" t="s">
        <v>31</v>
      </c>
      <c r="E1283" s="1" t="s">
        <v>32</v>
      </c>
      <c r="F1283" s="1" t="s">
        <v>37</v>
      </c>
      <c r="G1283" s="1" t="s">
        <v>19</v>
      </c>
      <c r="H1283" s="1">
        <v>1</v>
      </c>
      <c r="I1283" s="1">
        <v>625</v>
      </c>
      <c r="J1283" s="1">
        <v>899</v>
      </c>
      <c r="K1283" s="1">
        <v>0</v>
      </c>
      <c r="L1283" s="1">
        <f>ROUNDDOWN(formatted_data[[#This Row],[Selling_Price]]*formatted_data[[#This Row],[Discount_%]]/100,0)</f>
        <v>0</v>
      </c>
      <c r="M1283" s="1">
        <f>(formatted_data[[#This Row],[Selling_Price]]-formatted_data[[#This Row],[Discount_Amount]])*formatted_data[[#This Row],[Units]]</f>
        <v>899</v>
      </c>
      <c r="N1283" s="1">
        <f>formatted_data[[#This Row],[Total_Revenue]]-(formatted_data[[#This Row],[Cost_Price]]*formatted_data[[#This Row],[Units]])</f>
        <v>274</v>
      </c>
      <c r="O1283" s="1" t="s">
        <v>21</v>
      </c>
      <c r="P1283"/>
    </row>
    <row r="1284" spans="1:16" x14ac:dyDescent="0.35">
      <c r="A1284" s="1" t="s">
        <v>90</v>
      </c>
      <c r="B1284" s="1" t="s">
        <v>27</v>
      </c>
      <c r="C1284" s="2">
        <v>45582</v>
      </c>
      <c r="D1284" s="1" t="s">
        <v>31</v>
      </c>
      <c r="E1284" s="1" t="s">
        <v>76</v>
      </c>
      <c r="F1284" s="1" t="s">
        <v>25</v>
      </c>
      <c r="G1284" s="1" t="s">
        <v>20</v>
      </c>
      <c r="H1284" s="1">
        <v>1</v>
      </c>
      <c r="I1284" s="1">
        <v>1024</v>
      </c>
      <c r="J1284" s="1">
        <v>1499</v>
      </c>
      <c r="K1284" s="1">
        <v>0</v>
      </c>
      <c r="L1284" s="1">
        <f>ROUNDDOWN(formatted_data[[#This Row],[Selling_Price]]*formatted_data[[#This Row],[Discount_%]]/100,0)</f>
        <v>0</v>
      </c>
      <c r="M1284" s="1">
        <f>(formatted_data[[#This Row],[Selling_Price]]-formatted_data[[#This Row],[Discount_Amount]])*formatted_data[[#This Row],[Units]]</f>
        <v>1499</v>
      </c>
      <c r="N1284" s="1">
        <f>formatted_data[[#This Row],[Total_Revenue]]-(formatted_data[[#This Row],[Cost_Price]]*formatted_data[[#This Row],[Units]])</f>
        <v>475</v>
      </c>
      <c r="O1284" s="1" t="s">
        <v>21</v>
      </c>
      <c r="P1284"/>
    </row>
    <row r="1285" spans="1:16" x14ac:dyDescent="0.35">
      <c r="A1285" s="1" t="s">
        <v>61</v>
      </c>
      <c r="B1285" s="1" t="s">
        <v>27</v>
      </c>
      <c r="C1285" s="2">
        <v>45570</v>
      </c>
      <c r="D1285" s="1" t="s">
        <v>31</v>
      </c>
      <c r="E1285" s="1" t="s">
        <v>32</v>
      </c>
      <c r="F1285" s="1" t="s">
        <v>25</v>
      </c>
      <c r="G1285" s="1" t="s">
        <v>20</v>
      </c>
      <c r="H1285" s="1">
        <v>1</v>
      </c>
      <c r="I1285" s="1">
        <v>855</v>
      </c>
      <c r="J1285" s="1">
        <v>1199</v>
      </c>
      <c r="K1285" s="1">
        <v>0</v>
      </c>
      <c r="L1285" s="1">
        <f>ROUNDDOWN(formatted_data[[#This Row],[Selling_Price]]*formatted_data[[#This Row],[Discount_%]]/100,0)</f>
        <v>0</v>
      </c>
      <c r="M1285" s="1">
        <f>(formatted_data[[#This Row],[Selling_Price]]-formatted_data[[#This Row],[Discount_Amount]])*formatted_data[[#This Row],[Units]]</f>
        <v>1199</v>
      </c>
      <c r="N1285" s="1">
        <f>formatted_data[[#This Row],[Total_Revenue]]-(formatted_data[[#This Row],[Cost_Price]]*formatted_data[[#This Row],[Units]])</f>
        <v>344</v>
      </c>
      <c r="O1285" s="1" t="s">
        <v>33</v>
      </c>
      <c r="P1285"/>
    </row>
    <row r="1286" spans="1:16" x14ac:dyDescent="0.35">
      <c r="A1286" s="1" t="s">
        <v>66</v>
      </c>
      <c r="B1286" s="1" t="s">
        <v>27</v>
      </c>
      <c r="C1286" s="2">
        <v>45598</v>
      </c>
      <c r="D1286" s="1" t="s">
        <v>35</v>
      </c>
      <c r="E1286" s="1" t="s">
        <v>39</v>
      </c>
      <c r="F1286" s="1" t="s">
        <v>37</v>
      </c>
      <c r="G1286" s="1" t="s">
        <v>19</v>
      </c>
      <c r="H1286" s="1">
        <v>1</v>
      </c>
      <c r="I1286" s="1">
        <v>638</v>
      </c>
      <c r="J1286" s="1">
        <v>1099</v>
      </c>
      <c r="K1286" s="1">
        <v>5</v>
      </c>
      <c r="L1286" s="1">
        <f>ROUNDDOWN(formatted_data[[#This Row],[Selling_Price]]*formatted_data[[#This Row],[Discount_%]]/100,0)</f>
        <v>54</v>
      </c>
      <c r="M1286" s="1">
        <f>(formatted_data[[#This Row],[Selling_Price]]-formatted_data[[#This Row],[Discount_Amount]])*formatted_data[[#This Row],[Units]]</f>
        <v>1045</v>
      </c>
      <c r="N1286" s="1">
        <f>formatted_data[[#This Row],[Total_Revenue]]-(formatted_data[[#This Row],[Cost_Price]]*formatted_data[[#This Row],[Units]])</f>
        <v>407</v>
      </c>
      <c r="O1286" s="1" t="s">
        <v>21</v>
      </c>
      <c r="P1286"/>
    </row>
    <row r="1287" spans="1:16" x14ac:dyDescent="0.35">
      <c r="A1287" s="1" t="s">
        <v>89</v>
      </c>
      <c r="B1287" s="1" t="s">
        <v>16</v>
      </c>
      <c r="C1287" s="2">
        <v>45592</v>
      </c>
      <c r="D1287" s="1" t="s">
        <v>35</v>
      </c>
      <c r="E1287" s="1" t="s">
        <v>50</v>
      </c>
      <c r="F1287" s="1" t="s">
        <v>37</v>
      </c>
      <c r="G1287" s="1" t="s">
        <v>19</v>
      </c>
      <c r="H1287" s="1">
        <v>4</v>
      </c>
      <c r="I1287" s="1">
        <v>1198</v>
      </c>
      <c r="J1287" s="1">
        <v>1899</v>
      </c>
      <c r="K1287" s="1">
        <v>20</v>
      </c>
      <c r="L1287" s="1">
        <f>ROUNDDOWN(formatted_data[[#This Row],[Selling_Price]]*formatted_data[[#This Row],[Discount_%]]/100,0)</f>
        <v>379</v>
      </c>
      <c r="M1287" s="1">
        <f>(formatted_data[[#This Row],[Selling_Price]]-formatted_data[[#This Row],[Discount_Amount]])*formatted_data[[#This Row],[Units]]</f>
        <v>6080</v>
      </c>
      <c r="N1287" s="1">
        <f>formatted_data[[#This Row],[Total_Revenue]]-(formatted_data[[#This Row],[Cost_Price]]*formatted_data[[#This Row],[Units]])</f>
        <v>1288</v>
      </c>
      <c r="O1287" s="1" t="s">
        <v>33</v>
      </c>
      <c r="P1287"/>
    </row>
    <row r="1288" spans="1:16" x14ac:dyDescent="0.35">
      <c r="A1288" s="1" t="s">
        <v>99</v>
      </c>
      <c r="B1288" s="1" t="s">
        <v>27</v>
      </c>
      <c r="C1288" s="2">
        <v>45541</v>
      </c>
      <c r="D1288" s="1" t="s">
        <v>31</v>
      </c>
      <c r="E1288" s="1" t="s">
        <v>76</v>
      </c>
      <c r="F1288" s="1" t="s">
        <v>19</v>
      </c>
      <c r="G1288" s="1" t="s">
        <v>19</v>
      </c>
      <c r="H1288" s="1">
        <v>1</v>
      </c>
      <c r="I1288" s="1">
        <v>487</v>
      </c>
      <c r="J1288" s="1">
        <v>699</v>
      </c>
      <c r="K1288" s="1">
        <v>0</v>
      </c>
      <c r="L1288" s="1">
        <f>ROUNDDOWN(formatted_data[[#This Row],[Selling_Price]]*formatted_data[[#This Row],[Discount_%]]/100,0)</f>
        <v>0</v>
      </c>
      <c r="M1288" s="1">
        <f>(formatted_data[[#This Row],[Selling_Price]]-formatted_data[[#This Row],[Discount_Amount]])*formatted_data[[#This Row],[Units]]</f>
        <v>699</v>
      </c>
      <c r="N1288" s="1">
        <f>formatted_data[[#This Row],[Total_Revenue]]-(formatted_data[[#This Row],[Cost_Price]]*formatted_data[[#This Row],[Units]])</f>
        <v>212</v>
      </c>
      <c r="O1288" s="1" t="s">
        <v>21</v>
      </c>
      <c r="P1288"/>
    </row>
    <row r="1289" spans="1:16" x14ac:dyDescent="0.35">
      <c r="A1289" s="1" t="s">
        <v>84</v>
      </c>
      <c r="B1289" s="1" t="s">
        <v>27</v>
      </c>
      <c r="C1289" s="2">
        <v>45464</v>
      </c>
      <c r="D1289" s="1" t="s">
        <v>31</v>
      </c>
      <c r="E1289" s="1" t="s">
        <v>32</v>
      </c>
      <c r="F1289" s="1" t="s">
        <v>25</v>
      </c>
      <c r="G1289" s="1" t="s">
        <v>19</v>
      </c>
      <c r="H1289" s="1">
        <v>5</v>
      </c>
      <c r="I1289" s="1">
        <v>772</v>
      </c>
      <c r="J1289" s="1">
        <v>1199</v>
      </c>
      <c r="K1289" s="1">
        <v>0</v>
      </c>
      <c r="L1289" s="1">
        <f>ROUNDDOWN(formatted_data[[#This Row],[Selling_Price]]*formatted_data[[#This Row],[Discount_%]]/100,0)</f>
        <v>0</v>
      </c>
      <c r="M1289" s="1">
        <f>(formatted_data[[#This Row],[Selling_Price]]-formatted_data[[#This Row],[Discount_Amount]])*formatted_data[[#This Row],[Units]]</f>
        <v>5995</v>
      </c>
      <c r="N1289" s="1">
        <f>formatted_data[[#This Row],[Total_Revenue]]-(formatted_data[[#This Row],[Cost_Price]]*formatted_data[[#This Row],[Units]])</f>
        <v>2135</v>
      </c>
      <c r="O1289" s="1" t="s">
        <v>21</v>
      </c>
      <c r="P1289"/>
    </row>
    <row r="1290" spans="1:16" x14ac:dyDescent="0.35">
      <c r="A1290" s="1" t="s">
        <v>84</v>
      </c>
      <c r="B1290" s="1" t="s">
        <v>27</v>
      </c>
      <c r="C1290" s="2">
        <v>45633</v>
      </c>
      <c r="D1290" s="1" t="s">
        <v>35</v>
      </c>
      <c r="E1290" s="1" t="s">
        <v>41</v>
      </c>
      <c r="F1290" s="1" t="s">
        <v>19</v>
      </c>
      <c r="G1290" s="1" t="s">
        <v>20</v>
      </c>
      <c r="H1290" s="1">
        <v>3</v>
      </c>
      <c r="I1290" s="1">
        <v>594</v>
      </c>
      <c r="J1290" s="1">
        <v>999</v>
      </c>
      <c r="K1290" s="1">
        <v>20</v>
      </c>
      <c r="L1290" s="1">
        <f>ROUNDDOWN(formatted_data[[#This Row],[Selling_Price]]*formatted_data[[#This Row],[Discount_%]]/100,0)</f>
        <v>199</v>
      </c>
      <c r="M1290" s="1">
        <f>(formatted_data[[#This Row],[Selling_Price]]-formatted_data[[#This Row],[Discount_Amount]])*formatted_data[[#This Row],[Units]]</f>
        <v>2400</v>
      </c>
      <c r="N1290" s="1">
        <f>formatted_data[[#This Row],[Total_Revenue]]-(formatted_data[[#This Row],[Cost_Price]]*formatted_data[[#This Row],[Units]])</f>
        <v>618</v>
      </c>
      <c r="O1290" s="1" t="s">
        <v>21</v>
      </c>
      <c r="P1290"/>
    </row>
    <row r="1291" spans="1:16" x14ac:dyDescent="0.35">
      <c r="A1291" s="1" t="s">
        <v>107</v>
      </c>
      <c r="B1291" s="1" t="s">
        <v>27</v>
      </c>
      <c r="C1291" s="2">
        <v>45564</v>
      </c>
      <c r="D1291" s="1" t="s">
        <v>31</v>
      </c>
      <c r="E1291" s="1" t="s">
        <v>76</v>
      </c>
      <c r="F1291" s="1" t="s">
        <v>19</v>
      </c>
      <c r="G1291" s="1" t="s">
        <v>20</v>
      </c>
      <c r="H1291" s="1">
        <v>1</v>
      </c>
      <c r="I1291" s="1">
        <v>598</v>
      </c>
      <c r="J1291" s="1">
        <v>799</v>
      </c>
      <c r="K1291" s="1">
        <v>0</v>
      </c>
      <c r="L1291" s="1">
        <f>ROUNDDOWN(formatted_data[[#This Row],[Selling_Price]]*formatted_data[[#This Row],[Discount_%]]/100,0)</f>
        <v>0</v>
      </c>
      <c r="M1291" s="1">
        <f>(formatted_data[[#This Row],[Selling_Price]]-formatted_data[[#This Row],[Discount_Amount]])*formatted_data[[#This Row],[Units]]</f>
        <v>799</v>
      </c>
      <c r="N1291" s="1">
        <f>formatted_data[[#This Row],[Total_Revenue]]-(formatted_data[[#This Row],[Cost_Price]]*formatted_data[[#This Row],[Units]])</f>
        <v>201</v>
      </c>
      <c r="O1291" s="1" t="s">
        <v>21</v>
      </c>
      <c r="P1291"/>
    </row>
    <row r="1292" spans="1:16" x14ac:dyDescent="0.35">
      <c r="A1292" s="1" t="s">
        <v>62</v>
      </c>
      <c r="B1292" s="1" t="s">
        <v>16</v>
      </c>
      <c r="C1292" s="2">
        <v>45574</v>
      </c>
      <c r="D1292" s="1" t="s">
        <v>35</v>
      </c>
      <c r="E1292" s="1" t="s">
        <v>39</v>
      </c>
      <c r="F1292" s="1" t="s">
        <v>19</v>
      </c>
      <c r="G1292" s="1" t="s">
        <v>19</v>
      </c>
      <c r="H1292" s="1">
        <v>4</v>
      </c>
      <c r="I1292" s="1">
        <v>632</v>
      </c>
      <c r="J1292" s="1">
        <v>899</v>
      </c>
      <c r="K1292" s="1">
        <v>20</v>
      </c>
      <c r="L1292" s="1">
        <f>ROUNDDOWN(formatted_data[[#This Row],[Selling_Price]]*formatted_data[[#This Row],[Discount_%]]/100,0)</f>
        <v>179</v>
      </c>
      <c r="M1292" s="1">
        <f>(formatted_data[[#This Row],[Selling_Price]]-formatted_data[[#This Row],[Discount_Amount]])*formatted_data[[#This Row],[Units]]</f>
        <v>2880</v>
      </c>
      <c r="N1292" s="1">
        <f>formatted_data[[#This Row],[Total_Revenue]]-(formatted_data[[#This Row],[Cost_Price]]*formatted_data[[#This Row],[Units]])</f>
        <v>352</v>
      </c>
      <c r="O1292" s="1" t="s">
        <v>33</v>
      </c>
      <c r="P1292"/>
    </row>
    <row r="1293" spans="1:16" x14ac:dyDescent="0.35">
      <c r="A1293" s="1" t="s">
        <v>38</v>
      </c>
      <c r="B1293" s="1" t="s">
        <v>27</v>
      </c>
      <c r="C1293" s="2">
        <v>45580</v>
      </c>
      <c r="D1293" s="1" t="s">
        <v>28</v>
      </c>
      <c r="E1293" s="1" t="s">
        <v>45</v>
      </c>
      <c r="F1293" s="1" t="s">
        <v>37</v>
      </c>
      <c r="G1293" s="1" t="s">
        <v>19</v>
      </c>
      <c r="H1293" s="1">
        <v>3</v>
      </c>
      <c r="I1293" s="1">
        <v>479</v>
      </c>
      <c r="J1293" s="1">
        <v>699</v>
      </c>
      <c r="K1293" s="1">
        <v>5</v>
      </c>
      <c r="L1293" s="1">
        <f>ROUNDDOWN(formatted_data[[#This Row],[Selling_Price]]*formatted_data[[#This Row],[Discount_%]]/100,0)</f>
        <v>34</v>
      </c>
      <c r="M1293" s="1">
        <f>(formatted_data[[#This Row],[Selling_Price]]-formatted_data[[#This Row],[Discount_Amount]])*formatted_data[[#This Row],[Units]]</f>
        <v>1995</v>
      </c>
      <c r="N1293" s="1">
        <f>formatted_data[[#This Row],[Total_Revenue]]-(formatted_data[[#This Row],[Cost_Price]]*formatted_data[[#This Row],[Units]])</f>
        <v>558</v>
      </c>
      <c r="O1293" s="1" t="s">
        <v>21</v>
      </c>
      <c r="P1293"/>
    </row>
    <row r="1294" spans="1:16" x14ac:dyDescent="0.35">
      <c r="A1294" s="1" t="s">
        <v>54</v>
      </c>
      <c r="B1294" s="1" t="s">
        <v>27</v>
      </c>
      <c r="C1294" s="2">
        <v>45455</v>
      </c>
      <c r="D1294" s="1" t="s">
        <v>31</v>
      </c>
      <c r="E1294" s="1" t="s">
        <v>76</v>
      </c>
      <c r="F1294" s="1" t="s">
        <v>19</v>
      </c>
      <c r="G1294" s="1" t="s">
        <v>20</v>
      </c>
      <c r="H1294" s="1">
        <v>1</v>
      </c>
      <c r="I1294" s="1">
        <v>698</v>
      </c>
      <c r="J1294" s="1">
        <v>999</v>
      </c>
      <c r="K1294" s="1">
        <v>0</v>
      </c>
      <c r="L1294" s="1">
        <f>ROUNDDOWN(formatted_data[[#This Row],[Selling_Price]]*formatted_data[[#This Row],[Discount_%]]/100,0)</f>
        <v>0</v>
      </c>
      <c r="M1294" s="1">
        <f>(formatted_data[[#This Row],[Selling_Price]]-formatted_data[[#This Row],[Discount_Amount]])*formatted_data[[#This Row],[Units]]</f>
        <v>999</v>
      </c>
      <c r="N1294" s="1">
        <f>formatted_data[[#This Row],[Total_Revenue]]-(formatted_data[[#This Row],[Cost_Price]]*formatted_data[[#This Row],[Units]])</f>
        <v>301</v>
      </c>
      <c r="O1294" s="1" t="s">
        <v>21</v>
      </c>
      <c r="P1294"/>
    </row>
    <row r="1295" spans="1:16" x14ac:dyDescent="0.35">
      <c r="A1295" s="1" t="s">
        <v>107</v>
      </c>
      <c r="B1295" s="1" t="s">
        <v>27</v>
      </c>
      <c r="C1295" s="2">
        <v>45626</v>
      </c>
      <c r="D1295" s="1" t="s">
        <v>17</v>
      </c>
      <c r="E1295" s="1" t="s">
        <v>55</v>
      </c>
      <c r="F1295" s="1" t="s">
        <v>37</v>
      </c>
      <c r="G1295" s="1" t="s">
        <v>19</v>
      </c>
      <c r="H1295" s="1">
        <v>3</v>
      </c>
      <c r="I1295" s="1">
        <v>315</v>
      </c>
      <c r="J1295" s="1">
        <v>499</v>
      </c>
      <c r="K1295" s="1">
        <v>0</v>
      </c>
      <c r="L1295" s="1">
        <f>ROUNDDOWN(formatted_data[[#This Row],[Selling_Price]]*formatted_data[[#This Row],[Discount_%]]/100,0)</f>
        <v>0</v>
      </c>
      <c r="M1295" s="1">
        <f>(formatted_data[[#This Row],[Selling_Price]]-formatted_data[[#This Row],[Discount_Amount]])*formatted_data[[#This Row],[Units]]</f>
        <v>1497</v>
      </c>
      <c r="N1295" s="1">
        <f>formatted_data[[#This Row],[Total_Revenue]]-(formatted_data[[#This Row],[Cost_Price]]*formatted_data[[#This Row],[Units]])</f>
        <v>552</v>
      </c>
      <c r="O1295" s="1" t="s">
        <v>33</v>
      </c>
      <c r="P1295"/>
    </row>
    <row r="1296" spans="1:16" x14ac:dyDescent="0.35">
      <c r="A1296" s="1" t="s">
        <v>86</v>
      </c>
      <c r="B1296" s="1" t="s">
        <v>27</v>
      </c>
      <c r="C1296" s="2">
        <v>45522</v>
      </c>
      <c r="D1296" s="1" t="s">
        <v>17</v>
      </c>
      <c r="E1296" s="1" t="s">
        <v>48</v>
      </c>
      <c r="F1296" s="1" t="s">
        <v>19</v>
      </c>
      <c r="G1296" s="1" t="s">
        <v>19</v>
      </c>
      <c r="H1296" s="1">
        <v>1</v>
      </c>
      <c r="I1296" s="1">
        <v>350</v>
      </c>
      <c r="J1296" s="1">
        <v>499</v>
      </c>
      <c r="K1296" s="1">
        <v>0</v>
      </c>
      <c r="L1296" s="1">
        <f>ROUNDDOWN(formatted_data[[#This Row],[Selling_Price]]*formatted_data[[#This Row],[Discount_%]]/100,0)</f>
        <v>0</v>
      </c>
      <c r="M1296" s="1">
        <f>(formatted_data[[#This Row],[Selling_Price]]-formatted_data[[#This Row],[Discount_Amount]])*formatted_data[[#This Row],[Units]]</f>
        <v>499</v>
      </c>
      <c r="N1296" s="1">
        <f>formatted_data[[#This Row],[Total_Revenue]]-(formatted_data[[#This Row],[Cost_Price]]*formatted_data[[#This Row],[Units]])</f>
        <v>149</v>
      </c>
      <c r="O1296" s="1" t="s">
        <v>33</v>
      </c>
      <c r="P1296"/>
    </row>
    <row r="1297" spans="1:16" x14ac:dyDescent="0.35">
      <c r="A1297" s="1" t="s">
        <v>109</v>
      </c>
      <c r="B1297" s="1" t="s">
        <v>16</v>
      </c>
      <c r="C1297" s="2">
        <v>45594</v>
      </c>
      <c r="D1297" s="1" t="s">
        <v>28</v>
      </c>
      <c r="E1297" s="1" t="s">
        <v>29</v>
      </c>
      <c r="F1297" s="1" t="s">
        <v>25</v>
      </c>
      <c r="G1297" s="1" t="s">
        <v>20</v>
      </c>
      <c r="H1297" s="1">
        <v>1</v>
      </c>
      <c r="I1297" s="1">
        <v>447</v>
      </c>
      <c r="J1297" s="1">
        <v>599</v>
      </c>
      <c r="K1297" s="1">
        <v>20</v>
      </c>
      <c r="L1297" s="1">
        <f>ROUNDDOWN(formatted_data[[#This Row],[Selling_Price]]*formatted_data[[#This Row],[Discount_%]]/100,0)</f>
        <v>119</v>
      </c>
      <c r="M1297" s="1">
        <f>(formatted_data[[#This Row],[Selling_Price]]-formatted_data[[#This Row],[Discount_Amount]])*formatted_data[[#This Row],[Units]]</f>
        <v>480</v>
      </c>
      <c r="N1297" s="1">
        <f>formatted_data[[#This Row],[Total_Revenue]]-(formatted_data[[#This Row],[Cost_Price]]*formatted_data[[#This Row],[Units]])</f>
        <v>33</v>
      </c>
      <c r="O1297" s="1" t="s">
        <v>21</v>
      </c>
      <c r="P1297"/>
    </row>
    <row r="1298" spans="1:16" x14ac:dyDescent="0.35">
      <c r="A1298" s="1" t="s">
        <v>66</v>
      </c>
      <c r="B1298" s="1" t="s">
        <v>27</v>
      </c>
      <c r="C1298" s="2">
        <v>45499</v>
      </c>
      <c r="D1298" s="1" t="s">
        <v>31</v>
      </c>
      <c r="E1298" s="1" t="s">
        <v>76</v>
      </c>
      <c r="F1298" s="1" t="s">
        <v>25</v>
      </c>
      <c r="G1298" s="1" t="s">
        <v>20</v>
      </c>
      <c r="H1298" s="1">
        <v>1</v>
      </c>
      <c r="I1298" s="1">
        <v>478</v>
      </c>
      <c r="J1298" s="1">
        <v>799</v>
      </c>
      <c r="K1298" s="1">
        <v>0</v>
      </c>
      <c r="L1298" s="1">
        <f>ROUNDDOWN(formatted_data[[#This Row],[Selling_Price]]*formatted_data[[#This Row],[Discount_%]]/100,0)</f>
        <v>0</v>
      </c>
      <c r="M1298" s="1">
        <f>(formatted_data[[#This Row],[Selling_Price]]-formatted_data[[#This Row],[Discount_Amount]])*formatted_data[[#This Row],[Units]]</f>
        <v>799</v>
      </c>
      <c r="N1298" s="1">
        <f>formatted_data[[#This Row],[Total_Revenue]]-(formatted_data[[#This Row],[Cost_Price]]*formatted_data[[#This Row],[Units]])</f>
        <v>321</v>
      </c>
      <c r="O1298" s="1" t="s">
        <v>21</v>
      </c>
      <c r="P1298"/>
    </row>
    <row r="1299" spans="1:16" x14ac:dyDescent="0.35">
      <c r="A1299" s="1" t="s">
        <v>70</v>
      </c>
      <c r="B1299" s="1" t="s">
        <v>27</v>
      </c>
      <c r="C1299" s="2">
        <v>45550</v>
      </c>
      <c r="D1299" s="1" t="s">
        <v>28</v>
      </c>
      <c r="E1299" s="1" t="s">
        <v>45</v>
      </c>
      <c r="F1299" s="1" t="s">
        <v>25</v>
      </c>
      <c r="G1299" s="1" t="s">
        <v>19</v>
      </c>
      <c r="H1299" s="1">
        <v>2</v>
      </c>
      <c r="I1299" s="1">
        <v>1198</v>
      </c>
      <c r="J1299" s="1">
        <v>2299</v>
      </c>
      <c r="K1299" s="1">
        <v>20</v>
      </c>
      <c r="L1299" s="1">
        <f>ROUNDDOWN(formatted_data[[#This Row],[Selling_Price]]*formatted_data[[#This Row],[Discount_%]]/100,0)</f>
        <v>459</v>
      </c>
      <c r="M1299" s="1">
        <f>(formatted_data[[#This Row],[Selling_Price]]-formatted_data[[#This Row],[Discount_Amount]])*formatted_data[[#This Row],[Units]]</f>
        <v>3680</v>
      </c>
      <c r="N1299" s="1">
        <f>formatted_data[[#This Row],[Total_Revenue]]-(formatted_data[[#This Row],[Cost_Price]]*formatted_data[[#This Row],[Units]])</f>
        <v>1284</v>
      </c>
      <c r="O1299" s="1" t="s">
        <v>21</v>
      </c>
      <c r="P1299"/>
    </row>
    <row r="1300" spans="1:16" x14ac:dyDescent="0.35">
      <c r="A1300" s="1" t="s">
        <v>15</v>
      </c>
      <c r="B1300" s="1" t="s">
        <v>16</v>
      </c>
      <c r="C1300" s="2">
        <v>45519</v>
      </c>
      <c r="D1300" s="1" t="s">
        <v>17</v>
      </c>
      <c r="E1300" s="1" t="s">
        <v>48</v>
      </c>
      <c r="F1300" s="1" t="s">
        <v>37</v>
      </c>
      <c r="G1300" s="1" t="s">
        <v>20</v>
      </c>
      <c r="H1300" s="1">
        <v>2</v>
      </c>
      <c r="I1300" s="1">
        <v>348</v>
      </c>
      <c r="J1300" s="1">
        <v>499</v>
      </c>
      <c r="K1300" s="1">
        <v>0</v>
      </c>
      <c r="L1300" s="1">
        <f>ROUNDDOWN(formatted_data[[#This Row],[Selling_Price]]*formatted_data[[#This Row],[Discount_%]]/100,0)</f>
        <v>0</v>
      </c>
      <c r="M1300" s="1">
        <f>(formatted_data[[#This Row],[Selling_Price]]-formatted_data[[#This Row],[Discount_Amount]])*formatted_data[[#This Row],[Units]]</f>
        <v>998</v>
      </c>
      <c r="N1300" s="1">
        <f>formatted_data[[#This Row],[Total_Revenue]]-(formatted_data[[#This Row],[Cost_Price]]*formatted_data[[#This Row],[Units]])</f>
        <v>302</v>
      </c>
      <c r="O1300" s="1" t="s">
        <v>33</v>
      </c>
      <c r="P1300"/>
    </row>
    <row r="1301" spans="1:16" x14ac:dyDescent="0.35">
      <c r="A1301" s="1" t="s">
        <v>78</v>
      </c>
      <c r="B1301" s="1" t="s">
        <v>16</v>
      </c>
      <c r="C1301" s="2">
        <v>45458</v>
      </c>
      <c r="D1301" s="1" t="s">
        <v>17</v>
      </c>
      <c r="E1301" s="1" t="s">
        <v>18</v>
      </c>
      <c r="F1301" s="1" t="s">
        <v>25</v>
      </c>
      <c r="G1301" s="1" t="s">
        <v>20</v>
      </c>
      <c r="H1301" s="1">
        <v>1</v>
      </c>
      <c r="I1301" s="1">
        <v>256</v>
      </c>
      <c r="J1301" s="1">
        <v>399</v>
      </c>
      <c r="K1301" s="1">
        <v>0</v>
      </c>
      <c r="L1301" s="1">
        <f>ROUNDDOWN(formatted_data[[#This Row],[Selling_Price]]*formatted_data[[#This Row],[Discount_%]]/100,0)</f>
        <v>0</v>
      </c>
      <c r="M1301" s="1">
        <f>(formatted_data[[#This Row],[Selling_Price]]-formatted_data[[#This Row],[Discount_Amount]])*formatted_data[[#This Row],[Units]]</f>
        <v>399</v>
      </c>
      <c r="N1301" s="1">
        <f>formatted_data[[#This Row],[Total_Revenue]]-(formatted_data[[#This Row],[Cost_Price]]*formatted_data[[#This Row],[Units]])</f>
        <v>143</v>
      </c>
      <c r="O1301" s="1" t="s">
        <v>33</v>
      </c>
      <c r="P1301"/>
    </row>
    <row r="1302" spans="1:16" x14ac:dyDescent="0.35">
      <c r="A1302" s="1" t="s">
        <v>74</v>
      </c>
      <c r="B1302" s="1" t="s">
        <v>16</v>
      </c>
      <c r="C1302" s="2">
        <v>45460</v>
      </c>
      <c r="D1302" s="1" t="s">
        <v>31</v>
      </c>
      <c r="E1302" s="1" t="s">
        <v>32</v>
      </c>
      <c r="F1302" s="1" t="s">
        <v>19</v>
      </c>
      <c r="G1302" s="1" t="s">
        <v>19</v>
      </c>
      <c r="H1302" s="1">
        <v>1</v>
      </c>
      <c r="I1302" s="1">
        <v>867</v>
      </c>
      <c r="J1302" s="1">
        <v>1399</v>
      </c>
      <c r="K1302" s="1">
        <v>0</v>
      </c>
      <c r="L1302" s="1">
        <f>ROUNDDOWN(formatted_data[[#This Row],[Selling_Price]]*formatted_data[[#This Row],[Discount_%]]/100,0)</f>
        <v>0</v>
      </c>
      <c r="M1302" s="1">
        <f>(formatted_data[[#This Row],[Selling_Price]]-formatted_data[[#This Row],[Discount_Amount]])*formatted_data[[#This Row],[Units]]</f>
        <v>1399</v>
      </c>
      <c r="N1302" s="1">
        <f>formatted_data[[#This Row],[Total_Revenue]]-(formatted_data[[#This Row],[Cost_Price]]*formatted_data[[#This Row],[Units]])</f>
        <v>532</v>
      </c>
      <c r="O1302" s="1" t="s">
        <v>33</v>
      </c>
      <c r="P1302"/>
    </row>
    <row r="1303" spans="1:16" x14ac:dyDescent="0.35">
      <c r="A1303" s="1" t="s">
        <v>65</v>
      </c>
      <c r="B1303" s="1" t="s">
        <v>16</v>
      </c>
      <c r="C1303" s="2">
        <v>45560</v>
      </c>
      <c r="D1303" s="1" t="s">
        <v>31</v>
      </c>
      <c r="E1303" s="1" t="s">
        <v>32</v>
      </c>
      <c r="F1303" s="1" t="s">
        <v>37</v>
      </c>
      <c r="G1303" s="1" t="s">
        <v>19</v>
      </c>
      <c r="H1303" s="1">
        <v>3</v>
      </c>
      <c r="I1303" s="1">
        <v>499</v>
      </c>
      <c r="J1303" s="1">
        <v>899</v>
      </c>
      <c r="K1303" s="1">
        <v>0</v>
      </c>
      <c r="L1303" s="1">
        <f>ROUNDDOWN(formatted_data[[#This Row],[Selling_Price]]*formatted_data[[#This Row],[Discount_%]]/100,0)</f>
        <v>0</v>
      </c>
      <c r="M1303" s="1">
        <f>(formatted_data[[#This Row],[Selling_Price]]-formatted_data[[#This Row],[Discount_Amount]])*formatted_data[[#This Row],[Units]]</f>
        <v>2697</v>
      </c>
      <c r="N1303" s="1">
        <f>formatted_data[[#This Row],[Total_Revenue]]-(formatted_data[[#This Row],[Cost_Price]]*formatted_data[[#This Row],[Units]])</f>
        <v>1200</v>
      </c>
      <c r="O1303" s="1" t="s">
        <v>21</v>
      </c>
      <c r="P1303"/>
    </row>
    <row r="1304" spans="1:16" x14ac:dyDescent="0.35">
      <c r="A1304" s="1" t="s">
        <v>99</v>
      </c>
      <c r="B1304" s="1" t="s">
        <v>27</v>
      </c>
      <c r="C1304" s="2">
        <v>45481</v>
      </c>
      <c r="D1304" s="1" t="s">
        <v>28</v>
      </c>
      <c r="E1304" s="1" t="s">
        <v>45</v>
      </c>
      <c r="F1304" s="1" t="s">
        <v>37</v>
      </c>
      <c r="G1304" s="1" t="s">
        <v>20</v>
      </c>
      <c r="H1304" s="1">
        <v>1</v>
      </c>
      <c r="I1304" s="1">
        <v>417</v>
      </c>
      <c r="J1304" s="1">
        <v>699</v>
      </c>
      <c r="K1304" s="1">
        <v>10</v>
      </c>
      <c r="L1304" s="1">
        <f>ROUNDDOWN(formatted_data[[#This Row],[Selling_Price]]*formatted_data[[#This Row],[Discount_%]]/100,0)</f>
        <v>69</v>
      </c>
      <c r="M1304" s="1">
        <f>(formatted_data[[#This Row],[Selling_Price]]-formatted_data[[#This Row],[Discount_Amount]])*formatted_data[[#This Row],[Units]]</f>
        <v>630</v>
      </c>
      <c r="N1304" s="1">
        <f>formatted_data[[#This Row],[Total_Revenue]]-(formatted_data[[#This Row],[Cost_Price]]*formatted_data[[#This Row],[Units]])</f>
        <v>213</v>
      </c>
      <c r="O1304" s="1" t="s">
        <v>33</v>
      </c>
      <c r="P1304"/>
    </row>
    <row r="1305" spans="1:16" x14ac:dyDescent="0.35">
      <c r="A1305" s="1" t="s">
        <v>70</v>
      </c>
      <c r="B1305" s="1" t="s">
        <v>27</v>
      </c>
      <c r="C1305" s="2">
        <v>45499</v>
      </c>
      <c r="D1305" s="1" t="s">
        <v>28</v>
      </c>
      <c r="E1305" s="1" t="s">
        <v>45</v>
      </c>
      <c r="F1305" s="1" t="s">
        <v>25</v>
      </c>
      <c r="G1305" s="1" t="s">
        <v>20</v>
      </c>
      <c r="H1305" s="1">
        <v>3</v>
      </c>
      <c r="I1305" s="1">
        <v>918</v>
      </c>
      <c r="J1305" s="1">
        <v>1299</v>
      </c>
      <c r="K1305" s="1">
        <v>5</v>
      </c>
      <c r="L1305" s="1">
        <f>ROUNDDOWN(formatted_data[[#This Row],[Selling_Price]]*formatted_data[[#This Row],[Discount_%]]/100,0)</f>
        <v>64</v>
      </c>
      <c r="M1305" s="1">
        <f>(formatted_data[[#This Row],[Selling_Price]]-formatted_data[[#This Row],[Discount_Amount]])*formatted_data[[#This Row],[Units]]</f>
        <v>3705</v>
      </c>
      <c r="N1305" s="1">
        <f>formatted_data[[#This Row],[Total_Revenue]]-(formatted_data[[#This Row],[Cost_Price]]*formatted_data[[#This Row],[Units]])</f>
        <v>951</v>
      </c>
      <c r="O1305" s="1" t="s">
        <v>21</v>
      </c>
      <c r="P1305"/>
    </row>
    <row r="1306" spans="1:16" x14ac:dyDescent="0.35">
      <c r="A1306" s="1" t="s">
        <v>91</v>
      </c>
      <c r="B1306" s="1" t="s">
        <v>16</v>
      </c>
      <c r="C1306" s="2">
        <v>45531</v>
      </c>
      <c r="D1306" s="1" t="s">
        <v>31</v>
      </c>
      <c r="E1306" s="1" t="s">
        <v>76</v>
      </c>
      <c r="F1306" s="1" t="s">
        <v>19</v>
      </c>
      <c r="G1306" s="1" t="s">
        <v>19</v>
      </c>
      <c r="H1306" s="1">
        <v>1</v>
      </c>
      <c r="I1306" s="1">
        <v>583</v>
      </c>
      <c r="J1306" s="1">
        <v>999</v>
      </c>
      <c r="K1306" s="1">
        <v>0</v>
      </c>
      <c r="L1306" s="1">
        <f>ROUNDDOWN(formatted_data[[#This Row],[Selling_Price]]*formatted_data[[#This Row],[Discount_%]]/100,0)</f>
        <v>0</v>
      </c>
      <c r="M1306" s="1">
        <f>(formatted_data[[#This Row],[Selling_Price]]-formatted_data[[#This Row],[Discount_Amount]])*formatted_data[[#This Row],[Units]]</f>
        <v>999</v>
      </c>
      <c r="N1306" s="1">
        <f>formatted_data[[#This Row],[Total_Revenue]]-(formatted_data[[#This Row],[Cost_Price]]*formatted_data[[#This Row],[Units]])</f>
        <v>416</v>
      </c>
      <c r="O1306" s="1" t="s">
        <v>21</v>
      </c>
      <c r="P1306"/>
    </row>
    <row r="1307" spans="1:16" x14ac:dyDescent="0.35">
      <c r="A1307" s="1" t="s">
        <v>96</v>
      </c>
      <c r="B1307" s="1" t="s">
        <v>16</v>
      </c>
      <c r="C1307" s="2">
        <v>45578</v>
      </c>
      <c r="D1307" s="1" t="s">
        <v>23</v>
      </c>
      <c r="E1307" s="1" t="s">
        <v>24</v>
      </c>
      <c r="F1307" s="1" t="s">
        <v>37</v>
      </c>
      <c r="G1307" s="1" t="s">
        <v>19</v>
      </c>
      <c r="H1307" s="1">
        <v>5</v>
      </c>
      <c r="I1307" s="1">
        <v>800</v>
      </c>
      <c r="J1307" s="1">
        <v>1499</v>
      </c>
      <c r="K1307" s="1">
        <v>20</v>
      </c>
      <c r="L1307" s="1">
        <f>ROUNDDOWN(formatted_data[[#This Row],[Selling_Price]]*formatted_data[[#This Row],[Discount_%]]/100,0)</f>
        <v>299</v>
      </c>
      <c r="M1307" s="1">
        <f>(formatted_data[[#This Row],[Selling_Price]]-formatted_data[[#This Row],[Discount_Amount]])*formatted_data[[#This Row],[Units]]</f>
        <v>6000</v>
      </c>
      <c r="N1307" s="1">
        <f>formatted_data[[#This Row],[Total_Revenue]]-(formatted_data[[#This Row],[Cost_Price]]*formatted_data[[#This Row],[Units]])</f>
        <v>2000</v>
      </c>
      <c r="O1307" s="1" t="s">
        <v>33</v>
      </c>
      <c r="P1307"/>
    </row>
    <row r="1308" spans="1:16" x14ac:dyDescent="0.35">
      <c r="A1308" s="1" t="s">
        <v>66</v>
      </c>
      <c r="B1308" s="1" t="s">
        <v>27</v>
      </c>
      <c r="C1308" s="2">
        <v>45550</v>
      </c>
      <c r="D1308" s="1" t="s">
        <v>23</v>
      </c>
      <c r="E1308" s="1" t="s">
        <v>24</v>
      </c>
      <c r="F1308" s="1" t="s">
        <v>37</v>
      </c>
      <c r="G1308" s="1" t="s">
        <v>19</v>
      </c>
      <c r="H1308" s="1">
        <v>1</v>
      </c>
      <c r="I1308" s="1">
        <v>1492</v>
      </c>
      <c r="J1308" s="1">
        <v>2399</v>
      </c>
      <c r="K1308" s="1">
        <v>15</v>
      </c>
      <c r="L1308" s="1">
        <f>ROUNDDOWN(formatted_data[[#This Row],[Selling_Price]]*formatted_data[[#This Row],[Discount_%]]/100,0)</f>
        <v>359</v>
      </c>
      <c r="M1308" s="1">
        <f>(formatted_data[[#This Row],[Selling_Price]]-formatted_data[[#This Row],[Discount_Amount]])*formatted_data[[#This Row],[Units]]</f>
        <v>2040</v>
      </c>
      <c r="N1308" s="1">
        <f>formatted_data[[#This Row],[Total_Revenue]]-(formatted_data[[#This Row],[Cost_Price]]*formatted_data[[#This Row],[Units]])</f>
        <v>548</v>
      </c>
      <c r="O1308" s="1" t="s">
        <v>33</v>
      </c>
      <c r="P1308"/>
    </row>
    <row r="1309" spans="1:16" x14ac:dyDescent="0.35">
      <c r="A1309" s="1" t="s">
        <v>62</v>
      </c>
      <c r="B1309" s="1" t="s">
        <v>16</v>
      </c>
      <c r="C1309" s="2">
        <v>45549</v>
      </c>
      <c r="D1309" s="1" t="s">
        <v>35</v>
      </c>
      <c r="E1309" s="1" t="s">
        <v>36</v>
      </c>
      <c r="F1309" s="1" t="s">
        <v>19</v>
      </c>
      <c r="G1309" s="1" t="s">
        <v>19</v>
      </c>
      <c r="H1309" s="1">
        <v>1</v>
      </c>
      <c r="I1309" s="1">
        <v>373</v>
      </c>
      <c r="J1309" s="1">
        <v>499</v>
      </c>
      <c r="K1309" s="1">
        <v>10</v>
      </c>
      <c r="L1309" s="1">
        <f>ROUNDDOWN(formatted_data[[#This Row],[Selling_Price]]*formatted_data[[#This Row],[Discount_%]]/100,0)</f>
        <v>49</v>
      </c>
      <c r="M1309" s="1">
        <f>(formatted_data[[#This Row],[Selling_Price]]-formatted_data[[#This Row],[Discount_Amount]])*formatted_data[[#This Row],[Units]]</f>
        <v>450</v>
      </c>
      <c r="N1309" s="1">
        <f>formatted_data[[#This Row],[Total_Revenue]]-(formatted_data[[#This Row],[Cost_Price]]*formatted_data[[#This Row],[Units]])</f>
        <v>77</v>
      </c>
      <c r="O1309" s="1" t="s">
        <v>21</v>
      </c>
      <c r="P1309"/>
    </row>
    <row r="1310" spans="1:16" x14ac:dyDescent="0.35">
      <c r="A1310" s="1" t="s">
        <v>74</v>
      </c>
      <c r="B1310" s="1" t="s">
        <v>16</v>
      </c>
      <c r="C1310" s="2">
        <v>45529</v>
      </c>
      <c r="D1310" s="1" t="s">
        <v>28</v>
      </c>
      <c r="E1310" s="1" t="s">
        <v>45</v>
      </c>
      <c r="F1310" s="1" t="s">
        <v>25</v>
      </c>
      <c r="G1310" s="1" t="s">
        <v>20</v>
      </c>
      <c r="H1310" s="1">
        <v>1</v>
      </c>
      <c r="I1310" s="1">
        <v>1491</v>
      </c>
      <c r="J1310" s="1">
        <v>2299</v>
      </c>
      <c r="K1310" s="1">
        <v>20</v>
      </c>
      <c r="L1310" s="1">
        <f>ROUNDDOWN(formatted_data[[#This Row],[Selling_Price]]*formatted_data[[#This Row],[Discount_%]]/100,0)</f>
        <v>459</v>
      </c>
      <c r="M1310" s="1">
        <f>(formatted_data[[#This Row],[Selling_Price]]-formatted_data[[#This Row],[Discount_Amount]])*formatted_data[[#This Row],[Units]]</f>
        <v>1840</v>
      </c>
      <c r="N1310" s="1">
        <f>formatted_data[[#This Row],[Total_Revenue]]-(formatted_data[[#This Row],[Cost_Price]]*formatted_data[[#This Row],[Units]])</f>
        <v>349</v>
      </c>
      <c r="O1310" s="1" t="s">
        <v>21</v>
      </c>
      <c r="P1310"/>
    </row>
    <row r="1311" spans="1:16" x14ac:dyDescent="0.35">
      <c r="A1311" s="1" t="s">
        <v>102</v>
      </c>
      <c r="B1311" s="1" t="s">
        <v>27</v>
      </c>
      <c r="C1311" s="2">
        <v>45630</v>
      </c>
      <c r="D1311" s="1" t="s">
        <v>23</v>
      </c>
      <c r="E1311" s="1" t="s">
        <v>43</v>
      </c>
      <c r="F1311" s="1" t="s">
        <v>37</v>
      </c>
      <c r="G1311" s="1" t="s">
        <v>19</v>
      </c>
      <c r="H1311" s="1">
        <v>3</v>
      </c>
      <c r="I1311" s="1">
        <v>2070</v>
      </c>
      <c r="J1311" s="1">
        <v>3599</v>
      </c>
      <c r="K1311" s="1">
        <v>15</v>
      </c>
      <c r="L1311" s="1">
        <f>ROUNDDOWN(formatted_data[[#This Row],[Selling_Price]]*formatted_data[[#This Row],[Discount_%]]/100,0)</f>
        <v>539</v>
      </c>
      <c r="M1311" s="1">
        <f>(formatted_data[[#This Row],[Selling_Price]]-formatted_data[[#This Row],[Discount_Amount]])*formatted_data[[#This Row],[Units]]</f>
        <v>9180</v>
      </c>
      <c r="N1311" s="1">
        <f>formatted_data[[#This Row],[Total_Revenue]]-(formatted_data[[#This Row],[Cost_Price]]*formatted_data[[#This Row],[Units]])</f>
        <v>2970</v>
      </c>
      <c r="O1311" s="1" t="s">
        <v>33</v>
      </c>
      <c r="P1311"/>
    </row>
    <row r="1312" spans="1:16" x14ac:dyDescent="0.35">
      <c r="A1312" s="1" t="s">
        <v>92</v>
      </c>
      <c r="B1312" s="1" t="s">
        <v>27</v>
      </c>
      <c r="C1312" s="2">
        <v>45446</v>
      </c>
      <c r="D1312" s="1" t="s">
        <v>23</v>
      </c>
      <c r="E1312" s="1" t="s">
        <v>24</v>
      </c>
      <c r="F1312" s="1" t="s">
        <v>25</v>
      </c>
      <c r="G1312" s="1" t="s">
        <v>20</v>
      </c>
      <c r="H1312" s="1">
        <v>1</v>
      </c>
      <c r="I1312" s="1">
        <v>656</v>
      </c>
      <c r="J1312" s="1">
        <v>1199</v>
      </c>
      <c r="K1312" s="1">
        <v>10</v>
      </c>
      <c r="L1312" s="1">
        <f>ROUNDDOWN(formatted_data[[#This Row],[Selling_Price]]*formatted_data[[#This Row],[Discount_%]]/100,0)</f>
        <v>119</v>
      </c>
      <c r="M1312" s="1">
        <f>(formatted_data[[#This Row],[Selling_Price]]-formatted_data[[#This Row],[Discount_Amount]])*formatted_data[[#This Row],[Units]]</f>
        <v>1080</v>
      </c>
      <c r="N1312" s="1">
        <f>formatted_data[[#This Row],[Total_Revenue]]-(formatted_data[[#This Row],[Cost_Price]]*formatted_data[[#This Row],[Units]])</f>
        <v>424</v>
      </c>
      <c r="O1312" s="1" t="s">
        <v>33</v>
      </c>
      <c r="P1312"/>
    </row>
    <row r="1313" spans="1:16" x14ac:dyDescent="0.35">
      <c r="A1313" s="1" t="s">
        <v>80</v>
      </c>
      <c r="B1313" s="1" t="s">
        <v>27</v>
      </c>
      <c r="C1313" s="2">
        <v>45506</v>
      </c>
      <c r="D1313" s="1" t="s">
        <v>31</v>
      </c>
      <c r="E1313" s="1" t="s">
        <v>76</v>
      </c>
      <c r="F1313" s="1" t="s">
        <v>37</v>
      </c>
      <c r="G1313" s="1" t="s">
        <v>19</v>
      </c>
      <c r="H1313" s="1">
        <v>1</v>
      </c>
      <c r="I1313" s="1">
        <v>377</v>
      </c>
      <c r="J1313" s="1">
        <v>699</v>
      </c>
      <c r="K1313" s="1">
        <v>0</v>
      </c>
      <c r="L1313" s="1">
        <f>ROUNDDOWN(formatted_data[[#This Row],[Selling_Price]]*formatted_data[[#This Row],[Discount_%]]/100,0)</f>
        <v>0</v>
      </c>
      <c r="M1313" s="1">
        <f>(formatted_data[[#This Row],[Selling_Price]]-formatted_data[[#This Row],[Discount_Amount]])*formatted_data[[#This Row],[Units]]</f>
        <v>699</v>
      </c>
      <c r="N1313" s="1">
        <f>formatted_data[[#This Row],[Total_Revenue]]-(formatted_data[[#This Row],[Cost_Price]]*formatted_data[[#This Row],[Units]])</f>
        <v>322</v>
      </c>
      <c r="O1313" s="1" t="s">
        <v>21</v>
      </c>
      <c r="P1313"/>
    </row>
    <row r="1314" spans="1:16" x14ac:dyDescent="0.35">
      <c r="A1314" s="1" t="s">
        <v>78</v>
      </c>
      <c r="B1314" s="1" t="s">
        <v>16</v>
      </c>
      <c r="C1314" s="2">
        <v>45607</v>
      </c>
      <c r="D1314" s="1" t="s">
        <v>35</v>
      </c>
      <c r="E1314" s="1" t="s">
        <v>100</v>
      </c>
      <c r="F1314" s="1" t="s">
        <v>37</v>
      </c>
      <c r="G1314" s="1" t="s">
        <v>20</v>
      </c>
      <c r="H1314" s="1">
        <v>1</v>
      </c>
      <c r="I1314" s="1">
        <v>820</v>
      </c>
      <c r="J1314" s="1">
        <v>1099</v>
      </c>
      <c r="K1314" s="1">
        <v>5</v>
      </c>
      <c r="L1314" s="1">
        <f>ROUNDDOWN(formatted_data[[#This Row],[Selling_Price]]*formatted_data[[#This Row],[Discount_%]]/100,0)</f>
        <v>54</v>
      </c>
      <c r="M1314" s="1">
        <f>(formatted_data[[#This Row],[Selling_Price]]-formatted_data[[#This Row],[Discount_Amount]])*formatted_data[[#This Row],[Units]]</f>
        <v>1045</v>
      </c>
      <c r="N1314" s="1">
        <f>formatted_data[[#This Row],[Total_Revenue]]-(formatted_data[[#This Row],[Cost_Price]]*formatted_data[[#This Row],[Units]])</f>
        <v>225</v>
      </c>
      <c r="O1314" s="1" t="s">
        <v>21</v>
      </c>
      <c r="P1314"/>
    </row>
    <row r="1315" spans="1:16" x14ac:dyDescent="0.35">
      <c r="A1315" s="1" t="s">
        <v>79</v>
      </c>
      <c r="B1315" s="1" t="s">
        <v>16</v>
      </c>
      <c r="C1315" s="2">
        <v>45494</v>
      </c>
      <c r="D1315" s="1" t="s">
        <v>35</v>
      </c>
      <c r="E1315" s="1" t="s">
        <v>87</v>
      </c>
      <c r="F1315" s="1" t="s">
        <v>19</v>
      </c>
      <c r="G1315" s="1" t="s">
        <v>20</v>
      </c>
      <c r="H1315" s="1">
        <v>2</v>
      </c>
      <c r="I1315" s="1">
        <v>2367</v>
      </c>
      <c r="J1315" s="1">
        <v>3599</v>
      </c>
      <c r="K1315" s="1">
        <v>15</v>
      </c>
      <c r="L1315" s="1">
        <f>ROUNDDOWN(formatted_data[[#This Row],[Selling_Price]]*formatted_data[[#This Row],[Discount_%]]/100,0)</f>
        <v>539</v>
      </c>
      <c r="M1315" s="1">
        <f>(formatted_data[[#This Row],[Selling_Price]]-formatted_data[[#This Row],[Discount_Amount]])*formatted_data[[#This Row],[Units]]</f>
        <v>6120</v>
      </c>
      <c r="N1315" s="1">
        <f>formatted_data[[#This Row],[Total_Revenue]]-(formatted_data[[#This Row],[Cost_Price]]*formatted_data[[#This Row],[Units]])</f>
        <v>1386</v>
      </c>
      <c r="O1315" s="1" t="s">
        <v>21</v>
      </c>
      <c r="P1315"/>
    </row>
    <row r="1316" spans="1:16" x14ac:dyDescent="0.35">
      <c r="A1316" s="1" t="s">
        <v>38</v>
      </c>
      <c r="B1316" s="1" t="s">
        <v>27</v>
      </c>
      <c r="C1316" s="2">
        <v>45509</v>
      </c>
      <c r="D1316" s="1" t="s">
        <v>17</v>
      </c>
      <c r="E1316" s="1" t="s">
        <v>55</v>
      </c>
      <c r="F1316" s="1" t="s">
        <v>19</v>
      </c>
      <c r="G1316" s="1" t="s">
        <v>19</v>
      </c>
      <c r="H1316" s="1">
        <v>1</v>
      </c>
      <c r="I1316" s="1">
        <v>517</v>
      </c>
      <c r="J1316" s="1">
        <v>799</v>
      </c>
      <c r="K1316" s="1">
        <v>0</v>
      </c>
      <c r="L1316" s="1">
        <f>ROUNDDOWN(formatted_data[[#This Row],[Selling_Price]]*formatted_data[[#This Row],[Discount_%]]/100,0)</f>
        <v>0</v>
      </c>
      <c r="M1316" s="1">
        <f>(formatted_data[[#This Row],[Selling_Price]]-formatted_data[[#This Row],[Discount_Amount]])*formatted_data[[#This Row],[Units]]</f>
        <v>799</v>
      </c>
      <c r="N1316" s="1">
        <f>formatted_data[[#This Row],[Total_Revenue]]-(formatted_data[[#This Row],[Cost_Price]]*formatted_data[[#This Row],[Units]])</f>
        <v>282</v>
      </c>
      <c r="O1316" s="1" t="s">
        <v>21</v>
      </c>
      <c r="P1316"/>
    </row>
    <row r="1317" spans="1:16" x14ac:dyDescent="0.35">
      <c r="A1317" s="1" t="s">
        <v>40</v>
      </c>
      <c r="B1317" s="1" t="s">
        <v>27</v>
      </c>
      <c r="C1317" s="2">
        <v>45520</v>
      </c>
      <c r="D1317" s="1" t="s">
        <v>23</v>
      </c>
      <c r="E1317" s="1" t="s">
        <v>24</v>
      </c>
      <c r="F1317" s="1" t="s">
        <v>19</v>
      </c>
      <c r="G1317" s="1" t="s">
        <v>19</v>
      </c>
      <c r="H1317" s="1">
        <v>4</v>
      </c>
      <c r="I1317" s="1">
        <v>809</v>
      </c>
      <c r="J1317" s="1">
        <v>1199</v>
      </c>
      <c r="K1317" s="1">
        <v>15</v>
      </c>
      <c r="L1317" s="1">
        <f>ROUNDDOWN(formatted_data[[#This Row],[Selling_Price]]*formatted_data[[#This Row],[Discount_%]]/100,0)</f>
        <v>179</v>
      </c>
      <c r="M1317" s="1">
        <f>(formatted_data[[#This Row],[Selling_Price]]-formatted_data[[#This Row],[Discount_Amount]])*formatted_data[[#This Row],[Units]]</f>
        <v>4080</v>
      </c>
      <c r="N1317" s="1">
        <f>formatted_data[[#This Row],[Total_Revenue]]-(formatted_data[[#This Row],[Cost_Price]]*formatted_data[[#This Row],[Units]])</f>
        <v>844</v>
      </c>
      <c r="O1317" s="1" t="s">
        <v>21</v>
      </c>
      <c r="P1317"/>
    </row>
    <row r="1318" spans="1:16" x14ac:dyDescent="0.35">
      <c r="A1318" s="1" t="s">
        <v>66</v>
      </c>
      <c r="B1318" s="1" t="s">
        <v>27</v>
      </c>
      <c r="C1318" s="2">
        <v>45612</v>
      </c>
      <c r="D1318" s="1" t="s">
        <v>23</v>
      </c>
      <c r="E1318" s="1" t="s">
        <v>43</v>
      </c>
      <c r="F1318" s="1" t="s">
        <v>19</v>
      </c>
      <c r="G1318" s="1" t="s">
        <v>20</v>
      </c>
      <c r="H1318" s="1">
        <v>1</v>
      </c>
      <c r="I1318" s="1">
        <v>1680</v>
      </c>
      <c r="J1318" s="1">
        <v>2399</v>
      </c>
      <c r="K1318" s="1">
        <v>20</v>
      </c>
      <c r="L1318" s="1">
        <f>ROUNDDOWN(formatted_data[[#This Row],[Selling_Price]]*formatted_data[[#This Row],[Discount_%]]/100,0)</f>
        <v>479</v>
      </c>
      <c r="M1318" s="1">
        <f>(formatted_data[[#This Row],[Selling_Price]]-formatted_data[[#This Row],[Discount_Amount]])*formatted_data[[#This Row],[Units]]</f>
        <v>1920</v>
      </c>
      <c r="N1318" s="1">
        <f>formatted_data[[#This Row],[Total_Revenue]]-(formatted_data[[#This Row],[Cost_Price]]*formatted_data[[#This Row],[Units]])</f>
        <v>240</v>
      </c>
      <c r="O1318" s="1" t="s">
        <v>21</v>
      </c>
      <c r="P1318"/>
    </row>
    <row r="1319" spans="1:16" x14ac:dyDescent="0.35">
      <c r="A1319" s="1" t="s">
        <v>62</v>
      </c>
      <c r="B1319" s="1" t="s">
        <v>16</v>
      </c>
      <c r="C1319" s="2">
        <v>45449</v>
      </c>
      <c r="D1319" s="1" t="s">
        <v>35</v>
      </c>
      <c r="E1319" s="1" t="s">
        <v>41</v>
      </c>
      <c r="F1319" s="1" t="s">
        <v>37</v>
      </c>
      <c r="G1319" s="1" t="s">
        <v>20</v>
      </c>
      <c r="H1319" s="1">
        <v>5</v>
      </c>
      <c r="I1319" s="1">
        <v>849</v>
      </c>
      <c r="J1319" s="1">
        <v>1199</v>
      </c>
      <c r="K1319" s="1">
        <v>10</v>
      </c>
      <c r="L1319" s="1">
        <f>ROUNDDOWN(formatted_data[[#This Row],[Selling_Price]]*formatted_data[[#This Row],[Discount_%]]/100,0)</f>
        <v>119</v>
      </c>
      <c r="M1319" s="1">
        <f>(formatted_data[[#This Row],[Selling_Price]]-formatted_data[[#This Row],[Discount_Amount]])*formatted_data[[#This Row],[Units]]</f>
        <v>5400</v>
      </c>
      <c r="N1319" s="1">
        <f>formatted_data[[#This Row],[Total_Revenue]]-(formatted_data[[#This Row],[Cost_Price]]*formatted_data[[#This Row],[Units]])</f>
        <v>1155</v>
      </c>
      <c r="O1319" s="1" t="s">
        <v>33</v>
      </c>
      <c r="P1319"/>
    </row>
    <row r="1320" spans="1:16" x14ac:dyDescent="0.35">
      <c r="A1320" s="1" t="s">
        <v>97</v>
      </c>
      <c r="B1320" s="1" t="s">
        <v>16</v>
      </c>
      <c r="C1320" s="2">
        <v>45627</v>
      </c>
      <c r="D1320" s="1" t="s">
        <v>28</v>
      </c>
      <c r="E1320" s="1" t="s">
        <v>29</v>
      </c>
      <c r="F1320" s="1" t="s">
        <v>25</v>
      </c>
      <c r="G1320" s="1" t="s">
        <v>20</v>
      </c>
      <c r="H1320" s="1">
        <v>1</v>
      </c>
      <c r="I1320" s="1">
        <v>375</v>
      </c>
      <c r="J1320" s="1">
        <v>699</v>
      </c>
      <c r="K1320" s="1">
        <v>5</v>
      </c>
      <c r="L1320" s="1">
        <f>ROUNDDOWN(formatted_data[[#This Row],[Selling_Price]]*formatted_data[[#This Row],[Discount_%]]/100,0)</f>
        <v>34</v>
      </c>
      <c r="M1320" s="1">
        <f>(formatted_data[[#This Row],[Selling_Price]]-formatted_data[[#This Row],[Discount_Amount]])*formatted_data[[#This Row],[Units]]</f>
        <v>665</v>
      </c>
      <c r="N1320" s="1">
        <f>formatted_data[[#This Row],[Total_Revenue]]-(formatted_data[[#This Row],[Cost_Price]]*formatted_data[[#This Row],[Units]])</f>
        <v>290</v>
      </c>
      <c r="O1320" s="1" t="s">
        <v>21</v>
      </c>
      <c r="P1320"/>
    </row>
    <row r="1321" spans="1:16" x14ac:dyDescent="0.35">
      <c r="A1321" s="1" t="s">
        <v>26</v>
      </c>
      <c r="B1321" s="1" t="s">
        <v>27</v>
      </c>
      <c r="C1321" s="2">
        <v>45611</v>
      </c>
      <c r="D1321" s="1" t="s">
        <v>31</v>
      </c>
      <c r="E1321" s="1" t="s">
        <v>32</v>
      </c>
      <c r="F1321" s="1" t="s">
        <v>37</v>
      </c>
      <c r="G1321" s="1" t="s">
        <v>19</v>
      </c>
      <c r="H1321" s="1">
        <v>1</v>
      </c>
      <c r="I1321" s="1">
        <v>723</v>
      </c>
      <c r="J1321" s="1">
        <v>999</v>
      </c>
      <c r="K1321" s="1">
        <v>0</v>
      </c>
      <c r="L1321" s="1">
        <f>ROUNDDOWN(formatted_data[[#This Row],[Selling_Price]]*formatted_data[[#This Row],[Discount_%]]/100,0)</f>
        <v>0</v>
      </c>
      <c r="M1321" s="1">
        <f>(formatted_data[[#This Row],[Selling_Price]]-formatted_data[[#This Row],[Discount_Amount]])*formatted_data[[#This Row],[Units]]</f>
        <v>999</v>
      </c>
      <c r="N1321" s="1">
        <f>formatted_data[[#This Row],[Total_Revenue]]-(formatted_data[[#This Row],[Cost_Price]]*formatted_data[[#This Row],[Units]])</f>
        <v>276</v>
      </c>
      <c r="O1321" s="1" t="s">
        <v>21</v>
      </c>
      <c r="P1321"/>
    </row>
    <row r="1322" spans="1:16" x14ac:dyDescent="0.35">
      <c r="A1322" s="1" t="s">
        <v>71</v>
      </c>
      <c r="B1322" s="1" t="s">
        <v>16</v>
      </c>
      <c r="C1322" s="2">
        <v>45448</v>
      </c>
      <c r="D1322" s="1" t="s">
        <v>28</v>
      </c>
      <c r="E1322" s="1" t="s">
        <v>45</v>
      </c>
      <c r="F1322" s="1" t="s">
        <v>37</v>
      </c>
      <c r="G1322" s="1" t="s">
        <v>20</v>
      </c>
      <c r="H1322" s="1">
        <v>2</v>
      </c>
      <c r="I1322" s="1">
        <v>1132</v>
      </c>
      <c r="J1322" s="1">
        <v>1899</v>
      </c>
      <c r="K1322" s="1">
        <v>5</v>
      </c>
      <c r="L1322" s="1">
        <f>ROUNDDOWN(formatted_data[[#This Row],[Selling_Price]]*formatted_data[[#This Row],[Discount_%]]/100,0)</f>
        <v>94</v>
      </c>
      <c r="M1322" s="1">
        <f>(formatted_data[[#This Row],[Selling_Price]]-formatted_data[[#This Row],[Discount_Amount]])*formatted_data[[#This Row],[Units]]</f>
        <v>3610</v>
      </c>
      <c r="N1322" s="1">
        <f>formatted_data[[#This Row],[Total_Revenue]]-(formatted_data[[#This Row],[Cost_Price]]*formatted_data[[#This Row],[Units]])</f>
        <v>1346</v>
      </c>
      <c r="O1322" s="1" t="s">
        <v>33</v>
      </c>
      <c r="P1322"/>
    </row>
    <row r="1323" spans="1:16" x14ac:dyDescent="0.35">
      <c r="A1323" s="1" t="s">
        <v>108</v>
      </c>
      <c r="B1323" s="1" t="s">
        <v>27</v>
      </c>
      <c r="C1323" s="2">
        <v>45508</v>
      </c>
      <c r="D1323" s="1" t="s">
        <v>28</v>
      </c>
      <c r="E1323" s="1" t="s">
        <v>45</v>
      </c>
      <c r="F1323" s="1" t="s">
        <v>19</v>
      </c>
      <c r="G1323" s="1" t="s">
        <v>19</v>
      </c>
      <c r="H1323" s="1">
        <v>2</v>
      </c>
      <c r="I1323" s="1">
        <v>1312</v>
      </c>
      <c r="J1323" s="1">
        <v>2199</v>
      </c>
      <c r="K1323" s="1">
        <v>15</v>
      </c>
      <c r="L1323" s="1">
        <f>ROUNDDOWN(formatted_data[[#This Row],[Selling_Price]]*formatted_data[[#This Row],[Discount_%]]/100,0)</f>
        <v>329</v>
      </c>
      <c r="M1323" s="1">
        <f>(formatted_data[[#This Row],[Selling_Price]]-formatted_data[[#This Row],[Discount_Amount]])*formatted_data[[#This Row],[Units]]</f>
        <v>3740</v>
      </c>
      <c r="N1323" s="1">
        <f>formatted_data[[#This Row],[Total_Revenue]]-(formatted_data[[#This Row],[Cost_Price]]*formatted_data[[#This Row],[Units]])</f>
        <v>1116</v>
      </c>
      <c r="O1323" s="1" t="s">
        <v>21</v>
      </c>
      <c r="P1323"/>
    </row>
    <row r="1324" spans="1:16" x14ac:dyDescent="0.35">
      <c r="A1324" s="1" t="s">
        <v>63</v>
      </c>
      <c r="B1324" s="1" t="s">
        <v>27</v>
      </c>
      <c r="C1324" s="2">
        <v>45489</v>
      </c>
      <c r="D1324" s="1" t="s">
        <v>28</v>
      </c>
      <c r="E1324" s="1" t="s">
        <v>29</v>
      </c>
      <c r="F1324" s="1" t="s">
        <v>19</v>
      </c>
      <c r="G1324" s="1" t="s">
        <v>20</v>
      </c>
      <c r="H1324" s="1">
        <v>4</v>
      </c>
      <c r="I1324" s="1">
        <v>308</v>
      </c>
      <c r="J1324" s="1">
        <v>499</v>
      </c>
      <c r="K1324" s="1">
        <v>15</v>
      </c>
      <c r="L1324" s="1">
        <f>ROUNDDOWN(formatted_data[[#This Row],[Selling_Price]]*formatted_data[[#This Row],[Discount_%]]/100,0)</f>
        <v>74</v>
      </c>
      <c r="M1324" s="1">
        <f>(formatted_data[[#This Row],[Selling_Price]]-formatted_data[[#This Row],[Discount_Amount]])*formatted_data[[#This Row],[Units]]</f>
        <v>1700</v>
      </c>
      <c r="N1324" s="1">
        <f>formatted_data[[#This Row],[Total_Revenue]]-(formatted_data[[#This Row],[Cost_Price]]*formatted_data[[#This Row],[Units]])</f>
        <v>468</v>
      </c>
      <c r="O1324" s="1" t="s">
        <v>21</v>
      </c>
      <c r="P1324"/>
    </row>
    <row r="1325" spans="1:16" x14ac:dyDescent="0.35">
      <c r="A1325" s="1" t="s">
        <v>54</v>
      </c>
      <c r="B1325" s="1" t="s">
        <v>27</v>
      </c>
      <c r="C1325" s="2">
        <v>45492</v>
      </c>
      <c r="D1325" s="1" t="s">
        <v>31</v>
      </c>
      <c r="E1325" s="1" t="s">
        <v>76</v>
      </c>
      <c r="F1325" s="1" t="s">
        <v>37</v>
      </c>
      <c r="G1325" s="1" t="s">
        <v>19</v>
      </c>
      <c r="H1325" s="1">
        <v>1</v>
      </c>
      <c r="I1325" s="1">
        <v>686</v>
      </c>
      <c r="J1325" s="1">
        <v>1199</v>
      </c>
      <c r="K1325" s="1">
        <v>0</v>
      </c>
      <c r="L1325" s="1">
        <f>ROUNDDOWN(formatted_data[[#This Row],[Selling_Price]]*formatted_data[[#This Row],[Discount_%]]/100,0)</f>
        <v>0</v>
      </c>
      <c r="M1325" s="1">
        <f>(formatted_data[[#This Row],[Selling_Price]]-formatted_data[[#This Row],[Discount_Amount]])*formatted_data[[#This Row],[Units]]</f>
        <v>1199</v>
      </c>
      <c r="N1325" s="1">
        <f>formatted_data[[#This Row],[Total_Revenue]]-(formatted_data[[#This Row],[Cost_Price]]*formatted_data[[#This Row],[Units]])</f>
        <v>513</v>
      </c>
      <c r="O1325" s="1" t="s">
        <v>33</v>
      </c>
      <c r="P1325"/>
    </row>
    <row r="1326" spans="1:16" x14ac:dyDescent="0.35">
      <c r="A1326" s="1" t="s">
        <v>97</v>
      </c>
      <c r="B1326" s="1" t="s">
        <v>16</v>
      </c>
      <c r="C1326" s="2">
        <v>45549</v>
      </c>
      <c r="D1326" s="1" t="s">
        <v>17</v>
      </c>
      <c r="E1326" s="1" t="s">
        <v>18</v>
      </c>
      <c r="F1326" s="1" t="s">
        <v>37</v>
      </c>
      <c r="G1326" s="1" t="s">
        <v>20</v>
      </c>
      <c r="H1326" s="1">
        <v>1</v>
      </c>
      <c r="I1326" s="1">
        <v>405</v>
      </c>
      <c r="J1326" s="1">
        <v>599</v>
      </c>
      <c r="K1326" s="1">
        <v>0</v>
      </c>
      <c r="L1326" s="1">
        <f>ROUNDDOWN(formatted_data[[#This Row],[Selling_Price]]*formatted_data[[#This Row],[Discount_%]]/100,0)</f>
        <v>0</v>
      </c>
      <c r="M1326" s="1">
        <f>(formatted_data[[#This Row],[Selling_Price]]-formatted_data[[#This Row],[Discount_Amount]])*formatted_data[[#This Row],[Units]]</f>
        <v>599</v>
      </c>
      <c r="N1326" s="1">
        <f>formatted_data[[#This Row],[Total_Revenue]]-(formatted_data[[#This Row],[Cost_Price]]*formatted_data[[#This Row],[Units]])</f>
        <v>194</v>
      </c>
      <c r="O1326" s="1" t="s">
        <v>21</v>
      </c>
      <c r="P1326"/>
    </row>
    <row r="1327" spans="1:16" x14ac:dyDescent="0.35">
      <c r="A1327" s="1" t="s">
        <v>97</v>
      </c>
      <c r="B1327" s="1" t="s">
        <v>16</v>
      </c>
      <c r="C1327" s="2">
        <v>45521</v>
      </c>
      <c r="D1327" s="1" t="s">
        <v>28</v>
      </c>
      <c r="E1327" s="1" t="s">
        <v>45</v>
      </c>
      <c r="F1327" s="1" t="s">
        <v>37</v>
      </c>
      <c r="G1327" s="1" t="s">
        <v>20</v>
      </c>
      <c r="H1327" s="1">
        <v>1</v>
      </c>
      <c r="I1327" s="1">
        <v>1240</v>
      </c>
      <c r="J1327" s="1">
        <v>1799</v>
      </c>
      <c r="K1327" s="1">
        <v>15</v>
      </c>
      <c r="L1327" s="1">
        <f>ROUNDDOWN(formatted_data[[#This Row],[Selling_Price]]*formatted_data[[#This Row],[Discount_%]]/100,0)</f>
        <v>269</v>
      </c>
      <c r="M1327" s="1">
        <f>(formatted_data[[#This Row],[Selling_Price]]-formatted_data[[#This Row],[Discount_Amount]])*formatted_data[[#This Row],[Units]]</f>
        <v>1530</v>
      </c>
      <c r="N1327" s="1">
        <f>formatted_data[[#This Row],[Total_Revenue]]-(formatted_data[[#This Row],[Cost_Price]]*formatted_data[[#This Row],[Units]])</f>
        <v>290</v>
      </c>
      <c r="O1327" s="1" t="s">
        <v>33</v>
      </c>
      <c r="P1327"/>
    </row>
    <row r="1328" spans="1:16" x14ac:dyDescent="0.35">
      <c r="A1328" s="1" t="s">
        <v>51</v>
      </c>
      <c r="B1328" s="1" t="s">
        <v>16</v>
      </c>
      <c r="C1328" s="2">
        <v>45609</v>
      </c>
      <c r="D1328" s="1" t="s">
        <v>31</v>
      </c>
      <c r="E1328" s="1" t="s">
        <v>76</v>
      </c>
      <c r="F1328" s="1" t="s">
        <v>37</v>
      </c>
      <c r="G1328" s="1" t="s">
        <v>19</v>
      </c>
      <c r="H1328" s="1">
        <v>2</v>
      </c>
      <c r="I1328" s="1">
        <v>1000</v>
      </c>
      <c r="J1328" s="1">
        <v>1499</v>
      </c>
      <c r="K1328" s="1">
        <v>0</v>
      </c>
      <c r="L1328" s="1">
        <f>ROUNDDOWN(formatted_data[[#This Row],[Selling_Price]]*formatted_data[[#This Row],[Discount_%]]/100,0)</f>
        <v>0</v>
      </c>
      <c r="M1328" s="1">
        <f>(formatted_data[[#This Row],[Selling_Price]]-formatted_data[[#This Row],[Discount_Amount]])*formatted_data[[#This Row],[Units]]</f>
        <v>2998</v>
      </c>
      <c r="N1328" s="1">
        <f>formatted_data[[#This Row],[Total_Revenue]]-(formatted_data[[#This Row],[Cost_Price]]*formatted_data[[#This Row],[Units]])</f>
        <v>998</v>
      </c>
      <c r="O1328" s="1" t="s">
        <v>21</v>
      </c>
      <c r="P1328"/>
    </row>
    <row r="1329" spans="1:16" x14ac:dyDescent="0.35">
      <c r="A1329" s="1" t="s">
        <v>34</v>
      </c>
      <c r="B1329" s="1" t="s">
        <v>27</v>
      </c>
      <c r="C1329" s="2">
        <v>45615</v>
      </c>
      <c r="D1329" s="1" t="s">
        <v>35</v>
      </c>
      <c r="E1329" s="1" t="s">
        <v>41</v>
      </c>
      <c r="F1329" s="1" t="s">
        <v>19</v>
      </c>
      <c r="G1329" s="1" t="s">
        <v>20</v>
      </c>
      <c r="H1329" s="1">
        <v>5</v>
      </c>
      <c r="I1329" s="1">
        <v>422</v>
      </c>
      <c r="J1329" s="1">
        <v>699</v>
      </c>
      <c r="K1329" s="1">
        <v>20</v>
      </c>
      <c r="L1329" s="1">
        <f>ROUNDDOWN(formatted_data[[#This Row],[Selling_Price]]*formatted_data[[#This Row],[Discount_%]]/100,0)</f>
        <v>139</v>
      </c>
      <c r="M1329" s="1">
        <f>(formatted_data[[#This Row],[Selling_Price]]-formatted_data[[#This Row],[Discount_Amount]])*formatted_data[[#This Row],[Units]]</f>
        <v>2800</v>
      </c>
      <c r="N1329" s="1">
        <f>formatted_data[[#This Row],[Total_Revenue]]-(formatted_data[[#This Row],[Cost_Price]]*formatted_data[[#This Row],[Units]])</f>
        <v>690</v>
      </c>
      <c r="O1329" s="1" t="s">
        <v>21</v>
      </c>
      <c r="P1329"/>
    </row>
    <row r="1330" spans="1:16" x14ac:dyDescent="0.35">
      <c r="A1330" s="1" t="s">
        <v>80</v>
      </c>
      <c r="B1330" s="1" t="s">
        <v>27</v>
      </c>
      <c r="C1330" s="2">
        <v>45560</v>
      </c>
      <c r="D1330" s="1" t="s">
        <v>35</v>
      </c>
      <c r="E1330" s="1" t="s">
        <v>58</v>
      </c>
      <c r="F1330" s="1" t="s">
        <v>25</v>
      </c>
      <c r="G1330" s="1" t="s">
        <v>20</v>
      </c>
      <c r="H1330" s="1">
        <v>4</v>
      </c>
      <c r="I1330" s="1">
        <v>1292</v>
      </c>
      <c r="J1330" s="1">
        <v>2399</v>
      </c>
      <c r="K1330" s="1">
        <v>15</v>
      </c>
      <c r="L1330" s="1">
        <f>ROUNDDOWN(formatted_data[[#This Row],[Selling_Price]]*formatted_data[[#This Row],[Discount_%]]/100,0)</f>
        <v>359</v>
      </c>
      <c r="M1330" s="1">
        <f>(formatted_data[[#This Row],[Selling_Price]]-formatted_data[[#This Row],[Discount_Amount]])*formatted_data[[#This Row],[Units]]</f>
        <v>8160</v>
      </c>
      <c r="N1330" s="1">
        <f>formatted_data[[#This Row],[Total_Revenue]]-(formatted_data[[#This Row],[Cost_Price]]*formatted_data[[#This Row],[Units]])</f>
        <v>2992</v>
      </c>
      <c r="O1330" s="1" t="s">
        <v>33</v>
      </c>
      <c r="P1330"/>
    </row>
    <row r="1331" spans="1:16" x14ac:dyDescent="0.35">
      <c r="A1331" s="1" t="s">
        <v>38</v>
      </c>
      <c r="B1331" s="1" t="s">
        <v>27</v>
      </c>
      <c r="C1331" s="2">
        <v>45611</v>
      </c>
      <c r="D1331" s="1" t="s">
        <v>17</v>
      </c>
      <c r="E1331" s="1" t="s">
        <v>72</v>
      </c>
      <c r="F1331" s="1" t="s">
        <v>25</v>
      </c>
      <c r="G1331" s="1" t="s">
        <v>19</v>
      </c>
      <c r="H1331" s="1">
        <v>1</v>
      </c>
      <c r="I1331" s="1">
        <v>307</v>
      </c>
      <c r="J1331" s="1">
        <v>499</v>
      </c>
      <c r="K1331" s="1">
        <v>0</v>
      </c>
      <c r="L1331" s="1">
        <f>ROUNDDOWN(formatted_data[[#This Row],[Selling_Price]]*formatted_data[[#This Row],[Discount_%]]/100,0)</f>
        <v>0</v>
      </c>
      <c r="M1331" s="1">
        <f>(formatted_data[[#This Row],[Selling_Price]]-formatted_data[[#This Row],[Discount_Amount]])*formatted_data[[#This Row],[Units]]</f>
        <v>499</v>
      </c>
      <c r="N1331" s="1">
        <f>formatted_data[[#This Row],[Total_Revenue]]-(formatted_data[[#This Row],[Cost_Price]]*formatted_data[[#This Row],[Units]])</f>
        <v>192</v>
      </c>
      <c r="O1331" s="1" t="s">
        <v>21</v>
      </c>
      <c r="P1331"/>
    </row>
    <row r="1332" spans="1:16" x14ac:dyDescent="0.35">
      <c r="A1332" s="1" t="s">
        <v>34</v>
      </c>
      <c r="B1332" s="1" t="s">
        <v>27</v>
      </c>
      <c r="C1332" s="2">
        <v>45475</v>
      </c>
      <c r="D1332" s="1" t="s">
        <v>23</v>
      </c>
      <c r="E1332" s="1" t="s">
        <v>43</v>
      </c>
      <c r="F1332" s="1" t="s">
        <v>37</v>
      </c>
      <c r="G1332" s="1" t="s">
        <v>20</v>
      </c>
      <c r="H1332" s="1">
        <v>1</v>
      </c>
      <c r="I1332" s="1">
        <v>2510</v>
      </c>
      <c r="J1332" s="1">
        <v>3399</v>
      </c>
      <c r="K1332" s="1">
        <v>10</v>
      </c>
      <c r="L1332" s="1">
        <f>ROUNDDOWN(formatted_data[[#This Row],[Selling_Price]]*formatted_data[[#This Row],[Discount_%]]/100,0)</f>
        <v>339</v>
      </c>
      <c r="M1332" s="1">
        <f>(formatted_data[[#This Row],[Selling_Price]]-formatted_data[[#This Row],[Discount_Amount]])*formatted_data[[#This Row],[Units]]</f>
        <v>3060</v>
      </c>
      <c r="N1332" s="1">
        <f>formatted_data[[#This Row],[Total_Revenue]]-(formatted_data[[#This Row],[Cost_Price]]*formatted_data[[#This Row],[Units]])</f>
        <v>550</v>
      </c>
      <c r="O1332" s="1" t="s">
        <v>21</v>
      </c>
      <c r="P1332"/>
    </row>
    <row r="1333" spans="1:16" x14ac:dyDescent="0.35">
      <c r="A1333" s="1" t="s">
        <v>63</v>
      </c>
      <c r="B1333" s="1" t="s">
        <v>27</v>
      </c>
      <c r="C1333" s="2">
        <v>45472</v>
      </c>
      <c r="D1333" s="1" t="s">
        <v>31</v>
      </c>
      <c r="E1333" s="1" t="s">
        <v>32</v>
      </c>
      <c r="F1333" s="1" t="s">
        <v>37</v>
      </c>
      <c r="G1333" s="1" t="s">
        <v>20</v>
      </c>
      <c r="H1333" s="1">
        <v>5</v>
      </c>
      <c r="I1333" s="1">
        <v>1002</v>
      </c>
      <c r="J1333" s="1">
        <v>1399</v>
      </c>
      <c r="K1333" s="1">
        <v>0</v>
      </c>
      <c r="L1333" s="1">
        <f>ROUNDDOWN(formatted_data[[#This Row],[Selling_Price]]*formatted_data[[#This Row],[Discount_%]]/100,0)</f>
        <v>0</v>
      </c>
      <c r="M1333" s="1">
        <f>(formatted_data[[#This Row],[Selling_Price]]-formatted_data[[#This Row],[Discount_Amount]])*formatted_data[[#This Row],[Units]]</f>
        <v>6995</v>
      </c>
      <c r="N1333" s="1">
        <f>formatted_data[[#This Row],[Total_Revenue]]-(formatted_data[[#This Row],[Cost_Price]]*formatted_data[[#This Row],[Units]])</f>
        <v>1985</v>
      </c>
      <c r="O1333" s="1" t="s">
        <v>21</v>
      </c>
      <c r="P1333"/>
    </row>
    <row r="1334" spans="1:16" x14ac:dyDescent="0.35">
      <c r="A1334" s="1" t="s">
        <v>61</v>
      </c>
      <c r="B1334" s="1" t="s">
        <v>27</v>
      </c>
      <c r="C1334" s="2">
        <v>45655</v>
      </c>
      <c r="D1334" s="1" t="s">
        <v>28</v>
      </c>
      <c r="E1334" s="1" t="s">
        <v>45</v>
      </c>
      <c r="F1334" s="1" t="s">
        <v>25</v>
      </c>
      <c r="G1334" s="1" t="s">
        <v>20</v>
      </c>
      <c r="H1334" s="1">
        <v>1</v>
      </c>
      <c r="I1334" s="1">
        <v>939</v>
      </c>
      <c r="J1334" s="1">
        <v>1599</v>
      </c>
      <c r="K1334" s="1">
        <v>5</v>
      </c>
      <c r="L1334" s="1">
        <f>ROUNDDOWN(formatted_data[[#This Row],[Selling_Price]]*formatted_data[[#This Row],[Discount_%]]/100,0)</f>
        <v>79</v>
      </c>
      <c r="M1334" s="1">
        <f>(formatted_data[[#This Row],[Selling_Price]]-formatted_data[[#This Row],[Discount_Amount]])*formatted_data[[#This Row],[Units]]</f>
        <v>1520</v>
      </c>
      <c r="N1334" s="1">
        <f>formatted_data[[#This Row],[Total_Revenue]]-(formatted_data[[#This Row],[Cost_Price]]*formatted_data[[#This Row],[Units]])</f>
        <v>581</v>
      </c>
      <c r="O1334" s="1" t="s">
        <v>21</v>
      </c>
      <c r="P1334"/>
    </row>
    <row r="1335" spans="1:16" x14ac:dyDescent="0.35">
      <c r="A1335" s="1" t="s">
        <v>57</v>
      </c>
      <c r="B1335" s="1" t="s">
        <v>27</v>
      </c>
      <c r="C1335" s="2">
        <v>45477</v>
      </c>
      <c r="D1335" s="1" t="s">
        <v>23</v>
      </c>
      <c r="E1335" s="1" t="s">
        <v>24</v>
      </c>
      <c r="F1335" s="1" t="s">
        <v>19</v>
      </c>
      <c r="G1335" s="1" t="s">
        <v>19</v>
      </c>
      <c r="H1335" s="1">
        <v>1</v>
      </c>
      <c r="I1335" s="1">
        <v>658</v>
      </c>
      <c r="J1335" s="1">
        <v>1199</v>
      </c>
      <c r="K1335" s="1">
        <v>15</v>
      </c>
      <c r="L1335" s="1">
        <f>ROUNDDOWN(formatted_data[[#This Row],[Selling_Price]]*formatted_data[[#This Row],[Discount_%]]/100,0)</f>
        <v>179</v>
      </c>
      <c r="M1335" s="1">
        <f>(formatted_data[[#This Row],[Selling_Price]]-formatted_data[[#This Row],[Discount_Amount]])*formatted_data[[#This Row],[Units]]</f>
        <v>1020</v>
      </c>
      <c r="N1335" s="1">
        <f>formatted_data[[#This Row],[Total_Revenue]]-(formatted_data[[#This Row],[Cost_Price]]*formatted_data[[#This Row],[Units]])</f>
        <v>362</v>
      </c>
      <c r="O1335" s="1" t="s">
        <v>21</v>
      </c>
      <c r="P1335"/>
    </row>
    <row r="1336" spans="1:16" x14ac:dyDescent="0.35">
      <c r="A1336" s="1" t="s">
        <v>67</v>
      </c>
      <c r="B1336" s="1" t="s">
        <v>27</v>
      </c>
      <c r="C1336" s="2">
        <v>45563</v>
      </c>
      <c r="D1336" s="1" t="s">
        <v>31</v>
      </c>
      <c r="E1336" s="1" t="s">
        <v>32</v>
      </c>
      <c r="F1336" s="1" t="s">
        <v>25</v>
      </c>
      <c r="G1336" s="1" t="s">
        <v>19</v>
      </c>
      <c r="H1336" s="1">
        <v>5</v>
      </c>
      <c r="I1336" s="1">
        <v>869</v>
      </c>
      <c r="J1336" s="1">
        <v>1499</v>
      </c>
      <c r="K1336" s="1">
        <v>0</v>
      </c>
      <c r="L1336" s="1">
        <f>ROUNDDOWN(formatted_data[[#This Row],[Selling_Price]]*formatted_data[[#This Row],[Discount_%]]/100,0)</f>
        <v>0</v>
      </c>
      <c r="M1336" s="1">
        <f>(formatted_data[[#This Row],[Selling_Price]]-formatted_data[[#This Row],[Discount_Amount]])*formatted_data[[#This Row],[Units]]</f>
        <v>7495</v>
      </c>
      <c r="N1336" s="1">
        <f>formatted_data[[#This Row],[Total_Revenue]]-(formatted_data[[#This Row],[Cost_Price]]*formatted_data[[#This Row],[Units]])</f>
        <v>3150</v>
      </c>
      <c r="O1336" s="1" t="s">
        <v>33</v>
      </c>
      <c r="P1336"/>
    </row>
    <row r="1337" spans="1:16" x14ac:dyDescent="0.35">
      <c r="A1337" s="1" t="s">
        <v>56</v>
      </c>
      <c r="B1337" s="1" t="s">
        <v>27</v>
      </c>
      <c r="C1337" s="2">
        <v>45542</v>
      </c>
      <c r="D1337" s="1" t="s">
        <v>28</v>
      </c>
      <c r="E1337" s="1" t="s">
        <v>45</v>
      </c>
      <c r="F1337" s="1" t="s">
        <v>25</v>
      </c>
      <c r="G1337" s="1" t="s">
        <v>19</v>
      </c>
      <c r="H1337" s="1">
        <v>3</v>
      </c>
      <c r="I1337" s="1">
        <v>1308</v>
      </c>
      <c r="J1337" s="1">
        <v>1899</v>
      </c>
      <c r="K1337" s="1">
        <v>20</v>
      </c>
      <c r="L1337" s="1">
        <f>ROUNDDOWN(formatted_data[[#This Row],[Selling_Price]]*formatted_data[[#This Row],[Discount_%]]/100,0)</f>
        <v>379</v>
      </c>
      <c r="M1337" s="1">
        <f>(formatted_data[[#This Row],[Selling_Price]]-formatted_data[[#This Row],[Discount_Amount]])*formatted_data[[#This Row],[Units]]</f>
        <v>4560</v>
      </c>
      <c r="N1337" s="1">
        <f>formatted_data[[#This Row],[Total_Revenue]]-(formatted_data[[#This Row],[Cost_Price]]*formatted_data[[#This Row],[Units]])</f>
        <v>636</v>
      </c>
      <c r="O1337" s="1" t="s">
        <v>33</v>
      </c>
      <c r="P1337"/>
    </row>
    <row r="1338" spans="1:16" x14ac:dyDescent="0.35">
      <c r="A1338" s="1" t="s">
        <v>105</v>
      </c>
      <c r="B1338" s="1" t="s">
        <v>16</v>
      </c>
      <c r="C1338" s="2">
        <v>45653</v>
      </c>
      <c r="D1338" s="1" t="s">
        <v>31</v>
      </c>
      <c r="E1338" s="1" t="s">
        <v>76</v>
      </c>
      <c r="F1338" s="1" t="s">
        <v>37</v>
      </c>
      <c r="G1338" s="1" t="s">
        <v>20</v>
      </c>
      <c r="H1338" s="1">
        <v>1</v>
      </c>
      <c r="I1338" s="1">
        <v>509</v>
      </c>
      <c r="J1338" s="1">
        <v>799</v>
      </c>
      <c r="K1338" s="1">
        <v>0</v>
      </c>
      <c r="L1338" s="1">
        <f>ROUNDDOWN(formatted_data[[#This Row],[Selling_Price]]*formatted_data[[#This Row],[Discount_%]]/100,0)</f>
        <v>0</v>
      </c>
      <c r="M1338" s="1">
        <f>(formatted_data[[#This Row],[Selling_Price]]-formatted_data[[#This Row],[Discount_Amount]])*formatted_data[[#This Row],[Units]]</f>
        <v>799</v>
      </c>
      <c r="N1338" s="1">
        <f>formatted_data[[#This Row],[Total_Revenue]]-(formatted_data[[#This Row],[Cost_Price]]*formatted_data[[#This Row],[Units]])</f>
        <v>290</v>
      </c>
      <c r="O1338" s="1" t="s">
        <v>21</v>
      </c>
      <c r="P1338"/>
    </row>
    <row r="1339" spans="1:16" x14ac:dyDescent="0.35">
      <c r="A1339" s="1" t="s">
        <v>57</v>
      </c>
      <c r="B1339" s="1" t="s">
        <v>27</v>
      </c>
      <c r="C1339" s="2">
        <v>45564</v>
      </c>
      <c r="D1339" s="1" t="s">
        <v>17</v>
      </c>
      <c r="E1339" s="1" t="s">
        <v>55</v>
      </c>
      <c r="F1339" s="1" t="s">
        <v>19</v>
      </c>
      <c r="G1339" s="1" t="s">
        <v>20</v>
      </c>
      <c r="H1339" s="1">
        <v>1</v>
      </c>
      <c r="I1339" s="1">
        <v>296</v>
      </c>
      <c r="J1339" s="1">
        <v>399</v>
      </c>
      <c r="K1339" s="1">
        <v>0</v>
      </c>
      <c r="L1339" s="1">
        <f>ROUNDDOWN(formatted_data[[#This Row],[Selling_Price]]*formatted_data[[#This Row],[Discount_%]]/100,0)</f>
        <v>0</v>
      </c>
      <c r="M1339" s="1">
        <f>(formatted_data[[#This Row],[Selling_Price]]-formatted_data[[#This Row],[Discount_Amount]])*formatted_data[[#This Row],[Units]]</f>
        <v>399</v>
      </c>
      <c r="N1339" s="1">
        <f>formatted_data[[#This Row],[Total_Revenue]]-(formatted_data[[#This Row],[Cost_Price]]*formatted_data[[#This Row],[Units]])</f>
        <v>103</v>
      </c>
      <c r="O1339" s="1" t="s">
        <v>21</v>
      </c>
      <c r="P1339"/>
    </row>
    <row r="1340" spans="1:16" x14ac:dyDescent="0.35">
      <c r="A1340" s="1" t="s">
        <v>52</v>
      </c>
      <c r="B1340" s="1" t="s">
        <v>27</v>
      </c>
      <c r="C1340" s="2">
        <v>45655</v>
      </c>
      <c r="D1340" s="1" t="s">
        <v>31</v>
      </c>
      <c r="E1340" s="1" t="s">
        <v>76</v>
      </c>
      <c r="F1340" s="1" t="s">
        <v>25</v>
      </c>
      <c r="G1340" s="1" t="s">
        <v>20</v>
      </c>
      <c r="H1340" s="1">
        <v>1</v>
      </c>
      <c r="I1340" s="1">
        <v>562</v>
      </c>
      <c r="J1340" s="1">
        <v>799</v>
      </c>
      <c r="K1340" s="1">
        <v>0</v>
      </c>
      <c r="L1340" s="1">
        <f>ROUNDDOWN(formatted_data[[#This Row],[Selling_Price]]*formatted_data[[#This Row],[Discount_%]]/100,0)</f>
        <v>0</v>
      </c>
      <c r="M1340" s="1">
        <f>(formatted_data[[#This Row],[Selling_Price]]-formatted_data[[#This Row],[Discount_Amount]])*formatted_data[[#This Row],[Units]]</f>
        <v>799</v>
      </c>
      <c r="N1340" s="1">
        <f>formatted_data[[#This Row],[Total_Revenue]]-(formatted_data[[#This Row],[Cost_Price]]*formatted_data[[#This Row],[Units]])</f>
        <v>237</v>
      </c>
      <c r="O1340" s="1" t="s">
        <v>33</v>
      </c>
      <c r="P1340"/>
    </row>
    <row r="1341" spans="1:16" x14ac:dyDescent="0.35">
      <c r="A1341" s="1" t="s">
        <v>68</v>
      </c>
      <c r="B1341" s="1" t="s">
        <v>16</v>
      </c>
      <c r="C1341" s="2">
        <v>45646</v>
      </c>
      <c r="D1341" s="1" t="s">
        <v>35</v>
      </c>
      <c r="E1341" s="1" t="s">
        <v>87</v>
      </c>
      <c r="F1341" s="1" t="s">
        <v>19</v>
      </c>
      <c r="G1341" s="1" t="s">
        <v>20</v>
      </c>
      <c r="H1341" s="1">
        <v>4</v>
      </c>
      <c r="I1341" s="1">
        <v>2495</v>
      </c>
      <c r="J1341" s="1">
        <v>3599</v>
      </c>
      <c r="K1341" s="1">
        <v>15</v>
      </c>
      <c r="L1341" s="1">
        <f>ROUNDDOWN(formatted_data[[#This Row],[Selling_Price]]*formatted_data[[#This Row],[Discount_%]]/100,0)</f>
        <v>539</v>
      </c>
      <c r="M1341" s="1">
        <f>(formatted_data[[#This Row],[Selling_Price]]-formatted_data[[#This Row],[Discount_Amount]])*formatted_data[[#This Row],[Units]]</f>
        <v>12240</v>
      </c>
      <c r="N1341" s="1">
        <f>formatted_data[[#This Row],[Total_Revenue]]-(formatted_data[[#This Row],[Cost_Price]]*formatted_data[[#This Row],[Units]])</f>
        <v>2260</v>
      </c>
      <c r="O1341" s="1" t="s">
        <v>21</v>
      </c>
      <c r="P1341"/>
    </row>
    <row r="1342" spans="1:16" x14ac:dyDescent="0.35">
      <c r="A1342" s="1" t="s">
        <v>84</v>
      </c>
      <c r="B1342" s="1" t="s">
        <v>27</v>
      </c>
      <c r="C1342" s="2">
        <v>45549</v>
      </c>
      <c r="D1342" s="1" t="s">
        <v>28</v>
      </c>
      <c r="E1342" s="1" t="s">
        <v>29</v>
      </c>
      <c r="F1342" s="1" t="s">
        <v>25</v>
      </c>
      <c r="G1342" s="1" t="s">
        <v>20</v>
      </c>
      <c r="H1342" s="1">
        <v>2</v>
      </c>
      <c r="I1342" s="1">
        <v>357</v>
      </c>
      <c r="J1342" s="1">
        <v>499</v>
      </c>
      <c r="K1342" s="1">
        <v>20</v>
      </c>
      <c r="L1342" s="1">
        <f>ROUNDDOWN(formatted_data[[#This Row],[Selling_Price]]*formatted_data[[#This Row],[Discount_%]]/100,0)</f>
        <v>99</v>
      </c>
      <c r="M1342" s="1">
        <f>(formatted_data[[#This Row],[Selling_Price]]-formatted_data[[#This Row],[Discount_Amount]])*formatted_data[[#This Row],[Units]]</f>
        <v>800</v>
      </c>
      <c r="N1342" s="1">
        <f>formatted_data[[#This Row],[Total_Revenue]]-(formatted_data[[#This Row],[Cost_Price]]*formatted_data[[#This Row],[Units]])</f>
        <v>86</v>
      </c>
      <c r="O1342" s="1" t="s">
        <v>21</v>
      </c>
      <c r="P1342"/>
    </row>
    <row r="1343" spans="1:16" x14ac:dyDescent="0.35">
      <c r="A1343" s="1" t="s">
        <v>104</v>
      </c>
      <c r="B1343" s="1" t="s">
        <v>27</v>
      </c>
      <c r="C1343" s="2">
        <v>45596</v>
      </c>
      <c r="D1343" s="1" t="s">
        <v>28</v>
      </c>
      <c r="E1343" s="1" t="s">
        <v>45</v>
      </c>
      <c r="F1343" s="1" t="s">
        <v>25</v>
      </c>
      <c r="G1343" s="1" t="s">
        <v>20</v>
      </c>
      <c r="H1343" s="1">
        <v>4</v>
      </c>
      <c r="I1343" s="1">
        <v>564</v>
      </c>
      <c r="J1343" s="1">
        <v>999</v>
      </c>
      <c r="K1343" s="1">
        <v>15</v>
      </c>
      <c r="L1343" s="1">
        <f>ROUNDDOWN(formatted_data[[#This Row],[Selling_Price]]*formatted_data[[#This Row],[Discount_%]]/100,0)</f>
        <v>149</v>
      </c>
      <c r="M1343" s="1">
        <f>(formatted_data[[#This Row],[Selling_Price]]-formatted_data[[#This Row],[Discount_Amount]])*formatted_data[[#This Row],[Units]]</f>
        <v>3400</v>
      </c>
      <c r="N1343" s="1">
        <f>formatted_data[[#This Row],[Total_Revenue]]-(formatted_data[[#This Row],[Cost_Price]]*formatted_data[[#This Row],[Units]])</f>
        <v>1144</v>
      </c>
      <c r="O1343" s="1" t="s">
        <v>21</v>
      </c>
      <c r="P1343"/>
    </row>
    <row r="1344" spans="1:16" x14ac:dyDescent="0.35">
      <c r="A1344" s="1" t="s">
        <v>97</v>
      </c>
      <c r="B1344" s="1" t="s">
        <v>16</v>
      </c>
      <c r="C1344" s="2">
        <v>45601</v>
      </c>
      <c r="D1344" s="1" t="s">
        <v>17</v>
      </c>
      <c r="E1344" s="1" t="s">
        <v>18</v>
      </c>
      <c r="F1344" s="1" t="s">
        <v>25</v>
      </c>
      <c r="G1344" s="1" t="s">
        <v>19</v>
      </c>
      <c r="H1344" s="1">
        <v>3</v>
      </c>
      <c r="I1344" s="1">
        <v>265</v>
      </c>
      <c r="J1344" s="1">
        <v>399</v>
      </c>
      <c r="K1344" s="1">
        <v>0</v>
      </c>
      <c r="L1344" s="1">
        <f>ROUNDDOWN(formatted_data[[#This Row],[Selling_Price]]*formatted_data[[#This Row],[Discount_%]]/100,0)</f>
        <v>0</v>
      </c>
      <c r="M1344" s="1">
        <f>(formatted_data[[#This Row],[Selling_Price]]-formatted_data[[#This Row],[Discount_Amount]])*formatted_data[[#This Row],[Units]]</f>
        <v>1197</v>
      </c>
      <c r="N1344" s="1">
        <f>formatted_data[[#This Row],[Total_Revenue]]-(formatted_data[[#This Row],[Cost_Price]]*formatted_data[[#This Row],[Units]])</f>
        <v>402</v>
      </c>
      <c r="O1344" s="1" t="s">
        <v>33</v>
      </c>
      <c r="P1344"/>
    </row>
    <row r="1345" spans="1:16" x14ac:dyDescent="0.35">
      <c r="A1345" s="1" t="s">
        <v>65</v>
      </c>
      <c r="B1345" s="1" t="s">
        <v>16</v>
      </c>
      <c r="C1345" s="2">
        <v>45621</v>
      </c>
      <c r="D1345" s="1" t="s">
        <v>31</v>
      </c>
      <c r="E1345" s="1" t="s">
        <v>32</v>
      </c>
      <c r="F1345" s="1" t="s">
        <v>37</v>
      </c>
      <c r="G1345" s="1" t="s">
        <v>19</v>
      </c>
      <c r="H1345" s="1">
        <v>1</v>
      </c>
      <c r="I1345" s="1">
        <v>834</v>
      </c>
      <c r="J1345" s="1">
        <v>1499</v>
      </c>
      <c r="K1345" s="1">
        <v>0</v>
      </c>
      <c r="L1345" s="1">
        <f>ROUNDDOWN(formatted_data[[#This Row],[Selling_Price]]*formatted_data[[#This Row],[Discount_%]]/100,0)</f>
        <v>0</v>
      </c>
      <c r="M1345" s="1">
        <f>(formatted_data[[#This Row],[Selling_Price]]-formatted_data[[#This Row],[Discount_Amount]])*formatted_data[[#This Row],[Units]]</f>
        <v>1499</v>
      </c>
      <c r="N1345" s="1">
        <f>formatted_data[[#This Row],[Total_Revenue]]-(formatted_data[[#This Row],[Cost_Price]]*formatted_data[[#This Row],[Units]])</f>
        <v>665</v>
      </c>
      <c r="O1345" s="1" t="s">
        <v>21</v>
      </c>
      <c r="P1345"/>
    </row>
    <row r="1346" spans="1:16" x14ac:dyDescent="0.35">
      <c r="A1346" s="1" t="s">
        <v>84</v>
      </c>
      <c r="B1346" s="1" t="s">
        <v>27</v>
      </c>
      <c r="C1346" s="2">
        <v>45544</v>
      </c>
      <c r="D1346" s="1" t="s">
        <v>28</v>
      </c>
      <c r="E1346" s="1" t="s">
        <v>29</v>
      </c>
      <c r="F1346" s="1" t="s">
        <v>19</v>
      </c>
      <c r="G1346" s="1" t="s">
        <v>19</v>
      </c>
      <c r="H1346" s="1">
        <v>2</v>
      </c>
      <c r="I1346" s="1">
        <v>365</v>
      </c>
      <c r="J1346" s="1">
        <v>699</v>
      </c>
      <c r="K1346" s="1">
        <v>5</v>
      </c>
      <c r="L1346" s="1">
        <f>ROUNDDOWN(formatted_data[[#This Row],[Selling_Price]]*formatted_data[[#This Row],[Discount_%]]/100,0)</f>
        <v>34</v>
      </c>
      <c r="M1346" s="1">
        <f>(formatted_data[[#This Row],[Selling_Price]]-formatted_data[[#This Row],[Discount_Amount]])*formatted_data[[#This Row],[Units]]</f>
        <v>1330</v>
      </c>
      <c r="N1346" s="1">
        <f>formatted_data[[#This Row],[Total_Revenue]]-(formatted_data[[#This Row],[Cost_Price]]*formatted_data[[#This Row],[Units]])</f>
        <v>600</v>
      </c>
      <c r="O1346" s="1" t="s">
        <v>21</v>
      </c>
      <c r="P1346"/>
    </row>
    <row r="1347" spans="1:16" x14ac:dyDescent="0.35">
      <c r="A1347" s="1" t="s">
        <v>64</v>
      </c>
      <c r="B1347" s="1" t="s">
        <v>16</v>
      </c>
      <c r="C1347" s="2">
        <v>45458</v>
      </c>
      <c r="D1347" s="1" t="s">
        <v>17</v>
      </c>
      <c r="E1347" s="1" t="s">
        <v>72</v>
      </c>
      <c r="F1347" s="1" t="s">
        <v>19</v>
      </c>
      <c r="G1347" s="1" t="s">
        <v>19</v>
      </c>
      <c r="H1347" s="1">
        <v>5</v>
      </c>
      <c r="I1347" s="1">
        <v>285</v>
      </c>
      <c r="J1347" s="1">
        <v>499</v>
      </c>
      <c r="K1347" s="1">
        <v>0</v>
      </c>
      <c r="L1347" s="1">
        <f>ROUNDDOWN(formatted_data[[#This Row],[Selling_Price]]*formatted_data[[#This Row],[Discount_%]]/100,0)</f>
        <v>0</v>
      </c>
      <c r="M1347" s="1">
        <f>(formatted_data[[#This Row],[Selling_Price]]-formatted_data[[#This Row],[Discount_Amount]])*formatted_data[[#This Row],[Units]]</f>
        <v>2495</v>
      </c>
      <c r="N1347" s="1">
        <f>formatted_data[[#This Row],[Total_Revenue]]-(formatted_data[[#This Row],[Cost_Price]]*formatted_data[[#This Row],[Units]])</f>
        <v>1070</v>
      </c>
      <c r="O1347" s="1" t="s">
        <v>21</v>
      </c>
      <c r="P1347"/>
    </row>
    <row r="1348" spans="1:16" x14ac:dyDescent="0.35">
      <c r="A1348" s="1" t="s">
        <v>108</v>
      </c>
      <c r="B1348" s="1" t="s">
        <v>27</v>
      </c>
      <c r="C1348" s="2">
        <v>45599</v>
      </c>
      <c r="D1348" s="1" t="s">
        <v>35</v>
      </c>
      <c r="E1348" s="1" t="s">
        <v>58</v>
      </c>
      <c r="F1348" s="1" t="s">
        <v>19</v>
      </c>
      <c r="G1348" s="1" t="s">
        <v>20</v>
      </c>
      <c r="H1348" s="1">
        <v>2</v>
      </c>
      <c r="I1348" s="1">
        <v>1011</v>
      </c>
      <c r="J1348" s="1">
        <v>1599</v>
      </c>
      <c r="K1348" s="1">
        <v>5</v>
      </c>
      <c r="L1348" s="1">
        <f>ROUNDDOWN(formatted_data[[#This Row],[Selling_Price]]*formatted_data[[#This Row],[Discount_%]]/100,0)</f>
        <v>79</v>
      </c>
      <c r="M1348" s="1">
        <f>(formatted_data[[#This Row],[Selling_Price]]-formatted_data[[#This Row],[Discount_Amount]])*formatted_data[[#This Row],[Units]]</f>
        <v>3040</v>
      </c>
      <c r="N1348" s="1">
        <f>formatted_data[[#This Row],[Total_Revenue]]-(formatted_data[[#This Row],[Cost_Price]]*formatted_data[[#This Row],[Units]])</f>
        <v>1018</v>
      </c>
      <c r="O1348" s="1" t="s">
        <v>21</v>
      </c>
      <c r="P1348"/>
    </row>
    <row r="1349" spans="1:16" x14ac:dyDescent="0.35">
      <c r="A1349" s="1" t="s">
        <v>70</v>
      </c>
      <c r="B1349" s="1" t="s">
        <v>27</v>
      </c>
      <c r="C1349" s="2">
        <v>45531</v>
      </c>
      <c r="D1349" s="1" t="s">
        <v>35</v>
      </c>
      <c r="E1349" s="1" t="s">
        <v>39</v>
      </c>
      <c r="F1349" s="1" t="s">
        <v>37</v>
      </c>
      <c r="G1349" s="1" t="s">
        <v>20</v>
      </c>
      <c r="H1349" s="1">
        <v>1</v>
      </c>
      <c r="I1349" s="1">
        <v>473</v>
      </c>
      <c r="J1349" s="1">
        <v>799</v>
      </c>
      <c r="K1349" s="1">
        <v>10</v>
      </c>
      <c r="L1349" s="1">
        <f>ROUNDDOWN(formatted_data[[#This Row],[Selling_Price]]*formatted_data[[#This Row],[Discount_%]]/100,0)</f>
        <v>79</v>
      </c>
      <c r="M1349" s="1">
        <f>(formatted_data[[#This Row],[Selling_Price]]-formatted_data[[#This Row],[Discount_Amount]])*formatted_data[[#This Row],[Units]]</f>
        <v>720</v>
      </c>
      <c r="N1349" s="1">
        <f>formatted_data[[#This Row],[Total_Revenue]]-(formatted_data[[#This Row],[Cost_Price]]*formatted_data[[#This Row],[Units]])</f>
        <v>247</v>
      </c>
      <c r="O1349" s="1" t="s">
        <v>33</v>
      </c>
      <c r="P1349"/>
    </row>
    <row r="1350" spans="1:16" x14ac:dyDescent="0.35">
      <c r="A1350" s="1" t="s">
        <v>105</v>
      </c>
      <c r="B1350" s="1" t="s">
        <v>16</v>
      </c>
      <c r="C1350" s="2">
        <v>45635</v>
      </c>
      <c r="D1350" s="1" t="s">
        <v>31</v>
      </c>
      <c r="E1350" s="1" t="s">
        <v>76</v>
      </c>
      <c r="F1350" s="1" t="s">
        <v>19</v>
      </c>
      <c r="G1350" s="1" t="s">
        <v>20</v>
      </c>
      <c r="H1350" s="1">
        <v>1</v>
      </c>
      <c r="I1350" s="1">
        <v>689</v>
      </c>
      <c r="J1350" s="1">
        <v>999</v>
      </c>
      <c r="K1350" s="1">
        <v>0</v>
      </c>
      <c r="L1350" s="1">
        <f>ROUNDDOWN(formatted_data[[#This Row],[Selling_Price]]*formatted_data[[#This Row],[Discount_%]]/100,0)</f>
        <v>0</v>
      </c>
      <c r="M1350" s="1">
        <f>(formatted_data[[#This Row],[Selling_Price]]-formatted_data[[#This Row],[Discount_Amount]])*formatted_data[[#This Row],[Units]]</f>
        <v>999</v>
      </c>
      <c r="N1350" s="1">
        <f>formatted_data[[#This Row],[Total_Revenue]]-(formatted_data[[#This Row],[Cost_Price]]*formatted_data[[#This Row],[Units]])</f>
        <v>310</v>
      </c>
      <c r="O1350" s="1" t="s">
        <v>21</v>
      </c>
      <c r="P1350"/>
    </row>
    <row r="1351" spans="1:16" x14ac:dyDescent="0.35">
      <c r="A1351" s="1" t="s">
        <v>99</v>
      </c>
      <c r="B1351" s="1" t="s">
        <v>27</v>
      </c>
      <c r="C1351" s="2">
        <v>45542</v>
      </c>
      <c r="D1351" s="1" t="s">
        <v>23</v>
      </c>
      <c r="E1351" s="1" t="s">
        <v>24</v>
      </c>
      <c r="F1351" s="1" t="s">
        <v>25</v>
      </c>
      <c r="G1351" s="1" t="s">
        <v>20</v>
      </c>
      <c r="H1351" s="1">
        <v>3</v>
      </c>
      <c r="I1351" s="1">
        <v>945</v>
      </c>
      <c r="J1351" s="1">
        <v>1399</v>
      </c>
      <c r="K1351" s="1">
        <v>10</v>
      </c>
      <c r="L1351" s="1">
        <f>ROUNDDOWN(formatted_data[[#This Row],[Selling_Price]]*formatted_data[[#This Row],[Discount_%]]/100,0)</f>
        <v>139</v>
      </c>
      <c r="M1351" s="1">
        <f>(formatted_data[[#This Row],[Selling_Price]]-formatted_data[[#This Row],[Discount_Amount]])*formatted_data[[#This Row],[Units]]</f>
        <v>3780</v>
      </c>
      <c r="N1351" s="1">
        <f>formatted_data[[#This Row],[Total_Revenue]]-(formatted_data[[#This Row],[Cost_Price]]*formatted_data[[#This Row],[Units]])</f>
        <v>945</v>
      </c>
      <c r="O1351" s="1" t="s">
        <v>21</v>
      </c>
      <c r="P1351"/>
    </row>
    <row r="1352" spans="1:16" x14ac:dyDescent="0.35">
      <c r="A1352" s="1" t="s">
        <v>71</v>
      </c>
      <c r="B1352" s="1" t="s">
        <v>16</v>
      </c>
      <c r="C1352" s="2">
        <v>45487</v>
      </c>
      <c r="D1352" s="1" t="s">
        <v>23</v>
      </c>
      <c r="E1352" s="1" t="s">
        <v>43</v>
      </c>
      <c r="F1352" s="1" t="s">
        <v>25</v>
      </c>
      <c r="G1352" s="1" t="s">
        <v>19</v>
      </c>
      <c r="H1352" s="1">
        <v>2</v>
      </c>
      <c r="I1352" s="1">
        <v>1697</v>
      </c>
      <c r="J1352" s="1">
        <v>2499</v>
      </c>
      <c r="K1352" s="1">
        <v>20</v>
      </c>
      <c r="L1352" s="1">
        <f>ROUNDDOWN(formatted_data[[#This Row],[Selling_Price]]*formatted_data[[#This Row],[Discount_%]]/100,0)</f>
        <v>499</v>
      </c>
      <c r="M1352" s="1">
        <f>(formatted_data[[#This Row],[Selling_Price]]-formatted_data[[#This Row],[Discount_Amount]])*formatted_data[[#This Row],[Units]]</f>
        <v>4000</v>
      </c>
      <c r="N1352" s="1">
        <f>formatted_data[[#This Row],[Total_Revenue]]-(formatted_data[[#This Row],[Cost_Price]]*formatted_data[[#This Row],[Units]])</f>
        <v>606</v>
      </c>
      <c r="O1352" s="1" t="s">
        <v>21</v>
      </c>
      <c r="P1352"/>
    </row>
    <row r="1353" spans="1:16" x14ac:dyDescent="0.35">
      <c r="A1353" s="1" t="s">
        <v>57</v>
      </c>
      <c r="B1353" s="1" t="s">
        <v>27</v>
      </c>
      <c r="C1353" s="2">
        <v>45493</v>
      </c>
      <c r="D1353" s="1" t="s">
        <v>31</v>
      </c>
      <c r="E1353" s="1" t="s">
        <v>32</v>
      </c>
      <c r="F1353" s="1" t="s">
        <v>19</v>
      </c>
      <c r="G1353" s="1" t="s">
        <v>20</v>
      </c>
      <c r="H1353" s="1">
        <v>1</v>
      </c>
      <c r="I1353" s="1">
        <v>596</v>
      </c>
      <c r="J1353" s="1">
        <v>899</v>
      </c>
      <c r="K1353" s="1">
        <v>0</v>
      </c>
      <c r="L1353" s="1">
        <f>ROUNDDOWN(formatted_data[[#This Row],[Selling_Price]]*formatted_data[[#This Row],[Discount_%]]/100,0)</f>
        <v>0</v>
      </c>
      <c r="M1353" s="1">
        <f>(formatted_data[[#This Row],[Selling_Price]]-formatted_data[[#This Row],[Discount_Amount]])*formatted_data[[#This Row],[Units]]</f>
        <v>899</v>
      </c>
      <c r="N1353" s="1">
        <f>formatted_data[[#This Row],[Total_Revenue]]-(formatted_data[[#This Row],[Cost_Price]]*formatted_data[[#This Row],[Units]])</f>
        <v>303</v>
      </c>
      <c r="O1353" s="1" t="s">
        <v>21</v>
      </c>
      <c r="P1353"/>
    </row>
    <row r="1354" spans="1:16" x14ac:dyDescent="0.35">
      <c r="A1354" s="1" t="s">
        <v>46</v>
      </c>
      <c r="B1354" s="1" t="s">
        <v>16</v>
      </c>
      <c r="C1354" s="2">
        <v>45556</v>
      </c>
      <c r="D1354" s="1" t="s">
        <v>31</v>
      </c>
      <c r="E1354" s="1" t="s">
        <v>76</v>
      </c>
      <c r="F1354" s="1" t="s">
        <v>19</v>
      </c>
      <c r="G1354" s="1" t="s">
        <v>19</v>
      </c>
      <c r="H1354" s="1">
        <v>1</v>
      </c>
      <c r="I1354" s="1">
        <v>461</v>
      </c>
      <c r="J1354" s="1">
        <v>699</v>
      </c>
      <c r="K1354" s="1">
        <v>0</v>
      </c>
      <c r="L1354" s="1">
        <f>ROUNDDOWN(formatted_data[[#This Row],[Selling_Price]]*formatted_data[[#This Row],[Discount_%]]/100,0)</f>
        <v>0</v>
      </c>
      <c r="M1354" s="1">
        <f>(formatted_data[[#This Row],[Selling_Price]]-formatted_data[[#This Row],[Discount_Amount]])*formatted_data[[#This Row],[Units]]</f>
        <v>699</v>
      </c>
      <c r="N1354" s="1">
        <f>formatted_data[[#This Row],[Total_Revenue]]-(formatted_data[[#This Row],[Cost_Price]]*formatted_data[[#This Row],[Units]])</f>
        <v>238</v>
      </c>
      <c r="O1354" s="1" t="s">
        <v>21</v>
      </c>
      <c r="P1354"/>
    </row>
    <row r="1355" spans="1:16" x14ac:dyDescent="0.35">
      <c r="A1355" s="1" t="s">
        <v>101</v>
      </c>
      <c r="B1355" s="1" t="s">
        <v>16</v>
      </c>
      <c r="C1355" s="2">
        <v>45615</v>
      </c>
      <c r="D1355" s="1" t="s">
        <v>23</v>
      </c>
      <c r="E1355" s="1" t="s">
        <v>24</v>
      </c>
      <c r="F1355" s="1" t="s">
        <v>37</v>
      </c>
      <c r="G1355" s="1" t="s">
        <v>20</v>
      </c>
      <c r="H1355" s="1">
        <v>1</v>
      </c>
      <c r="I1355" s="1">
        <v>738</v>
      </c>
      <c r="J1355" s="1">
        <v>1099</v>
      </c>
      <c r="K1355" s="1">
        <v>5</v>
      </c>
      <c r="L1355" s="1">
        <f>ROUNDDOWN(formatted_data[[#This Row],[Selling_Price]]*formatted_data[[#This Row],[Discount_%]]/100,0)</f>
        <v>54</v>
      </c>
      <c r="M1355" s="1">
        <f>(formatted_data[[#This Row],[Selling_Price]]-formatted_data[[#This Row],[Discount_Amount]])*formatted_data[[#This Row],[Units]]</f>
        <v>1045</v>
      </c>
      <c r="N1355" s="1">
        <f>formatted_data[[#This Row],[Total_Revenue]]-(formatted_data[[#This Row],[Cost_Price]]*formatted_data[[#This Row],[Units]])</f>
        <v>307</v>
      </c>
      <c r="O1355" s="1" t="s">
        <v>21</v>
      </c>
      <c r="P1355"/>
    </row>
    <row r="1356" spans="1:16" x14ac:dyDescent="0.35">
      <c r="A1356" s="1" t="s">
        <v>103</v>
      </c>
      <c r="B1356" s="1" t="s">
        <v>16</v>
      </c>
      <c r="C1356" s="2">
        <v>45628</v>
      </c>
      <c r="D1356" s="1" t="s">
        <v>17</v>
      </c>
      <c r="E1356" s="1" t="s">
        <v>55</v>
      </c>
      <c r="F1356" s="1" t="s">
        <v>19</v>
      </c>
      <c r="G1356" s="1" t="s">
        <v>19</v>
      </c>
      <c r="H1356" s="1">
        <v>1</v>
      </c>
      <c r="I1356" s="1">
        <v>421</v>
      </c>
      <c r="J1356" s="1">
        <v>599</v>
      </c>
      <c r="K1356" s="1">
        <v>0</v>
      </c>
      <c r="L1356" s="1">
        <f>ROUNDDOWN(formatted_data[[#This Row],[Selling_Price]]*formatted_data[[#This Row],[Discount_%]]/100,0)</f>
        <v>0</v>
      </c>
      <c r="M1356" s="1">
        <f>(formatted_data[[#This Row],[Selling_Price]]-formatted_data[[#This Row],[Discount_Amount]])*formatted_data[[#This Row],[Units]]</f>
        <v>599</v>
      </c>
      <c r="N1356" s="1">
        <f>formatted_data[[#This Row],[Total_Revenue]]-(formatted_data[[#This Row],[Cost_Price]]*formatted_data[[#This Row],[Units]])</f>
        <v>178</v>
      </c>
      <c r="O1356" s="1" t="s">
        <v>21</v>
      </c>
      <c r="P1356"/>
    </row>
    <row r="1357" spans="1:16" x14ac:dyDescent="0.35">
      <c r="A1357" s="1" t="s">
        <v>80</v>
      </c>
      <c r="B1357" s="1" t="s">
        <v>27</v>
      </c>
      <c r="C1357" s="2">
        <v>45599</v>
      </c>
      <c r="D1357" s="1" t="s">
        <v>17</v>
      </c>
      <c r="E1357" s="1" t="s">
        <v>55</v>
      </c>
      <c r="F1357" s="1" t="s">
        <v>25</v>
      </c>
      <c r="G1357" s="1" t="s">
        <v>19</v>
      </c>
      <c r="H1357" s="1">
        <v>2</v>
      </c>
      <c r="I1357" s="1">
        <v>359</v>
      </c>
      <c r="J1357" s="1">
        <v>599</v>
      </c>
      <c r="K1357" s="1">
        <v>0</v>
      </c>
      <c r="L1357" s="1">
        <f>ROUNDDOWN(formatted_data[[#This Row],[Selling_Price]]*formatted_data[[#This Row],[Discount_%]]/100,0)</f>
        <v>0</v>
      </c>
      <c r="M1357" s="1">
        <f>(formatted_data[[#This Row],[Selling_Price]]-formatted_data[[#This Row],[Discount_Amount]])*formatted_data[[#This Row],[Units]]</f>
        <v>1198</v>
      </c>
      <c r="N1357" s="1">
        <f>formatted_data[[#This Row],[Total_Revenue]]-(formatted_data[[#This Row],[Cost_Price]]*formatted_data[[#This Row],[Units]])</f>
        <v>480</v>
      </c>
      <c r="O1357" s="1" t="s">
        <v>33</v>
      </c>
      <c r="P1357"/>
    </row>
    <row r="1358" spans="1:16" x14ac:dyDescent="0.35">
      <c r="A1358" s="1" t="s">
        <v>78</v>
      </c>
      <c r="B1358" s="1" t="s">
        <v>16</v>
      </c>
      <c r="C1358" s="2">
        <v>45613</v>
      </c>
      <c r="D1358" s="1" t="s">
        <v>31</v>
      </c>
      <c r="E1358" s="1" t="s">
        <v>76</v>
      </c>
      <c r="F1358" s="1" t="s">
        <v>37</v>
      </c>
      <c r="G1358" s="1" t="s">
        <v>20</v>
      </c>
      <c r="H1358" s="1">
        <v>1</v>
      </c>
      <c r="I1358" s="1">
        <v>1087</v>
      </c>
      <c r="J1358" s="1">
        <v>1499</v>
      </c>
      <c r="K1358" s="1">
        <v>0</v>
      </c>
      <c r="L1358" s="1">
        <f>ROUNDDOWN(formatted_data[[#This Row],[Selling_Price]]*formatted_data[[#This Row],[Discount_%]]/100,0)</f>
        <v>0</v>
      </c>
      <c r="M1358" s="1">
        <f>(formatted_data[[#This Row],[Selling_Price]]-formatted_data[[#This Row],[Discount_Amount]])*formatted_data[[#This Row],[Units]]</f>
        <v>1499</v>
      </c>
      <c r="N1358" s="1">
        <f>formatted_data[[#This Row],[Total_Revenue]]-(formatted_data[[#This Row],[Cost_Price]]*formatted_data[[#This Row],[Units]])</f>
        <v>412</v>
      </c>
      <c r="O1358" s="1" t="s">
        <v>33</v>
      </c>
      <c r="P1358"/>
    </row>
    <row r="1359" spans="1:16" x14ac:dyDescent="0.35">
      <c r="A1359" s="1" t="s">
        <v>102</v>
      </c>
      <c r="B1359" s="1" t="s">
        <v>27</v>
      </c>
      <c r="C1359" s="2">
        <v>45589</v>
      </c>
      <c r="D1359" s="1" t="s">
        <v>17</v>
      </c>
      <c r="E1359" s="1" t="s">
        <v>18</v>
      </c>
      <c r="F1359" s="1" t="s">
        <v>25</v>
      </c>
      <c r="G1359" s="1" t="s">
        <v>20</v>
      </c>
      <c r="H1359" s="1">
        <v>1</v>
      </c>
      <c r="I1359" s="1">
        <v>318</v>
      </c>
      <c r="J1359" s="1">
        <v>599</v>
      </c>
      <c r="K1359" s="1">
        <v>0</v>
      </c>
      <c r="L1359" s="1">
        <f>ROUNDDOWN(formatted_data[[#This Row],[Selling_Price]]*formatted_data[[#This Row],[Discount_%]]/100,0)</f>
        <v>0</v>
      </c>
      <c r="M1359" s="1">
        <f>(formatted_data[[#This Row],[Selling_Price]]-formatted_data[[#This Row],[Discount_Amount]])*formatted_data[[#This Row],[Units]]</f>
        <v>599</v>
      </c>
      <c r="N1359" s="1">
        <f>formatted_data[[#This Row],[Total_Revenue]]-(formatted_data[[#This Row],[Cost_Price]]*formatted_data[[#This Row],[Units]])</f>
        <v>281</v>
      </c>
      <c r="O1359" s="1" t="s">
        <v>21</v>
      </c>
      <c r="P1359"/>
    </row>
    <row r="1360" spans="1:16" x14ac:dyDescent="0.35">
      <c r="A1360" s="1" t="s">
        <v>92</v>
      </c>
      <c r="B1360" s="1" t="s">
        <v>27</v>
      </c>
      <c r="C1360" s="2">
        <v>45495</v>
      </c>
      <c r="D1360" s="1" t="s">
        <v>23</v>
      </c>
      <c r="E1360" s="1" t="s">
        <v>24</v>
      </c>
      <c r="F1360" s="1" t="s">
        <v>25</v>
      </c>
      <c r="G1360" s="1" t="s">
        <v>20</v>
      </c>
      <c r="H1360" s="1">
        <v>5</v>
      </c>
      <c r="I1360" s="1">
        <v>1616</v>
      </c>
      <c r="J1360" s="1">
        <v>2299</v>
      </c>
      <c r="K1360" s="1">
        <v>10</v>
      </c>
      <c r="L1360" s="1">
        <f>ROUNDDOWN(formatted_data[[#This Row],[Selling_Price]]*formatted_data[[#This Row],[Discount_%]]/100,0)</f>
        <v>229</v>
      </c>
      <c r="M1360" s="1">
        <f>(formatted_data[[#This Row],[Selling_Price]]-formatted_data[[#This Row],[Discount_Amount]])*formatted_data[[#This Row],[Units]]</f>
        <v>10350</v>
      </c>
      <c r="N1360" s="1">
        <f>formatted_data[[#This Row],[Total_Revenue]]-(formatted_data[[#This Row],[Cost_Price]]*formatted_data[[#This Row],[Units]])</f>
        <v>2270</v>
      </c>
      <c r="O1360" s="1" t="s">
        <v>21</v>
      </c>
      <c r="P1360"/>
    </row>
    <row r="1361" spans="1:16" x14ac:dyDescent="0.35">
      <c r="A1361" s="1" t="s">
        <v>83</v>
      </c>
      <c r="B1361" s="1" t="s">
        <v>27</v>
      </c>
      <c r="C1361" s="2">
        <v>45521</v>
      </c>
      <c r="D1361" s="1" t="s">
        <v>28</v>
      </c>
      <c r="E1361" s="1" t="s">
        <v>45</v>
      </c>
      <c r="F1361" s="1" t="s">
        <v>37</v>
      </c>
      <c r="G1361" s="1" t="s">
        <v>19</v>
      </c>
      <c r="H1361" s="1">
        <v>1</v>
      </c>
      <c r="I1361" s="1">
        <v>1006</v>
      </c>
      <c r="J1361" s="1">
        <v>1499</v>
      </c>
      <c r="K1361" s="1">
        <v>15</v>
      </c>
      <c r="L1361" s="1">
        <f>ROUNDDOWN(formatted_data[[#This Row],[Selling_Price]]*formatted_data[[#This Row],[Discount_%]]/100,0)</f>
        <v>224</v>
      </c>
      <c r="M1361" s="1">
        <f>(formatted_data[[#This Row],[Selling_Price]]-formatted_data[[#This Row],[Discount_Amount]])*formatted_data[[#This Row],[Units]]</f>
        <v>1275</v>
      </c>
      <c r="N1361" s="1">
        <f>formatted_data[[#This Row],[Total_Revenue]]-(formatted_data[[#This Row],[Cost_Price]]*formatted_data[[#This Row],[Units]])</f>
        <v>269</v>
      </c>
      <c r="O1361" s="1" t="s">
        <v>21</v>
      </c>
      <c r="P1361"/>
    </row>
    <row r="1362" spans="1:16" x14ac:dyDescent="0.35">
      <c r="A1362" s="1" t="s">
        <v>59</v>
      </c>
      <c r="B1362" s="1" t="s">
        <v>27</v>
      </c>
      <c r="C1362" s="2">
        <v>45611</v>
      </c>
      <c r="D1362" s="1" t="s">
        <v>17</v>
      </c>
      <c r="E1362" s="1" t="s">
        <v>18</v>
      </c>
      <c r="F1362" s="1" t="s">
        <v>19</v>
      </c>
      <c r="G1362" s="1" t="s">
        <v>19</v>
      </c>
      <c r="H1362" s="1">
        <v>1</v>
      </c>
      <c r="I1362" s="1">
        <v>431</v>
      </c>
      <c r="J1362" s="1">
        <v>599</v>
      </c>
      <c r="K1362" s="1">
        <v>0</v>
      </c>
      <c r="L1362" s="1">
        <f>ROUNDDOWN(formatted_data[[#This Row],[Selling_Price]]*formatted_data[[#This Row],[Discount_%]]/100,0)</f>
        <v>0</v>
      </c>
      <c r="M1362" s="1">
        <f>(formatted_data[[#This Row],[Selling_Price]]-formatted_data[[#This Row],[Discount_Amount]])*formatted_data[[#This Row],[Units]]</f>
        <v>599</v>
      </c>
      <c r="N1362" s="1">
        <f>formatted_data[[#This Row],[Total_Revenue]]-(formatted_data[[#This Row],[Cost_Price]]*formatted_data[[#This Row],[Units]])</f>
        <v>168</v>
      </c>
      <c r="O1362" s="1" t="s">
        <v>33</v>
      </c>
      <c r="P1362"/>
    </row>
    <row r="1363" spans="1:16" x14ac:dyDescent="0.35">
      <c r="A1363" s="1" t="s">
        <v>69</v>
      </c>
      <c r="B1363" s="1" t="s">
        <v>16</v>
      </c>
      <c r="C1363" s="2">
        <v>45535</v>
      </c>
      <c r="D1363" s="1" t="s">
        <v>35</v>
      </c>
      <c r="E1363" s="1" t="s">
        <v>87</v>
      </c>
      <c r="F1363" s="1" t="s">
        <v>37</v>
      </c>
      <c r="G1363" s="1" t="s">
        <v>20</v>
      </c>
      <c r="H1363" s="1">
        <v>2</v>
      </c>
      <c r="I1363" s="1">
        <v>1792</v>
      </c>
      <c r="J1363" s="1">
        <v>2799</v>
      </c>
      <c r="K1363" s="1">
        <v>10</v>
      </c>
      <c r="L1363" s="1">
        <f>ROUNDDOWN(formatted_data[[#This Row],[Selling_Price]]*formatted_data[[#This Row],[Discount_%]]/100,0)</f>
        <v>279</v>
      </c>
      <c r="M1363" s="1">
        <f>(formatted_data[[#This Row],[Selling_Price]]-formatted_data[[#This Row],[Discount_Amount]])*formatted_data[[#This Row],[Units]]</f>
        <v>5040</v>
      </c>
      <c r="N1363" s="1">
        <f>formatted_data[[#This Row],[Total_Revenue]]-(formatted_data[[#This Row],[Cost_Price]]*formatted_data[[#This Row],[Units]])</f>
        <v>1456</v>
      </c>
      <c r="O1363" s="1" t="s">
        <v>21</v>
      </c>
      <c r="P1363"/>
    </row>
    <row r="1364" spans="1:16" x14ac:dyDescent="0.35">
      <c r="A1364" s="1" t="s">
        <v>104</v>
      </c>
      <c r="B1364" s="1" t="s">
        <v>27</v>
      </c>
      <c r="C1364" s="2">
        <v>45550</v>
      </c>
      <c r="D1364" s="1" t="s">
        <v>35</v>
      </c>
      <c r="E1364" s="1" t="s">
        <v>36</v>
      </c>
      <c r="F1364" s="1" t="s">
        <v>37</v>
      </c>
      <c r="G1364" s="1" t="s">
        <v>20</v>
      </c>
      <c r="H1364" s="1">
        <v>3</v>
      </c>
      <c r="I1364" s="1">
        <v>355</v>
      </c>
      <c r="J1364" s="1">
        <v>499</v>
      </c>
      <c r="K1364" s="1">
        <v>5</v>
      </c>
      <c r="L1364" s="1">
        <f>ROUNDDOWN(formatted_data[[#This Row],[Selling_Price]]*formatted_data[[#This Row],[Discount_%]]/100,0)</f>
        <v>24</v>
      </c>
      <c r="M1364" s="1">
        <f>(formatted_data[[#This Row],[Selling_Price]]-formatted_data[[#This Row],[Discount_Amount]])*formatted_data[[#This Row],[Units]]</f>
        <v>1425</v>
      </c>
      <c r="N1364" s="1">
        <f>formatted_data[[#This Row],[Total_Revenue]]-(formatted_data[[#This Row],[Cost_Price]]*formatted_data[[#This Row],[Units]])</f>
        <v>360</v>
      </c>
      <c r="O1364" s="1" t="s">
        <v>21</v>
      </c>
      <c r="P1364"/>
    </row>
    <row r="1365" spans="1:16" x14ac:dyDescent="0.35">
      <c r="A1365" s="1" t="s">
        <v>73</v>
      </c>
      <c r="B1365" s="1" t="s">
        <v>16</v>
      </c>
      <c r="C1365" s="2">
        <v>45581</v>
      </c>
      <c r="D1365" s="1" t="s">
        <v>23</v>
      </c>
      <c r="E1365" s="1" t="s">
        <v>24</v>
      </c>
      <c r="F1365" s="1" t="s">
        <v>25</v>
      </c>
      <c r="G1365" s="1" t="s">
        <v>20</v>
      </c>
      <c r="H1365" s="1">
        <v>1</v>
      </c>
      <c r="I1365" s="1">
        <v>1416</v>
      </c>
      <c r="J1365" s="1">
        <v>2199</v>
      </c>
      <c r="K1365" s="1">
        <v>5</v>
      </c>
      <c r="L1365" s="1">
        <f>ROUNDDOWN(formatted_data[[#This Row],[Selling_Price]]*formatted_data[[#This Row],[Discount_%]]/100,0)</f>
        <v>109</v>
      </c>
      <c r="M1365" s="1">
        <f>(formatted_data[[#This Row],[Selling_Price]]-formatted_data[[#This Row],[Discount_Amount]])*formatted_data[[#This Row],[Units]]</f>
        <v>2090</v>
      </c>
      <c r="N1365" s="1">
        <f>formatted_data[[#This Row],[Total_Revenue]]-(formatted_data[[#This Row],[Cost_Price]]*formatted_data[[#This Row],[Units]])</f>
        <v>674</v>
      </c>
      <c r="O1365" s="1" t="s">
        <v>21</v>
      </c>
      <c r="P1365"/>
    </row>
    <row r="1366" spans="1:16" x14ac:dyDescent="0.35">
      <c r="A1366" s="1" t="s">
        <v>96</v>
      </c>
      <c r="B1366" s="1" t="s">
        <v>16</v>
      </c>
      <c r="C1366" s="2">
        <v>45489</v>
      </c>
      <c r="D1366" s="1" t="s">
        <v>31</v>
      </c>
      <c r="E1366" s="1" t="s">
        <v>76</v>
      </c>
      <c r="F1366" s="1" t="s">
        <v>37</v>
      </c>
      <c r="G1366" s="1" t="s">
        <v>20</v>
      </c>
      <c r="H1366" s="1">
        <v>1</v>
      </c>
      <c r="I1366" s="1">
        <v>619</v>
      </c>
      <c r="J1366" s="1">
        <v>999</v>
      </c>
      <c r="K1366" s="1">
        <v>0</v>
      </c>
      <c r="L1366" s="1">
        <f>ROUNDDOWN(formatted_data[[#This Row],[Selling_Price]]*formatted_data[[#This Row],[Discount_%]]/100,0)</f>
        <v>0</v>
      </c>
      <c r="M1366" s="1">
        <f>(formatted_data[[#This Row],[Selling_Price]]-formatted_data[[#This Row],[Discount_Amount]])*formatted_data[[#This Row],[Units]]</f>
        <v>999</v>
      </c>
      <c r="N1366" s="1">
        <f>formatted_data[[#This Row],[Total_Revenue]]-(formatted_data[[#This Row],[Cost_Price]]*formatted_data[[#This Row],[Units]])</f>
        <v>380</v>
      </c>
      <c r="O1366" s="1" t="s">
        <v>21</v>
      </c>
      <c r="P1366"/>
    </row>
    <row r="1367" spans="1:16" x14ac:dyDescent="0.35">
      <c r="A1367" s="1" t="s">
        <v>64</v>
      </c>
      <c r="B1367" s="1" t="s">
        <v>16</v>
      </c>
      <c r="C1367" s="2">
        <v>45577</v>
      </c>
      <c r="D1367" s="1" t="s">
        <v>23</v>
      </c>
      <c r="E1367" s="1" t="s">
        <v>43</v>
      </c>
      <c r="F1367" s="1" t="s">
        <v>25</v>
      </c>
      <c r="G1367" s="1" t="s">
        <v>20</v>
      </c>
      <c r="H1367" s="1">
        <v>2</v>
      </c>
      <c r="I1367" s="1">
        <v>1868</v>
      </c>
      <c r="J1367" s="1">
        <v>2499</v>
      </c>
      <c r="K1367" s="1">
        <v>20</v>
      </c>
      <c r="L1367" s="1">
        <f>ROUNDDOWN(formatted_data[[#This Row],[Selling_Price]]*formatted_data[[#This Row],[Discount_%]]/100,0)</f>
        <v>499</v>
      </c>
      <c r="M1367" s="1">
        <f>(formatted_data[[#This Row],[Selling_Price]]-formatted_data[[#This Row],[Discount_Amount]])*formatted_data[[#This Row],[Units]]</f>
        <v>4000</v>
      </c>
      <c r="N1367" s="1">
        <f>formatted_data[[#This Row],[Total_Revenue]]-(formatted_data[[#This Row],[Cost_Price]]*formatted_data[[#This Row],[Units]])</f>
        <v>264</v>
      </c>
      <c r="O1367" s="1" t="s">
        <v>21</v>
      </c>
      <c r="P1367"/>
    </row>
    <row r="1368" spans="1:16" x14ac:dyDescent="0.35">
      <c r="A1368" s="1" t="s">
        <v>93</v>
      </c>
      <c r="B1368" s="1" t="s">
        <v>16</v>
      </c>
      <c r="C1368" s="2">
        <v>45495</v>
      </c>
      <c r="D1368" s="1" t="s">
        <v>35</v>
      </c>
      <c r="E1368" s="1" t="s">
        <v>58</v>
      </c>
      <c r="F1368" s="1" t="s">
        <v>19</v>
      </c>
      <c r="G1368" s="1" t="s">
        <v>20</v>
      </c>
      <c r="H1368" s="1">
        <v>1</v>
      </c>
      <c r="I1368" s="1">
        <v>1299</v>
      </c>
      <c r="J1368" s="1">
        <v>2499</v>
      </c>
      <c r="K1368" s="1">
        <v>20</v>
      </c>
      <c r="L1368" s="1">
        <f>ROUNDDOWN(formatted_data[[#This Row],[Selling_Price]]*formatted_data[[#This Row],[Discount_%]]/100,0)</f>
        <v>499</v>
      </c>
      <c r="M1368" s="1">
        <f>(formatted_data[[#This Row],[Selling_Price]]-formatted_data[[#This Row],[Discount_Amount]])*formatted_data[[#This Row],[Units]]</f>
        <v>2000</v>
      </c>
      <c r="N1368" s="1">
        <f>formatted_data[[#This Row],[Total_Revenue]]-(formatted_data[[#This Row],[Cost_Price]]*formatted_data[[#This Row],[Units]])</f>
        <v>701</v>
      </c>
      <c r="O1368" s="1" t="s">
        <v>33</v>
      </c>
      <c r="P1368"/>
    </row>
    <row r="1369" spans="1:16" x14ac:dyDescent="0.35">
      <c r="A1369" s="1" t="s">
        <v>80</v>
      </c>
      <c r="B1369" s="1" t="s">
        <v>27</v>
      </c>
      <c r="C1369" s="2">
        <v>45453</v>
      </c>
      <c r="D1369" s="1" t="s">
        <v>17</v>
      </c>
      <c r="E1369" s="1" t="s">
        <v>72</v>
      </c>
      <c r="F1369" s="1" t="s">
        <v>25</v>
      </c>
      <c r="G1369" s="1" t="s">
        <v>19</v>
      </c>
      <c r="H1369" s="1">
        <v>2</v>
      </c>
      <c r="I1369" s="1">
        <v>345</v>
      </c>
      <c r="J1369" s="1">
        <v>499</v>
      </c>
      <c r="K1369" s="1">
        <v>0</v>
      </c>
      <c r="L1369" s="1">
        <f>ROUNDDOWN(formatted_data[[#This Row],[Selling_Price]]*formatted_data[[#This Row],[Discount_%]]/100,0)</f>
        <v>0</v>
      </c>
      <c r="M1369" s="1">
        <f>(formatted_data[[#This Row],[Selling_Price]]-formatted_data[[#This Row],[Discount_Amount]])*formatted_data[[#This Row],[Units]]</f>
        <v>998</v>
      </c>
      <c r="N1369" s="1">
        <f>formatted_data[[#This Row],[Total_Revenue]]-(formatted_data[[#This Row],[Cost_Price]]*formatted_data[[#This Row],[Units]])</f>
        <v>308</v>
      </c>
      <c r="O1369" s="1" t="s">
        <v>21</v>
      </c>
      <c r="P1369"/>
    </row>
    <row r="1370" spans="1:16" x14ac:dyDescent="0.35">
      <c r="A1370" s="1" t="s">
        <v>54</v>
      </c>
      <c r="B1370" s="1" t="s">
        <v>27</v>
      </c>
      <c r="C1370" s="2">
        <v>45513</v>
      </c>
      <c r="D1370" s="1" t="s">
        <v>28</v>
      </c>
      <c r="E1370" s="1" t="s">
        <v>29</v>
      </c>
      <c r="F1370" s="1" t="s">
        <v>37</v>
      </c>
      <c r="G1370" s="1" t="s">
        <v>19</v>
      </c>
      <c r="H1370" s="1">
        <v>2</v>
      </c>
      <c r="I1370" s="1">
        <v>428</v>
      </c>
      <c r="J1370" s="1">
        <v>599</v>
      </c>
      <c r="K1370" s="1">
        <v>10</v>
      </c>
      <c r="L1370" s="1">
        <f>ROUNDDOWN(formatted_data[[#This Row],[Selling_Price]]*formatted_data[[#This Row],[Discount_%]]/100,0)</f>
        <v>59</v>
      </c>
      <c r="M1370" s="1">
        <f>(formatted_data[[#This Row],[Selling_Price]]-formatted_data[[#This Row],[Discount_Amount]])*formatted_data[[#This Row],[Units]]</f>
        <v>1080</v>
      </c>
      <c r="N1370" s="1">
        <f>formatted_data[[#This Row],[Total_Revenue]]-(formatted_data[[#This Row],[Cost_Price]]*formatted_data[[#This Row],[Units]])</f>
        <v>224</v>
      </c>
      <c r="O1370" s="1" t="s">
        <v>33</v>
      </c>
      <c r="P1370"/>
    </row>
    <row r="1371" spans="1:16" x14ac:dyDescent="0.35">
      <c r="A1371" s="1" t="s">
        <v>42</v>
      </c>
      <c r="B1371" s="1" t="s">
        <v>27</v>
      </c>
      <c r="C1371" s="2">
        <v>45546</v>
      </c>
      <c r="D1371" s="1" t="s">
        <v>23</v>
      </c>
      <c r="E1371" s="1" t="s">
        <v>43</v>
      </c>
      <c r="F1371" s="1" t="s">
        <v>37</v>
      </c>
      <c r="G1371" s="1" t="s">
        <v>20</v>
      </c>
      <c r="H1371" s="1">
        <v>2</v>
      </c>
      <c r="I1371" s="1">
        <v>2139</v>
      </c>
      <c r="J1371" s="1">
        <v>2999</v>
      </c>
      <c r="K1371" s="1">
        <v>15</v>
      </c>
      <c r="L1371" s="1">
        <f>ROUNDDOWN(formatted_data[[#This Row],[Selling_Price]]*formatted_data[[#This Row],[Discount_%]]/100,0)</f>
        <v>449</v>
      </c>
      <c r="M1371" s="1">
        <f>(formatted_data[[#This Row],[Selling_Price]]-formatted_data[[#This Row],[Discount_Amount]])*formatted_data[[#This Row],[Units]]</f>
        <v>5100</v>
      </c>
      <c r="N1371" s="1">
        <f>formatted_data[[#This Row],[Total_Revenue]]-(formatted_data[[#This Row],[Cost_Price]]*formatted_data[[#This Row],[Units]])</f>
        <v>822</v>
      </c>
      <c r="O1371" s="1" t="s">
        <v>33</v>
      </c>
      <c r="P1371"/>
    </row>
    <row r="1372" spans="1:16" x14ac:dyDescent="0.35">
      <c r="A1372" s="1" t="s">
        <v>68</v>
      </c>
      <c r="B1372" s="1" t="s">
        <v>16</v>
      </c>
      <c r="C1372" s="2">
        <v>45609</v>
      </c>
      <c r="D1372" s="1" t="s">
        <v>23</v>
      </c>
      <c r="E1372" s="1" t="s">
        <v>43</v>
      </c>
      <c r="F1372" s="1" t="s">
        <v>37</v>
      </c>
      <c r="G1372" s="1" t="s">
        <v>19</v>
      </c>
      <c r="H1372" s="1">
        <v>3</v>
      </c>
      <c r="I1372" s="1">
        <v>2477</v>
      </c>
      <c r="J1372" s="1">
        <v>3699</v>
      </c>
      <c r="K1372" s="1">
        <v>5</v>
      </c>
      <c r="L1372" s="1">
        <f>ROUNDDOWN(formatted_data[[#This Row],[Selling_Price]]*formatted_data[[#This Row],[Discount_%]]/100,0)</f>
        <v>184</v>
      </c>
      <c r="M1372" s="1">
        <f>(formatted_data[[#This Row],[Selling_Price]]-formatted_data[[#This Row],[Discount_Amount]])*formatted_data[[#This Row],[Units]]</f>
        <v>10545</v>
      </c>
      <c r="N1372" s="1">
        <f>formatted_data[[#This Row],[Total_Revenue]]-(formatted_data[[#This Row],[Cost_Price]]*formatted_data[[#This Row],[Units]])</f>
        <v>3114</v>
      </c>
      <c r="O1372" s="1" t="s">
        <v>21</v>
      </c>
      <c r="P1372"/>
    </row>
    <row r="1373" spans="1:16" x14ac:dyDescent="0.35">
      <c r="A1373" s="1" t="s">
        <v>105</v>
      </c>
      <c r="B1373" s="1" t="s">
        <v>16</v>
      </c>
      <c r="C1373" s="2">
        <v>45614</v>
      </c>
      <c r="D1373" s="1" t="s">
        <v>35</v>
      </c>
      <c r="E1373" s="1" t="s">
        <v>58</v>
      </c>
      <c r="F1373" s="1" t="s">
        <v>37</v>
      </c>
      <c r="G1373" s="1" t="s">
        <v>20</v>
      </c>
      <c r="H1373" s="1">
        <v>3</v>
      </c>
      <c r="I1373" s="1">
        <v>1083</v>
      </c>
      <c r="J1373" s="1">
        <v>1699</v>
      </c>
      <c r="K1373" s="1">
        <v>10</v>
      </c>
      <c r="L1373" s="1">
        <f>ROUNDDOWN(formatted_data[[#This Row],[Selling_Price]]*formatted_data[[#This Row],[Discount_%]]/100,0)</f>
        <v>169</v>
      </c>
      <c r="M1373" s="1">
        <f>(formatted_data[[#This Row],[Selling_Price]]-formatted_data[[#This Row],[Discount_Amount]])*formatted_data[[#This Row],[Units]]</f>
        <v>4590</v>
      </c>
      <c r="N1373" s="1">
        <f>formatted_data[[#This Row],[Total_Revenue]]-(formatted_data[[#This Row],[Cost_Price]]*formatted_data[[#This Row],[Units]])</f>
        <v>1341</v>
      </c>
      <c r="O1373" s="1" t="s">
        <v>21</v>
      </c>
      <c r="P1373"/>
    </row>
    <row r="1374" spans="1:16" x14ac:dyDescent="0.35">
      <c r="A1374" s="1" t="s">
        <v>75</v>
      </c>
      <c r="B1374" s="1" t="s">
        <v>27</v>
      </c>
      <c r="C1374" s="2">
        <v>45548</v>
      </c>
      <c r="D1374" s="1" t="s">
        <v>35</v>
      </c>
      <c r="E1374" s="1" t="s">
        <v>100</v>
      </c>
      <c r="F1374" s="1" t="s">
        <v>37</v>
      </c>
      <c r="G1374" s="1" t="s">
        <v>19</v>
      </c>
      <c r="H1374" s="1">
        <v>1</v>
      </c>
      <c r="I1374" s="1">
        <v>1187</v>
      </c>
      <c r="J1374" s="1">
        <v>2199</v>
      </c>
      <c r="K1374" s="1">
        <v>5</v>
      </c>
      <c r="L1374" s="1">
        <f>ROUNDDOWN(formatted_data[[#This Row],[Selling_Price]]*formatted_data[[#This Row],[Discount_%]]/100,0)</f>
        <v>109</v>
      </c>
      <c r="M1374" s="1">
        <f>(formatted_data[[#This Row],[Selling_Price]]-formatted_data[[#This Row],[Discount_Amount]])*formatted_data[[#This Row],[Units]]</f>
        <v>2090</v>
      </c>
      <c r="N1374" s="1">
        <f>formatted_data[[#This Row],[Total_Revenue]]-(formatted_data[[#This Row],[Cost_Price]]*formatted_data[[#This Row],[Units]])</f>
        <v>903</v>
      </c>
      <c r="O1374" s="1" t="s">
        <v>21</v>
      </c>
      <c r="P1374"/>
    </row>
    <row r="1375" spans="1:16" x14ac:dyDescent="0.35">
      <c r="A1375" s="1" t="s">
        <v>106</v>
      </c>
      <c r="B1375" s="1" t="s">
        <v>27</v>
      </c>
      <c r="C1375" s="2">
        <v>45542</v>
      </c>
      <c r="D1375" s="1" t="s">
        <v>31</v>
      </c>
      <c r="E1375" s="1" t="s">
        <v>76</v>
      </c>
      <c r="F1375" s="1" t="s">
        <v>19</v>
      </c>
      <c r="G1375" s="1" t="s">
        <v>19</v>
      </c>
      <c r="H1375" s="1">
        <v>4</v>
      </c>
      <c r="I1375" s="1">
        <v>539</v>
      </c>
      <c r="J1375" s="1">
        <v>799</v>
      </c>
      <c r="K1375" s="1">
        <v>0</v>
      </c>
      <c r="L1375" s="1">
        <f>ROUNDDOWN(formatted_data[[#This Row],[Selling_Price]]*formatted_data[[#This Row],[Discount_%]]/100,0)</f>
        <v>0</v>
      </c>
      <c r="M1375" s="1">
        <f>(formatted_data[[#This Row],[Selling_Price]]-formatted_data[[#This Row],[Discount_Amount]])*formatted_data[[#This Row],[Units]]</f>
        <v>3196</v>
      </c>
      <c r="N1375" s="1">
        <f>formatted_data[[#This Row],[Total_Revenue]]-(formatted_data[[#This Row],[Cost_Price]]*formatted_data[[#This Row],[Units]])</f>
        <v>1040</v>
      </c>
      <c r="O1375" s="1" t="s">
        <v>21</v>
      </c>
      <c r="P1375"/>
    </row>
    <row r="1376" spans="1:16" x14ac:dyDescent="0.35">
      <c r="A1376" s="1" t="s">
        <v>95</v>
      </c>
      <c r="B1376" s="1" t="s">
        <v>27</v>
      </c>
      <c r="C1376" s="2">
        <v>45553</v>
      </c>
      <c r="D1376" s="1" t="s">
        <v>17</v>
      </c>
      <c r="E1376" s="1" t="s">
        <v>72</v>
      </c>
      <c r="F1376" s="1" t="s">
        <v>25</v>
      </c>
      <c r="G1376" s="1" t="s">
        <v>20</v>
      </c>
      <c r="H1376" s="1">
        <v>1</v>
      </c>
      <c r="I1376" s="1">
        <v>350</v>
      </c>
      <c r="J1376" s="1">
        <v>499</v>
      </c>
      <c r="K1376" s="1">
        <v>0</v>
      </c>
      <c r="L1376" s="1">
        <f>ROUNDDOWN(formatted_data[[#This Row],[Selling_Price]]*formatted_data[[#This Row],[Discount_%]]/100,0)</f>
        <v>0</v>
      </c>
      <c r="M1376" s="1">
        <f>(formatted_data[[#This Row],[Selling_Price]]-formatted_data[[#This Row],[Discount_Amount]])*formatted_data[[#This Row],[Units]]</f>
        <v>499</v>
      </c>
      <c r="N1376" s="1">
        <f>formatted_data[[#This Row],[Total_Revenue]]-(formatted_data[[#This Row],[Cost_Price]]*formatted_data[[#This Row],[Units]])</f>
        <v>149</v>
      </c>
      <c r="O1376" s="1" t="s">
        <v>33</v>
      </c>
      <c r="P1376"/>
    </row>
    <row r="1377" spans="1:16" x14ac:dyDescent="0.35">
      <c r="A1377" s="1" t="s">
        <v>94</v>
      </c>
      <c r="B1377" s="1" t="s">
        <v>16</v>
      </c>
      <c r="C1377" s="2">
        <v>45493</v>
      </c>
      <c r="D1377" s="1" t="s">
        <v>23</v>
      </c>
      <c r="E1377" s="1" t="s">
        <v>24</v>
      </c>
      <c r="F1377" s="1" t="s">
        <v>37</v>
      </c>
      <c r="G1377" s="1" t="s">
        <v>19</v>
      </c>
      <c r="H1377" s="1">
        <v>1</v>
      </c>
      <c r="I1377" s="1">
        <v>1301</v>
      </c>
      <c r="J1377" s="1">
        <v>2399</v>
      </c>
      <c r="K1377" s="1">
        <v>15</v>
      </c>
      <c r="L1377" s="1">
        <f>ROUNDDOWN(formatted_data[[#This Row],[Selling_Price]]*formatted_data[[#This Row],[Discount_%]]/100,0)</f>
        <v>359</v>
      </c>
      <c r="M1377" s="1">
        <f>(formatted_data[[#This Row],[Selling_Price]]-formatted_data[[#This Row],[Discount_Amount]])*formatted_data[[#This Row],[Units]]</f>
        <v>2040</v>
      </c>
      <c r="N1377" s="1">
        <f>formatted_data[[#This Row],[Total_Revenue]]-(formatted_data[[#This Row],[Cost_Price]]*formatted_data[[#This Row],[Units]])</f>
        <v>739</v>
      </c>
      <c r="O1377" s="1" t="s">
        <v>21</v>
      </c>
      <c r="P1377"/>
    </row>
    <row r="1378" spans="1:16" x14ac:dyDescent="0.35">
      <c r="A1378" s="1" t="s">
        <v>59</v>
      </c>
      <c r="B1378" s="1" t="s">
        <v>27</v>
      </c>
      <c r="C1378" s="2">
        <v>45591</v>
      </c>
      <c r="D1378" s="1" t="s">
        <v>23</v>
      </c>
      <c r="E1378" s="1" t="s">
        <v>43</v>
      </c>
      <c r="F1378" s="1" t="s">
        <v>19</v>
      </c>
      <c r="G1378" s="1" t="s">
        <v>20</v>
      </c>
      <c r="H1378" s="1">
        <v>1</v>
      </c>
      <c r="I1378" s="1">
        <v>1304</v>
      </c>
      <c r="J1378" s="1">
        <v>1999</v>
      </c>
      <c r="K1378" s="1">
        <v>5</v>
      </c>
      <c r="L1378" s="1">
        <f>ROUNDDOWN(formatted_data[[#This Row],[Selling_Price]]*formatted_data[[#This Row],[Discount_%]]/100,0)</f>
        <v>99</v>
      </c>
      <c r="M1378" s="1">
        <f>(formatted_data[[#This Row],[Selling_Price]]-formatted_data[[#This Row],[Discount_Amount]])*formatted_data[[#This Row],[Units]]</f>
        <v>1900</v>
      </c>
      <c r="N1378" s="1">
        <f>formatted_data[[#This Row],[Total_Revenue]]-(formatted_data[[#This Row],[Cost_Price]]*formatted_data[[#This Row],[Units]])</f>
        <v>596</v>
      </c>
      <c r="O1378" s="1" t="s">
        <v>33</v>
      </c>
      <c r="P1378"/>
    </row>
    <row r="1379" spans="1:16" x14ac:dyDescent="0.35">
      <c r="A1379" s="1" t="s">
        <v>95</v>
      </c>
      <c r="B1379" s="1" t="s">
        <v>27</v>
      </c>
      <c r="C1379" s="2">
        <v>45641</v>
      </c>
      <c r="D1379" s="1" t="s">
        <v>31</v>
      </c>
      <c r="E1379" s="1" t="s">
        <v>32</v>
      </c>
      <c r="F1379" s="1" t="s">
        <v>19</v>
      </c>
      <c r="G1379" s="1" t="s">
        <v>19</v>
      </c>
      <c r="H1379" s="1">
        <v>1</v>
      </c>
      <c r="I1379" s="1">
        <v>1015</v>
      </c>
      <c r="J1379" s="1">
        <v>1399</v>
      </c>
      <c r="K1379" s="1">
        <v>0</v>
      </c>
      <c r="L1379" s="1">
        <f>ROUNDDOWN(formatted_data[[#This Row],[Selling_Price]]*formatted_data[[#This Row],[Discount_%]]/100,0)</f>
        <v>0</v>
      </c>
      <c r="M1379" s="1">
        <f>(formatted_data[[#This Row],[Selling_Price]]-formatted_data[[#This Row],[Discount_Amount]])*formatted_data[[#This Row],[Units]]</f>
        <v>1399</v>
      </c>
      <c r="N1379" s="1">
        <f>formatted_data[[#This Row],[Total_Revenue]]-(formatted_data[[#This Row],[Cost_Price]]*formatted_data[[#This Row],[Units]])</f>
        <v>384</v>
      </c>
      <c r="O1379" s="1" t="s">
        <v>21</v>
      </c>
      <c r="P1379"/>
    </row>
    <row r="1380" spans="1:16" x14ac:dyDescent="0.35">
      <c r="A1380" s="1" t="s">
        <v>79</v>
      </c>
      <c r="B1380" s="1" t="s">
        <v>16</v>
      </c>
      <c r="C1380" s="2">
        <v>45480</v>
      </c>
      <c r="D1380" s="1" t="s">
        <v>35</v>
      </c>
      <c r="E1380" s="1" t="s">
        <v>41</v>
      </c>
      <c r="F1380" s="1" t="s">
        <v>25</v>
      </c>
      <c r="G1380" s="1" t="s">
        <v>20</v>
      </c>
      <c r="H1380" s="1">
        <v>2</v>
      </c>
      <c r="I1380" s="1">
        <v>448</v>
      </c>
      <c r="J1380" s="1">
        <v>599</v>
      </c>
      <c r="K1380" s="1">
        <v>10</v>
      </c>
      <c r="L1380" s="1">
        <f>ROUNDDOWN(formatted_data[[#This Row],[Selling_Price]]*formatted_data[[#This Row],[Discount_%]]/100,0)</f>
        <v>59</v>
      </c>
      <c r="M1380" s="1">
        <f>(formatted_data[[#This Row],[Selling_Price]]-formatted_data[[#This Row],[Discount_Amount]])*formatted_data[[#This Row],[Units]]</f>
        <v>1080</v>
      </c>
      <c r="N1380" s="1">
        <f>formatted_data[[#This Row],[Total_Revenue]]-(formatted_data[[#This Row],[Cost_Price]]*formatted_data[[#This Row],[Units]])</f>
        <v>184</v>
      </c>
      <c r="O1380" s="1" t="s">
        <v>33</v>
      </c>
      <c r="P1380"/>
    </row>
    <row r="1381" spans="1:16" x14ac:dyDescent="0.35">
      <c r="A1381" s="1" t="s">
        <v>15</v>
      </c>
      <c r="B1381" s="1" t="s">
        <v>16</v>
      </c>
      <c r="C1381" s="2">
        <v>45613</v>
      </c>
      <c r="D1381" s="1" t="s">
        <v>28</v>
      </c>
      <c r="E1381" s="1" t="s">
        <v>45</v>
      </c>
      <c r="F1381" s="1" t="s">
        <v>37</v>
      </c>
      <c r="G1381" s="1" t="s">
        <v>20</v>
      </c>
      <c r="H1381" s="1">
        <v>1</v>
      </c>
      <c r="I1381" s="1">
        <v>549</v>
      </c>
      <c r="J1381" s="1">
        <v>799</v>
      </c>
      <c r="K1381" s="1">
        <v>15</v>
      </c>
      <c r="L1381" s="1">
        <f>ROUNDDOWN(formatted_data[[#This Row],[Selling_Price]]*formatted_data[[#This Row],[Discount_%]]/100,0)</f>
        <v>119</v>
      </c>
      <c r="M1381" s="1">
        <f>(formatted_data[[#This Row],[Selling_Price]]-formatted_data[[#This Row],[Discount_Amount]])*formatted_data[[#This Row],[Units]]</f>
        <v>680</v>
      </c>
      <c r="N1381" s="1">
        <f>formatted_data[[#This Row],[Total_Revenue]]-(formatted_data[[#This Row],[Cost_Price]]*formatted_data[[#This Row],[Units]])</f>
        <v>131</v>
      </c>
      <c r="O1381" s="1" t="s">
        <v>21</v>
      </c>
      <c r="P1381"/>
    </row>
    <row r="1382" spans="1:16" x14ac:dyDescent="0.35">
      <c r="A1382" s="1" t="s">
        <v>86</v>
      </c>
      <c r="B1382" s="1" t="s">
        <v>27</v>
      </c>
      <c r="C1382" s="2">
        <v>45584</v>
      </c>
      <c r="D1382" s="1" t="s">
        <v>31</v>
      </c>
      <c r="E1382" s="1" t="s">
        <v>32</v>
      </c>
      <c r="F1382" s="1" t="s">
        <v>19</v>
      </c>
      <c r="G1382" s="1" t="s">
        <v>20</v>
      </c>
      <c r="H1382" s="1">
        <v>1</v>
      </c>
      <c r="I1382" s="1">
        <v>741</v>
      </c>
      <c r="J1382" s="1">
        <v>999</v>
      </c>
      <c r="K1382" s="1">
        <v>0</v>
      </c>
      <c r="L1382" s="1">
        <f>ROUNDDOWN(formatted_data[[#This Row],[Selling_Price]]*formatted_data[[#This Row],[Discount_%]]/100,0)</f>
        <v>0</v>
      </c>
      <c r="M1382" s="1">
        <f>(formatted_data[[#This Row],[Selling_Price]]-formatted_data[[#This Row],[Discount_Amount]])*formatted_data[[#This Row],[Units]]</f>
        <v>999</v>
      </c>
      <c r="N1382" s="1">
        <f>formatted_data[[#This Row],[Total_Revenue]]-(formatted_data[[#This Row],[Cost_Price]]*formatted_data[[#This Row],[Units]])</f>
        <v>258</v>
      </c>
      <c r="O1382" s="1" t="s">
        <v>21</v>
      </c>
      <c r="P1382"/>
    </row>
    <row r="1383" spans="1:16" x14ac:dyDescent="0.35">
      <c r="A1383" s="1" t="s">
        <v>89</v>
      </c>
      <c r="B1383" s="1" t="s">
        <v>16</v>
      </c>
      <c r="C1383" s="2">
        <v>45453</v>
      </c>
      <c r="D1383" s="1" t="s">
        <v>31</v>
      </c>
      <c r="E1383" s="1" t="s">
        <v>76</v>
      </c>
      <c r="F1383" s="1" t="s">
        <v>19</v>
      </c>
      <c r="G1383" s="1" t="s">
        <v>19</v>
      </c>
      <c r="H1383" s="1">
        <v>3</v>
      </c>
      <c r="I1383" s="1">
        <v>673</v>
      </c>
      <c r="J1383" s="1">
        <v>999</v>
      </c>
      <c r="K1383" s="1">
        <v>0</v>
      </c>
      <c r="L1383" s="1">
        <f>ROUNDDOWN(formatted_data[[#This Row],[Selling_Price]]*formatted_data[[#This Row],[Discount_%]]/100,0)</f>
        <v>0</v>
      </c>
      <c r="M1383" s="1">
        <f>(formatted_data[[#This Row],[Selling_Price]]-formatted_data[[#This Row],[Discount_Amount]])*formatted_data[[#This Row],[Units]]</f>
        <v>2997</v>
      </c>
      <c r="N1383" s="1">
        <f>formatted_data[[#This Row],[Total_Revenue]]-(formatted_data[[#This Row],[Cost_Price]]*formatted_data[[#This Row],[Units]])</f>
        <v>978</v>
      </c>
      <c r="O1383" s="1" t="s">
        <v>21</v>
      </c>
      <c r="P1383"/>
    </row>
    <row r="1384" spans="1:16" x14ac:dyDescent="0.35">
      <c r="A1384" s="1" t="s">
        <v>70</v>
      </c>
      <c r="B1384" s="1" t="s">
        <v>27</v>
      </c>
      <c r="C1384" s="2">
        <v>45497</v>
      </c>
      <c r="D1384" s="1" t="s">
        <v>23</v>
      </c>
      <c r="E1384" s="1" t="s">
        <v>43</v>
      </c>
      <c r="F1384" s="1" t="s">
        <v>37</v>
      </c>
      <c r="G1384" s="1" t="s">
        <v>20</v>
      </c>
      <c r="H1384" s="1">
        <v>2</v>
      </c>
      <c r="I1384" s="1">
        <v>1850</v>
      </c>
      <c r="J1384" s="1">
        <v>2799</v>
      </c>
      <c r="K1384" s="1">
        <v>10</v>
      </c>
      <c r="L1384" s="1">
        <f>ROUNDDOWN(formatted_data[[#This Row],[Selling_Price]]*formatted_data[[#This Row],[Discount_%]]/100,0)</f>
        <v>279</v>
      </c>
      <c r="M1384" s="1">
        <f>(formatted_data[[#This Row],[Selling_Price]]-formatted_data[[#This Row],[Discount_Amount]])*formatted_data[[#This Row],[Units]]</f>
        <v>5040</v>
      </c>
      <c r="N1384" s="1">
        <f>formatted_data[[#This Row],[Total_Revenue]]-(formatted_data[[#This Row],[Cost_Price]]*formatted_data[[#This Row],[Units]])</f>
        <v>1340</v>
      </c>
      <c r="O1384" s="1" t="s">
        <v>21</v>
      </c>
      <c r="P1384"/>
    </row>
    <row r="1385" spans="1:16" x14ac:dyDescent="0.35">
      <c r="A1385" s="1" t="s">
        <v>40</v>
      </c>
      <c r="B1385" s="1" t="s">
        <v>27</v>
      </c>
      <c r="C1385" s="2">
        <v>45584</v>
      </c>
      <c r="D1385" s="1" t="s">
        <v>17</v>
      </c>
      <c r="E1385" s="1" t="s">
        <v>18</v>
      </c>
      <c r="F1385" s="1" t="s">
        <v>25</v>
      </c>
      <c r="G1385" s="1" t="s">
        <v>19</v>
      </c>
      <c r="H1385" s="1">
        <v>1</v>
      </c>
      <c r="I1385" s="1">
        <v>310</v>
      </c>
      <c r="J1385" s="1">
        <v>499</v>
      </c>
      <c r="K1385" s="1">
        <v>0</v>
      </c>
      <c r="L1385" s="1">
        <f>ROUNDDOWN(formatted_data[[#This Row],[Selling_Price]]*formatted_data[[#This Row],[Discount_%]]/100,0)</f>
        <v>0</v>
      </c>
      <c r="M1385" s="1">
        <f>(formatted_data[[#This Row],[Selling_Price]]-formatted_data[[#This Row],[Discount_Amount]])*formatted_data[[#This Row],[Units]]</f>
        <v>499</v>
      </c>
      <c r="N1385" s="1">
        <f>formatted_data[[#This Row],[Total_Revenue]]-(formatted_data[[#This Row],[Cost_Price]]*formatted_data[[#This Row],[Units]])</f>
        <v>189</v>
      </c>
      <c r="O1385" s="1" t="s">
        <v>33</v>
      </c>
      <c r="P1385"/>
    </row>
    <row r="1386" spans="1:16" x14ac:dyDescent="0.35">
      <c r="A1386" s="1" t="s">
        <v>70</v>
      </c>
      <c r="B1386" s="1" t="s">
        <v>27</v>
      </c>
      <c r="C1386" s="2">
        <v>45490</v>
      </c>
      <c r="D1386" s="1" t="s">
        <v>23</v>
      </c>
      <c r="E1386" s="1" t="s">
        <v>43</v>
      </c>
      <c r="F1386" s="1" t="s">
        <v>25</v>
      </c>
      <c r="G1386" s="1" t="s">
        <v>20</v>
      </c>
      <c r="H1386" s="1">
        <v>1</v>
      </c>
      <c r="I1386" s="1">
        <v>2024</v>
      </c>
      <c r="J1386" s="1">
        <v>3799</v>
      </c>
      <c r="K1386" s="1">
        <v>20</v>
      </c>
      <c r="L1386" s="1">
        <f>ROUNDDOWN(formatted_data[[#This Row],[Selling_Price]]*formatted_data[[#This Row],[Discount_%]]/100,0)</f>
        <v>759</v>
      </c>
      <c r="M1386" s="1">
        <f>(formatted_data[[#This Row],[Selling_Price]]-formatted_data[[#This Row],[Discount_Amount]])*formatted_data[[#This Row],[Units]]</f>
        <v>3040</v>
      </c>
      <c r="N1386" s="1">
        <f>formatted_data[[#This Row],[Total_Revenue]]-(formatted_data[[#This Row],[Cost_Price]]*formatted_data[[#This Row],[Units]])</f>
        <v>1016</v>
      </c>
      <c r="O1386" s="1" t="s">
        <v>21</v>
      </c>
      <c r="P1386"/>
    </row>
    <row r="1387" spans="1:16" x14ac:dyDescent="0.35">
      <c r="A1387" s="1" t="s">
        <v>107</v>
      </c>
      <c r="B1387" s="1" t="s">
        <v>27</v>
      </c>
      <c r="C1387" s="2">
        <v>45511</v>
      </c>
      <c r="D1387" s="1" t="s">
        <v>28</v>
      </c>
      <c r="E1387" s="1" t="s">
        <v>45</v>
      </c>
      <c r="F1387" s="1" t="s">
        <v>37</v>
      </c>
      <c r="G1387" s="1" t="s">
        <v>19</v>
      </c>
      <c r="H1387" s="1">
        <v>3</v>
      </c>
      <c r="I1387" s="1">
        <v>747</v>
      </c>
      <c r="J1387" s="1">
        <v>1099</v>
      </c>
      <c r="K1387" s="1">
        <v>5</v>
      </c>
      <c r="L1387" s="1">
        <f>ROUNDDOWN(formatted_data[[#This Row],[Selling_Price]]*formatted_data[[#This Row],[Discount_%]]/100,0)</f>
        <v>54</v>
      </c>
      <c r="M1387" s="1">
        <f>(formatted_data[[#This Row],[Selling_Price]]-formatted_data[[#This Row],[Discount_Amount]])*formatted_data[[#This Row],[Units]]</f>
        <v>3135</v>
      </c>
      <c r="N1387" s="1">
        <f>formatted_data[[#This Row],[Total_Revenue]]-(formatted_data[[#This Row],[Cost_Price]]*formatted_data[[#This Row],[Units]])</f>
        <v>894</v>
      </c>
      <c r="O1387" s="1" t="s">
        <v>21</v>
      </c>
      <c r="P1387"/>
    </row>
    <row r="1388" spans="1:16" x14ac:dyDescent="0.35">
      <c r="A1388" s="1" t="s">
        <v>104</v>
      </c>
      <c r="B1388" s="1" t="s">
        <v>27</v>
      </c>
      <c r="C1388" s="2">
        <v>45449</v>
      </c>
      <c r="D1388" s="1" t="s">
        <v>17</v>
      </c>
      <c r="E1388" s="1" t="s">
        <v>55</v>
      </c>
      <c r="F1388" s="1" t="s">
        <v>37</v>
      </c>
      <c r="G1388" s="1" t="s">
        <v>19</v>
      </c>
      <c r="H1388" s="1">
        <v>4</v>
      </c>
      <c r="I1388" s="1">
        <v>401</v>
      </c>
      <c r="J1388" s="1">
        <v>599</v>
      </c>
      <c r="K1388" s="1">
        <v>0</v>
      </c>
      <c r="L1388" s="1">
        <f>ROUNDDOWN(formatted_data[[#This Row],[Selling_Price]]*formatted_data[[#This Row],[Discount_%]]/100,0)</f>
        <v>0</v>
      </c>
      <c r="M1388" s="1">
        <f>(formatted_data[[#This Row],[Selling_Price]]-formatted_data[[#This Row],[Discount_Amount]])*formatted_data[[#This Row],[Units]]</f>
        <v>2396</v>
      </c>
      <c r="N1388" s="1">
        <f>formatted_data[[#This Row],[Total_Revenue]]-(formatted_data[[#This Row],[Cost_Price]]*formatted_data[[#This Row],[Units]])</f>
        <v>792</v>
      </c>
      <c r="O1388" s="1" t="s">
        <v>33</v>
      </c>
      <c r="P1388"/>
    </row>
    <row r="1389" spans="1:16" x14ac:dyDescent="0.35">
      <c r="A1389" s="1" t="s">
        <v>104</v>
      </c>
      <c r="B1389" s="1" t="s">
        <v>27</v>
      </c>
      <c r="C1389" s="2">
        <v>45537</v>
      </c>
      <c r="D1389" s="1" t="s">
        <v>28</v>
      </c>
      <c r="E1389" s="1" t="s">
        <v>45</v>
      </c>
      <c r="F1389" s="1" t="s">
        <v>25</v>
      </c>
      <c r="G1389" s="1" t="s">
        <v>20</v>
      </c>
      <c r="H1389" s="1">
        <v>1</v>
      </c>
      <c r="I1389" s="1">
        <v>812</v>
      </c>
      <c r="J1389" s="1">
        <v>1299</v>
      </c>
      <c r="K1389" s="1">
        <v>20</v>
      </c>
      <c r="L1389" s="1">
        <f>ROUNDDOWN(formatted_data[[#This Row],[Selling_Price]]*formatted_data[[#This Row],[Discount_%]]/100,0)</f>
        <v>259</v>
      </c>
      <c r="M1389" s="1">
        <f>(formatted_data[[#This Row],[Selling_Price]]-formatted_data[[#This Row],[Discount_Amount]])*formatted_data[[#This Row],[Units]]</f>
        <v>1040</v>
      </c>
      <c r="N1389" s="1">
        <f>formatted_data[[#This Row],[Total_Revenue]]-(formatted_data[[#This Row],[Cost_Price]]*formatted_data[[#This Row],[Units]])</f>
        <v>228</v>
      </c>
      <c r="O1389" s="1" t="s">
        <v>33</v>
      </c>
      <c r="P1389"/>
    </row>
    <row r="1390" spans="1:16" x14ac:dyDescent="0.35">
      <c r="A1390" s="1" t="s">
        <v>105</v>
      </c>
      <c r="B1390" s="1" t="s">
        <v>16</v>
      </c>
      <c r="C1390" s="2">
        <v>45573</v>
      </c>
      <c r="D1390" s="1" t="s">
        <v>35</v>
      </c>
      <c r="E1390" s="1" t="s">
        <v>39</v>
      </c>
      <c r="F1390" s="1" t="s">
        <v>37</v>
      </c>
      <c r="G1390" s="1" t="s">
        <v>20</v>
      </c>
      <c r="H1390" s="1">
        <v>1</v>
      </c>
      <c r="I1390" s="1">
        <v>840</v>
      </c>
      <c r="J1390" s="1">
        <v>1299</v>
      </c>
      <c r="K1390" s="1">
        <v>20</v>
      </c>
      <c r="L1390" s="1">
        <f>ROUNDDOWN(formatted_data[[#This Row],[Selling_Price]]*formatted_data[[#This Row],[Discount_%]]/100,0)</f>
        <v>259</v>
      </c>
      <c r="M1390" s="1">
        <f>(formatted_data[[#This Row],[Selling_Price]]-formatted_data[[#This Row],[Discount_Amount]])*formatted_data[[#This Row],[Units]]</f>
        <v>1040</v>
      </c>
      <c r="N1390" s="1">
        <f>formatted_data[[#This Row],[Total_Revenue]]-(formatted_data[[#This Row],[Cost_Price]]*formatted_data[[#This Row],[Units]])</f>
        <v>200</v>
      </c>
      <c r="O1390" s="1" t="s">
        <v>33</v>
      </c>
      <c r="P1390"/>
    </row>
    <row r="1391" spans="1:16" x14ac:dyDescent="0.35">
      <c r="A1391" s="1" t="s">
        <v>65</v>
      </c>
      <c r="B1391" s="1" t="s">
        <v>16</v>
      </c>
      <c r="C1391" s="2">
        <v>45520</v>
      </c>
      <c r="D1391" s="1" t="s">
        <v>35</v>
      </c>
      <c r="E1391" s="1" t="s">
        <v>58</v>
      </c>
      <c r="F1391" s="1" t="s">
        <v>19</v>
      </c>
      <c r="G1391" s="1" t="s">
        <v>20</v>
      </c>
      <c r="H1391" s="1">
        <v>1</v>
      </c>
      <c r="I1391" s="1">
        <v>605</v>
      </c>
      <c r="J1391" s="1">
        <v>1199</v>
      </c>
      <c r="K1391" s="1">
        <v>15</v>
      </c>
      <c r="L1391" s="1">
        <f>ROUNDDOWN(formatted_data[[#This Row],[Selling_Price]]*formatted_data[[#This Row],[Discount_%]]/100,0)</f>
        <v>179</v>
      </c>
      <c r="M1391" s="1">
        <f>(formatted_data[[#This Row],[Selling_Price]]-formatted_data[[#This Row],[Discount_Amount]])*formatted_data[[#This Row],[Units]]</f>
        <v>1020</v>
      </c>
      <c r="N1391" s="1">
        <f>formatted_data[[#This Row],[Total_Revenue]]-(formatted_data[[#This Row],[Cost_Price]]*formatted_data[[#This Row],[Units]])</f>
        <v>415</v>
      </c>
      <c r="O1391" s="1" t="s">
        <v>21</v>
      </c>
      <c r="P1391"/>
    </row>
    <row r="1392" spans="1:16" x14ac:dyDescent="0.35">
      <c r="A1392" s="1" t="s">
        <v>95</v>
      </c>
      <c r="B1392" s="1" t="s">
        <v>27</v>
      </c>
      <c r="C1392" s="2">
        <v>45648</v>
      </c>
      <c r="D1392" s="1" t="s">
        <v>23</v>
      </c>
      <c r="E1392" s="1" t="s">
        <v>43</v>
      </c>
      <c r="F1392" s="1" t="s">
        <v>25</v>
      </c>
      <c r="G1392" s="1" t="s">
        <v>20</v>
      </c>
      <c r="H1392" s="1">
        <v>1</v>
      </c>
      <c r="I1392" s="1">
        <v>2046</v>
      </c>
      <c r="J1392" s="1">
        <v>2799</v>
      </c>
      <c r="K1392" s="1">
        <v>10</v>
      </c>
      <c r="L1392" s="1">
        <f>ROUNDDOWN(formatted_data[[#This Row],[Selling_Price]]*formatted_data[[#This Row],[Discount_%]]/100,0)</f>
        <v>279</v>
      </c>
      <c r="M1392" s="1">
        <f>(formatted_data[[#This Row],[Selling_Price]]-formatted_data[[#This Row],[Discount_Amount]])*formatted_data[[#This Row],[Units]]</f>
        <v>2520</v>
      </c>
      <c r="N1392" s="1">
        <f>formatted_data[[#This Row],[Total_Revenue]]-(formatted_data[[#This Row],[Cost_Price]]*formatted_data[[#This Row],[Units]])</f>
        <v>474</v>
      </c>
      <c r="O1392" s="1" t="s">
        <v>21</v>
      </c>
      <c r="P1392"/>
    </row>
    <row r="1393" spans="1:16" x14ac:dyDescent="0.35">
      <c r="A1393" s="1" t="s">
        <v>99</v>
      </c>
      <c r="B1393" s="1" t="s">
        <v>27</v>
      </c>
      <c r="C1393" s="2">
        <v>45525</v>
      </c>
      <c r="D1393" s="1" t="s">
        <v>17</v>
      </c>
      <c r="E1393" s="1" t="s">
        <v>18</v>
      </c>
      <c r="F1393" s="1" t="s">
        <v>19</v>
      </c>
      <c r="G1393" s="1" t="s">
        <v>19</v>
      </c>
      <c r="H1393" s="1">
        <v>1</v>
      </c>
      <c r="I1393" s="1">
        <v>265</v>
      </c>
      <c r="J1393" s="1">
        <v>399</v>
      </c>
      <c r="K1393" s="1">
        <v>0</v>
      </c>
      <c r="L1393" s="1">
        <f>ROUNDDOWN(formatted_data[[#This Row],[Selling_Price]]*formatted_data[[#This Row],[Discount_%]]/100,0)</f>
        <v>0</v>
      </c>
      <c r="M1393" s="1">
        <f>(formatted_data[[#This Row],[Selling_Price]]-formatted_data[[#This Row],[Discount_Amount]])*formatted_data[[#This Row],[Units]]</f>
        <v>399</v>
      </c>
      <c r="N1393" s="1">
        <f>formatted_data[[#This Row],[Total_Revenue]]-(formatted_data[[#This Row],[Cost_Price]]*formatted_data[[#This Row],[Units]])</f>
        <v>134</v>
      </c>
      <c r="O1393" s="1" t="s">
        <v>33</v>
      </c>
      <c r="P1393"/>
    </row>
    <row r="1394" spans="1:16" x14ac:dyDescent="0.35">
      <c r="A1394" s="1" t="s">
        <v>71</v>
      </c>
      <c r="B1394" s="1" t="s">
        <v>16</v>
      </c>
      <c r="C1394" s="2">
        <v>45574</v>
      </c>
      <c r="D1394" s="1" t="s">
        <v>28</v>
      </c>
      <c r="E1394" s="1" t="s">
        <v>45</v>
      </c>
      <c r="F1394" s="1" t="s">
        <v>19</v>
      </c>
      <c r="G1394" s="1" t="s">
        <v>20</v>
      </c>
      <c r="H1394" s="1">
        <v>1</v>
      </c>
      <c r="I1394" s="1">
        <v>813</v>
      </c>
      <c r="J1394" s="1">
        <v>1499</v>
      </c>
      <c r="K1394" s="1">
        <v>15</v>
      </c>
      <c r="L1394" s="1">
        <f>ROUNDDOWN(formatted_data[[#This Row],[Selling_Price]]*formatted_data[[#This Row],[Discount_%]]/100,0)</f>
        <v>224</v>
      </c>
      <c r="M1394" s="1">
        <f>(formatted_data[[#This Row],[Selling_Price]]-formatted_data[[#This Row],[Discount_Amount]])*formatted_data[[#This Row],[Units]]</f>
        <v>1275</v>
      </c>
      <c r="N1394" s="1">
        <f>formatted_data[[#This Row],[Total_Revenue]]-(formatted_data[[#This Row],[Cost_Price]]*formatted_data[[#This Row],[Units]])</f>
        <v>462</v>
      </c>
      <c r="O1394" s="1" t="s">
        <v>21</v>
      </c>
      <c r="P1394"/>
    </row>
    <row r="1395" spans="1:16" x14ac:dyDescent="0.35">
      <c r="A1395" s="1" t="s">
        <v>89</v>
      </c>
      <c r="B1395" s="1" t="s">
        <v>16</v>
      </c>
      <c r="C1395" s="2">
        <v>45609</v>
      </c>
      <c r="D1395" s="1" t="s">
        <v>28</v>
      </c>
      <c r="E1395" s="1" t="s">
        <v>45</v>
      </c>
      <c r="F1395" s="1" t="s">
        <v>37</v>
      </c>
      <c r="G1395" s="1" t="s">
        <v>19</v>
      </c>
      <c r="H1395" s="1">
        <v>1</v>
      </c>
      <c r="I1395" s="1">
        <v>1392</v>
      </c>
      <c r="J1395" s="1">
        <v>2299</v>
      </c>
      <c r="K1395" s="1">
        <v>20</v>
      </c>
      <c r="L1395" s="1">
        <f>ROUNDDOWN(formatted_data[[#This Row],[Selling_Price]]*formatted_data[[#This Row],[Discount_%]]/100,0)</f>
        <v>459</v>
      </c>
      <c r="M1395" s="1">
        <f>(formatted_data[[#This Row],[Selling_Price]]-formatted_data[[#This Row],[Discount_Amount]])*formatted_data[[#This Row],[Units]]</f>
        <v>1840</v>
      </c>
      <c r="N1395" s="1">
        <f>formatted_data[[#This Row],[Total_Revenue]]-(formatted_data[[#This Row],[Cost_Price]]*formatted_data[[#This Row],[Units]])</f>
        <v>448</v>
      </c>
      <c r="O1395" s="1" t="s">
        <v>21</v>
      </c>
      <c r="P1395"/>
    </row>
    <row r="1396" spans="1:16" x14ac:dyDescent="0.35">
      <c r="A1396" s="1" t="s">
        <v>63</v>
      </c>
      <c r="B1396" s="1" t="s">
        <v>27</v>
      </c>
      <c r="C1396" s="2">
        <v>45500</v>
      </c>
      <c r="D1396" s="1" t="s">
        <v>31</v>
      </c>
      <c r="E1396" s="1" t="s">
        <v>32</v>
      </c>
      <c r="F1396" s="1" t="s">
        <v>25</v>
      </c>
      <c r="G1396" s="1" t="s">
        <v>20</v>
      </c>
      <c r="H1396" s="1">
        <v>1</v>
      </c>
      <c r="I1396" s="1">
        <v>690</v>
      </c>
      <c r="J1396" s="1">
        <v>1199</v>
      </c>
      <c r="K1396" s="1">
        <v>0</v>
      </c>
      <c r="L1396" s="1">
        <f>ROUNDDOWN(formatted_data[[#This Row],[Selling_Price]]*formatted_data[[#This Row],[Discount_%]]/100,0)</f>
        <v>0</v>
      </c>
      <c r="M1396" s="1">
        <f>(formatted_data[[#This Row],[Selling_Price]]-formatted_data[[#This Row],[Discount_Amount]])*formatted_data[[#This Row],[Units]]</f>
        <v>1199</v>
      </c>
      <c r="N1396" s="1">
        <f>formatted_data[[#This Row],[Total_Revenue]]-(formatted_data[[#This Row],[Cost_Price]]*formatted_data[[#This Row],[Units]])</f>
        <v>509</v>
      </c>
      <c r="O1396" s="1" t="s">
        <v>21</v>
      </c>
      <c r="P1396"/>
    </row>
    <row r="1397" spans="1:16" x14ac:dyDescent="0.35">
      <c r="A1397" s="1" t="s">
        <v>79</v>
      </c>
      <c r="B1397" s="1" t="s">
        <v>16</v>
      </c>
      <c r="C1397" s="2">
        <v>45585</v>
      </c>
      <c r="D1397" s="1" t="s">
        <v>35</v>
      </c>
      <c r="E1397" s="1" t="s">
        <v>50</v>
      </c>
      <c r="F1397" s="1" t="s">
        <v>37</v>
      </c>
      <c r="G1397" s="1" t="s">
        <v>20</v>
      </c>
      <c r="H1397" s="1">
        <v>4</v>
      </c>
      <c r="I1397" s="1">
        <v>1017</v>
      </c>
      <c r="J1397" s="1">
        <v>1899</v>
      </c>
      <c r="K1397" s="1">
        <v>20</v>
      </c>
      <c r="L1397" s="1">
        <f>ROUNDDOWN(formatted_data[[#This Row],[Selling_Price]]*formatted_data[[#This Row],[Discount_%]]/100,0)</f>
        <v>379</v>
      </c>
      <c r="M1397" s="1">
        <f>(formatted_data[[#This Row],[Selling_Price]]-formatted_data[[#This Row],[Discount_Amount]])*formatted_data[[#This Row],[Units]]</f>
        <v>6080</v>
      </c>
      <c r="N1397" s="1">
        <f>formatted_data[[#This Row],[Total_Revenue]]-(formatted_data[[#This Row],[Cost_Price]]*formatted_data[[#This Row],[Units]])</f>
        <v>2012</v>
      </c>
      <c r="O1397" s="1" t="s">
        <v>33</v>
      </c>
      <c r="P1397"/>
    </row>
    <row r="1398" spans="1:16" x14ac:dyDescent="0.35">
      <c r="A1398" s="1" t="s">
        <v>106</v>
      </c>
      <c r="B1398" s="1" t="s">
        <v>27</v>
      </c>
      <c r="C1398" s="2">
        <v>45617</v>
      </c>
      <c r="D1398" s="1" t="s">
        <v>28</v>
      </c>
      <c r="E1398" s="1" t="s">
        <v>45</v>
      </c>
      <c r="F1398" s="1" t="s">
        <v>37</v>
      </c>
      <c r="G1398" s="1" t="s">
        <v>20</v>
      </c>
      <c r="H1398" s="1">
        <v>5</v>
      </c>
      <c r="I1398" s="1">
        <v>852</v>
      </c>
      <c r="J1398" s="1">
        <v>1399</v>
      </c>
      <c r="K1398" s="1">
        <v>10</v>
      </c>
      <c r="L1398" s="1">
        <f>ROUNDDOWN(formatted_data[[#This Row],[Selling_Price]]*formatted_data[[#This Row],[Discount_%]]/100,0)</f>
        <v>139</v>
      </c>
      <c r="M1398" s="1">
        <f>(formatted_data[[#This Row],[Selling_Price]]-formatted_data[[#This Row],[Discount_Amount]])*formatted_data[[#This Row],[Units]]</f>
        <v>6300</v>
      </c>
      <c r="N1398" s="1">
        <f>formatted_data[[#This Row],[Total_Revenue]]-(formatted_data[[#This Row],[Cost_Price]]*formatted_data[[#This Row],[Units]])</f>
        <v>2040</v>
      </c>
      <c r="O1398" s="1" t="s">
        <v>33</v>
      </c>
      <c r="P1398"/>
    </row>
    <row r="1399" spans="1:16" x14ac:dyDescent="0.35">
      <c r="A1399" s="1" t="s">
        <v>51</v>
      </c>
      <c r="B1399" s="1" t="s">
        <v>16</v>
      </c>
      <c r="C1399" s="2">
        <v>45571</v>
      </c>
      <c r="D1399" s="1" t="s">
        <v>35</v>
      </c>
      <c r="E1399" s="1" t="s">
        <v>50</v>
      </c>
      <c r="F1399" s="1" t="s">
        <v>37</v>
      </c>
      <c r="G1399" s="1" t="s">
        <v>19</v>
      </c>
      <c r="H1399" s="1">
        <v>1</v>
      </c>
      <c r="I1399" s="1">
        <v>517</v>
      </c>
      <c r="J1399" s="1">
        <v>899</v>
      </c>
      <c r="K1399" s="1">
        <v>10</v>
      </c>
      <c r="L1399" s="1">
        <f>ROUNDDOWN(formatted_data[[#This Row],[Selling_Price]]*formatted_data[[#This Row],[Discount_%]]/100,0)</f>
        <v>89</v>
      </c>
      <c r="M1399" s="1">
        <f>(formatted_data[[#This Row],[Selling_Price]]-formatted_data[[#This Row],[Discount_Amount]])*formatted_data[[#This Row],[Units]]</f>
        <v>810</v>
      </c>
      <c r="N1399" s="1">
        <f>formatted_data[[#This Row],[Total_Revenue]]-(formatted_data[[#This Row],[Cost_Price]]*formatted_data[[#This Row],[Units]])</f>
        <v>293</v>
      </c>
      <c r="O1399" s="1" t="s">
        <v>21</v>
      </c>
      <c r="P1399"/>
    </row>
    <row r="1400" spans="1:16" x14ac:dyDescent="0.35">
      <c r="A1400" s="1" t="s">
        <v>44</v>
      </c>
      <c r="B1400" s="1" t="s">
        <v>16</v>
      </c>
      <c r="C1400" s="2">
        <v>45610</v>
      </c>
      <c r="D1400" s="1" t="s">
        <v>31</v>
      </c>
      <c r="E1400" s="1" t="s">
        <v>76</v>
      </c>
      <c r="F1400" s="1" t="s">
        <v>37</v>
      </c>
      <c r="G1400" s="1" t="s">
        <v>19</v>
      </c>
      <c r="H1400" s="1">
        <v>2</v>
      </c>
      <c r="I1400" s="1">
        <v>741</v>
      </c>
      <c r="J1400" s="1">
        <v>999</v>
      </c>
      <c r="K1400" s="1">
        <v>0</v>
      </c>
      <c r="L1400" s="1">
        <f>ROUNDDOWN(formatted_data[[#This Row],[Selling_Price]]*formatted_data[[#This Row],[Discount_%]]/100,0)</f>
        <v>0</v>
      </c>
      <c r="M1400" s="1">
        <f>(formatted_data[[#This Row],[Selling_Price]]-formatted_data[[#This Row],[Discount_Amount]])*formatted_data[[#This Row],[Units]]</f>
        <v>1998</v>
      </c>
      <c r="N1400" s="1">
        <f>formatted_data[[#This Row],[Total_Revenue]]-(formatted_data[[#This Row],[Cost_Price]]*formatted_data[[#This Row],[Units]])</f>
        <v>516</v>
      </c>
      <c r="O1400" s="1" t="s">
        <v>21</v>
      </c>
      <c r="P1400"/>
    </row>
    <row r="1401" spans="1:16" x14ac:dyDescent="0.35">
      <c r="A1401" s="1" t="s">
        <v>15</v>
      </c>
      <c r="B1401" s="1" t="s">
        <v>16</v>
      </c>
      <c r="C1401" s="2">
        <v>45521</v>
      </c>
      <c r="D1401" s="1" t="s">
        <v>23</v>
      </c>
      <c r="E1401" s="1" t="s">
        <v>43</v>
      </c>
      <c r="F1401" s="1" t="s">
        <v>37</v>
      </c>
      <c r="G1401" s="1" t="s">
        <v>19</v>
      </c>
      <c r="H1401" s="1">
        <v>1</v>
      </c>
      <c r="I1401" s="1">
        <v>2174</v>
      </c>
      <c r="J1401" s="1">
        <v>4299</v>
      </c>
      <c r="K1401" s="1">
        <v>5</v>
      </c>
      <c r="L1401" s="1">
        <f>ROUNDDOWN(formatted_data[[#This Row],[Selling_Price]]*formatted_data[[#This Row],[Discount_%]]/100,0)</f>
        <v>214</v>
      </c>
      <c r="M1401" s="1">
        <f>(formatted_data[[#This Row],[Selling_Price]]-formatted_data[[#This Row],[Discount_Amount]])*formatted_data[[#This Row],[Units]]</f>
        <v>4085</v>
      </c>
      <c r="N1401" s="1">
        <f>formatted_data[[#This Row],[Total_Revenue]]-(formatted_data[[#This Row],[Cost_Price]]*formatted_data[[#This Row],[Units]])</f>
        <v>1911</v>
      </c>
      <c r="O1401" s="1" t="s">
        <v>21</v>
      </c>
      <c r="P1401"/>
    </row>
    <row r="1402" spans="1:16" x14ac:dyDescent="0.35">
      <c r="A1402" s="1" t="s">
        <v>94</v>
      </c>
      <c r="B1402" s="1" t="s">
        <v>16</v>
      </c>
      <c r="C1402" s="2">
        <v>45508</v>
      </c>
      <c r="D1402" s="1" t="s">
        <v>28</v>
      </c>
      <c r="E1402" s="1" t="s">
        <v>45</v>
      </c>
      <c r="F1402" s="1" t="s">
        <v>25</v>
      </c>
      <c r="G1402" s="1" t="s">
        <v>20</v>
      </c>
      <c r="H1402" s="1">
        <v>1</v>
      </c>
      <c r="I1402" s="1">
        <v>777</v>
      </c>
      <c r="J1402" s="1">
        <v>1299</v>
      </c>
      <c r="K1402" s="1">
        <v>20</v>
      </c>
      <c r="L1402" s="1">
        <f>ROUNDDOWN(formatted_data[[#This Row],[Selling_Price]]*formatted_data[[#This Row],[Discount_%]]/100,0)</f>
        <v>259</v>
      </c>
      <c r="M1402" s="1">
        <f>(formatted_data[[#This Row],[Selling_Price]]-formatted_data[[#This Row],[Discount_Amount]])*formatted_data[[#This Row],[Units]]</f>
        <v>1040</v>
      </c>
      <c r="N1402" s="1">
        <f>formatted_data[[#This Row],[Total_Revenue]]-(formatted_data[[#This Row],[Cost_Price]]*formatted_data[[#This Row],[Units]])</f>
        <v>263</v>
      </c>
      <c r="O1402" s="1" t="s">
        <v>21</v>
      </c>
      <c r="P1402"/>
    </row>
    <row r="1403" spans="1:16" x14ac:dyDescent="0.35">
      <c r="A1403" s="1" t="s">
        <v>98</v>
      </c>
      <c r="B1403" s="1" t="s">
        <v>16</v>
      </c>
      <c r="C1403" s="2">
        <v>45542</v>
      </c>
      <c r="D1403" s="1" t="s">
        <v>31</v>
      </c>
      <c r="E1403" s="1" t="s">
        <v>76</v>
      </c>
      <c r="F1403" s="1" t="s">
        <v>19</v>
      </c>
      <c r="G1403" s="1" t="s">
        <v>19</v>
      </c>
      <c r="H1403" s="1">
        <v>5</v>
      </c>
      <c r="I1403" s="1">
        <v>730</v>
      </c>
      <c r="J1403" s="1">
        <v>1199</v>
      </c>
      <c r="K1403" s="1">
        <v>0</v>
      </c>
      <c r="L1403" s="1">
        <f>ROUNDDOWN(formatted_data[[#This Row],[Selling_Price]]*formatted_data[[#This Row],[Discount_%]]/100,0)</f>
        <v>0</v>
      </c>
      <c r="M1403" s="1">
        <f>(formatted_data[[#This Row],[Selling_Price]]-formatted_data[[#This Row],[Discount_Amount]])*formatted_data[[#This Row],[Units]]</f>
        <v>5995</v>
      </c>
      <c r="N1403" s="1">
        <f>formatted_data[[#This Row],[Total_Revenue]]-(formatted_data[[#This Row],[Cost_Price]]*formatted_data[[#This Row],[Units]])</f>
        <v>2345</v>
      </c>
      <c r="O1403" s="1" t="s">
        <v>21</v>
      </c>
      <c r="P1403"/>
    </row>
    <row r="1404" spans="1:16" x14ac:dyDescent="0.35">
      <c r="A1404" s="1" t="s">
        <v>66</v>
      </c>
      <c r="B1404" s="1" t="s">
        <v>27</v>
      </c>
      <c r="C1404" s="2">
        <v>45504</v>
      </c>
      <c r="D1404" s="1" t="s">
        <v>35</v>
      </c>
      <c r="E1404" s="1" t="s">
        <v>41</v>
      </c>
      <c r="F1404" s="1" t="s">
        <v>25</v>
      </c>
      <c r="G1404" s="1" t="s">
        <v>20</v>
      </c>
      <c r="H1404" s="1">
        <v>2</v>
      </c>
      <c r="I1404" s="1">
        <v>373</v>
      </c>
      <c r="J1404" s="1">
        <v>699</v>
      </c>
      <c r="K1404" s="1">
        <v>20</v>
      </c>
      <c r="L1404" s="1">
        <f>ROUNDDOWN(formatted_data[[#This Row],[Selling_Price]]*formatted_data[[#This Row],[Discount_%]]/100,0)</f>
        <v>139</v>
      </c>
      <c r="M1404" s="1">
        <f>(formatted_data[[#This Row],[Selling_Price]]-formatted_data[[#This Row],[Discount_Amount]])*formatted_data[[#This Row],[Units]]</f>
        <v>1120</v>
      </c>
      <c r="N1404" s="1">
        <f>formatted_data[[#This Row],[Total_Revenue]]-(formatted_data[[#This Row],[Cost_Price]]*formatted_data[[#This Row],[Units]])</f>
        <v>374</v>
      </c>
      <c r="O1404" s="1" t="s">
        <v>21</v>
      </c>
      <c r="P1404"/>
    </row>
    <row r="1405" spans="1:16" x14ac:dyDescent="0.35">
      <c r="A1405" s="1" t="s">
        <v>67</v>
      </c>
      <c r="B1405" s="1" t="s">
        <v>27</v>
      </c>
      <c r="C1405" s="2">
        <v>45508</v>
      </c>
      <c r="D1405" s="1" t="s">
        <v>28</v>
      </c>
      <c r="E1405" s="1" t="s">
        <v>45</v>
      </c>
      <c r="F1405" s="1" t="s">
        <v>37</v>
      </c>
      <c r="G1405" s="1" t="s">
        <v>20</v>
      </c>
      <c r="H1405" s="1">
        <v>1</v>
      </c>
      <c r="I1405" s="1">
        <v>668</v>
      </c>
      <c r="J1405" s="1">
        <v>1199</v>
      </c>
      <c r="K1405" s="1">
        <v>15</v>
      </c>
      <c r="L1405" s="1">
        <f>ROUNDDOWN(formatted_data[[#This Row],[Selling_Price]]*formatted_data[[#This Row],[Discount_%]]/100,0)</f>
        <v>179</v>
      </c>
      <c r="M1405" s="1">
        <f>(formatted_data[[#This Row],[Selling_Price]]-formatted_data[[#This Row],[Discount_Amount]])*formatted_data[[#This Row],[Units]]</f>
        <v>1020</v>
      </c>
      <c r="N1405" s="1">
        <f>formatted_data[[#This Row],[Total_Revenue]]-(formatted_data[[#This Row],[Cost_Price]]*formatted_data[[#This Row],[Units]])</f>
        <v>352</v>
      </c>
      <c r="O1405" s="1" t="s">
        <v>33</v>
      </c>
      <c r="P1405"/>
    </row>
    <row r="1406" spans="1:16" x14ac:dyDescent="0.35">
      <c r="A1406" s="1" t="s">
        <v>69</v>
      </c>
      <c r="B1406" s="1" t="s">
        <v>16</v>
      </c>
      <c r="C1406" s="2">
        <v>45627</v>
      </c>
      <c r="D1406" s="1" t="s">
        <v>17</v>
      </c>
      <c r="E1406" s="1" t="s">
        <v>48</v>
      </c>
      <c r="F1406" s="1" t="s">
        <v>37</v>
      </c>
      <c r="G1406" s="1" t="s">
        <v>20</v>
      </c>
      <c r="H1406" s="1">
        <v>4</v>
      </c>
      <c r="I1406" s="1">
        <v>338</v>
      </c>
      <c r="J1406" s="1">
        <v>499</v>
      </c>
      <c r="K1406" s="1">
        <v>0</v>
      </c>
      <c r="L1406" s="1">
        <f>ROUNDDOWN(formatted_data[[#This Row],[Selling_Price]]*formatted_data[[#This Row],[Discount_%]]/100,0)</f>
        <v>0</v>
      </c>
      <c r="M1406" s="1">
        <f>(formatted_data[[#This Row],[Selling_Price]]-formatted_data[[#This Row],[Discount_Amount]])*formatted_data[[#This Row],[Units]]</f>
        <v>1996</v>
      </c>
      <c r="N1406" s="1">
        <f>formatted_data[[#This Row],[Total_Revenue]]-(formatted_data[[#This Row],[Cost_Price]]*formatted_data[[#This Row],[Units]])</f>
        <v>644</v>
      </c>
      <c r="O1406" s="1" t="s">
        <v>33</v>
      </c>
      <c r="P1406"/>
    </row>
    <row r="1407" spans="1:16" x14ac:dyDescent="0.35">
      <c r="A1407" s="1" t="s">
        <v>53</v>
      </c>
      <c r="B1407" s="1" t="s">
        <v>27</v>
      </c>
      <c r="C1407" s="2">
        <v>45466</v>
      </c>
      <c r="D1407" s="1" t="s">
        <v>31</v>
      </c>
      <c r="E1407" s="1" t="s">
        <v>32</v>
      </c>
      <c r="F1407" s="1" t="s">
        <v>25</v>
      </c>
      <c r="G1407" s="1" t="s">
        <v>19</v>
      </c>
      <c r="H1407" s="1">
        <v>2</v>
      </c>
      <c r="I1407" s="1">
        <v>536</v>
      </c>
      <c r="J1407" s="1">
        <v>899</v>
      </c>
      <c r="K1407" s="1">
        <v>0</v>
      </c>
      <c r="L1407" s="1">
        <f>ROUNDDOWN(formatted_data[[#This Row],[Selling_Price]]*formatted_data[[#This Row],[Discount_%]]/100,0)</f>
        <v>0</v>
      </c>
      <c r="M1407" s="1">
        <f>(formatted_data[[#This Row],[Selling_Price]]-formatted_data[[#This Row],[Discount_Amount]])*formatted_data[[#This Row],[Units]]</f>
        <v>1798</v>
      </c>
      <c r="N1407" s="1">
        <f>formatted_data[[#This Row],[Total_Revenue]]-(formatted_data[[#This Row],[Cost_Price]]*formatted_data[[#This Row],[Units]])</f>
        <v>726</v>
      </c>
      <c r="O1407" s="1" t="s">
        <v>21</v>
      </c>
      <c r="P1407"/>
    </row>
    <row r="1408" spans="1:16" x14ac:dyDescent="0.35">
      <c r="A1408" s="1" t="s">
        <v>57</v>
      </c>
      <c r="B1408" s="1" t="s">
        <v>27</v>
      </c>
      <c r="C1408" s="2">
        <v>45525</v>
      </c>
      <c r="D1408" s="1" t="s">
        <v>23</v>
      </c>
      <c r="E1408" s="1" t="s">
        <v>24</v>
      </c>
      <c r="F1408" s="1" t="s">
        <v>37</v>
      </c>
      <c r="G1408" s="1" t="s">
        <v>20</v>
      </c>
      <c r="H1408" s="1">
        <v>1</v>
      </c>
      <c r="I1408" s="1">
        <v>953</v>
      </c>
      <c r="J1408" s="1">
        <v>1299</v>
      </c>
      <c r="K1408" s="1">
        <v>5</v>
      </c>
      <c r="L1408" s="1">
        <f>ROUNDDOWN(formatted_data[[#This Row],[Selling_Price]]*formatted_data[[#This Row],[Discount_%]]/100,0)</f>
        <v>64</v>
      </c>
      <c r="M1408" s="1">
        <f>(formatted_data[[#This Row],[Selling_Price]]-formatted_data[[#This Row],[Discount_Amount]])*formatted_data[[#This Row],[Units]]</f>
        <v>1235</v>
      </c>
      <c r="N1408" s="1">
        <f>formatted_data[[#This Row],[Total_Revenue]]-(formatted_data[[#This Row],[Cost_Price]]*formatted_data[[#This Row],[Units]])</f>
        <v>282</v>
      </c>
      <c r="O1408" s="1" t="s">
        <v>33</v>
      </c>
      <c r="P1408"/>
    </row>
    <row r="1409" spans="1:16" x14ac:dyDescent="0.35">
      <c r="A1409" s="1" t="s">
        <v>34</v>
      </c>
      <c r="B1409" s="1" t="s">
        <v>27</v>
      </c>
      <c r="C1409" s="2">
        <v>45586</v>
      </c>
      <c r="D1409" s="1" t="s">
        <v>23</v>
      </c>
      <c r="E1409" s="1" t="s">
        <v>43</v>
      </c>
      <c r="F1409" s="1" t="s">
        <v>37</v>
      </c>
      <c r="G1409" s="1" t="s">
        <v>19</v>
      </c>
      <c r="H1409" s="1">
        <v>1</v>
      </c>
      <c r="I1409" s="1">
        <v>1611</v>
      </c>
      <c r="J1409" s="1">
        <v>2799</v>
      </c>
      <c r="K1409" s="1">
        <v>20</v>
      </c>
      <c r="L1409" s="1">
        <f>ROUNDDOWN(formatted_data[[#This Row],[Selling_Price]]*formatted_data[[#This Row],[Discount_%]]/100,0)</f>
        <v>559</v>
      </c>
      <c r="M1409" s="1">
        <f>(formatted_data[[#This Row],[Selling_Price]]-formatted_data[[#This Row],[Discount_Amount]])*formatted_data[[#This Row],[Units]]</f>
        <v>2240</v>
      </c>
      <c r="N1409" s="1">
        <f>formatted_data[[#This Row],[Total_Revenue]]-(formatted_data[[#This Row],[Cost_Price]]*formatted_data[[#This Row],[Units]])</f>
        <v>629</v>
      </c>
      <c r="O1409" s="1" t="s">
        <v>21</v>
      </c>
      <c r="P1409"/>
    </row>
    <row r="1410" spans="1:16" x14ac:dyDescent="0.35">
      <c r="A1410" s="1" t="s">
        <v>57</v>
      </c>
      <c r="B1410" s="1" t="s">
        <v>27</v>
      </c>
      <c r="C1410" s="2">
        <v>45562</v>
      </c>
      <c r="D1410" s="1" t="s">
        <v>17</v>
      </c>
      <c r="E1410" s="1" t="s">
        <v>72</v>
      </c>
      <c r="F1410" s="1" t="s">
        <v>37</v>
      </c>
      <c r="G1410" s="1" t="s">
        <v>19</v>
      </c>
      <c r="H1410" s="1">
        <v>3</v>
      </c>
      <c r="I1410" s="1">
        <v>251</v>
      </c>
      <c r="J1410" s="1">
        <v>399</v>
      </c>
      <c r="K1410" s="1">
        <v>0</v>
      </c>
      <c r="L1410" s="1">
        <f>ROUNDDOWN(formatted_data[[#This Row],[Selling_Price]]*formatted_data[[#This Row],[Discount_%]]/100,0)</f>
        <v>0</v>
      </c>
      <c r="M1410" s="1">
        <f>(formatted_data[[#This Row],[Selling_Price]]-formatted_data[[#This Row],[Discount_Amount]])*formatted_data[[#This Row],[Units]]</f>
        <v>1197</v>
      </c>
      <c r="N1410" s="1">
        <f>formatted_data[[#This Row],[Total_Revenue]]-(formatted_data[[#This Row],[Cost_Price]]*formatted_data[[#This Row],[Units]])</f>
        <v>444</v>
      </c>
      <c r="O1410" s="1" t="s">
        <v>21</v>
      </c>
      <c r="P1410"/>
    </row>
    <row r="1411" spans="1:16" x14ac:dyDescent="0.35">
      <c r="A1411" s="1" t="s">
        <v>54</v>
      </c>
      <c r="B1411" s="1" t="s">
        <v>27</v>
      </c>
      <c r="C1411" s="2">
        <v>45537</v>
      </c>
      <c r="D1411" s="1" t="s">
        <v>23</v>
      </c>
      <c r="E1411" s="1" t="s">
        <v>43</v>
      </c>
      <c r="F1411" s="1" t="s">
        <v>25</v>
      </c>
      <c r="G1411" s="1" t="s">
        <v>20</v>
      </c>
      <c r="H1411" s="1">
        <v>4</v>
      </c>
      <c r="I1411" s="1">
        <v>2965</v>
      </c>
      <c r="J1411" s="1">
        <v>4399</v>
      </c>
      <c r="K1411" s="1">
        <v>20</v>
      </c>
      <c r="L1411" s="1">
        <f>ROUNDDOWN(formatted_data[[#This Row],[Selling_Price]]*formatted_data[[#This Row],[Discount_%]]/100,0)</f>
        <v>879</v>
      </c>
      <c r="M1411" s="1">
        <f>(formatted_data[[#This Row],[Selling_Price]]-formatted_data[[#This Row],[Discount_Amount]])*formatted_data[[#This Row],[Units]]</f>
        <v>14080</v>
      </c>
      <c r="N1411" s="1">
        <f>formatted_data[[#This Row],[Total_Revenue]]-(formatted_data[[#This Row],[Cost_Price]]*formatted_data[[#This Row],[Units]])</f>
        <v>2220</v>
      </c>
      <c r="O1411" s="1" t="s">
        <v>21</v>
      </c>
      <c r="P1411"/>
    </row>
    <row r="1412" spans="1:16" x14ac:dyDescent="0.35">
      <c r="A1412" s="1" t="s">
        <v>38</v>
      </c>
      <c r="B1412" s="1" t="s">
        <v>27</v>
      </c>
      <c r="C1412" s="2">
        <v>45528</v>
      </c>
      <c r="D1412" s="1" t="s">
        <v>28</v>
      </c>
      <c r="E1412" s="1" t="s">
        <v>45</v>
      </c>
      <c r="F1412" s="1" t="s">
        <v>37</v>
      </c>
      <c r="G1412" s="1" t="s">
        <v>19</v>
      </c>
      <c r="H1412" s="1">
        <v>1</v>
      </c>
      <c r="I1412" s="1">
        <v>963</v>
      </c>
      <c r="J1412" s="1">
        <v>1499</v>
      </c>
      <c r="K1412" s="1">
        <v>20</v>
      </c>
      <c r="L1412" s="1">
        <f>ROUNDDOWN(formatted_data[[#This Row],[Selling_Price]]*formatted_data[[#This Row],[Discount_%]]/100,0)</f>
        <v>299</v>
      </c>
      <c r="M1412" s="1">
        <f>(formatted_data[[#This Row],[Selling_Price]]-formatted_data[[#This Row],[Discount_Amount]])*formatted_data[[#This Row],[Units]]</f>
        <v>1200</v>
      </c>
      <c r="N1412" s="1">
        <f>formatted_data[[#This Row],[Total_Revenue]]-(formatted_data[[#This Row],[Cost_Price]]*formatted_data[[#This Row],[Units]])</f>
        <v>237</v>
      </c>
      <c r="O1412" s="1" t="s">
        <v>33</v>
      </c>
      <c r="P1412"/>
    </row>
    <row r="1413" spans="1:16" x14ac:dyDescent="0.35">
      <c r="A1413" s="1" t="s">
        <v>98</v>
      </c>
      <c r="B1413" s="1" t="s">
        <v>16</v>
      </c>
      <c r="C1413" s="2">
        <v>45467</v>
      </c>
      <c r="D1413" s="1" t="s">
        <v>23</v>
      </c>
      <c r="E1413" s="1" t="s">
        <v>24</v>
      </c>
      <c r="F1413" s="1" t="s">
        <v>19</v>
      </c>
      <c r="G1413" s="1" t="s">
        <v>20</v>
      </c>
      <c r="H1413" s="1">
        <v>4</v>
      </c>
      <c r="I1413" s="1">
        <v>1371</v>
      </c>
      <c r="J1413" s="1">
        <v>2299</v>
      </c>
      <c r="K1413" s="1">
        <v>10</v>
      </c>
      <c r="L1413" s="1">
        <f>ROUNDDOWN(formatted_data[[#This Row],[Selling_Price]]*formatted_data[[#This Row],[Discount_%]]/100,0)</f>
        <v>229</v>
      </c>
      <c r="M1413" s="1">
        <f>(formatted_data[[#This Row],[Selling_Price]]-formatted_data[[#This Row],[Discount_Amount]])*formatted_data[[#This Row],[Units]]</f>
        <v>8280</v>
      </c>
      <c r="N1413" s="1">
        <f>formatted_data[[#This Row],[Total_Revenue]]-(formatted_data[[#This Row],[Cost_Price]]*formatted_data[[#This Row],[Units]])</f>
        <v>2796</v>
      </c>
      <c r="O1413" s="1" t="s">
        <v>21</v>
      </c>
      <c r="P1413"/>
    </row>
    <row r="1414" spans="1:16" x14ac:dyDescent="0.35">
      <c r="A1414" s="1" t="s">
        <v>64</v>
      </c>
      <c r="B1414" s="1" t="s">
        <v>16</v>
      </c>
      <c r="C1414" s="2">
        <v>45621</v>
      </c>
      <c r="D1414" s="1" t="s">
        <v>28</v>
      </c>
      <c r="E1414" s="1" t="s">
        <v>29</v>
      </c>
      <c r="F1414" s="1" t="s">
        <v>37</v>
      </c>
      <c r="G1414" s="1" t="s">
        <v>20</v>
      </c>
      <c r="H1414" s="1">
        <v>1</v>
      </c>
      <c r="I1414" s="1">
        <v>388</v>
      </c>
      <c r="J1414" s="1">
        <v>699</v>
      </c>
      <c r="K1414" s="1">
        <v>10</v>
      </c>
      <c r="L1414" s="1">
        <f>ROUNDDOWN(formatted_data[[#This Row],[Selling_Price]]*formatted_data[[#This Row],[Discount_%]]/100,0)</f>
        <v>69</v>
      </c>
      <c r="M1414" s="1">
        <f>(formatted_data[[#This Row],[Selling_Price]]-formatted_data[[#This Row],[Discount_Amount]])*formatted_data[[#This Row],[Units]]</f>
        <v>630</v>
      </c>
      <c r="N1414" s="1">
        <f>formatted_data[[#This Row],[Total_Revenue]]-(formatted_data[[#This Row],[Cost_Price]]*formatted_data[[#This Row],[Units]])</f>
        <v>242</v>
      </c>
      <c r="O1414" s="1" t="s">
        <v>33</v>
      </c>
      <c r="P1414"/>
    </row>
    <row r="1415" spans="1:16" x14ac:dyDescent="0.35">
      <c r="A1415" s="1" t="s">
        <v>83</v>
      </c>
      <c r="B1415" s="1" t="s">
        <v>27</v>
      </c>
      <c r="C1415" s="2">
        <v>45647</v>
      </c>
      <c r="D1415" s="1" t="s">
        <v>28</v>
      </c>
      <c r="E1415" s="1" t="s">
        <v>29</v>
      </c>
      <c r="F1415" s="1" t="s">
        <v>19</v>
      </c>
      <c r="G1415" s="1" t="s">
        <v>20</v>
      </c>
      <c r="H1415" s="1">
        <v>2</v>
      </c>
      <c r="I1415" s="1">
        <v>372</v>
      </c>
      <c r="J1415" s="1">
        <v>599</v>
      </c>
      <c r="K1415" s="1">
        <v>10</v>
      </c>
      <c r="L1415" s="1">
        <f>ROUNDDOWN(formatted_data[[#This Row],[Selling_Price]]*formatted_data[[#This Row],[Discount_%]]/100,0)</f>
        <v>59</v>
      </c>
      <c r="M1415" s="1">
        <f>(formatted_data[[#This Row],[Selling_Price]]-formatted_data[[#This Row],[Discount_Amount]])*formatted_data[[#This Row],[Units]]</f>
        <v>1080</v>
      </c>
      <c r="N1415" s="1">
        <f>formatted_data[[#This Row],[Total_Revenue]]-(formatted_data[[#This Row],[Cost_Price]]*formatted_data[[#This Row],[Units]])</f>
        <v>336</v>
      </c>
      <c r="O1415" s="1" t="s">
        <v>33</v>
      </c>
      <c r="P1415"/>
    </row>
    <row r="1416" spans="1:16" x14ac:dyDescent="0.35">
      <c r="A1416" s="1" t="s">
        <v>30</v>
      </c>
      <c r="B1416" s="1" t="s">
        <v>16</v>
      </c>
      <c r="C1416" s="2">
        <v>45620</v>
      </c>
      <c r="D1416" s="1" t="s">
        <v>28</v>
      </c>
      <c r="E1416" s="1" t="s">
        <v>29</v>
      </c>
      <c r="F1416" s="1" t="s">
        <v>25</v>
      </c>
      <c r="G1416" s="1" t="s">
        <v>20</v>
      </c>
      <c r="H1416" s="1">
        <v>1</v>
      </c>
      <c r="I1416" s="1">
        <v>441</v>
      </c>
      <c r="J1416" s="1">
        <v>599</v>
      </c>
      <c r="K1416" s="1">
        <v>15</v>
      </c>
      <c r="L1416" s="1">
        <f>ROUNDDOWN(formatted_data[[#This Row],[Selling_Price]]*formatted_data[[#This Row],[Discount_%]]/100,0)</f>
        <v>89</v>
      </c>
      <c r="M1416" s="1">
        <f>(formatted_data[[#This Row],[Selling_Price]]-formatted_data[[#This Row],[Discount_Amount]])*formatted_data[[#This Row],[Units]]</f>
        <v>510</v>
      </c>
      <c r="N1416" s="1">
        <f>formatted_data[[#This Row],[Total_Revenue]]-(formatted_data[[#This Row],[Cost_Price]]*formatted_data[[#This Row],[Units]])</f>
        <v>69</v>
      </c>
      <c r="O1416" s="1" t="s">
        <v>21</v>
      </c>
      <c r="P1416"/>
    </row>
    <row r="1417" spans="1:16" x14ac:dyDescent="0.35">
      <c r="A1417" s="1" t="s">
        <v>52</v>
      </c>
      <c r="B1417" s="1" t="s">
        <v>27</v>
      </c>
      <c r="C1417" s="2">
        <v>45447</v>
      </c>
      <c r="D1417" s="1" t="s">
        <v>35</v>
      </c>
      <c r="E1417" s="1" t="s">
        <v>41</v>
      </c>
      <c r="F1417" s="1" t="s">
        <v>25</v>
      </c>
      <c r="G1417" s="1" t="s">
        <v>19</v>
      </c>
      <c r="H1417" s="1">
        <v>2</v>
      </c>
      <c r="I1417" s="1">
        <v>534</v>
      </c>
      <c r="J1417" s="1">
        <v>899</v>
      </c>
      <c r="K1417" s="1">
        <v>10</v>
      </c>
      <c r="L1417" s="1">
        <f>ROUNDDOWN(formatted_data[[#This Row],[Selling_Price]]*formatted_data[[#This Row],[Discount_%]]/100,0)</f>
        <v>89</v>
      </c>
      <c r="M1417" s="1">
        <f>(formatted_data[[#This Row],[Selling_Price]]-formatted_data[[#This Row],[Discount_Amount]])*formatted_data[[#This Row],[Units]]</f>
        <v>1620</v>
      </c>
      <c r="N1417" s="1">
        <f>formatted_data[[#This Row],[Total_Revenue]]-(formatted_data[[#This Row],[Cost_Price]]*formatted_data[[#This Row],[Units]])</f>
        <v>552</v>
      </c>
      <c r="O1417" s="1" t="s">
        <v>21</v>
      </c>
      <c r="P1417"/>
    </row>
    <row r="1418" spans="1:16" x14ac:dyDescent="0.35">
      <c r="A1418" s="1" t="s">
        <v>63</v>
      </c>
      <c r="B1418" s="1" t="s">
        <v>27</v>
      </c>
      <c r="C1418" s="2">
        <v>45594</v>
      </c>
      <c r="D1418" s="1" t="s">
        <v>28</v>
      </c>
      <c r="E1418" s="1" t="s">
        <v>29</v>
      </c>
      <c r="F1418" s="1" t="s">
        <v>37</v>
      </c>
      <c r="G1418" s="1" t="s">
        <v>20</v>
      </c>
      <c r="H1418" s="1">
        <v>4</v>
      </c>
      <c r="I1418" s="1">
        <v>349</v>
      </c>
      <c r="J1418" s="1">
        <v>599</v>
      </c>
      <c r="K1418" s="1">
        <v>20</v>
      </c>
      <c r="L1418" s="1">
        <f>ROUNDDOWN(formatted_data[[#This Row],[Selling_Price]]*formatted_data[[#This Row],[Discount_%]]/100,0)</f>
        <v>119</v>
      </c>
      <c r="M1418" s="1">
        <f>(formatted_data[[#This Row],[Selling_Price]]-formatted_data[[#This Row],[Discount_Amount]])*formatted_data[[#This Row],[Units]]</f>
        <v>1920</v>
      </c>
      <c r="N1418" s="1">
        <f>formatted_data[[#This Row],[Total_Revenue]]-(formatted_data[[#This Row],[Cost_Price]]*formatted_data[[#This Row],[Units]])</f>
        <v>524</v>
      </c>
      <c r="O1418" s="1" t="s">
        <v>21</v>
      </c>
      <c r="P1418"/>
    </row>
    <row r="1419" spans="1:16" x14ac:dyDescent="0.35">
      <c r="A1419" s="1" t="s">
        <v>38</v>
      </c>
      <c r="B1419" s="1" t="s">
        <v>27</v>
      </c>
      <c r="C1419" s="2">
        <v>45497</v>
      </c>
      <c r="D1419" s="1" t="s">
        <v>31</v>
      </c>
      <c r="E1419" s="1" t="s">
        <v>76</v>
      </c>
      <c r="F1419" s="1" t="s">
        <v>19</v>
      </c>
      <c r="G1419" s="1" t="s">
        <v>20</v>
      </c>
      <c r="H1419" s="1">
        <v>3</v>
      </c>
      <c r="I1419" s="1">
        <v>372</v>
      </c>
      <c r="J1419" s="1">
        <v>699</v>
      </c>
      <c r="K1419" s="1">
        <v>0</v>
      </c>
      <c r="L1419" s="1">
        <f>ROUNDDOWN(formatted_data[[#This Row],[Selling_Price]]*formatted_data[[#This Row],[Discount_%]]/100,0)</f>
        <v>0</v>
      </c>
      <c r="M1419" s="1">
        <f>(formatted_data[[#This Row],[Selling_Price]]-formatted_data[[#This Row],[Discount_Amount]])*formatted_data[[#This Row],[Units]]</f>
        <v>2097</v>
      </c>
      <c r="N1419" s="1">
        <f>formatted_data[[#This Row],[Total_Revenue]]-(formatted_data[[#This Row],[Cost_Price]]*formatted_data[[#This Row],[Units]])</f>
        <v>981</v>
      </c>
      <c r="O1419" s="1" t="s">
        <v>33</v>
      </c>
      <c r="P1419"/>
    </row>
    <row r="1420" spans="1:16" x14ac:dyDescent="0.35">
      <c r="A1420" s="1" t="s">
        <v>51</v>
      </c>
      <c r="B1420" s="1" t="s">
        <v>16</v>
      </c>
      <c r="C1420" s="2">
        <v>45523</v>
      </c>
      <c r="D1420" s="1" t="s">
        <v>31</v>
      </c>
      <c r="E1420" s="1" t="s">
        <v>32</v>
      </c>
      <c r="F1420" s="1" t="s">
        <v>25</v>
      </c>
      <c r="G1420" s="1" t="s">
        <v>20</v>
      </c>
      <c r="H1420" s="1">
        <v>2</v>
      </c>
      <c r="I1420" s="1">
        <v>650</v>
      </c>
      <c r="J1420" s="1">
        <v>1199</v>
      </c>
      <c r="K1420" s="1">
        <v>0</v>
      </c>
      <c r="L1420" s="1">
        <f>ROUNDDOWN(formatted_data[[#This Row],[Selling_Price]]*formatted_data[[#This Row],[Discount_%]]/100,0)</f>
        <v>0</v>
      </c>
      <c r="M1420" s="1">
        <f>(formatted_data[[#This Row],[Selling_Price]]-formatted_data[[#This Row],[Discount_Amount]])*formatted_data[[#This Row],[Units]]</f>
        <v>2398</v>
      </c>
      <c r="N1420" s="1">
        <f>formatted_data[[#This Row],[Total_Revenue]]-(formatted_data[[#This Row],[Cost_Price]]*formatted_data[[#This Row],[Units]])</f>
        <v>1098</v>
      </c>
      <c r="O1420" s="1" t="s">
        <v>33</v>
      </c>
      <c r="P1420"/>
    </row>
    <row r="1421" spans="1:16" x14ac:dyDescent="0.35">
      <c r="A1421" s="1" t="s">
        <v>82</v>
      </c>
      <c r="B1421" s="1" t="s">
        <v>27</v>
      </c>
      <c r="C1421" s="2">
        <v>45484</v>
      </c>
      <c r="D1421" s="1" t="s">
        <v>35</v>
      </c>
      <c r="E1421" s="1" t="s">
        <v>41</v>
      </c>
      <c r="F1421" s="1" t="s">
        <v>37</v>
      </c>
      <c r="G1421" s="1" t="s">
        <v>20</v>
      </c>
      <c r="H1421" s="1">
        <v>2</v>
      </c>
      <c r="I1421" s="1">
        <v>616</v>
      </c>
      <c r="J1421" s="1">
        <v>999</v>
      </c>
      <c r="K1421" s="1">
        <v>20</v>
      </c>
      <c r="L1421" s="1">
        <f>ROUNDDOWN(formatted_data[[#This Row],[Selling_Price]]*formatted_data[[#This Row],[Discount_%]]/100,0)</f>
        <v>199</v>
      </c>
      <c r="M1421" s="1">
        <f>(formatted_data[[#This Row],[Selling_Price]]-formatted_data[[#This Row],[Discount_Amount]])*formatted_data[[#This Row],[Units]]</f>
        <v>1600</v>
      </c>
      <c r="N1421" s="1">
        <f>formatted_data[[#This Row],[Total_Revenue]]-(formatted_data[[#This Row],[Cost_Price]]*formatted_data[[#This Row],[Units]])</f>
        <v>368</v>
      </c>
      <c r="O1421" s="1" t="s">
        <v>21</v>
      </c>
      <c r="P1421"/>
    </row>
    <row r="1422" spans="1:16" x14ac:dyDescent="0.35">
      <c r="A1422" s="1" t="s">
        <v>78</v>
      </c>
      <c r="B1422" s="1" t="s">
        <v>16</v>
      </c>
      <c r="C1422" s="2">
        <v>45502</v>
      </c>
      <c r="D1422" s="1" t="s">
        <v>31</v>
      </c>
      <c r="E1422" s="1" t="s">
        <v>32</v>
      </c>
      <c r="F1422" s="1" t="s">
        <v>37</v>
      </c>
      <c r="G1422" s="1" t="s">
        <v>20</v>
      </c>
      <c r="H1422" s="1">
        <v>1</v>
      </c>
      <c r="I1422" s="1">
        <v>527</v>
      </c>
      <c r="J1422" s="1">
        <v>899</v>
      </c>
      <c r="K1422" s="1">
        <v>0</v>
      </c>
      <c r="L1422" s="1">
        <f>ROUNDDOWN(formatted_data[[#This Row],[Selling_Price]]*formatted_data[[#This Row],[Discount_%]]/100,0)</f>
        <v>0</v>
      </c>
      <c r="M1422" s="1">
        <f>(formatted_data[[#This Row],[Selling_Price]]-formatted_data[[#This Row],[Discount_Amount]])*formatted_data[[#This Row],[Units]]</f>
        <v>899</v>
      </c>
      <c r="N1422" s="1">
        <f>formatted_data[[#This Row],[Total_Revenue]]-(formatted_data[[#This Row],[Cost_Price]]*formatted_data[[#This Row],[Units]])</f>
        <v>372</v>
      </c>
      <c r="O1422" s="1" t="s">
        <v>33</v>
      </c>
      <c r="P1422"/>
    </row>
    <row r="1423" spans="1:16" x14ac:dyDescent="0.35">
      <c r="A1423" s="1" t="s">
        <v>38</v>
      </c>
      <c r="B1423" s="1" t="s">
        <v>27</v>
      </c>
      <c r="C1423" s="2">
        <v>45595</v>
      </c>
      <c r="D1423" s="1" t="s">
        <v>17</v>
      </c>
      <c r="E1423" s="1" t="s">
        <v>18</v>
      </c>
      <c r="F1423" s="1" t="s">
        <v>25</v>
      </c>
      <c r="G1423" s="1" t="s">
        <v>20</v>
      </c>
      <c r="H1423" s="1">
        <v>5</v>
      </c>
      <c r="I1423" s="1">
        <v>206</v>
      </c>
      <c r="J1423" s="1">
        <v>299</v>
      </c>
      <c r="K1423" s="1">
        <v>0</v>
      </c>
      <c r="L1423" s="1">
        <f>ROUNDDOWN(formatted_data[[#This Row],[Selling_Price]]*formatted_data[[#This Row],[Discount_%]]/100,0)</f>
        <v>0</v>
      </c>
      <c r="M1423" s="1">
        <f>(formatted_data[[#This Row],[Selling_Price]]-formatted_data[[#This Row],[Discount_Amount]])*formatted_data[[#This Row],[Units]]</f>
        <v>1495</v>
      </c>
      <c r="N1423" s="1">
        <f>formatted_data[[#This Row],[Total_Revenue]]-(formatted_data[[#This Row],[Cost_Price]]*formatted_data[[#This Row],[Units]])</f>
        <v>465</v>
      </c>
      <c r="O1423" s="1" t="s">
        <v>21</v>
      </c>
      <c r="P1423"/>
    </row>
    <row r="1424" spans="1:16" x14ac:dyDescent="0.35">
      <c r="A1424" s="1" t="s">
        <v>83</v>
      </c>
      <c r="B1424" s="1" t="s">
        <v>27</v>
      </c>
      <c r="C1424" s="2">
        <v>45617</v>
      </c>
      <c r="D1424" s="1" t="s">
        <v>35</v>
      </c>
      <c r="E1424" s="1" t="s">
        <v>41</v>
      </c>
      <c r="F1424" s="1" t="s">
        <v>37</v>
      </c>
      <c r="G1424" s="1" t="s">
        <v>20</v>
      </c>
      <c r="H1424" s="1">
        <v>1</v>
      </c>
      <c r="I1424" s="1">
        <v>413</v>
      </c>
      <c r="J1424" s="1">
        <v>599</v>
      </c>
      <c r="K1424" s="1">
        <v>15</v>
      </c>
      <c r="L1424" s="1">
        <f>ROUNDDOWN(formatted_data[[#This Row],[Selling_Price]]*formatted_data[[#This Row],[Discount_%]]/100,0)</f>
        <v>89</v>
      </c>
      <c r="M1424" s="1">
        <f>(formatted_data[[#This Row],[Selling_Price]]-formatted_data[[#This Row],[Discount_Amount]])*formatted_data[[#This Row],[Units]]</f>
        <v>510</v>
      </c>
      <c r="N1424" s="1">
        <f>formatted_data[[#This Row],[Total_Revenue]]-(formatted_data[[#This Row],[Cost_Price]]*formatted_data[[#This Row],[Units]])</f>
        <v>97</v>
      </c>
      <c r="O1424" s="1" t="s">
        <v>21</v>
      </c>
      <c r="P1424"/>
    </row>
    <row r="1425" spans="1:16" x14ac:dyDescent="0.35">
      <c r="A1425" s="1" t="s">
        <v>51</v>
      </c>
      <c r="B1425" s="1" t="s">
        <v>16</v>
      </c>
      <c r="C1425" s="2">
        <v>45640</v>
      </c>
      <c r="D1425" s="1" t="s">
        <v>17</v>
      </c>
      <c r="E1425" s="1" t="s">
        <v>55</v>
      </c>
      <c r="F1425" s="1" t="s">
        <v>25</v>
      </c>
      <c r="G1425" s="1" t="s">
        <v>20</v>
      </c>
      <c r="H1425" s="1">
        <v>1</v>
      </c>
      <c r="I1425" s="1">
        <v>525</v>
      </c>
      <c r="J1425" s="1">
        <v>799</v>
      </c>
      <c r="K1425" s="1">
        <v>0</v>
      </c>
      <c r="L1425" s="1">
        <f>ROUNDDOWN(formatted_data[[#This Row],[Selling_Price]]*formatted_data[[#This Row],[Discount_%]]/100,0)</f>
        <v>0</v>
      </c>
      <c r="M1425" s="1">
        <f>(formatted_data[[#This Row],[Selling_Price]]-formatted_data[[#This Row],[Discount_Amount]])*formatted_data[[#This Row],[Units]]</f>
        <v>799</v>
      </c>
      <c r="N1425" s="1">
        <f>formatted_data[[#This Row],[Total_Revenue]]-(formatted_data[[#This Row],[Cost_Price]]*formatted_data[[#This Row],[Units]])</f>
        <v>274</v>
      </c>
      <c r="O1425" s="1" t="s">
        <v>33</v>
      </c>
      <c r="P1425"/>
    </row>
    <row r="1426" spans="1:16" x14ac:dyDescent="0.35">
      <c r="A1426" s="1" t="s">
        <v>77</v>
      </c>
      <c r="B1426" s="1" t="s">
        <v>27</v>
      </c>
      <c r="C1426" s="2">
        <v>45605</v>
      </c>
      <c r="D1426" s="1" t="s">
        <v>31</v>
      </c>
      <c r="E1426" s="1" t="s">
        <v>32</v>
      </c>
      <c r="F1426" s="1" t="s">
        <v>25</v>
      </c>
      <c r="G1426" s="1" t="s">
        <v>20</v>
      </c>
      <c r="H1426" s="1">
        <v>2</v>
      </c>
      <c r="I1426" s="1">
        <v>735</v>
      </c>
      <c r="J1426" s="1">
        <v>1199</v>
      </c>
      <c r="K1426" s="1">
        <v>0</v>
      </c>
      <c r="L1426" s="1">
        <f>ROUNDDOWN(formatted_data[[#This Row],[Selling_Price]]*formatted_data[[#This Row],[Discount_%]]/100,0)</f>
        <v>0</v>
      </c>
      <c r="M1426" s="1">
        <f>(formatted_data[[#This Row],[Selling_Price]]-formatted_data[[#This Row],[Discount_Amount]])*formatted_data[[#This Row],[Units]]</f>
        <v>2398</v>
      </c>
      <c r="N1426" s="1">
        <f>formatted_data[[#This Row],[Total_Revenue]]-(formatted_data[[#This Row],[Cost_Price]]*formatted_data[[#This Row],[Units]])</f>
        <v>928</v>
      </c>
      <c r="O1426" s="1" t="s">
        <v>21</v>
      </c>
      <c r="P1426"/>
    </row>
    <row r="1427" spans="1:16" x14ac:dyDescent="0.35">
      <c r="A1427" s="1" t="s">
        <v>98</v>
      </c>
      <c r="B1427" s="1" t="s">
        <v>16</v>
      </c>
      <c r="C1427" s="2">
        <v>45526</v>
      </c>
      <c r="D1427" s="1" t="s">
        <v>28</v>
      </c>
      <c r="E1427" s="1" t="s">
        <v>29</v>
      </c>
      <c r="F1427" s="1" t="s">
        <v>37</v>
      </c>
      <c r="G1427" s="1" t="s">
        <v>19</v>
      </c>
      <c r="H1427" s="1">
        <v>1</v>
      </c>
      <c r="I1427" s="1">
        <v>304</v>
      </c>
      <c r="J1427" s="1">
        <v>499</v>
      </c>
      <c r="K1427" s="1">
        <v>10</v>
      </c>
      <c r="L1427" s="1">
        <f>ROUNDDOWN(formatted_data[[#This Row],[Selling_Price]]*formatted_data[[#This Row],[Discount_%]]/100,0)</f>
        <v>49</v>
      </c>
      <c r="M1427" s="1">
        <f>(formatted_data[[#This Row],[Selling_Price]]-formatted_data[[#This Row],[Discount_Amount]])*formatted_data[[#This Row],[Units]]</f>
        <v>450</v>
      </c>
      <c r="N1427" s="1">
        <f>formatted_data[[#This Row],[Total_Revenue]]-(formatted_data[[#This Row],[Cost_Price]]*formatted_data[[#This Row],[Units]])</f>
        <v>146</v>
      </c>
      <c r="O1427" s="1" t="s">
        <v>33</v>
      </c>
      <c r="P1427"/>
    </row>
    <row r="1428" spans="1:16" x14ac:dyDescent="0.35">
      <c r="A1428" s="1" t="s">
        <v>83</v>
      </c>
      <c r="B1428" s="1" t="s">
        <v>27</v>
      </c>
      <c r="C1428" s="2">
        <v>45538</v>
      </c>
      <c r="D1428" s="1" t="s">
        <v>17</v>
      </c>
      <c r="E1428" s="1" t="s">
        <v>55</v>
      </c>
      <c r="F1428" s="1" t="s">
        <v>37</v>
      </c>
      <c r="G1428" s="1" t="s">
        <v>20</v>
      </c>
      <c r="H1428" s="1">
        <v>1</v>
      </c>
      <c r="I1428" s="1">
        <v>179</v>
      </c>
      <c r="J1428" s="1">
        <v>299</v>
      </c>
      <c r="K1428" s="1">
        <v>0</v>
      </c>
      <c r="L1428" s="1">
        <f>ROUNDDOWN(formatted_data[[#This Row],[Selling_Price]]*formatted_data[[#This Row],[Discount_%]]/100,0)</f>
        <v>0</v>
      </c>
      <c r="M1428" s="1">
        <f>(formatted_data[[#This Row],[Selling_Price]]-formatted_data[[#This Row],[Discount_Amount]])*formatted_data[[#This Row],[Units]]</f>
        <v>299</v>
      </c>
      <c r="N1428" s="1">
        <f>formatted_data[[#This Row],[Total_Revenue]]-(formatted_data[[#This Row],[Cost_Price]]*formatted_data[[#This Row],[Units]])</f>
        <v>120</v>
      </c>
      <c r="O1428" s="1" t="s">
        <v>33</v>
      </c>
      <c r="P1428"/>
    </row>
    <row r="1429" spans="1:16" x14ac:dyDescent="0.35">
      <c r="A1429" s="1" t="s">
        <v>30</v>
      </c>
      <c r="B1429" s="1" t="s">
        <v>16</v>
      </c>
      <c r="C1429" s="2">
        <v>45561</v>
      </c>
      <c r="D1429" s="1" t="s">
        <v>17</v>
      </c>
      <c r="E1429" s="1" t="s">
        <v>55</v>
      </c>
      <c r="F1429" s="1" t="s">
        <v>25</v>
      </c>
      <c r="G1429" s="1" t="s">
        <v>19</v>
      </c>
      <c r="H1429" s="1">
        <v>1</v>
      </c>
      <c r="I1429" s="1">
        <v>367</v>
      </c>
      <c r="J1429" s="1">
        <v>599</v>
      </c>
      <c r="K1429" s="1">
        <v>0</v>
      </c>
      <c r="L1429" s="1">
        <f>ROUNDDOWN(formatted_data[[#This Row],[Selling_Price]]*formatted_data[[#This Row],[Discount_%]]/100,0)</f>
        <v>0</v>
      </c>
      <c r="M1429" s="1">
        <f>(formatted_data[[#This Row],[Selling_Price]]-formatted_data[[#This Row],[Discount_Amount]])*formatted_data[[#This Row],[Units]]</f>
        <v>599</v>
      </c>
      <c r="N1429" s="1">
        <f>formatted_data[[#This Row],[Total_Revenue]]-(formatted_data[[#This Row],[Cost_Price]]*formatted_data[[#This Row],[Units]])</f>
        <v>232</v>
      </c>
      <c r="O1429" s="1" t="s">
        <v>21</v>
      </c>
      <c r="P1429"/>
    </row>
    <row r="1430" spans="1:16" x14ac:dyDescent="0.35">
      <c r="A1430" s="1" t="s">
        <v>65</v>
      </c>
      <c r="B1430" s="1" t="s">
        <v>16</v>
      </c>
      <c r="C1430" s="2">
        <v>45508</v>
      </c>
      <c r="D1430" s="1" t="s">
        <v>17</v>
      </c>
      <c r="E1430" s="1" t="s">
        <v>48</v>
      </c>
      <c r="F1430" s="1" t="s">
        <v>37</v>
      </c>
      <c r="G1430" s="1" t="s">
        <v>20</v>
      </c>
      <c r="H1430" s="1">
        <v>2</v>
      </c>
      <c r="I1430" s="1">
        <v>269</v>
      </c>
      <c r="J1430" s="1">
        <v>399</v>
      </c>
      <c r="K1430" s="1">
        <v>0</v>
      </c>
      <c r="L1430" s="1">
        <f>ROUNDDOWN(formatted_data[[#This Row],[Selling_Price]]*formatted_data[[#This Row],[Discount_%]]/100,0)</f>
        <v>0</v>
      </c>
      <c r="M1430" s="1">
        <f>(formatted_data[[#This Row],[Selling_Price]]-formatted_data[[#This Row],[Discount_Amount]])*formatted_data[[#This Row],[Units]]</f>
        <v>798</v>
      </c>
      <c r="N1430" s="1">
        <f>formatted_data[[#This Row],[Total_Revenue]]-(formatted_data[[#This Row],[Cost_Price]]*formatted_data[[#This Row],[Units]])</f>
        <v>260</v>
      </c>
      <c r="O1430" s="1" t="s">
        <v>21</v>
      </c>
      <c r="P1430"/>
    </row>
    <row r="1431" spans="1:16" x14ac:dyDescent="0.35">
      <c r="A1431" s="1" t="s">
        <v>26</v>
      </c>
      <c r="B1431" s="1" t="s">
        <v>27</v>
      </c>
      <c r="C1431" s="2">
        <v>45650</v>
      </c>
      <c r="D1431" s="1" t="s">
        <v>31</v>
      </c>
      <c r="E1431" s="1" t="s">
        <v>76</v>
      </c>
      <c r="F1431" s="1" t="s">
        <v>19</v>
      </c>
      <c r="G1431" s="1" t="s">
        <v>19</v>
      </c>
      <c r="H1431" s="1">
        <v>2</v>
      </c>
      <c r="I1431" s="1">
        <v>1048</v>
      </c>
      <c r="J1431" s="1">
        <v>1499</v>
      </c>
      <c r="K1431" s="1">
        <v>0</v>
      </c>
      <c r="L1431" s="1">
        <f>ROUNDDOWN(formatted_data[[#This Row],[Selling_Price]]*formatted_data[[#This Row],[Discount_%]]/100,0)</f>
        <v>0</v>
      </c>
      <c r="M1431" s="1">
        <f>(formatted_data[[#This Row],[Selling_Price]]-formatted_data[[#This Row],[Discount_Amount]])*formatted_data[[#This Row],[Units]]</f>
        <v>2998</v>
      </c>
      <c r="N1431" s="1">
        <f>formatted_data[[#This Row],[Total_Revenue]]-(formatted_data[[#This Row],[Cost_Price]]*formatted_data[[#This Row],[Units]])</f>
        <v>902</v>
      </c>
      <c r="O1431" s="1" t="s">
        <v>21</v>
      </c>
      <c r="P1431"/>
    </row>
    <row r="1432" spans="1:16" x14ac:dyDescent="0.35">
      <c r="A1432" s="1" t="s">
        <v>30</v>
      </c>
      <c r="B1432" s="1" t="s">
        <v>16</v>
      </c>
      <c r="C1432" s="2">
        <v>45560</v>
      </c>
      <c r="D1432" s="1" t="s">
        <v>17</v>
      </c>
      <c r="E1432" s="1" t="s">
        <v>48</v>
      </c>
      <c r="F1432" s="1" t="s">
        <v>19</v>
      </c>
      <c r="G1432" s="1" t="s">
        <v>20</v>
      </c>
      <c r="H1432" s="1">
        <v>2</v>
      </c>
      <c r="I1432" s="1">
        <v>408</v>
      </c>
      <c r="J1432" s="1">
        <v>599</v>
      </c>
      <c r="K1432" s="1">
        <v>0</v>
      </c>
      <c r="L1432" s="1">
        <f>ROUNDDOWN(formatted_data[[#This Row],[Selling_Price]]*formatted_data[[#This Row],[Discount_%]]/100,0)</f>
        <v>0</v>
      </c>
      <c r="M1432" s="1">
        <f>(formatted_data[[#This Row],[Selling_Price]]-formatted_data[[#This Row],[Discount_Amount]])*formatted_data[[#This Row],[Units]]</f>
        <v>1198</v>
      </c>
      <c r="N1432" s="1">
        <f>formatted_data[[#This Row],[Total_Revenue]]-(formatted_data[[#This Row],[Cost_Price]]*formatted_data[[#This Row],[Units]])</f>
        <v>382</v>
      </c>
      <c r="O1432" s="1" t="s">
        <v>21</v>
      </c>
      <c r="P1432"/>
    </row>
    <row r="1433" spans="1:16" x14ac:dyDescent="0.35">
      <c r="A1433" s="1" t="s">
        <v>98</v>
      </c>
      <c r="B1433" s="1" t="s">
        <v>16</v>
      </c>
      <c r="C1433" s="2">
        <v>45509</v>
      </c>
      <c r="D1433" s="1" t="s">
        <v>23</v>
      </c>
      <c r="E1433" s="1" t="s">
        <v>43</v>
      </c>
      <c r="F1433" s="1" t="s">
        <v>25</v>
      </c>
      <c r="G1433" s="1" t="s">
        <v>20</v>
      </c>
      <c r="H1433" s="1">
        <v>1</v>
      </c>
      <c r="I1433" s="1">
        <v>1401</v>
      </c>
      <c r="J1433" s="1">
        <v>2599</v>
      </c>
      <c r="K1433" s="1">
        <v>15</v>
      </c>
      <c r="L1433" s="1">
        <f>ROUNDDOWN(formatted_data[[#This Row],[Selling_Price]]*formatted_data[[#This Row],[Discount_%]]/100,0)</f>
        <v>389</v>
      </c>
      <c r="M1433" s="1">
        <f>(formatted_data[[#This Row],[Selling_Price]]-formatted_data[[#This Row],[Discount_Amount]])*formatted_data[[#This Row],[Units]]</f>
        <v>2210</v>
      </c>
      <c r="N1433" s="1">
        <f>formatted_data[[#This Row],[Total_Revenue]]-(formatted_data[[#This Row],[Cost_Price]]*formatted_data[[#This Row],[Units]])</f>
        <v>809</v>
      </c>
      <c r="O1433" s="1" t="s">
        <v>21</v>
      </c>
      <c r="P1433"/>
    </row>
    <row r="1434" spans="1:16" x14ac:dyDescent="0.35">
      <c r="A1434" s="1" t="s">
        <v>101</v>
      </c>
      <c r="B1434" s="1" t="s">
        <v>16</v>
      </c>
      <c r="C1434" s="2">
        <v>45581</v>
      </c>
      <c r="D1434" s="1" t="s">
        <v>35</v>
      </c>
      <c r="E1434" s="1" t="s">
        <v>58</v>
      </c>
      <c r="F1434" s="1" t="s">
        <v>37</v>
      </c>
      <c r="G1434" s="1" t="s">
        <v>19</v>
      </c>
      <c r="H1434" s="1">
        <v>1</v>
      </c>
      <c r="I1434" s="1">
        <v>1385</v>
      </c>
      <c r="J1434" s="1">
        <v>2199</v>
      </c>
      <c r="K1434" s="1">
        <v>5</v>
      </c>
      <c r="L1434" s="1">
        <f>ROUNDDOWN(formatted_data[[#This Row],[Selling_Price]]*formatted_data[[#This Row],[Discount_%]]/100,0)</f>
        <v>109</v>
      </c>
      <c r="M1434" s="1">
        <f>(formatted_data[[#This Row],[Selling_Price]]-formatted_data[[#This Row],[Discount_Amount]])*formatted_data[[#This Row],[Units]]</f>
        <v>2090</v>
      </c>
      <c r="N1434" s="1">
        <f>formatted_data[[#This Row],[Total_Revenue]]-(formatted_data[[#This Row],[Cost_Price]]*formatted_data[[#This Row],[Units]])</f>
        <v>705</v>
      </c>
      <c r="O1434" s="1" t="s">
        <v>21</v>
      </c>
      <c r="P1434"/>
    </row>
    <row r="1435" spans="1:16" x14ac:dyDescent="0.35">
      <c r="A1435" s="1" t="s">
        <v>105</v>
      </c>
      <c r="B1435" s="1" t="s">
        <v>16</v>
      </c>
      <c r="C1435" s="2">
        <v>45553</v>
      </c>
      <c r="D1435" s="1" t="s">
        <v>23</v>
      </c>
      <c r="E1435" s="1" t="s">
        <v>24</v>
      </c>
      <c r="F1435" s="1" t="s">
        <v>19</v>
      </c>
      <c r="G1435" s="1" t="s">
        <v>20</v>
      </c>
      <c r="H1435" s="1">
        <v>2</v>
      </c>
      <c r="I1435" s="1">
        <v>1167</v>
      </c>
      <c r="J1435" s="1">
        <v>2299</v>
      </c>
      <c r="K1435" s="1">
        <v>10</v>
      </c>
      <c r="L1435" s="1">
        <f>ROUNDDOWN(formatted_data[[#This Row],[Selling_Price]]*formatted_data[[#This Row],[Discount_%]]/100,0)</f>
        <v>229</v>
      </c>
      <c r="M1435" s="1">
        <f>(formatted_data[[#This Row],[Selling_Price]]-formatted_data[[#This Row],[Discount_Amount]])*formatted_data[[#This Row],[Units]]</f>
        <v>4140</v>
      </c>
      <c r="N1435" s="1">
        <f>formatted_data[[#This Row],[Total_Revenue]]-(formatted_data[[#This Row],[Cost_Price]]*formatted_data[[#This Row],[Units]])</f>
        <v>1806</v>
      </c>
      <c r="O1435" s="1" t="s">
        <v>21</v>
      </c>
      <c r="P1435"/>
    </row>
    <row r="1436" spans="1:16" x14ac:dyDescent="0.35">
      <c r="A1436" s="1" t="s">
        <v>57</v>
      </c>
      <c r="B1436" s="1" t="s">
        <v>27</v>
      </c>
      <c r="C1436" s="2">
        <v>45633</v>
      </c>
      <c r="D1436" s="1" t="s">
        <v>28</v>
      </c>
      <c r="E1436" s="1" t="s">
        <v>45</v>
      </c>
      <c r="F1436" s="1" t="s">
        <v>37</v>
      </c>
      <c r="G1436" s="1" t="s">
        <v>19</v>
      </c>
      <c r="H1436" s="1">
        <v>5</v>
      </c>
      <c r="I1436" s="1">
        <v>670</v>
      </c>
      <c r="J1436" s="1">
        <v>999</v>
      </c>
      <c r="K1436" s="1">
        <v>20</v>
      </c>
      <c r="L1436" s="1">
        <f>ROUNDDOWN(formatted_data[[#This Row],[Selling_Price]]*formatted_data[[#This Row],[Discount_%]]/100,0)</f>
        <v>199</v>
      </c>
      <c r="M1436" s="1">
        <f>(formatted_data[[#This Row],[Selling_Price]]-formatted_data[[#This Row],[Discount_Amount]])*formatted_data[[#This Row],[Units]]</f>
        <v>4000</v>
      </c>
      <c r="N1436" s="1">
        <f>formatted_data[[#This Row],[Total_Revenue]]-(formatted_data[[#This Row],[Cost_Price]]*formatted_data[[#This Row],[Units]])</f>
        <v>650</v>
      </c>
      <c r="O1436" s="1" t="s">
        <v>33</v>
      </c>
      <c r="P1436"/>
    </row>
    <row r="1437" spans="1:16" x14ac:dyDescent="0.35">
      <c r="A1437" s="1" t="s">
        <v>46</v>
      </c>
      <c r="B1437" s="1" t="s">
        <v>16</v>
      </c>
      <c r="C1437" s="2">
        <v>45453</v>
      </c>
      <c r="D1437" s="1" t="s">
        <v>17</v>
      </c>
      <c r="E1437" s="1" t="s">
        <v>18</v>
      </c>
      <c r="F1437" s="1" t="s">
        <v>37</v>
      </c>
      <c r="G1437" s="1" t="s">
        <v>19</v>
      </c>
      <c r="H1437" s="1">
        <v>3</v>
      </c>
      <c r="I1437" s="1">
        <v>345</v>
      </c>
      <c r="J1437" s="1">
        <v>599</v>
      </c>
      <c r="K1437" s="1">
        <v>0</v>
      </c>
      <c r="L1437" s="1">
        <f>ROUNDDOWN(formatted_data[[#This Row],[Selling_Price]]*formatted_data[[#This Row],[Discount_%]]/100,0)</f>
        <v>0</v>
      </c>
      <c r="M1437" s="1">
        <f>(formatted_data[[#This Row],[Selling_Price]]-formatted_data[[#This Row],[Discount_Amount]])*formatted_data[[#This Row],[Units]]</f>
        <v>1797</v>
      </c>
      <c r="N1437" s="1">
        <f>formatted_data[[#This Row],[Total_Revenue]]-(formatted_data[[#This Row],[Cost_Price]]*formatted_data[[#This Row],[Units]])</f>
        <v>762</v>
      </c>
      <c r="O1437" s="1" t="s">
        <v>21</v>
      </c>
      <c r="P1437"/>
    </row>
    <row r="1438" spans="1:16" x14ac:dyDescent="0.35">
      <c r="A1438" s="1" t="s">
        <v>93</v>
      </c>
      <c r="B1438" s="1" t="s">
        <v>16</v>
      </c>
      <c r="C1438" s="2">
        <v>45500</v>
      </c>
      <c r="D1438" s="1" t="s">
        <v>17</v>
      </c>
      <c r="E1438" s="1" t="s">
        <v>72</v>
      </c>
      <c r="F1438" s="1" t="s">
        <v>19</v>
      </c>
      <c r="G1438" s="1" t="s">
        <v>19</v>
      </c>
      <c r="H1438" s="1">
        <v>1</v>
      </c>
      <c r="I1438" s="1">
        <v>216</v>
      </c>
      <c r="J1438" s="1">
        <v>399</v>
      </c>
      <c r="K1438" s="1">
        <v>0</v>
      </c>
      <c r="L1438" s="1">
        <f>ROUNDDOWN(formatted_data[[#This Row],[Selling_Price]]*formatted_data[[#This Row],[Discount_%]]/100,0)</f>
        <v>0</v>
      </c>
      <c r="M1438" s="1">
        <f>(formatted_data[[#This Row],[Selling_Price]]-formatted_data[[#This Row],[Discount_Amount]])*formatted_data[[#This Row],[Units]]</f>
        <v>399</v>
      </c>
      <c r="N1438" s="1">
        <f>formatted_data[[#This Row],[Total_Revenue]]-(formatted_data[[#This Row],[Cost_Price]]*formatted_data[[#This Row],[Units]])</f>
        <v>183</v>
      </c>
      <c r="O1438" s="1" t="s">
        <v>33</v>
      </c>
      <c r="P1438"/>
    </row>
    <row r="1439" spans="1:16" x14ac:dyDescent="0.35">
      <c r="A1439" s="1" t="s">
        <v>63</v>
      </c>
      <c r="B1439" s="1" t="s">
        <v>27</v>
      </c>
      <c r="C1439" s="2">
        <v>45583</v>
      </c>
      <c r="D1439" s="1" t="s">
        <v>23</v>
      </c>
      <c r="E1439" s="1" t="s">
        <v>43</v>
      </c>
      <c r="F1439" s="1" t="s">
        <v>37</v>
      </c>
      <c r="G1439" s="1" t="s">
        <v>20</v>
      </c>
      <c r="H1439" s="1">
        <v>1</v>
      </c>
      <c r="I1439" s="1">
        <v>1413</v>
      </c>
      <c r="J1439" s="1">
        <v>2399</v>
      </c>
      <c r="K1439" s="1">
        <v>15</v>
      </c>
      <c r="L1439" s="1">
        <f>ROUNDDOWN(formatted_data[[#This Row],[Selling_Price]]*formatted_data[[#This Row],[Discount_%]]/100,0)</f>
        <v>359</v>
      </c>
      <c r="M1439" s="1">
        <f>(formatted_data[[#This Row],[Selling_Price]]-formatted_data[[#This Row],[Discount_Amount]])*formatted_data[[#This Row],[Units]]</f>
        <v>2040</v>
      </c>
      <c r="N1439" s="1">
        <f>formatted_data[[#This Row],[Total_Revenue]]-(formatted_data[[#This Row],[Cost_Price]]*formatted_data[[#This Row],[Units]])</f>
        <v>627</v>
      </c>
      <c r="O1439" s="1" t="s">
        <v>21</v>
      </c>
      <c r="P1439"/>
    </row>
    <row r="1440" spans="1:16" x14ac:dyDescent="0.35">
      <c r="A1440" s="1" t="s">
        <v>77</v>
      </c>
      <c r="B1440" s="1" t="s">
        <v>27</v>
      </c>
      <c r="C1440" s="2">
        <v>45584</v>
      </c>
      <c r="D1440" s="1" t="s">
        <v>35</v>
      </c>
      <c r="E1440" s="1" t="s">
        <v>58</v>
      </c>
      <c r="F1440" s="1" t="s">
        <v>19</v>
      </c>
      <c r="G1440" s="1" t="s">
        <v>20</v>
      </c>
      <c r="H1440" s="1">
        <v>4</v>
      </c>
      <c r="I1440" s="1">
        <v>672</v>
      </c>
      <c r="J1440" s="1">
        <v>1199</v>
      </c>
      <c r="K1440" s="1">
        <v>15</v>
      </c>
      <c r="L1440" s="1">
        <f>ROUNDDOWN(formatted_data[[#This Row],[Selling_Price]]*formatted_data[[#This Row],[Discount_%]]/100,0)</f>
        <v>179</v>
      </c>
      <c r="M1440" s="1">
        <f>(formatted_data[[#This Row],[Selling_Price]]-formatted_data[[#This Row],[Discount_Amount]])*formatted_data[[#This Row],[Units]]</f>
        <v>4080</v>
      </c>
      <c r="N1440" s="1">
        <f>formatted_data[[#This Row],[Total_Revenue]]-(formatted_data[[#This Row],[Cost_Price]]*formatted_data[[#This Row],[Units]])</f>
        <v>1392</v>
      </c>
      <c r="O1440" s="1" t="s">
        <v>21</v>
      </c>
      <c r="P1440"/>
    </row>
    <row r="1441" spans="1:16" x14ac:dyDescent="0.35">
      <c r="A1441" s="1" t="s">
        <v>104</v>
      </c>
      <c r="B1441" s="1" t="s">
        <v>27</v>
      </c>
      <c r="C1441" s="2">
        <v>45581</v>
      </c>
      <c r="D1441" s="1" t="s">
        <v>35</v>
      </c>
      <c r="E1441" s="1" t="s">
        <v>39</v>
      </c>
      <c r="F1441" s="1" t="s">
        <v>25</v>
      </c>
      <c r="G1441" s="1" t="s">
        <v>20</v>
      </c>
      <c r="H1441" s="1">
        <v>1</v>
      </c>
      <c r="I1441" s="1">
        <v>639</v>
      </c>
      <c r="J1441" s="1">
        <v>899</v>
      </c>
      <c r="K1441" s="1">
        <v>20</v>
      </c>
      <c r="L1441" s="1">
        <f>ROUNDDOWN(formatted_data[[#This Row],[Selling_Price]]*formatted_data[[#This Row],[Discount_%]]/100,0)</f>
        <v>179</v>
      </c>
      <c r="M1441" s="1">
        <f>(formatted_data[[#This Row],[Selling_Price]]-formatted_data[[#This Row],[Discount_Amount]])*formatted_data[[#This Row],[Units]]</f>
        <v>720</v>
      </c>
      <c r="N1441" s="1">
        <f>formatted_data[[#This Row],[Total_Revenue]]-(formatted_data[[#This Row],[Cost_Price]]*formatted_data[[#This Row],[Units]])</f>
        <v>81</v>
      </c>
      <c r="O1441" s="1" t="s">
        <v>33</v>
      </c>
      <c r="P1441"/>
    </row>
    <row r="1442" spans="1:16" x14ac:dyDescent="0.35">
      <c r="A1442" s="1" t="s">
        <v>83</v>
      </c>
      <c r="B1442" s="1" t="s">
        <v>27</v>
      </c>
      <c r="C1442" s="2">
        <v>45617</v>
      </c>
      <c r="D1442" s="1" t="s">
        <v>35</v>
      </c>
      <c r="E1442" s="1" t="s">
        <v>41</v>
      </c>
      <c r="F1442" s="1" t="s">
        <v>19</v>
      </c>
      <c r="G1442" s="1" t="s">
        <v>20</v>
      </c>
      <c r="H1442" s="1">
        <v>1</v>
      </c>
      <c r="I1442" s="1">
        <v>391</v>
      </c>
      <c r="J1442" s="1">
        <v>699</v>
      </c>
      <c r="K1442" s="1">
        <v>20</v>
      </c>
      <c r="L1442" s="1">
        <f>ROUNDDOWN(formatted_data[[#This Row],[Selling_Price]]*formatted_data[[#This Row],[Discount_%]]/100,0)</f>
        <v>139</v>
      </c>
      <c r="M1442" s="1">
        <f>(formatted_data[[#This Row],[Selling_Price]]-formatted_data[[#This Row],[Discount_Amount]])*formatted_data[[#This Row],[Units]]</f>
        <v>560</v>
      </c>
      <c r="N1442" s="1">
        <f>formatted_data[[#This Row],[Total_Revenue]]-(formatted_data[[#This Row],[Cost_Price]]*formatted_data[[#This Row],[Units]])</f>
        <v>169</v>
      </c>
      <c r="O1442" s="1" t="s">
        <v>33</v>
      </c>
      <c r="P1442"/>
    </row>
    <row r="1443" spans="1:16" x14ac:dyDescent="0.35">
      <c r="A1443" s="1" t="s">
        <v>63</v>
      </c>
      <c r="B1443" s="1" t="s">
        <v>27</v>
      </c>
      <c r="C1443" s="2">
        <v>45459</v>
      </c>
      <c r="D1443" s="1" t="s">
        <v>23</v>
      </c>
      <c r="E1443" s="1" t="s">
        <v>24</v>
      </c>
      <c r="F1443" s="1" t="s">
        <v>19</v>
      </c>
      <c r="G1443" s="1" t="s">
        <v>19</v>
      </c>
      <c r="H1443" s="1">
        <v>1</v>
      </c>
      <c r="I1443" s="1">
        <v>737</v>
      </c>
      <c r="J1443" s="1">
        <v>1399</v>
      </c>
      <c r="K1443" s="1">
        <v>10</v>
      </c>
      <c r="L1443" s="1">
        <f>ROUNDDOWN(formatted_data[[#This Row],[Selling_Price]]*formatted_data[[#This Row],[Discount_%]]/100,0)</f>
        <v>139</v>
      </c>
      <c r="M1443" s="1">
        <f>(formatted_data[[#This Row],[Selling_Price]]-formatted_data[[#This Row],[Discount_Amount]])*formatted_data[[#This Row],[Units]]</f>
        <v>1260</v>
      </c>
      <c r="N1443" s="1">
        <f>formatted_data[[#This Row],[Total_Revenue]]-(formatted_data[[#This Row],[Cost_Price]]*formatted_data[[#This Row],[Units]])</f>
        <v>523</v>
      </c>
      <c r="O1443" s="1" t="s">
        <v>21</v>
      </c>
      <c r="P1443"/>
    </row>
    <row r="1444" spans="1:16" x14ac:dyDescent="0.35">
      <c r="A1444" s="1" t="s">
        <v>83</v>
      </c>
      <c r="B1444" s="1" t="s">
        <v>27</v>
      </c>
      <c r="C1444" s="2">
        <v>45452</v>
      </c>
      <c r="D1444" s="1" t="s">
        <v>35</v>
      </c>
      <c r="E1444" s="1" t="s">
        <v>39</v>
      </c>
      <c r="F1444" s="1" t="s">
        <v>25</v>
      </c>
      <c r="G1444" s="1" t="s">
        <v>19</v>
      </c>
      <c r="H1444" s="1">
        <v>5</v>
      </c>
      <c r="I1444" s="1">
        <v>1051</v>
      </c>
      <c r="J1444" s="1">
        <v>1599</v>
      </c>
      <c r="K1444" s="1">
        <v>15</v>
      </c>
      <c r="L1444" s="1">
        <f>ROUNDDOWN(formatted_data[[#This Row],[Selling_Price]]*formatted_data[[#This Row],[Discount_%]]/100,0)</f>
        <v>239</v>
      </c>
      <c r="M1444" s="1">
        <f>(formatted_data[[#This Row],[Selling_Price]]-formatted_data[[#This Row],[Discount_Amount]])*formatted_data[[#This Row],[Units]]</f>
        <v>6800</v>
      </c>
      <c r="N1444" s="1">
        <f>formatted_data[[#This Row],[Total_Revenue]]-(formatted_data[[#This Row],[Cost_Price]]*formatted_data[[#This Row],[Units]])</f>
        <v>1545</v>
      </c>
      <c r="O1444" s="1" t="s">
        <v>21</v>
      </c>
      <c r="P1444"/>
    </row>
    <row r="1445" spans="1:16" x14ac:dyDescent="0.35">
      <c r="A1445" s="1" t="s">
        <v>49</v>
      </c>
      <c r="B1445" s="1" t="s">
        <v>27</v>
      </c>
      <c r="C1445" s="2">
        <v>45494</v>
      </c>
      <c r="D1445" s="1" t="s">
        <v>35</v>
      </c>
      <c r="E1445" s="1" t="s">
        <v>87</v>
      </c>
      <c r="F1445" s="1" t="s">
        <v>19</v>
      </c>
      <c r="G1445" s="1" t="s">
        <v>19</v>
      </c>
      <c r="H1445" s="1">
        <v>1</v>
      </c>
      <c r="I1445" s="1">
        <v>1772</v>
      </c>
      <c r="J1445" s="1">
        <v>3199</v>
      </c>
      <c r="K1445" s="1">
        <v>5</v>
      </c>
      <c r="L1445" s="1">
        <f>ROUNDDOWN(formatted_data[[#This Row],[Selling_Price]]*formatted_data[[#This Row],[Discount_%]]/100,0)</f>
        <v>159</v>
      </c>
      <c r="M1445" s="1">
        <f>(formatted_data[[#This Row],[Selling_Price]]-formatted_data[[#This Row],[Discount_Amount]])*formatted_data[[#This Row],[Units]]</f>
        <v>3040</v>
      </c>
      <c r="N1445" s="1">
        <f>formatted_data[[#This Row],[Total_Revenue]]-(formatted_data[[#This Row],[Cost_Price]]*formatted_data[[#This Row],[Units]])</f>
        <v>1268</v>
      </c>
      <c r="O1445" s="1" t="s">
        <v>33</v>
      </c>
      <c r="P1445"/>
    </row>
    <row r="1446" spans="1:16" x14ac:dyDescent="0.35">
      <c r="A1446" s="1" t="s">
        <v>102</v>
      </c>
      <c r="B1446" s="1" t="s">
        <v>27</v>
      </c>
      <c r="C1446" s="2">
        <v>45449</v>
      </c>
      <c r="D1446" s="1" t="s">
        <v>23</v>
      </c>
      <c r="E1446" s="1" t="s">
        <v>43</v>
      </c>
      <c r="F1446" s="1" t="s">
        <v>19</v>
      </c>
      <c r="G1446" s="1" t="s">
        <v>19</v>
      </c>
      <c r="H1446" s="1">
        <v>5</v>
      </c>
      <c r="I1446" s="1">
        <v>3181</v>
      </c>
      <c r="J1446" s="1">
        <v>4799</v>
      </c>
      <c r="K1446" s="1">
        <v>15</v>
      </c>
      <c r="L1446" s="1">
        <f>ROUNDDOWN(formatted_data[[#This Row],[Selling_Price]]*formatted_data[[#This Row],[Discount_%]]/100,0)</f>
        <v>719</v>
      </c>
      <c r="M1446" s="1">
        <f>(formatted_data[[#This Row],[Selling_Price]]-formatted_data[[#This Row],[Discount_Amount]])*formatted_data[[#This Row],[Units]]</f>
        <v>20400</v>
      </c>
      <c r="N1446" s="1">
        <f>formatted_data[[#This Row],[Total_Revenue]]-(formatted_data[[#This Row],[Cost_Price]]*formatted_data[[#This Row],[Units]])</f>
        <v>4495</v>
      </c>
      <c r="O1446" s="1" t="s">
        <v>21</v>
      </c>
      <c r="P1446"/>
    </row>
    <row r="1447" spans="1:16" x14ac:dyDescent="0.35">
      <c r="A1447" s="1" t="s">
        <v>84</v>
      </c>
      <c r="B1447" s="1" t="s">
        <v>27</v>
      </c>
      <c r="C1447" s="2">
        <v>45565</v>
      </c>
      <c r="D1447" s="1" t="s">
        <v>35</v>
      </c>
      <c r="E1447" s="1" t="s">
        <v>87</v>
      </c>
      <c r="F1447" s="1" t="s">
        <v>37</v>
      </c>
      <c r="G1447" s="1" t="s">
        <v>20</v>
      </c>
      <c r="H1447" s="1">
        <v>5</v>
      </c>
      <c r="I1447" s="1">
        <v>2064</v>
      </c>
      <c r="J1447" s="1">
        <v>2999</v>
      </c>
      <c r="K1447" s="1">
        <v>15</v>
      </c>
      <c r="L1447" s="1">
        <f>ROUNDDOWN(formatted_data[[#This Row],[Selling_Price]]*formatted_data[[#This Row],[Discount_%]]/100,0)</f>
        <v>449</v>
      </c>
      <c r="M1447" s="1">
        <f>(formatted_data[[#This Row],[Selling_Price]]-formatted_data[[#This Row],[Discount_Amount]])*formatted_data[[#This Row],[Units]]</f>
        <v>12750</v>
      </c>
      <c r="N1447" s="1">
        <f>formatted_data[[#This Row],[Total_Revenue]]-(formatted_data[[#This Row],[Cost_Price]]*formatted_data[[#This Row],[Units]])</f>
        <v>2430</v>
      </c>
      <c r="O1447" s="1" t="s">
        <v>33</v>
      </c>
      <c r="P1447"/>
    </row>
    <row r="1448" spans="1:16" x14ac:dyDescent="0.35">
      <c r="A1448" s="1" t="s">
        <v>49</v>
      </c>
      <c r="B1448" s="1" t="s">
        <v>27</v>
      </c>
      <c r="C1448" s="2">
        <v>45525</v>
      </c>
      <c r="D1448" s="1" t="s">
        <v>23</v>
      </c>
      <c r="E1448" s="1" t="s">
        <v>43</v>
      </c>
      <c r="F1448" s="1" t="s">
        <v>19</v>
      </c>
      <c r="G1448" s="1" t="s">
        <v>20</v>
      </c>
      <c r="H1448" s="1">
        <v>1</v>
      </c>
      <c r="I1448" s="1">
        <v>1949</v>
      </c>
      <c r="J1448" s="1">
        <v>3199</v>
      </c>
      <c r="K1448" s="1">
        <v>20</v>
      </c>
      <c r="L1448" s="1">
        <f>ROUNDDOWN(formatted_data[[#This Row],[Selling_Price]]*formatted_data[[#This Row],[Discount_%]]/100,0)</f>
        <v>639</v>
      </c>
      <c r="M1448" s="1">
        <f>(formatted_data[[#This Row],[Selling_Price]]-formatted_data[[#This Row],[Discount_Amount]])*formatted_data[[#This Row],[Units]]</f>
        <v>2560</v>
      </c>
      <c r="N1448" s="1">
        <f>formatted_data[[#This Row],[Total_Revenue]]-(formatted_data[[#This Row],[Cost_Price]]*formatted_data[[#This Row],[Units]])</f>
        <v>611</v>
      </c>
      <c r="O1448" s="1" t="s">
        <v>21</v>
      </c>
      <c r="P1448"/>
    </row>
    <row r="1449" spans="1:16" x14ac:dyDescent="0.35">
      <c r="A1449" s="1" t="s">
        <v>69</v>
      </c>
      <c r="B1449" s="1" t="s">
        <v>16</v>
      </c>
      <c r="C1449" s="2">
        <v>45527</v>
      </c>
      <c r="D1449" s="1" t="s">
        <v>23</v>
      </c>
      <c r="E1449" s="1" t="s">
        <v>24</v>
      </c>
      <c r="F1449" s="1" t="s">
        <v>19</v>
      </c>
      <c r="G1449" s="1" t="s">
        <v>19</v>
      </c>
      <c r="H1449" s="1">
        <v>2</v>
      </c>
      <c r="I1449" s="1">
        <v>1060</v>
      </c>
      <c r="J1449" s="1">
        <v>1799</v>
      </c>
      <c r="K1449" s="1">
        <v>15</v>
      </c>
      <c r="L1449" s="1">
        <f>ROUNDDOWN(formatted_data[[#This Row],[Selling_Price]]*formatted_data[[#This Row],[Discount_%]]/100,0)</f>
        <v>269</v>
      </c>
      <c r="M1449" s="1">
        <f>(formatted_data[[#This Row],[Selling_Price]]-formatted_data[[#This Row],[Discount_Amount]])*formatted_data[[#This Row],[Units]]</f>
        <v>3060</v>
      </c>
      <c r="N1449" s="1">
        <f>formatted_data[[#This Row],[Total_Revenue]]-(formatted_data[[#This Row],[Cost_Price]]*formatted_data[[#This Row],[Units]])</f>
        <v>940</v>
      </c>
      <c r="O1449" s="1" t="s">
        <v>33</v>
      </c>
      <c r="P1449"/>
    </row>
    <row r="1450" spans="1:16" x14ac:dyDescent="0.35">
      <c r="A1450" s="1" t="s">
        <v>107</v>
      </c>
      <c r="B1450" s="1" t="s">
        <v>27</v>
      </c>
      <c r="C1450" s="2">
        <v>45528</v>
      </c>
      <c r="D1450" s="1" t="s">
        <v>17</v>
      </c>
      <c r="E1450" s="1" t="s">
        <v>18</v>
      </c>
      <c r="F1450" s="1" t="s">
        <v>37</v>
      </c>
      <c r="G1450" s="1" t="s">
        <v>20</v>
      </c>
      <c r="H1450" s="1">
        <v>1</v>
      </c>
      <c r="I1450" s="1">
        <v>254</v>
      </c>
      <c r="J1450" s="1">
        <v>399</v>
      </c>
      <c r="K1450" s="1">
        <v>0</v>
      </c>
      <c r="L1450" s="1">
        <f>ROUNDDOWN(formatted_data[[#This Row],[Selling_Price]]*formatted_data[[#This Row],[Discount_%]]/100,0)</f>
        <v>0</v>
      </c>
      <c r="M1450" s="1">
        <f>(formatted_data[[#This Row],[Selling_Price]]-formatted_data[[#This Row],[Discount_Amount]])*formatted_data[[#This Row],[Units]]</f>
        <v>399</v>
      </c>
      <c r="N1450" s="1">
        <f>formatted_data[[#This Row],[Total_Revenue]]-(formatted_data[[#This Row],[Cost_Price]]*formatted_data[[#This Row],[Units]])</f>
        <v>145</v>
      </c>
      <c r="O1450" s="1" t="s">
        <v>21</v>
      </c>
      <c r="P1450"/>
    </row>
    <row r="1451" spans="1:16" x14ac:dyDescent="0.35">
      <c r="A1451" s="1" t="s">
        <v>22</v>
      </c>
      <c r="B1451" s="1" t="s">
        <v>16</v>
      </c>
      <c r="C1451" s="2">
        <v>45531</v>
      </c>
      <c r="D1451" s="1" t="s">
        <v>28</v>
      </c>
      <c r="E1451" s="1" t="s">
        <v>45</v>
      </c>
      <c r="F1451" s="1" t="s">
        <v>37</v>
      </c>
      <c r="G1451" s="1" t="s">
        <v>20</v>
      </c>
      <c r="H1451" s="1">
        <v>1</v>
      </c>
      <c r="I1451" s="1">
        <v>666</v>
      </c>
      <c r="J1451" s="1">
        <v>1099</v>
      </c>
      <c r="K1451" s="1">
        <v>5</v>
      </c>
      <c r="L1451" s="1">
        <f>ROUNDDOWN(formatted_data[[#This Row],[Selling_Price]]*formatted_data[[#This Row],[Discount_%]]/100,0)</f>
        <v>54</v>
      </c>
      <c r="M1451" s="1">
        <f>(formatted_data[[#This Row],[Selling_Price]]-formatted_data[[#This Row],[Discount_Amount]])*formatted_data[[#This Row],[Units]]</f>
        <v>1045</v>
      </c>
      <c r="N1451" s="1">
        <f>formatted_data[[#This Row],[Total_Revenue]]-(formatted_data[[#This Row],[Cost_Price]]*formatted_data[[#This Row],[Units]])</f>
        <v>379</v>
      </c>
      <c r="O1451" s="1" t="s">
        <v>21</v>
      </c>
      <c r="P1451"/>
    </row>
    <row r="1452" spans="1:16" x14ac:dyDescent="0.35">
      <c r="A1452" s="1" t="s">
        <v>30</v>
      </c>
      <c r="B1452" s="1" t="s">
        <v>16</v>
      </c>
      <c r="C1452" s="2">
        <v>45548</v>
      </c>
      <c r="D1452" s="1" t="s">
        <v>17</v>
      </c>
      <c r="E1452" s="1" t="s">
        <v>55</v>
      </c>
      <c r="F1452" s="1" t="s">
        <v>19</v>
      </c>
      <c r="G1452" s="1" t="s">
        <v>20</v>
      </c>
      <c r="H1452" s="1">
        <v>1</v>
      </c>
      <c r="I1452" s="1">
        <v>182</v>
      </c>
      <c r="J1452" s="1">
        <v>299</v>
      </c>
      <c r="K1452" s="1">
        <v>0</v>
      </c>
      <c r="L1452" s="1">
        <f>ROUNDDOWN(formatted_data[[#This Row],[Selling_Price]]*formatted_data[[#This Row],[Discount_%]]/100,0)</f>
        <v>0</v>
      </c>
      <c r="M1452" s="1">
        <f>(formatted_data[[#This Row],[Selling_Price]]-formatted_data[[#This Row],[Discount_Amount]])*formatted_data[[#This Row],[Units]]</f>
        <v>299</v>
      </c>
      <c r="N1452" s="1">
        <f>formatted_data[[#This Row],[Total_Revenue]]-(formatted_data[[#This Row],[Cost_Price]]*formatted_data[[#This Row],[Units]])</f>
        <v>117</v>
      </c>
      <c r="O1452" s="1" t="s">
        <v>21</v>
      </c>
      <c r="P1452"/>
    </row>
    <row r="1453" spans="1:16" x14ac:dyDescent="0.35">
      <c r="A1453" s="1" t="s">
        <v>74</v>
      </c>
      <c r="B1453" s="1" t="s">
        <v>16</v>
      </c>
      <c r="C1453" s="2">
        <v>45580</v>
      </c>
      <c r="D1453" s="1" t="s">
        <v>23</v>
      </c>
      <c r="E1453" s="1" t="s">
        <v>24</v>
      </c>
      <c r="F1453" s="1" t="s">
        <v>37</v>
      </c>
      <c r="G1453" s="1" t="s">
        <v>20</v>
      </c>
      <c r="H1453" s="1">
        <v>4</v>
      </c>
      <c r="I1453" s="1">
        <v>695</v>
      </c>
      <c r="J1453" s="1">
        <v>1299</v>
      </c>
      <c r="K1453" s="1">
        <v>20</v>
      </c>
      <c r="L1453" s="1">
        <f>ROUNDDOWN(formatted_data[[#This Row],[Selling_Price]]*formatted_data[[#This Row],[Discount_%]]/100,0)</f>
        <v>259</v>
      </c>
      <c r="M1453" s="1">
        <f>(formatted_data[[#This Row],[Selling_Price]]-formatted_data[[#This Row],[Discount_Amount]])*formatted_data[[#This Row],[Units]]</f>
        <v>4160</v>
      </c>
      <c r="N1453" s="1">
        <f>formatted_data[[#This Row],[Total_Revenue]]-(formatted_data[[#This Row],[Cost_Price]]*formatted_data[[#This Row],[Units]])</f>
        <v>1380</v>
      </c>
      <c r="O1453" s="1" t="s">
        <v>21</v>
      </c>
      <c r="P1453"/>
    </row>
    <row r="1454" spans="1:16" x14ac:dyDescent="0.35">
      <c r="A1454" s="1" t="s">
        <v>98</v>
      </c>
      <c r="B1454" s="1" t="s">
        <v>16</v>
      </c>
      <c r="C1454" s="2">
        <v>45502</v>
      </c>
      <c r="D1454" s="1" t="s">
        <v>17</v>
      </c>
      <c r="E1454" s="1" t="s">
        <v>72</v>
      </c>
      <c r="F1454" s="1" t="s">
        <v>19</v>
      </c>
      <c r="G1454" s="1" t="s">
        <v>20</v>
      </c>
      <c r="H1454" s="1">
        <v>1</v>
      </c>
      <c r="I1454" s="1">
        <v>212</v>
      </c>
      <c r="J1454" s="1">
        <v>399</v>
      </c>
      <c r="K1454" s="1">
        <v>0</v>
      </c>
      <c r="L1454" s="1">
        <f>ROUNDDOWN(formatted_data[[#This Row],[Selling_Price]]*formatted_data[[#This Row],[Discount_%]]/100,0)</f>
        <v>0</v>
      </c>
      <c r="M1454" s="1">
        <f>(formatted_data[[#This Row],[Selling_Price]]-formatted_data[[#This Row],[Discount_Amount]])*formatted_data[[#This Row],[Units]]</f>
        <v>399</v>
      </c>
      <c r="N1454" s="1">
        <f>formatted_data[[#This Row],[Total_Revenue]]-(formatted_data[[#This Row],[Cost_Price]]*formatted_data[[#This Row],[Units]])</f>
        <v>187</v>
      </c>
      <c r="O1454" s="1" t="s">
        <v>21</v>
      </c>
      <c r="P1454"/>
    </row>
    <row r="1455" spans="1:16" x14ac:dyDescent="0.35">
      <c r="A1455" s="1" t="s">
        <v>83</v>
      </c>
      <c r="B1455" s="1" t="s">
        <v>27</v>
      </c>
      <c r="C1455" s="2">
        <v>45502</v>
      </c>
      <c r="D1455" s="1" t="s">
        <v>23</v>
      </c>
      <c r="E1455" s="1" t="s">
        <v>43</v>
      </c>
      <c r="F1455" s="1" t="s">
        <v>25</v>
      </c>
      <c r="G1455" s="1" t="s">
        <v>20</v>
      </c>
      <c r="H1455" s="1">
        <v>2</v>
      </c>
      <c r="I1455" s="1">
        <v>2347</v>
      </c>
      <c r="J1455" s="1">
        <v>3699</v>
      </c>
      <c r="K1455" s="1">
        <v>5</v>
      </c>
      <c r="L1455" s="1">
        <f>ROUNDDOWN(formatted_data[[#This Row],[Selling_Price]]*formatted_data[[#This Row],[Discount_%]]/100,0)</f>
        <v>184</v>
      </c>
      <c r="M1455" s="1">
        <f>(formatted_data[[#This Row],[Selling_Price]]-formatted_data[[#This Row],[Discount_Amount]])*formatted_data[[#This Row],[Units]]</f>
        <v>7030</v>
      </c>
      <c r="N1455" s="1">
        <f>formatted_data[[#This Row],[Total_Revenue]]-(formatted_data[[#This Row],[Cost_Price]]*formatted_data[[#This Row],[Units]])</f>
        <v>2336</v>
      </c>
      <c r="O1455" s="1" t="s">
        <v>21</v>
      </c>
      <c r="P1455"/>
    </row>
    <row r="1456" spans="1:16" x14ac:dyDescent="0.35">
      <c r="A1456" s="1" t="s">
        <v>92</v>
      </c>
      <c r="B1456" s="1" t="s">
        <v>27</v>
      </c>
      <c r="C1456" s="2">
        <v>45569</v>
      </c>
      <c r="D1456" s="1" t="s">
        <v>35</v>
      </c>
      <c r="E1456" s="1" t="s">
        <v>50</v>
      </c>
      <c r="F1456" s="1" t="s">
        <v>37</v>
      </c>
      <c r="G1456" s="1" t="s">
        <v>19</v>
      </c>
      <c r="H1456" s="1">
        <v>1</v>
      </c>
      <c r="I1456" s="1">
        <v>844</v>
      </c>
      <c r="J1456" s="1">
        <v>1199</v>
      </c>
      <c r="K1456" s="1">
        <v>15</v>
      </c>
      <c r="L1456" s="1">
        <f>ROUNDDOWN(formatted_data[[#This Row],[Selling_Price]]*formatted_data[[#This Row],[Discount_%]]/100,0)</f>
        <v>179</v>
      </c>
      <c r="M1456" s="1">
        <f>(formatted_data[[#This Row],[Selling_Price]]-formatted_data[[#This Row],[Discount_Amount]])*formatted_data[[#This Row],[Units]]</f>
        <v>1020</v>
      </c>
      <c r="N1456" s="1">
        <f>formatted_data[[#This Row],[Total_Revenue]]-(formatted_data[[#This Row],[Cost_Price]]*formatted_data[[#This Row],[Units]])</f>
        <v>176</v>
      </c>
      <c r="O1456" s="1" t="s">
        <v>33</v>
      </c>
      <c r="P1456"/>
    </row>
    <row r="1457" spans="1:16" x14ac:dyDescent="0.35">
      <c r="A1457" s="1" t="s">
        <v>51</v>
      </c>
      <c r="B1457" s="1" t="s">
        <v>16</v>
      </c>
      <c r="C1457" s="2">
        <v>45588</v>
      </c>
      <c r="D1457" s="1" t="s">
        <v>31</v>
      </c>
      <c r="E1457" s="1" t="s">
        <v>32</v>
      </c>
      <c r="F1457" s="1" t="s">
        <v>25</v>
      </c>
      <c r="G1457" s="1" t="s">
        <v>20</v>
      </c>
      <c r="H1457" s="1">
        <v>1</v>
      </c>
      <c r="I1457" s="1">
        <v>571</v>
      </c>
      <c r="J1457" s="1">
        <v>899</v>
      </c>
      <c r="K1457" s="1">
        <v>0</v>
      </c>
      <c r="L1457" s="1">
        <f>ROUNDDOWN(formatted_data[[#This Row],[Selling_Price]]*formatted_data[[#This Row],[Discount_%]]/100,0)</f>
        <v>0</v>
      </c>
      <c r="M1457" s="1">
        <f>(formatted_data[[#This Row],[Selling_Price]]-formatted_data[[#This Row],[Discount_Amount]])*formatted_data[[#This Row],[Units]]</f>
        <v>899</v>
      </c>
      <c r="N1457" s="1">
        <f>formatted_data[[#This Row],[Total_Revenue]]-(formatted_data[[#This Row],[Cost_Price]]*formatted_data[[#This Row],[Units]])</f>
        <v>328</v>
      </c>
      <c r="O1457" s="1" t="s">
        <v>21</v>
      </c>
      <c r="P1457"/>
    </row>
    <row r="1458" spans="1:16" x14ac:dyDescent="0.35">
      <c r="A1458" s="1" t="s">
        <v>85</v>
      </c>
      <c r="B1458" s="1" t="s">
        <v>27</v>
      </c>
      <c r="C1458" s="2">
        <v>45586</v>
      </c>
      <c r="D1458" s="1" t="s">
        <v>28</v>
      </c>
      <c r="E1458" s="1" t="s">
        <v>45</v>
      </c>
      <c r="F1458" s="1" t="s">
        <v>37</v>
      </c>
      <c r="G1458" s="1" t="s">
        <v>19</v>
      </c>
      <c r="H1458" s="1">
        <v>1</v>
      </c>
      <c r="I1458" s="1">
        <v>861</v>
      </c>
      <c r="J1458" s="1">
        <v>1199</v>
      </c>
      <c r="K1458" s="1">
        <v>10</v>
      </c>
      <c r="L1458" s="1">
        <f>ROUNDDOWN(formatted_data[[#This Row],[Selling_Price]]*formatted_data[[#This Row],[Discount_%]]/100,0)</f>
        <v>119</v>
      </c>
      <c r="M1458" s="1">
        <f>(formatted_data[[#This Row],[Selling_Price]]-formatted_data[[#This Row],[Discount_Amount]])*formatted_data[[#This Row],[Units]]</f>
        <v>1080</v>
      </c>
      <c r="N1458" s="1">
        <f>formatted_data[[#This Row],[Total_Revenue]]-(formatted_data[[#This Row],[Cost_Price]]*formatted_data[[#This Row],[Units]])</f>
        <v>219</v>
      </c>
      <c r="O1458" s="1" t="s">
        <v>33</v>
      </c>
      <c r="P1458"/>
    </row>
    <row r="1459" spans="1:16" x14ac:dyDescent="0.35">
      <c r="A1459" s="1" t="s">
        <v>101</v>
      </c>
      <c r="B1459" s="1" t="s">
        <v>16</v>
      </c>
      <c r="C1459" s="2">
        <v>45528</v>
      </c>
      <c r="D1459" s="1" t="s">
        <v>17</v>
      </c>
      <c r="E1459" s="1" t="s">
        <v>48</v>
      </c>
      <c r="F1459" s="1" t="s">
        <v>25</v>
      </c>
      <c r="G1459" s="1" t="s">
        <v>20</v>
      </c>
      <c r="H1459" s="1">
        <v>2</v>
      </c>
      <c r="I1459" s="1">
        <v>300</v>
      </c>
      <c r="J1459" s="1">
        <v>499</v>
      </c>
      <c r="K1459" s="1">
        <v>0</v>
      </c>
      <c r="L1459" s="1">
        <f>ROUNDDOWN(formatted_data[[#This Row],[Selling_Price]]*formatted_data[[#This Row],[Discount_%]]/100,0)</f>
        <v>0</v>
      </c>
      <c r="M1459" s="1">
        <f>(formatted_data[[#This Row],[Selling_Price]]-formatted_data[[#This Row],[Discount_Amount]])*formatted_data[[#This Row],[Units]]</f>
        <v>998</v>
      </c>
      <c r="N1459" s="1">
        <f>formatted_data[[#This Row],[Total_Revenue]]-(formatted_data[[#This Row],[Cost_Price]]*formatted_data[[#This Row],[Units]])</f>
        <v>398</v>
      </c>
      <c r="O1459" s="1" t="s">
        <v>21</v>
      </c>
      <c r="P1459"/>
    </row>
    <row r="1460" spans="1:16" x14ac:dyDescent="0.35">
      <c r="A1460" s="1" t="s">
        <v>98</v>
      </c>
      <c r="B1460" s="1" t="s">
        <v>16</v>
      </c>
      <c r="C1460" s="2">
        <v>45514</v>
      </c>
      <c r="D1460" s="1" t="s">
        <v>17</v>
      </c>
      <c r="E1460" s="1" t="s">
        <v>72</v>
      </c>
      <c r="F1460" s="1" t="s">
        <v>37</v>
      </c>
      <c r="G1460" s="1" t="s">
        <v>20</v>
      </c>
      <c r="H1460" s="1">
        <v>1</v>
      </c>
      <c r="I1460" s="1">
        <v>366</v>
      </c>
      <c r="J1460" s="1">
        <v>499</v>
      </c>
      <c r="K1460" s="1">
        <v>0</v>
      </c>
      <c r="L1460" s="1">
        <f>ROUNDDOWN(formatted_data[[#This Row],[Selling_Price]]*formatted_data[[#This Row],[Discount_%]]/100,0)</f>
        <v>0</v>
      </c>
      <c r="M1460" s="1">
        <f>(formatted_data[[#This Row],[Selling_Price]]-formatted_data[[#This Row],[Discount_Amount]])*formatted_data[[#This Row],[Units]]</f>
        <v>499</v>
      </c>
      <c r="N1460" s="1">
        <f>formatted_data[[#This Row],[Total_Revenue]]-(formatted_data[[#This Row],[Cost_Price]]*formatted_data[[#This Row],[Units]])</f>
        <v>133</v>
      </c>
      <c r="O1460" s="1" t="s">
        <v>21</v>
      </c>
      <c r="P1460"/>
    </row>
    <row r="1461" spans="1:16" x14ac:dyDescent="0.35">
      <c r="A1461" s="1" t="s">
        <v>42</v>
      </c>
      <c r="B1461" s="1" t="s">
        <v>27</v>
      </c>
      <c r="C1461" s="2">
        <v>45510</v>
      </c>
      <c r="D1461" s="1" t="s">
        <v>35</v>
      </c>
      <c r="E1461" s="1" t="s">
        <v>58</v>
      </c>
      <c r="F1461" s="1" t="s">
        <v>19</v>
      </c>
      <c r="G1461" s="1" t="s">
        <v>20</v>
      </c>
      <c r="H1461" s="1">
        <v>1</v>
      </c>
      <c r="I1461" s="1">
        <v>570</v>
      </c>
      <c r="J1461" s="1">
        <v>1099</v>
      </c>
      <c r="K1461" s="1">
        <v>5</v>
      </c>
      <c r="L1461" s="1">
        <f>ROUNDDOWN(formatted_data[[#This Row],[Selling_Price]]*formatted_data[[#This Row],[Discount_%]]/100,0)</f>
        <v>54</v>
      </c>
      <c r="M1461" s="1">
        <f>(formatted_data[[#This Row],[Selling_Price]]-formatted_data[[#This Row],[Discount_Amount]])*formatted_data[[#This Row],[Units]]</f>
        <v>1045</v>
      </c>
      <c r="N1461" s="1">
        <f>formatted_data[[#This Row],[Total_Revenue]]-(formatted_data[[#This Row],[Cost_Price]]*formatted_data[[#This Row],[Units]])</f>
        <v>475</v>
      </c>
      <c r="O1461" s="1" t="s">
        <v>33</v>
      </c>
      <c r="P1461"/>
    </row>
    <row r="1462" spans="1:16" x14ac:dyDescent="0.35">
      <c r="A1462" s="1" t="s">
        <v>54</v>
      </c>
      <c r="B1462" s="1" t="s">
        <v>27</v>
      </c>
      <c r="C1462" s="2">
        <v>45645</v>
      </c>
      <c r="D1462" s="1" t="s">
        <v>17</v>
      </c>
      <c r="E1462" s="1" t="s">
        <v>48</v>
      </c>
      <c r="F1462" s="1" t="s">
        <v>37</v>
      </c>
      <c r="G1462" s="1" t="s">
        <v>19</v>
      </c>
      <c r="H1462" s="1">
        <v>1</v>
      </c>
      <c r="I1462" s="1">
        <v>184</v>
      </c>
      <c r="J1462" s="1">
        <v>299</v>
      </c>
      <c r="K1462" s="1">
        <v>0</v>
      </c>
      <c r="L1462" s="1">
        <f>ROUNDDOWN(formatted_data[[#This Row],[Selling_Price]]*formatted_data[[#This Row],[Discount_%]]/100,0)</f>
        <v>0</v>
      </c>
      <c r="M1462" s="1">
        <f>(formatted_data[[#This Row],[Selling_Price]]-formatted_data[[#This Row],[Discount_Amount]])*formatted_data[[#This Row],[Units]]</f>
        <v>299</v>
      </c>
      <c r="N1462" s="1">
        <f>formatted_data[[#This Row],[Total_Revenue]]-(formatted_data[[#This Row],[Cost_Price]]*formatted_data[[#This Row],[Units]])</f>
        <v>115</v>
      </c>
      <c r="O1462" s="1" t="s">
        <v>21</v>
      </c>
      <c r="P1462"/>
    </row>
    <row r="1463" spans="1:16" x14ac:dyDescent="0.35">
      <c r="A1463" s="1" t="s">
        <v>94</v>
      </c>
      <c r="B1463" s="1" t="s">
        <v>16</v>
      </c>
      <c r="C1463" s="2">
        <v>45599</v>
      </c>
      <c r="D1463" s="1" t="s">
        <v>35</v>
      </c>
      <c r="E1463" s="1" t="s">
        <v>100</v>
      </c>
      <c r="F1463" s="1" t="s">
        <v>37</v>
      </c>
      <c r="G1463" s="1" t="s">
        <v>20</v>
      </c>
      <c r="H1463" s="1">
        <v>1</v>
      </c>
      <c r="I1463" s="1">
        <v>912</v>
      </c>
      <c r="J1463" s="1">
        <v>1299</v>
      </c>
      <c r="K1463" s="1">
        <v>20</v>
      </c>
      <c r="L1463" s="1">
        <f>ROUNDDOWN(formatted_data[[#This Row],[Selling_Price]]*formatted_data[[#This Row],[Discount_%]]/100,0)</f>
        <v>259</v>
      </c>
      <c r="M1463" s="1">
        <f>(formatted_data[[#This Row],[Selling_Price]]-formatted_data[[#This Row],[Discount_Amount]])*formatted_data[[#This Row],[Units]]</f>
        <v>1040</v>
      </c>
      <c r="N1463" s="1">
        <f>formatted_data[[#This Row],[Total_Revenue]]-(formatted_data[[#This Row],[Cost_Price]]*formatted_data[[#This Row],[Units]])</f>
        <v>128</v>
      </c>
      <c r="O1463" s="1" t="s">
        <v>21</v>
      </c>
      <c r="P1463"/>
    </row>
    <row r="1464" spans="1:16" x14ac:dyDescent="0.35">
      <c r="A1464" s="1" t="s">
        <v>30</v>
      </c>
      <c r="B1464" s="1" t="s">
        <v>16</v>
      </c>
      <c r="C1464" s="2">
        <v>45524</v>
      </c>
      <c r="D1464" s="1" t="s">
        <v>31</v>
      </c>
      <c r="E1464" s="1" t="s">
        <v>32</v>
      </c>
      <c r="F1464" s="1" t="s">
        <v>25</v>
      </c>
      <c r="G1464" s="1" t="s">
        <v>20</v>
      </c>
      <c r="H1464" s="1">
        <v>4</v>
      </c>
      <c r="I1464" s="1">
        <v>1080</v>
      </c>
      <c r="J1464" s="1">
        <v>1499</v>
      </c>
      <c r="K1464" s="1">
        <v>0</v>
      </c>
      <c r="L1464" s="1">
        <f>ROUNDDOWN(formatted_data[[#This Row],[Selling_Price]]*formatted_data[[#This Row],[Discount_%]]/100,0)</f>
        <v>0</v>
      </c>
      <c r="M1464" s="1">
        <f>(formatted_data[[#This Row],[Selling_Price]]-formatted_data[[#This Row],[Discount_Amount]])*formatted_data[[#This Row],[Units]]</f>
        <v>5996</v>
      </c>
      <c r="N1464" s="1">
        <f>formatted_data[[#This Row],[Total_Revenue]]-(formatted_data[[#This Row],[Cost_Price]]*formatted_data[[#This Row],[Units]])</f>
        <v>1676</v>
      </c>
      <c r="O1464" s="1" t="s">
        <v>21</v>
      </c>
      <c r="P1464"/>
    </row>
    <row r="1465" spans="1:16" x14ac:dyDescent="0.35">
      <c r="A1465" s="1" t="s">
        <v>74</v>
      </c>
      <c r="B1465" s="1" t="s">
        <v>16</v>
      </c>
      <c r="C1465" s="2">
        <v>45539</v>
      </c>
      <c r="D1465" s="1" t="s">
        <v>23</v>
      </c>
      <c r="E1465" s="1" t="s">
        <v>43</v>
      </c>
      <c r="F1465" s="1" t="s">
        <v>37</v>
      </c>
      <c r="G1465" s="1" t="s">
        <v>20</v>
      </c>
      <c r="H1465" s="1">
        <v>1</v>
      </c>
      <c r="I1465" s="1">
        <v>3048</v>
      </c>
      <c r="J1465" s="1">
        <v>4299</v>
      </c>
      <c r="K1465" s="1">
        <v>5</v>
      </c>
      <c r="L1465" s="1">
        <f>ROUNDDOWN(formatted_data[[#This Row],[Selling_Price]]*formatted_data[[#This Row],[Discount_%]]/100,0)</f>
        <v>214</v>
      </c>
      <c r="M1465" s="1">
        <f>(formatted_data[[#This Row],[Selling_Price]]-formatted_data[[#This Row],[Discount_Amount]])*formatted_data[[#This Row],[Units]]</f>
        <v>4085</v>
      </c>
      <c r="N1465" s="1">
        <f>formatted_data[[#This Row],[Total_Revenue]]-(formatted_data[[#This Row],[Cost_Price]]*formatted_data[[#This Row],[Units]])</f>
        <v>1037</v>
      </c>
      <c r="O1465" s="1" t="s">
        <v>21</v>
      </c>
      <c r="P1465"/>
    </row>
    <row r="1466" spans="1:16" x14ac:dyDescent="0.35">
      <c r="A1466" s="1" t="s">
        <v>51</v>
      </c>
      <c r="B1466" s="1" t="s">
        <v>16</v>
      </c>
      <c r="C1466" s="2">
        <v>45538</v>
      </c>
      <c r="D1466" s="1" t="s">
        <v>17</v>
      </c>
      <c r="E1466" s="1" t="s">
        <v>55</v>
      </c>
      <c r="F1466" s="1" t="s">
        <v>25</v>
      </c>
      <c r="G1466" s="1" t="s">
        <v>20</v>
      </c>
      <c r="H1466" s="1">
        <v>2</v>
      </c>
      <c r="I1466" s="1">
        <v>334</v>
      </c>
      <c r="J1466" s="1">
        <v>499</v>
      </c>
      <c r="K1466" s="1">
        <v>0</v>
      </c>
      <c r="L1466" s="1">
        <f>ROUNDDOWN(formatted_data[[#This Row],[Selling_Price]]*formatted_data[[#This Row],[Discount_%]]/100,0)</f>
        <v>0</v>
      </c>
      <c r="M1466" s="1">
        <f>(formatted_data[[#This Row],[Selling_Price]]-formatted_data[[#This Row],[Discount_Amount]])*formatted_data[[#This Row],[Units]]</f>
        <v>998</v>
      </c>
      <c r="N1466" s="1">
        <f>formatted_data[[#This Row],[Total_Revenue]]-(formatted_data[[#This Row],[Cost_Price]]*formatted_data[[#This Row],[Units]])</f>
        <v>330</v>
      </c>
      <c r="O1466" s="1" t="s">
        <v>21</v>
      </c>
      <c r="P1466"/>
    </row>
    <row r="1467" spans="1:16" x14ac:dyDescent="0.35">
      <c r="A1467" s="1" t="s">
        <v>91</v>
      </c>
      <c r="B1467" s="1" t="s">
        <v>16</v>
      </c>
      <c r="C1467" s="2">
        <v>45483</v>
      </c>
      <c r="D1467" s="1" t="s">
        <v>31</v>
      </c>
      <c r="E1467" s="1" t="s">
        <v>76</v>
      </c>
      <c r="F1467" s="1" t="s">
        <v>25</v>
      </c>
      <c r="G1467" s="1" t="s">
        <v>19</v>
      </c>
      <c r="H1467" s="1">
        <v>1</v>
      </c>
      <c r="I1467" s="1">
        <v>661</v>
      </c>
      <c r="J1467" s="1">
        <v>999</v>
      </c>
      <c r="K1467" s="1">
        <v>0</v>
      </c>
      <c r="L1467" s="1">
        <f>ROUNDDOWN(formatted_data[[#This Row],[Selling_Price]]*formatted_data[[#This Row],[Discount_%]]/100,0)</f>
        <v>0</v>
      </c>
      <c r="M1467" s="1">
        <f>(formatted_data[[#This Row],[Selling_Price]]-formatted_data[[#This Row],[Discount_Amount]])*formatted_data[[#This Row],[Units]]</f>
        <v>999</v>
      </c>
      <c r="N1467" s="1">
        <f>formatted_data[[#This Row],[Total_Revenue]]-(formatted_data[[#This Row],[Cost_Price]]*formatted_data[[#This Row],[Units]])</f>
        <v>338</v>
      </c>
      <c r="O1467" s="1" t="s">
        <v>21</v>
      </c>
      <c r="P1467"/>
    </row>
    <row r="1468" spans="1:16" x14ac:dyDescent="0.35">
      <c r="A1468" s="1" t="s">
        <v>70</v>
      </c>
      <c r="B1468" s="1" t="s">
        <v>27</v>
      </c>
      <c r="C1468" s="2">
        <v>45452</v>
      </c>
      <c r="D1468" s="1" t="s">
        <v>35</v>
      </c>
      <c r="E1468" s="1" t="s">
        <v>50</v>
      </c>
      <c r="F1468" s="1" t="s">
        <v>25</v>
      </c>
      <c r="G1468" s="1" t="s">
        <v>19</v>
      </c>
      <c r="H1468" s="1">
        <v>1</v>
      </c>
      <c r="I1468" s="1">
        <v>608</v>
      </c>
      <c r="J1468" s="1">
        <v>999</v>
      </c>
      <c r="K1468" s="1">
        <v>15</v>
      </c>
      <c r="L1468" s="1">
        <f>ROUNDDOWN(formatted_data[[#This Row],[Selling_Price]]*formatted_data[[#This Row],[Discount_%]]/100,0)</f>
        <v>149</v>
      </c>
      <c r="M1468" s="1">
        <f>(formatted_data[[#This Row],[Selling_Price]]-formatted_data[[#This Row],[Discount_Amount]])*formatted_data[[#This Row],[Units]]</f>
        <v>850</v>
      </c>
      <c r="N1468" s="1">
        <f>formatted_data[[#This Row],[Total_Revenue]]-(formatted_data[[#This Row],[Cost_Price]]*formatted_data[[#This Row],[Units]])</f>
        <v>242</v>
      </c>
      <c r="O1468" s="1" t="s">
        <v>33</v>
      </c>
      <c r="P1468"/>
    </row>
    <row r="1469" spans="1:16" x14ac:dyDescent="0.35">
      <c r="A1469" s="1" t="s">
        <v>15</v>
      </c>
      <c r="B1469" s="1" t="s">
        <v>16</v>
      </c>
      <c r="C1469" s="2">
        <v>45570</v>
      </c>
      <c r="D1469" s="1" t="s">
        <v>17</v>
      </c>
      <c r="E1469" s="1" t="s">
        <v>48</v>
      </c>
      <c r="F1469" s="1" t="s">
        <v>19</v>
      </c>
      <c r="G1469" s="1" t="s">
        <v>20</v>
      </c>
      <c r="H1469" s="1">
        <v>1</v>
      </c>
      <c r="I1469" s="1">
        <v>314</v>
      </c>
      <c r="J1469" s="1">
        <v>499</v>
      </c>
      <c r="K1469" s="1">
        <v>0</v>
      </c>
      <c r="L1469" s="1">
        <f>ROUNDDOWN(formatted_data[[#This Row],[Selling_Price]]*formatted_data[[#This Row],[Discount_%]]/100,0)</f>
        <v>0</v>
      </c>
      <c r="M1469" s="1">
        <f>(formatted_data[[#This Row],[Selling_Price]]-formatted_data[[#This Row],[Discount_Amount]])*formatted_data[[#This Row],[Units]]</f>
        <v>499</v>
      </c>
      <c r="N1469" s="1">
        <f>formatted_data[[#This Row],[Total_Revenue]]-(formatted_data[[#This Row],[Cost_Price]]*formatted_data[[#This Row],[Units]])</f>
        <v>185</v>
      </c>
      <c r="O1469" s="1" t="s">
        <v>21</v>
      </c>
      <c r="P1469"/>
    </row>
    <row r="1470" spans="1:16" x14ac:dyDescent="0.35">
      <c r="A1470" s="1" t="s">
        <v>47</v>
      </c>
      <c r="B1470" s="1" t="s">
        <v>16</v>
      </c>
      <c r="C1470" s="2">
        <v>45577</v>
      </c>
      <c r="D1470" s="1" t="s">
        <v>31</v>
      </c>
      <c r="E1470" s="1" t="s">
        <v>76</v>
      </c>
      <c r="F1470" s="1" t="s">
        <v>19</v>
      </c>
      <c r="G1470" s="1" t="s">
        <v>20</v>
      </c>
      <c r="H1470" s="1">
        <v>1</v>
      </c>
      <c r="I1470" s="1">
        <v>838</v>
      </c>
      <c r="J1470" s="1">
        <v>1199</v>
      </c>
      <c r="K1470" s="1">
        <v>0</v>
      </c>
      <c r="L1470" s="1">
        <f>ROUNDDOWN(formatted_data[[#This Row],[Selling_Price]]*formatted_data[[#This Row],[Discount_%]]/100,0)</f>
        <v>0</v>
      </c>
      <c r="M1470" s="1">
        <f>(formatted_data[[#This Row],[Selling_Price]]-formatted_data[[#This Row],[Discount_Amount]])*formatted_data[[#This Row],[Units]]</f>
        <v>1199</v>
      </c>
      <c r="N1470" s="1">
        <f>formatted_data[[#This Row],[Total_Revenue]]-(formatted_data[[#This Row],[Cost_Price]]*formatted_data[[#This Row],[Units]])</f>
        <v>361</v>
      </c>
      <c r="O1470" s="1" t="s">
        <v>21</v>
      </c>
      <c r="P1470"/>
    </row>
    <row r="1471" spans="1:16" x14ac:dyDescent="0.35">
      <c r="A1471" s="1" t="s">
        <v>46</v>
      </c>
      <c r="B1471" s="1" t="s">
        <v>16</v>
      </c>
      <c r="C1471" s="2">
        <v>45592</v>
      </c>
      <c r="D1471" s="1" t="s">
        <v>17</v>
      </c>
      <c r="E1471" s="1" t="s">
        <v>48</v>
      </c>
      <c r="F1471" s="1" t="s">
        <v>25</v>
      </c>
      <c r="G1471" s="1" t="s">
        <v>19</v>
      </c>
      <c r="H1471" s="1">
        <v>1</v>
      </c>
      <c r="I1471" s="1">
        <v>319</v>
      </c>
      <c r="J1471" s="1">
        <v>499</v>
      </c>
      <c r="K1471" s="1">
        <v>0</v>
      </c>
      <c r="L1471" s="1">
        <f>ROUNDDOWN(formatted_data[[#This Row],[Selling_Price]]*formatted_data[[#This Row],[Discount_%]]/100,0)</f>
        <v>0</v>
      </c>
      <c r="M1471" s="1">
        <f>(formatted_data[[#This Row],[Selling_Price]]-formatted_data[[#This Row],[Discount_Amount]])*formatted_data[[#This Row],[Units]]</f>
        <v>499</v>
      </c>
      <c r="N1471" s="1">
        <f>formatted_data[[#This Row],[Total_Revenue]]-(formatted_data[[#This Row],[Cost_Price]]*formatted_data[[#This Row],[Units]])</f>
        <v>180</v>
      </c>
      <c r="O1471" s="1" t="s">
        <v>21</v>
      </c>
      <c r="P1471"/>
    </row>
    <row r="1472" spans="1:16" x14ac:dyDescent="0.35">
      <c r="A1472" s="1" t="s">
        <v>79</v>
      </c>
      <c r="B1472" s="1" t="s">
        <v>16</v>
      </c>
      <c r="C1472" s="2">
        <v>45580</v>
      </c>
      <c r="D1472" s="1" t="s">
        <v>23</v>
      </c>
      <c r="E1472" s="1" t="s">
        <v>24</v>
      </c>
      <c r="F1472" s="1" t="s">
        <v>37</v>
      </c>
      <c r="G1472" s="1" t="s">
        <v>20</v>
      </c>
      <c r="H1472" s="1">
        <v>1</v>
      </c>
      <c r="I1472" s="1">
        <v>1667</v>
      </c>
      <c r="J1472" s="1">
        <v>2499</v>
      </c>
      <c r="K1472" s="1">
        <v>20</v>
      </c>
      <c r="L1472" s="1">
        <f>ROUNDDOWN(formatted_data[[#This Row],[Selling_Price]]*formatted_data[[#This Row],[Discount_%]]/100,0)</f>
        <v>499</v>
      </c>
      <c r="M1472" s="1">
        <f>(formatted_data[[#This Row],[Selling_Price]]-formatted_data[[#This Row],[Discount_Amount]])*formatted_data[[#This Row],[Units]]</f>
        <v>2000</v>
      </c>
      <c r="N1472" s="1">
        <f>formatted_data[[#This Row],[Total_Revenue]]-(formatted_data[[#This Row],[Cost_Price]]*formatted_data[[#This Row],[Units]])</f>
        <v>333</v>
      </c>
      <c r="O1472" s="1" t="s">
        <v>21</v>
      </c>
      <c r="P1472"/>
    </row>
    <row r="1473" spans="1:16" x14ac:dyDescent="0.35">
      <c r="A1473" s="1" t="s">
        <v>15</v>
      </c>
      <c r="B1473" s="1" t="s">
        <v>16</v>
      </c>
      <c r="C1473" s="2">
        <v>45573</v>
      </c>
      <c r="D1473" s="1" t="s">
        <v>31</v>
      </c>
      <c r="E1473" s="1" t="s">
        <v>32</v>
      </c>
      <c r="F1473" s="1" t="s">
        <v>19</v>
      </c>
      <c r="G1473" s="1" t="s">
        <v>20</v>
      </c>
      <c r="H1473" s="1">
        <v>4</v>
      </c>
      <c r="I1473" s="1">
        <v>521</v>
      </c>
      <c r="J1473" s="1">
        <v>999</v>
      </c>
      <c r="K1473" s="1">
        <v>0</v>
      </c>
      <c r="L1473" s="1">
        <f>ROUNDDOWN(formatted_data[[#This Row],[Selling_Price]]*formatted_data[[#This Row],[Discount_%]]/100,0)</f>
        <v>0</v>
      </c>
      <c r="M1473" s="1">
        <f>(formatted_data[[#This Row],[Selling_Price]]-formatted_data[[#This Row],[Discount_Amount]])*formatted_data[[#This Row],[Units]]</f>
        <v>3996</v>
      </c>
      <c r="N1473" s="1">
        <f>formatted_data[[#This Row],[Total_Revenue]]-(formatted_data[[#This Row],[Cost_Price]]*formatted_data[[#This Row],[Units]])</f>
        <v>1912</v>
      </c>
      <c r="O1473" s="1" t="s">
        <v>21</v>
      </c>
      <c r="P1473"/>
    </row>
    <row r="1474" spans="1:16" x14ac:dyDescent="0.35">
      <c r="A1474" s="1" t="s">
        <v>53</v>
      </c>
      <c r="B1474" s="1" t="s">
        <v>27</v>
      </c>
      <c r="C1474" s="2">
        <v>45447</v>
      </c>
      <c r="D1474" s="1" t="s">
        <v>35</v>
      </c>
      <c r="E1474" s="1" t="s">
        <v>41</v>
      </c>
      <c r="F1474" s="1" t="s">
        <v>37</v>
      </c>
      <c r="G1474" s="1" t="s">
        <v>20</v>
      </c>
      <c r="H1474" s="1">
        <v>1</v>
      </c>
      <c r="I1474" s="1">
        <v>565</v>
      </c>
      <c r="J1474" s="1">
        <v>999</v>
      </c>
      <c r="K1474" s="1">
        <v>15</v>
      </c>
      <c r="L1474" s="1">
        <f>ROUNDDOWN(formatted_data[[#This Row],[Selling_Price]]*formatted_data[[#This Row],[Discount_%]]/100,0)</f>
        <v>149</v>
      </c>
      <c r="M1474" s="1">
        <f>(formatted_data[[#This Row],[Selling_Price]]-formatted_data[[#This Row],[Discount_Amount]])*formatted_data[[#This Row],[Units]]</f>
        <v>850</v>
      </c>
      <c r="N1474" s="1">
        <f>formatted_data[[#This Row],[Total_Revenue]]-(formatted_data[[#This Row],[Cost_Price]]*formatted_data[[#This Row],[Units]])</f>
        <v>285</v>
      </c>
      <c r="O1474" s="1" t="s">
        <v>21</v>
      </c>
      <c r="P1474"/>
    </row>
    <row r="1475" spans="1:16" x14ac:dyDescent="0.35">
      <c r="A1475" s="1" t="s">
        <v>94</v>
      </c>
      <c r="B1475" s="1" t="s">
        <v>16</v>
      </c>
      <c r="C1475" s="2">
        <v>45469</v>
      </c>
      <c r="D1475" s="1" t="s">
        <v>31</v>
      </c>
      <c r="E1475" s="1" t="s">
        <v>32</v>
      </c>
      <c r="F1475" s="1" t="s">
        <v>25</v>
      </c>
      <c r="G1475" s="1" t="s">
        <v>20</v>
      </c>
      <c r="H1475" s="1">
        <v>1</v>
      </c>
      <c r="I1475" s="1">
        <v>506</v>
      </c>
      <c r="J1475" s="1">
        <v>899</v>
      </c>
      <c r="K1475" s="1">
        <v>0</v>
      </c>
      <c r="L1475" s="1">
        <f>ROUNDDOWN(formatted_data[[#This Row],[Selling_Price]]*formatted_data[[#This Row],[Discount_%]]/100,0)</f>
        <v>0</v>
      </c>
      <c r="M1475" s="1">
        <f>(formatted_data[[#This Row],[Selling_Price]]-formatted_data[[#This Row],[Discount_Amount]])*formatted_data[[#This Row],[Units]]</f>
        <v>899</v>
      </c>
      <c r="N1475" s="1">
        <f>formatted_data[[#This Row],[Total_Revenue]]-(formatted_data[[#This Row],[Cost_Price]]*formatted_data[[#This Row],[Units]])</f>
        <v>393</v>
      </c>
      <c r="O1475" s="1" t="s">
        <v>21</v>
      </c>
      <c r="P1475"/>
    </row>
    <row r="1476" spans="1:16" x14ac:dyDescent="0.35">
      <c r="A1476" s="1" t="s">
        <v>99</v>
      </c>
      <c r="B1476" s="1" t="s">
        <v>27</v>
      </c>
      <c r="C1476" s="2">
        <v>45652</v>
      </c>
      <c r="D1476" s="1" t="s">
        <v>17</v>
      </c>
      <c r="E1476" s="1" t="s">
        <v>72</v>
      </c>
      <c r="F1476" s="1" t="s">
        <v>25</v>
      </c>
      <c r="G1476" s="1" t="s">
        <v>19</v>
      </c>
      <c r="H1476" s="1">
        <v>1</v>
      </c>
      <c r="I1476" s="1">
        <v>204</v>
      </c>
      <c r="J1476" s="1">
        <v>399</v>
      </c>
      <c r="K1476" s="1">
        <v>0</v>
      </c>
      <c r="L1476" s="1">
        <f>ROUNDDOWN(formatted_data[[#This Row],[Selling_Price]]*formatted_data[[#This Row],[Discount_%]]/100,0)</f>
        <v>0</v>
      </c>
      <c r="M1476" s="1">
        <f>(formatted_data[[#This Row],[Selling_Price]]-formatted_data[[#This Row],[Discount_Amount]])*formatted_data[[#This Row],[Units]]</f>
        <v>399</v>
      </c>
      <c r="N1476" s="1">
        <f>formatted_data[[#This Row],[Total_Revenue]]-(formatted_data[[#This Row],[Cost_Price]]*formatted_data[[#This Row],[Units]])</f>
        <v>195</v>
      </c>
      <c r="O1476" s="1" t="s">
        <v>33</v>
      </c>
      <c r="P1476"/>
    </row>
    <row r="1477" spans="1:16" x14ac:dyDescent="0.35">
      <c r="A1477" s="1" t="s">
        <v>53</v>
      </c>
      <c r="B1477" s="1" t="s">
        <v>27</v>
      </c>
      <c r="C1477" s="2">
        <v>45600</v>
      </c>
      <c r="D1477" s="1" t="s">
        <v>28</v>
      </c>
      <c r="E1477" s="1" t="s">
        <v>45</v>
      </c>
      <c r="F1477" s="1" t="s">
        <v>25</v>
      </c>
      <c r="G1477" s="1" t="s">
        <v>19</v>
      </c>
      <c r="H1477" s="1">
        <v>2</v>
      </c>
      <c r="I1477" s="1">
        <v>1180</v>
      </c>
      <c r="J1477" s="1">
        <v>1699</v>
      </c>
      <c r="K1477" s="1">
        <v>10</v>
      </c>
      <c r="L1477" s="1">
        <f>ROUNDDOWN(formatted_data[[#This Row],[Selling_Price]]*formatted_data[[#This Row],[Discount_%]]/100,0)</f>
        <v>169</v>
      </c>
      <c r="M1477" s="1">
        <f>(formatted_data[[#This Row],[Selling_Price]]-formatted_data[[#This Row],[Discount_Amount]])*formatted_data[[#This Row],[Units]]</f>
        <v>3060</v>
      </c>
      <c r="N1477" s="1">
        <f>formatted_data[[#This Row],[Total_Revenue]]-(formatted_data[[#This Row],[Cost_Price]]*formatted_data[[#This Row],[Units]])</f>
        <v>700</v>
      </c>
      <c r="O1477" s="1" t="s">
        <v>21</v>
      </c>
      <c r="P1477"/>
    </row>
    <row r="1478" spans="1:16" x14ac:dyDescent="0.35">
      <c r="A1478" s="1" t="s">
        <v>92</v>
      </c>
      <c r="B1478" s="1" t="s">
        <v>27</v>
      </c>
      <c r="C1478" s="2">
        <v>45564</v>
      </c>
      <c r="D1478" s="1" t="s">
        <v>28</v>
      </c>
      <c r="E1478" s="1" t="s">
        <v>29</v>
      </c>
      <c r="F1478" s="1" t="s">
        <v>25</v>
      </c>
      <c r="G1478" s="1" t="s">
        <v>19</v>
      </c>
      <c r="H1478" s="1">
        <v>1</v>
      </c>
      <c r="I1478" s="1">
        <v>396</v>
      </c>
      <c r="J1478" s="1">
        <v>599</v>
      </c>
      <c r="K1478" s="1">
        <v>5</v>
      </c>
      <c r="L1478" s="1">
        <f>ROUNDDOWN(formatted_data[[#This Row],[Selling_Price]]*formatted_data[[#This Row],[Discount_%]]/100,0)</f>
        <v>29</v>
      </c>
      <c r="M1478" s="1">
        <f>(formatted_data[[#This Row],[Selling_Price]]-formatted_data[[#This Row],[Discount_Amount]])*formatted_data[[#This Row],[Units]]</f>
        <v>570</v>
      </c>
      <c r="N1478" s="1">
        <f>formatted_data[[#This Row],[Total_Revenue]]-(formatted_data[[#This Row],[Cost_Price]]*formatted_data[[#This Row],[Units]])</f>
        <v>174</v>
      </c>
      <c r="O1478" s="1" t="s">
        <v>33</v>
      </c>
      <c r="P1478"/>
    </row>
    <row r="1479" spans="1:16" x14ac:dyDescent="0.35">
      <c r="A1479" s="1" t="s">
        <v>54</v>
      </c>
      <c r="B1479" s="1" t="s">
        <v>27</v>
      </c>
      <c r="C1479" s="2">
        <v>45620</v>
      </c>
      <c r="D1479" s="1" t="s">
        <v>35</v>
      </c>
      <c r="E1479" s="1" t="s">
        <v>50</v>
      </c>
      <c r="F1479" s="1" t="s">
        <v>19</v>
      </c>
      <c r="G1479" s="1" t="s">
        <v>20</v>
      </c>
      <c r="H1479" s="1">
        <v>2</v>
      </c>
      <c r="I1479" s="1">
        <v>899</v>
      </c>
      <c r="J1479" s="1">
        <v>1599</v>
      </c>
      <c r="K1479" s="1">
        <v>5</v>
      </c>
      <c r="L1479" s="1">
        <f>ROUNDDOWN(formatted_data[[#This Row],[Selling_Price]]*formatted_data[[#This Row],[Discount_%]]/100,0)</f>
        <v>79</v>
      </c>
      <c r="M1479" s="1">
        <f>(formatted_data[[#This Row],[Selling_Price]]-formatted_data[[#This Row],[Discount_Amount]])*formatted_data[[#This Row],[Units]]</f>
        <v>3040</v>
      </c>
      <c r="N1479" s="1">
        <f>formatted_data[[#This Row],[Total_Revenue]]-(formatted_data[[#This Row],[Cost_Price]]*formatted_data[[#This Row],[Units]])</f>
        <v>1242</v>
      </c>
      <c r="O1479" s="1" t="s">
        <v>21</v>
      </c>
      <c r="P1479"/>
    </row>
    <row r="1480" spans="1:16" x14ac:dyDescent="0.35">
      <c r="A1480" s="1" t="s">
        <v>107</v>
      </c>
      <c r="B1480" s="1" t="s">
        <v>27</v>
      </c>
      <c r="C1480" s="2">
        <v>45480</v>
      </c>
      <c r="D1480" s="1" t="s">
        <v>23</v>
      </c>
      <c r="E1480" s="1" t="s">
        <v>43</v>
      </c>
      <c r="F1480" s="1" t="s">
        <v>37</v>
      </c>
      <c r="G1480" s="1" t="s">
        <v>20</v>
      </c>
      <c r="H1480" s="1">
        <v>2</v>
      </c>
      <c r="I1480" s="1">
        <v>2760</v>
      </c>
      <c r="J1480" s="1">
        <v>3899</v>
      </c>
      <c r="K1480" s="1">
        <v>10</v>
      </c>
      <c r="L1480" s="1">
        <f>ROUNDDOWN(formatted_data[[#This Row],[Selling_Price]]*formatted_data[[#This Row],[Discount_%]]/100,0)</f>
        <v>389</v>
      </c>
      <c r="M1480" s="1">
        <f>(formatted_data[[#This Row],[Selling_Price]]-formatted_data[[#This Row],[Discount_Amount]])*formatted_data[[#This Row],[Units]]</f>
        <v>7020</v>
      </c>
      <c r="N1480" s="1">
        <f>formatted_data[[#This Row],[Total_Revenue]]-(formatted_data[[#This Row],[Cost_Price]]*formatted_data[[#This Row],[Units]])</f>
        <v>1500</v>
      </c>
      <c r="O1480" s="1" t="s">
        <v>21</v>
      </c>
      <c r="P1480"/>
    </row>
    <row r="1481" spans="1:16" x14ac:dyDescent="0.35">
      <c r="A1481" s="1" t="s">
        <v>44</v>
      </c>
      <c r="B1481" s="1" t="s">
        <v>16</v>
      </c>
      <c r="C1481" s="2">
        <v>45482</v>
      </c>
      <c r="D1481" s="1" t="s">
        <v>31</v>
      </c>
      <c r="E1481" s="1" t="s">
        <v>32</v>
      </c>
      <c r="F1481" s="1" t="s">
        <v>25</v>
      </c>
      <c r="G1481" s="1" t="s">
        <v>20</v>
      </c>
      <c r="H1481" s="1">
        <v>1</v>
      </c>
      <c r="I1481" s="1">
        <v>687</v>
      </c>
      <c r="J1481" s="1">
        <v>999</v>
      </c>
      <c r="K1481" s="1">
        <v>0</v>
      </c>
      <c r="L1481" s="1">
        <f>ROUNDDOWN(formatted_data[[#This Row],[Selling_Price]]*formatted_data[[#This Row],[Discount_%]]/100,0)</f>
        <v>0</v>
      </c>
      <c r="M1481" s="1">
        <f>(formatted_data[[#This Row],[Selling_Price]]-formatted_data[[#This Row],[Discount_Amount]])*formatted_data[[#This Row],[Units]]</f>
        <v>999</v>
      </c>
      <c r="N1481" s="1">
        <f>formatted_data[[#This Row],[Total_Revenue]]-(formatted_data[[#This Row],[Cost_Price]]*formatted_data[[#This Row],[Units]])</f>
        <v>312</v>
      </c>
      <c r="O1481" s="1" t="s">
        <v>21</v>
      </c>
      <c r="P1481"/>
    </row>
    <row r="1482" spans="1:16" x14ac:dyDescent="0.35">
      <c r="A1482" s="1" t="s">
        <v>49</v>
      </c>
      <c r="B1482" s="1" t="s">
        <v>27</v>
      </c>
      <c r="C1482" s="2">
        <v>45497</v>
      </c>
      <c r="D1482" s="1" t="s">
        <v>17</v>
      </c>
      <c r="E1482" s="1" t="s">
        <v>72</v>
      </c>
      <c r="F1482" s="1" t="s">
        <v>37</v>
      </c>
      <c r="G1482" s="1" t="s">
        <v>20</v>
      </c>
      <c r="H1482" s="1">
        <v>3</v>
      </c>
      <c r="I1482" s="1">
        <v>234</v>
      </c>
      <c r="J1482" s="1">
        <v>399</v>
      </c>
      <c r="K1482" s="1">
        <v>0</v>
      </c>
      <c r="L1482" s="1">
        <f>ROUNDDOWN(formatted_data[[#This Row],[Selling_Price]]*formatted_data[[#This Row],[Discount_%]]/100,0)</f>
        <v>0</v>
      </c>
      <c r="M1482" s="1">
        <f>(formatted_data[[#This Row],[Selling_Price]]-formatted_data[[#This Row],[Discount_Amount]])*formatted_data[[#This Row],[Units]]</f>
        <v>1197</v>
      </c>
      <c r="N1482" s="1">
        <f>formatted_data[[#This Row],[Total_Revenue]]-(formatted_data[[#This Row],[Cost_Price]]*formatted_data[[#This Row],[Units]])</f>
        <v>495</v>
      </c>
      <c r="O1482" s="1" t="s">
        <v>21</v>
      </c>
      <c r="P1482"/>
    </row>
    <row r="1483" spans="1:16" x14ac:dyDescent="0.35">
      <c r="A1483" s="1" t="s">
        <v>70</v>
      </c>
      <c r="B1483" s="1" t="s">
        <v>27</v>
      </c>
      <c r="C1483" s="2">
        <v>45449</v>
      </c>
      <c r="D1483" s="1" t="s">
        <v>23</v>
      </c>
      <c r="E1483" s="1" t="s">
        <v>43</v>
      </c>
      <c r="F1483" s="1" t="s">
        <v>19</v>
      </c>
      <c r="G1483" s="1" t="s">
        <v>19</v>
      </c>
      <c r="H1483" s="1">
        <v>1</v>
      </c>
      <c r="I1483" s="1">
        <v>1100</v>
      </c>
      <c r="J1483" s="1">
        <v>2199</v>
      </c>
      <c r="K1483" s="1">
        <v>5</v>
      </c>
      <c r="L1483" s="1">
        <f>ROUNDDOWN(formatted_data[[#This Row],[Selling_Price]]*formatted_data[[#This Row],[Discount_%]]/100,0)</f>
        <v>109</v>
      </c>
      <c r="M1483" s="1">
        <f>(formatted_data[[#This Row],[Selling_Price]]-formatted_data[[#This Row],[Discount_Amount]])*formatted_data[[#This Row],[Units]]</f>
        <v>2090</v>
      </c>
      <c r="N1483" s="1">
        <f>formatted_data[[#This Row],[Total_Revenue]]-(formatted_data[[#This Row],[Cost_Price]]*formatted_data[[#This Row],[Units]])</f>
        <v>990</v>
      </c>
      <c r="O1483" s="1" t="s">
        <v>21</v>
      </c>
      <c r="P1483"/>
    </row>
    <row r="1484" spans="1:16" x14ac:dyDescent="0.35">
      <c r="A1484" s="1" t="s">
        <v>83</v>
      </c>
      <c r="B1484" s="1" t="s">
        <v>27</v>
      </c>
      <c r="C1484" s="2">
        <v>45612</v>
      </c>
      <c r="D1484" s="1" t="s">
        <v>17</v>
      </c>
      <c r="E1484" s="1" t="s">
        <v>72</v>
      </c>
      <c r="F1484" s="1" t="s">
        <v>37</v>
      </c>
      <c r="G1484" s="1" t="s">
        <v>20</v>
      </c>
      <c r="H1484" s="1">
        <v>3</v>
      </c>
      <c r="I1484" s="1">
        <v>338</v>
      </c>
      <c r="J1484" s="1">
        <v>499</v>
      </c>
      <c r="K1484" s="1">
        <v>0</v>
      </c>
      <c r="L1484" s="1">
        <f>ROUNDDOWN(formatted_data[[#This Row],[Selling_Price]]*formatted_data[[#This Row],[Discount_%]]/100,0)</f>
        <v>0</v>
      </c>
      <c r="M1484" s="1">
        <f>(formatted_data[[#This Row],[Selling_Price]]-formatted_data[[#This Row],[Discount_Amount]])*formatted_data[[#This Row],[Units]]</f>
        <v>1497</v>
      </c>
      <c r="N1484" s="1">
        <f>formatted_data[[#This Row],[Total_Revenue]]-(formatted_data[[#This Row],[Cost_Price]]*formatted_data[[#This Row],[Units]])</f>
        <v>483</v>
      </c>
      <c r="O1484" s="1" t="s">
        <v>33</v>
      </c>
      <c r="P1484"/>
    </row>
    <row r="1485" spans="1:16" x14ac:dyDescent="0.35">
      <c r="A1485" s="1" t="s">
        <v>80</v>
      </c>
      <c r="B1485" s="1" t="s">
        <v>27</v>
      </c>
      <c r="C1485" s="2">
        <v>45653</v>
      </c>
      <c r="D1485" s="1" t="s">
        <v>28</v>
      </c>
      <c r="E1485" s="1" t="s">
        <v>29</v>
      </c>
      <c r="F1485" s="1" t="s">
        <v>19</v>
      </c>
      <c r="G1485" s="1" t="s">
        <v>19</v>
      </c>
      <c r="H1485" s="1">
        <v>4</v>
      </c>
      <c r="I1485" s="1">
        <v>357</v>
      </c>
      <c r="J1485" s="1">
        <v>599</v>
      </c>
      <c r="K1485" s="1">
        <v>20</v>
      </c>
      <c r="L1485" s="1">
        <f>ROUNDDOWN(formatted_data[[#This Row],[Selling_Price]]*formatted_data[[#This Row],[Discount_%]]/100,0)</f>
        <v>119</v>
      </c>
      <c r="M1485" s="1">
        <f>(formatted_data[[#This Row],[Selling_Price]]-formatted_data[[#This Row],[Discount_Amount]])*formatted_data[[#This Row],[Units]]</f>
        <v>1920</v>
      </c>
      <c r="N1485" s="1">
        <f>formatted_data[[#This Row],[Total_Revenue]]-(formatted_data[[#This Row],[Cost_Price]]*formatted_data[[#This Row],[Units]])</f>
        <v>492</v>
      </c>
      <c r="O1485" s="1" t="s">
        <v>33</v>
      </c>
      <c r="P1485"/>
    </row>
    <row r="1486" spans="1:16" x14ac:dyDescent="0.35">
      <c r="A1486" s="1" t="s">
        <v>77</v>
      </c>
      <c r="B1486" s="1" t="s">
        <v>27</v>
      </c>
      <c r="C1486" s="2">
        <v>45614</v>
      </c>
      <c r="D1486" s="1" t="s">
        <v>35</v>
      </c>
      <c r="E1486" s="1" t="s">
        <v>50</v>
      </c>
      <c r="F1486" s="1" t="s">
        <v>25</v>
      </c>
      <c r="G1486" s="1" t="s">
        <v>20</v>
      </c>
      <c r="H1486" s="1">
        <v>1</v>
      </c>
      <c r="I1486" s="1">
        <v>613</v>
      </c>
      <c r="J1486" s="1">
        <v>1199</v>
      </c>
      <c r="K1486" s="1">
        <v>15</v>
      </c>
      <c r="L1486" s="1">
        <f>ROUNDDOWN(formatted_data[[#This Row],[Selling_Price]]*formatted_data[[#This Row],[Discount_%]]/100,0)</f>
        <v>179</v>
      </c>
      <c r="M1486" s="1">
        <f>(formatted_data[[#This Row],[Selling_Price]]-formatted_data[[#This Row],[Discount_Amount]])*formatted_data[[#This Row],[Units]]</f>
        <v>1020</v>
      </c>
      <c r="N1486" s="1">
        <f>formatted_data[[#This Row],[Total_Revenue]]-(formatted_data[[#This Row],[Cost_Price]]*formatted_data[[#This Row],[Units]])</f>
        <v>407</v>
      </c>
      <c r="O1486" s="1" t="s">
        <v>21</v>
      </c>
      <c r="P1486"/>
    </row>
    <row r="1487" spans="1:16" x14ac:dyDescent="0.35">
      <c r="A1487" s="1" t="s">
        <v>108</v>
      </c>
      <c r="B1487" s="1" t="s">
        <v>27</v>
      </c>
      <c r="C1487" s="2">
        <v>45546</v>
      </c>
      <c r="D1487" s="1" t="s">
        <v>28</v>
      </c>
      <c r="E1487" s="1" t="s">
        <v>45</v>
      </c>
      <c r="F1487" s="1" t="s">
        <v>37</v>
      </c>
      <c r="G1487" s="1" t="s">
        <v>19</v>
      </c>
      <c r="H1487" s="1">
        <v>1</v>
      </c>
      <c r="I1487" s="1">
        <v>1356</v>
      </c>
      <c r="J1487" s="1">
        <v>1899</v>
      </c>
      <c r="K1487" s="1">
        <v>20</v>
      </c>
      <c r="L1487" s="1">
        <f>ROUNDDOWN(formatted_data[[#This Row],[Selling_Price]]*formatted_data[[#This Row],[Discount_%]]/100,0)</f>
        <v>379</v>
      </c>
      <c r="M1487" s="1">
        <f>(formatted_data[[#This Row],[Selling_Price]]-formatted_data[[#This Row],[Discount_Amount]])*formatted_data[[#This Row],[Units]]</f>
        <v>1520</v>
      </c>
      <c r="N1487" s="1">
        <f>formatted_data[[#This Row],[Total_Revenue]]-(formatted_data[[#This Row],[Cost_Price]]*formatted_data[[#This Row],[Units]])</f>
        <v>164</v>
      </c>
      <c r="O1487" s="1" t="s">
        <v>33</v>
      </c>
      <c r="P1487"/>
    </row>
    <row r="1488" spans="1:16" x14ac:dyDescent="0.35">
      <c r="A1488" s="1" t="s">
        <v>77</v>
      </c>
      <c r="B1488" s="1" t="s">
        <v>27</v>
      </c>
      <c r="C1488" s="2">
        <v>45578</v>
      </c>
      <c r="D1488" s="1" t="s">
        <v>23</v>
      </c>
      <c r="E1488" s="1" t="s">
        <v>43</v>
      </c>
      <c r="F1488" s="1" t="s">
        <v>37</v>
      </c>
      <c r="G1488" s="1" t="s">
        <v>19</v>
      </c>
      <c r="H1488" s="1">
        <v>3</v>
      </c>
      <c r="I1488" s="1">
        <v>3744</v>
      </c>
      <c r="J1488" s="1">
        <v>4999</v>
      </c>
      <c r="K1488" s="1">
        <v>20</v>
      </c>
      <c r="L1488" s="1">
        <f>ROUNDDOWN(formatted_data[[#This Row],[Selling_Price]]*formatted_data[[#This Row],[Discount_%]]/100,0)</f>
        <v>999</v>
      </c>
      <c r="M1488" s="1">
        <f>(formatted_data[[#This Row],[Selling_Price]]-formatted_data[[#This Row],[Discount_Amount]])*formatted_data[[#This Row],[Units]]</f>
        <v>12000</v>
      </c>
      <c r="N1488" s="1">
        <f>formatted_data[[#This Row],[Total_Revenue]]-(formatted_data[[#This Row],[Cost_Price]]*formatted_data[[#This Row],[Units]])</f>
        <v>768</v>
      </c>
      <c r="O1488" s="1" t="s">
        <v>21</v>
      </c>
      <c r="P1488"/>
    </row>
    <row r="1489" spans="1:16" x14ac:dyDescent="0.35">
      <c r="A1489" s="1" t="s">
        <v>61</v>
      </c>
      <c r="B1489" s="1" t="s">
        <v>27</v>
      </c>
      <c r="C1489" s="2">
        <v>45629</v>
      </c>
      <c r="D1489" s="1" t="s">
        <v>28</v>
      </c>
      <c r="E1489" s="1" t="s">
        <v>29</v>
      </c>
      <c r="F1489" s="1" t="s">
        <v>19</v>
      </c>
      <c r="G1489" s="1" t="s">
        <v>20</v>
      </c>
      <c r="H1489" s="1">
        <v>1</v>
      </c>
      <c r="I1489" s="1">
        <v>313</v>
      </c>
      <c r="J1489" s="1">
        <v>599</v>
      </c>
      <c r="K1489" s="1">
        <v>15</v>
      </c>
      <c r="L1489" s="1">
        <f>ROUNDDOWN(formatted_data[[#This Row],[Selling_Price]]*formatted_data[[#This Row],[Discount_%]]/100,0)</f>
        <v>89</v>
      </c>
      <c r="M1489" s="1">
        <f>(formatted_data[[#This Row],[Selling_Price]]-formatted_data[[#This Row],[Discount_Amount]])*formatted_data[[#This Row],[Units]]</f>
        <v>510</v>
      </c>
      <c r="N1489" s="1">
        <f>formatted_data[[#This Row],[Total_Revenue]]-(formatted_data[[#This Row],[Cost_Price]]*formatted_data[[#This Row],[Units]])</f>
        <v>197</v>
      </c>
      <c r="O1489" s="1" t="s">
        <v>33</v>
      </c>
      <c r="P1489"/>
    </row>
    <row r="1490" spans="1:16" x14ac:dyDescent="0.35">
      <c r="A1490" s="1" t="s">
        <v>60</v>
      </c>
      <c r="B1490" s="1" t="s">
        <v>27</v>
      </c>
      <c r="C1490" s="2">
        <v>45637</v>
      </c>
      <c r="D1490" s="1" t="s">
        <v>23</v>
      </c>
      <c r="E1490" s="1" t="s">
        <v>24</v>
      </c>
      <c r="F1490" s="1" t="s">
        <v>19</v>
      </c>
      <c r="G1490" s="1" t="s">
        <v>20</v>
      </c>
      <c r="H1490" s="1">
        <v>2</v>
      </c>
      <c r="I1490" s="1">
        <v>816</v>
      </c>
      <c r="J1490" s="1">
        <v>1099</v>
      </c>
      <c r="K1490" s="1">
        <v>5</v>
      </c>
      <c r="L1490" s="1">
        <f>ROUNDDOWN(formatted_data[[#This Row],[Selling_Price]]*formatted_data[[#This Row],[Discount_%]]/100,0)</f>
        <v>54</v>
      </c>
      <c r="M1490" s="1">
        <f>(formatted_data[[#This Row],[Selling_Price]]-formatted_data[[#This Row],[Discount_Amount]])*formatted_data[[#This Row],[Units]]</f>
        <v>2090</v>
      </c>
      <c r="N1490" s="1">
        <f>formatted_data[[#This Row],[Total_Revenue]]-(formatted_data[[#This Row],[Cost_Price]]*formatted_data[[#This Row],[Units]])</f>
        <v>458</v>
      </c>
      <c r="O1490" s="1" t="s">
        <v>21</v>
      </c>
      <c r="P1490"/>
    </row>
    <row r="1491" spans="1:16" x14ac:dyDescent="0.35">
      <c r="A1491" s="1" t="s">
        <v>89</v>
      </c>
      <c r="B1491" s="1" t="s">
        <v>16</v>
      </c>
      <c r="C1491" s="2">
        <v>45577</v>
      </c>
      <c r="D1491" s="1" t="s">
        <v>17</v>
      </c>
      <c r="E1491" s="1" t="s">
        <v>48</v>
      </c>
      <c r="F1491" s="1" t="s">
        <v>19</v>
      </c>
      <c r="G1491" s="1" t="s">
        <v>20</v>
      </c>
      <c r="H1491" s="1">
        <v>1</v>
      </c>
      <c r="I1491" s="1">
        <v>347</v>
      </c>
      <c r="J1491" s="1">
        <v>599</v>
      </c>
      <c r="K1491" s="1">
        <v>0</v>
      </c>
      <c r="L1491" s="1">
        <f>ROUNDDOWN(formatted_data[[#This Row],[Selling_Price]]*formatted_data[[#This Row],[Discount_%]]/100,0)</f>
        <v>0</v>
      </c>
      <c r="M1491" s="1">
        <f>(formatted_data[[#This Row],[Selling_Price]]-formatted_data[[#This Row],[Discount_Amount]])*formatted_data[[#This Row],[Units]]</f>
        <v>599</v>
      </c>
      <c r="N1491" s="1">
        <f>formatted_data[[#This Row],[Total_Revenue]]-(formatted_data[[#This Row],[Cost_Price]]*formatted_data[[#This Row],[Units]])</f>
        <v>252</v>
      </c>
      <c r="O1491" s="1" t="s">
        <v>21</v>
      </c>
      <c r="P1491"/>
    </row>
    <row r="1492" spans="1:16" x14ac:dyDescent="0.35">
      <c r="A1492" s="1" t="s">
        <v>65</v>
      </c>
      <c r="B1492" s="1" t="s">
        <v>16</v>
      </c>
      <c r="C1492" s="2">
        <v>45488</v>
      </c>
      <c r="D1492" s="1" t="s">
        <v>31</v>
      </c>
      <c r="E1492" s="1" t="s">
        <v>76</v>
      </c>
      <c r="F1492" s="1" t="s">
        <v>37</v>
      </c>
      <c r="G1492" s="1" t="s">
        <v>19</v>
      </c>
      <c r="H1492" s="1">
        <v>1</v>
      </c>
      <c r="I1492" s="1">
        <v>521</v>
      </c>
      <c r="J1492" s="1">
        <v>799</v>
      </c>
      <c r="K1492" s="1">
        <v>0</v>
      </c>
      <c r="L1492" s="1">
        <f>ROUNDDOWN(formatted_data[[#This Row],[Selling_Price]]*formatted_data[[#This Row],[Discount_%]]/100,0)</f>
        <v>0</v>
      </c>
      <c r="M1492" s="1">
        <f>(formatted_data[[#This Row],[Selling_Price]]-formatted_data[[#This Row],[Discount_Amount]])*formatted_data[[#This Row],[Units]]</f>
        <v>799</v>
      </c>
      <c r="N1492" s="1">
        <f>formatted_data[[#This Row],[Total_Revenue]]-(formatted_data[[#This Row],[Cost_Price]]*formatted_data[[#This Row],[Units]])</f>
        <v>278</v>
      </c>
      <c r="O1492" s="1" t="s">
        <v>21</v>
      </c>
      <c r="P1492"/>
    </row>
    <row r="1493" spans="1:16" x14ac:dyDescent="0.35">
      <c r="A1493" s="1" t="s">
        <v>85</v>
      </c>
      <c r="B1493" s="1" t="s">
        <v>27</v>
      </c>
      <c r="C1493" s="2">
        <v>45627</v>
      </c>
      <c r="D1493" s="1" t="s">
        <v>23</v>
      </c>
      <c r="E1493" s="1" t="s">
        <v>43</v>
      </c>
      <c r="F1493" s="1" t="s">
        <v>19</v>
      </c>
      <c r="G1493" s="1" t="s">
        <v>19</v>
      </c>
      <c r="H1493" s="1">
        <v>1</v>
      </c>
      <c r="I1493" s="1">
        <v>1997</v>
      </c>
      <c r="J1493" s="1">
        <v>2699</v>
      </c>
      <c r="K1493" s="1">
        <v>5</v>
      </c>
      <c r="L1493" s="1">
        <f>ROUNDDOWN(formatted_data[[#This Row],[Selling_Price]]*formatted_data[[#This Row],[Discount_%]]/100,0)</f>
        <v>134</v>
      </c>
      <c r="M1493" s="1">
        <f>(formatted_data[[#This Row],[Selling_Price]]-formatted_data[[#This Row],[Discount_Amount]])*formatted_data[[#This Row],[Units]]</f>
        <v>2565</v>
      </c>
      <c r="N1493" s="1">
        <f>formatted_data[[#This Row],[Total_Revenue]]-(formatted_data[[#This Row],[Cost_Price]]*formatted_data[[#This Row],[Units]])</f>
        <v>568</v>
      </c>
      <c r="O1493" s="1" t="s">
        <v>21</v>
      </c>
      <c r="P1493"/>
    </row>
    <row r="1494" spans="1:16" x14ac:dyDescent="0.35">
      <c r="A1494" s="1" t="s">
        <v>66</v>
      </c>
      <c r="B1494" s="1" t="s">
        <v>27</v>
      </c>
      <c r="C1494" s="2">
        <v>45457</v>
      </c>
      <c r="D1494" s="1" t="s">
        <v>35</v>
      </c>
      <c r="E1494" s="1" t="s">
        <v>39</v>
      </c>
      <c r="F1494" s="1" t="s">
        <v>37</v>
      </c>
      <c r="G1494" s="1" t="s">
        <v>19</v>
      </c>
      <c r="H1494" s="1">
        <v>5</v>
      </c>
      <c r="I1494" s="1">
        <v>819</v>
      </c>
      <c r="J1494" s="1">
        <v>1099</v>
      </c>
      <c r="K1494" s="1">
        <v>5</v>
      </c>
      <c r="L1494" s="1">
        <f>ROUNDDOWN(formatted_data[[#This Row],[Selling_Price]]*formatted_data[[#This Row],[Discount_%]]/100,0)</f>
        <v>54</v>
      </c>
      <c r="M1494" s="1">
        <f>(formatted_data[[#This Row],[Selling_Price]]-formatted_data[[#This Row],[Discount_Amount]])*formatted_data[[#This Row],[Units]]</f>
        <v>5225</v>
      </c>
      <c r="N1494" s="1">
        <f>formatted_data[[#This Row],[Total_Revenue]]-(formatted_data[[#This Row],[Cost_Price]]*formatted_data[[#This Row],[Units]])</f>
        <v>1130</v>
      </c>
      <c r="O1494" s="1" t="s">
        <v>21</v>
      </c>
      <c r="P1494"/>
    </row>
    <row r="1495" spans="1:16" x14ac:dyDescent="0.35">
      <c r="A1495" s="1" t="s">
        <v>98</v>
      </c>
      <c r="B1495" s="1" t="s">
        <v>16</v>
      </c>
      <c r="C1495" s="2">
        <v>45652</v>
      </c>
      <c r="D1495" s="1" t="s">
        <v>23</v>
      </c>
      <c r="E1495" s="1" t="s">
        <v>43</v>
      </c>
      <c r="F1495" s="1" t="s">
        <v>37</v>
      </c>
      <c r="G1495" s="1" t="s">
        <v>20</v>
      </c>
      <c r="H1495" s="1">
        <v>1</v>
      </c>
      <c r="I1495" s="1">
        <v>1323</v>
      </c>
      <c r="J1495" s="1">
        <v>2499</v>
      </c>
      <c r="K1495" s="1">
        <v>20</v>
      </c>
      <c r="L1495" s="1">
        <f>ROUNDDOWN(formatted_data[[#This Row],[Selling_Price]]*formatted_data[[#This Row],[Discount_%]]/100,0)</f>
        <v>499</v>
      </c>
      <c r="M1495" s="1">
        <f>(formatted_data[[#This Row],[Selling_Price]]-formatted_data[[#This Row],[Discount_Amount]])*formatted_data[[#This Row],[Units]]</f>
        <v>2000</v>
      </c>
      <c r="N1495" s="1">
        <f>formatted_data[[#This Row],[Total_Revenue]]-(formatted_data[[#This Row],[Cost_Price]]*formatted_data[[#This Row],[Units]])</f>
        <v>677</v>
      </c>
      <c r="O1495" s="1" t="s">
        <v>21</v>
      </c>
      <c r="P1495"/>
    </row>
    <row r="1496" spans="1:16" x14ac:dyDescent="0.35">
      <c r="A1496" s="1" t="s">
        <v>66</v>
      </c>
      <c r="B1496" s="1" t="s">
        <v>27</v>
      </c>
      <c r="C1496" s="2">
        <v>45599</v>
      </c>
      <c r="D1496" s="1" t="s">
        <v>28</v>
      </c>
      <c r="E1496" s="1" t="s">
        <v>45</v>
      </c>
      <c r="F1496" s="1" t="s">
        <v>19</v>
      </c>
      <c r="G1496" s="1" t="s">
        <v>20</v>
      </c>
      <c r="H1496" s="1">
        <v>4</v>
      </c>
      <c r="I1496" s="1">
        <v>732</v>
      </c>
      <c r="J1496" s="1">
        <v>999</v>
      </c>
      <c r="K1496" s="1">
        <v>15</v>
      </c>
      <c r="L1496" s="1">
        <f>ROUNDDOWN(formatted_data[[#This Row],[Selling_Price]]*formatted_data[[#This Row],[Discount_%]]/100,0)</f>
        <v>149</v>
      </c>
      <c r="M1496" s="1">
        <f>(formatted_data[[#This Row],[Selling_Price]]-formatted_data[[#This Row],[Discount_Amount]])*formatted_data[[#This Row],[Units]]</f>
        <v>3400</v>
      </c>
      <c r="N1496" s="1">
        <f>formatted_data[[#This Row],[Total_Revenue]]-(formatted_data[[#This Row],[Cost_Price]]*formatted_data[[#This Row],[Units]])</f>
        <v>472</v>
      </c>
      <c r="O1496" s="1" t="s">
        <v>21</v>
      </c>
      <c r="P1496"/>
    </row>
    <row r="1497" spans="1:16" x14ac:dyDescent="0.35">
      <c r="A1497" s="1" t="s">
        <v>105</v>
      </c>
      <c r="B1497" s="1" t="s">
        <v>16</v>
      </c>
      <c r="C1497" s="2">
        <v>45522</v>
      </c>
      <c r="D1497" s="1" t="s">
        <v>35</v>
      </c>
      <c r="E1497" s="1" t="s">
        <v>100</v>
      </c>
      <c r="F1497" s="1" t="s">
        <v>25</v>
      </c>
      <c r="G1497" s="1" t="s">
        <v>20</v>
      </c>
      <c r="H1497" s="1">
        <v>1</v>
      </c>
      <c r="I1497" s="1">
        <v>1324</v>
      </c>
      <c r="J1497" s="1">
        <v>2299</v>
      </c>
      <c r="K1497" s="1">
        <v>10</v>
      </c>
      <c r="L1497" s="1">
        <f>ROUNDDOWN(formatted_data[[#This Row],[Selling_Price]]*formatted_data[[#This Row],[Discount_%]]/100,0)</f>
        <v>229</v>
      </c>
      <c r="M1497" s="1">
        <f>(formatted_data[[#This Row],[Selling_Price]]-formatted_data[[#This Row],[Discount_Amount]])*formatted_data[[#This Row],[Units]]</f>
        <v>2070</v>
      </c>
      <c r="N1497" s="1">
        <f>formatted_data[[#This Row],[Total_Revenue]]-(formatted_data[[#This Row],[Cost_Price]]*formatted_data[[#This Row],[Units]])</f>
        <v>746</v>
      </c>
      <c r="O1497" s="1" t="s">
        <v>21</v>
      </c>
      <c r="P1497"/>
    </row>
    <row r="1498" spans="1:16" x14ac:dyDescent="0.35">
      <c r="A1498" s="1" t="s">
        <v>107</v>
      </c>
      <c r="B1498" s="1" t="s">
        <v>27</v>
      </c>
      <c r="C1498" s="2">
        <v>45534</v>
      </c>
      <c r="D1498" s="1" t="s">
        <v>31</v>
      </c>
      <c r="E1498" s="1" t="s">
        <v>76</v>
      </c>
      <c r="F1498" s="1" t="s">
        <v>37</v>
      </c>
      <c r="G1498" s="1" t="s">
        <v>19</v>
      </c>
      <c r="H1498" s="1">
        <v>1</v>
      </c>
      <c r="I1498" s="1">
        <v>651</v>
      </c>
      <c r="J1498" s="1">
        <v>1199</v>
      </c>
      <c r="K1498" s="1">
        <v>0</v>
      </c>
      <c r="L1498" s="1">
        <f>ROUNDDOWN(formatted_data[[#This Row],[Selling_Price]]*formatted_data[[#This Row],[Discount_%]]/100,0)</f>
        <v>0</v>
      </c>
      <c r="M1498" s="1">
        <f>(formatted_data[[#This Row],[Selling_Price]]-formatted_data[[#This Row],[Discount_Amount]])*formatted_data[[#This Row],[Units]]</f>
        <v>1199</v>
      </c>
      <c r="N1498" s="1">
        <f>formatted_data[[#This Row],[Total_Revenue]]-(formatted_data[[#This Row],[Cost_Price]]*formatted_data[[#This Row],[Units]])</f>
        <v>548</v>
      </c>
      <c r="O1498" s="1" t="s">
        <v>21</v>
      </c>
      <c r="P1498"/>
    </row>
    <row r="1499" spans="1:16" x14ac:dyDescent="0.35">
      <c r="A1499" s="1" t="s">
        <v>79</v>
      </c>
      <c r="B1499" s="1" t="s">
        <v>16</v>
      </c>
      <c r="C1499" s="2">
        <v>45513</v>
      </c>
      <c r="D1499" s="1" t="s">
        <v>31</v>
      </c>
      <c r="E1499" s="1" t="s">
        <v>76</v>
      </c>
      <c r="F1499" s="1" t="s">
        <v>19</v>
      </c>
      <c r="G1499" s="1" t="s">
        <v>20</v>
      </c>
      <c r="H1499" s="1">
        <v>2</v>
      </c>
      <c r="I1499" s="1">
        <v>524</v>
      </c>
      <c r="J1499" s="1">
        <v>699</v>
      </c>
      <c r="K1499" s="1">
        <v>0</v>
      </c>
      <c r="L1499" s="1">
        <f>ROUNDDOWN(formatted_data[[#This Row],[Selling_Price]]*formatted_data[[#This Row],[Discount_%]]/100,0)</f>
        <v>0</v>
      </c>
      <c r="M1499" s="1">
        <f>(formatted_data[[#This Row],[Selling_Price]]-formatted_data[[#This Row],[Discount_Amount]])*formatted_data[[#This Row],[Units]]</f>
        <v>1398</v>
      </c>
      <c r="N1499" s="1">
        <f>formatted_data[[#This Row],[Total_Revenue]]-(formatted_data[[#This Row],[Cost_Price]]*formatted_data[[#This Row],[Units]])</f>
        <v>350</v>
      </c>
      <c r="O1499" s="1" t="s">
        <v>21</v>
      </c>
      <c r="P1499"/>
    </row>
    <row r="1500" spans="1:16" x14ac:dyDescent="0.35">
      <c r="A1500" s="1" t="s">
        <v>42</v>
      </c>
      <c r="B1500" s="1" t="s">
        <v>27</v>
      </c>
      <c r="C1500" s="2">
        <v>45453</v>
      </c>
      <c r="D1500" s="1" t="s">
        <v>31</v>
      </c>
      <c r="E1500" s="1" t="s">
        <v>32</v>
      </c>
      <c r="F1500" s="1" t="s">
        <v>25</v>
      </c>
      <c r="G1500" s="1" t="s">
        <v>20</v>
      </c>
      <c r="H1500" s="1">
        <v>3</v>
      </c>
      <c r="I1500" s="1">
        <v>638</v>
      </c>
      <c r="J1500" s="1">
        <v>899</v>
      </c>
      <c r="K1500" s="1">
        <v>0</v>
      </c>
      <c r="L1500" s="1">
        <f>ROUNDDOWN(formatted_data[[#This Row],[Selling_Price]]*formatted_data[[#This Row],[Discount_%]]/100,0)</f>
        <v>0</v>
      </c>
      <c r="M1500" s="1">
        <f>(formatted_data[[#This Row],[Selling_Price]]-formatted_data[[#This Row],[Discount_Amount]])*formatted_data[[#This Row],[Units]]</f>
        <v>2697</v>
      </c>
      <c r="N1500" s="1">
        <f>formatted_data[[#This Row],[Total_Revenue]]-(formatted_data[[#This Row],[Cost_Price]]*formatted_data[[#This Row],[Units]])</f>
        <v>783</v>
      </c>
      <c r="O1500" s="1" t="s">
        <v>33</v>
      </c>
      <c r="P1500"/>
    </row>
    <row r="1501" spans="1:16" x14ac:dyDescent="0.35">
      <c r="A1501" s="1" t="s">
        <v>69</v>
      </c>
      <c r="B1501" s="1" t="s">
        <v>16</v>
      </c>
      <c r="C1501" s="2">
        <v>45515</v>
      </c>
      <c r="D1501" s="1" t="s">
        <v>23</v>
      </c>
      <c r="E1501" s="1" t="s">
        <v>24</v>
      </c>
      <c r="F1501" s="1" t="s">
        <v>25</v>
      </c>
      <c r="G1501" s="1" t="s">
        <v>20</v>
      </c>
      <c r="H1501" s="1">
        <v>1</v>
      </c>
      <c r="I1501" s="1">
        <v>1621</v>
      </c>
      <c r="J1501" s="1">
        <v>2199</v>
      </c>
      <c r="K1501" s="1">
        <v>5</v>
      </c>
      <c r="L1501" s="1">
        <f>ROUNDDOWN(formatted_data[[#This Row],[Selling_Price]]*formatted_data[[#This Row],[Discount_%]]/100,0)</f>
        <v>109</v>
      </c>
      <c r="M1501" s="1">
        <f>(formatted_data[[#This Row],[Selling_Price]]-formatted_data[[#This Row],[Discount_Amount]])*formatted_data[[#This Row],[Units]]</f>
        <v>2090</v>
      </c>
      <c r="N1501" s="1">
        <f>formatted_data[[#This Row],[Total_Revenue]]-(formatted_data[[#This Row],[Cost_Price]]*formatted_data[[#This Row],[Units]])</f>
        <v>469</v>
      </c>
      <c r="O1501" s="1" t="s">
        <v>21</v>
      </c>
      <c r="P1501"/>
    </row>
    <row r="1502" spans="1:16" x14ac:dyDescent="0.35">
      <c r="A1502" s="1" t="s">
        <v>56</v>
      </c>
      <c r="B1502" s="1" t="s">
        <v>27</v>
      </c>
      <c r="C1502" s="2">
        <v>45489</v>
      </c>
      <c r="D1502" s="1" t="s">
        <v>28</v>
      </c>
      <c r="E1502" s="1" t="s">
        <v>45</v>
      </c>
      <c r="F1502" s="1" t="s">
        <v>25</v>
      </c>
      <c r="G1502" s="1" t="s">
        <v>19</v>
      </c>
      <c r="H1502" s="1">
        <v>5</v>
      </c>
      <c r="I1502" s="1">
        <v>817</v>
      </c>
      <c r="J1502" s="1">
        <v>1499</v>
      </c>
      <c r="K1502" s="1">
        <v>15</v>
      </c>
      <c r="L1502" s="1">
        <f>ROUNDDOWN(formatted_data[[#This Row],[Selling_Price]]*formatted_data[[#This Row],[Discount_%]]/100,0)</f>
        <v>224</v>
      </c>
      <c r="M1502" s="1">
        <f>(formatted_data[[#This Row],[Selling_Price]]-formatted_data[[#This Row],[Discount_Amount]])*formatted_data[[#This Row],[Units]]</f>
        <v>6375</v>
      </c>
      <c r="N1502" s="1">
        <f>formatted_data[[#This Row],[Total_Revenue]]-(formatted_data[[#This Row],[Cost_Price]]*formatted_data[[#This Row],[Units]])</f>
        <v>2290</v>
      </c>
      <c r="O1502" s="1" t="s">
        <v>33</v>
      </c>
      <c r="P1502"/>
    </row>
    <row r="1503" spans="1:16" x14ac:dyDescent="0.35">
      <c r="A1503" s="1" t="s">
        <v>75</v>
      </c>
      <c r="B1503" s="1" t="s">
        <v>27</v>
      </c>
      <c r="C1503" s="2">
        <v>45560</v>
      </c>
      <c r="D1503" s="1" t="s">
        <v>23</v>
      </c>
      <c r="E1503" s="1" t="s">
        <v>24</v>
      </c>
      <c r="F1503" s="1" t="s">
        <v>25</v>
      </c>
      <c r="G1503" s="1" t="s">
        <v>19</v>
      </c>
      <c r="H1503" s="1">
        <v>2</v>
      </c>
      <c r="I1503" s="1">
        <v>675</v>
      </c>
      <c r="J1503" s="1">
        <v>1099</v>
      </c>
      <c r="K1503" s="1">
        <v>5</v>
      </c>
      <c r="L1503" s="1">
        <f>ROUNDDOWN(formatted_data[[#This Row],[Selling_Price]]*formatted_data[[#This Row],[Discount_%]]/100,0)</f>
        <v>54</v>
      </c>
      <c r="M1503" s="1">
        <f>(formatted_data[[#This Row],[Selling_Price]]-formatted_data[[#This Row],[Discount_Amount]])*formatted_data[[#This Row],[Units]]</f>
        <v>2090</v>
      </c>
      <c r="N1503" s="1">
        <f>formatted_data[[#This Row],[Total_Revenue]]-(formatted_data[[#This Row],[Cost_Price]]*formatted_data[[#This Row],[Units]])</f>
        <v>740</v>
      </c>
      <c r="O1503" s="1" t="s">
        <v>21</v>
      </c>
      <c r="P1503"/>
    </row>
    <row r="1504" spans="1:16" x14ac:dyDescent="0.35">
      <c r="A1504" s="1" t="s">
        <v>92</v>
      </c>
      <c r="B1504" s="1" t="s">
        <v>27</v>
      </c>
      <c r="C1504" s="2">
        <v>45597</v>
      </c>
      <c r="D1504" s="1" t="s">
        <v>28</v>
      </c>
      <c r="E1504" s="1" t="s">
        <v>29</v>
      </c>
      <c r="F1504" s="1" t="s">
        <v>25</v>
      </c>
      <c r="G1504" s="1" t="s">
        <v>20</v>
      </c>
      <c r="H1504" s="1">
        <v>2</v>
      </c>
      <c r="I1504" s="1">
        <v>310</v>
      </c>
      <c r="J1504" s="1">
        <v>599</v>
      </c>
      <c r="K1504" s="1">
        <v>15</v>
      </c>
      <c r="L1504" s="1">
        <f>ROUNDDOWN(formatted_data[[#This Row],[Selling_Price]]*formatted_data[[#This Row],[Discount_%]]/100,0)</f>
        <v>89</v>
      </c>
      <c r="M1504" s="1">
        <f>(formatted_data[[#This Row],[Selling_Price]]-formatted_data[[#This Row],[Discount_Amount]])*formatted_data[[#This Row],[Units]]</f>
        <v>1020</v>
      </c>
      <c r="N1504" s="1">
        <f>formatted_data[[#This Row],[Total_Revenue]]-(formatted_data[[#This Row],[Cost_Price]]*formatted_data[[#This Row],[Units]])</f>
        <v>400</v>
      </c>
      <c r="O1504" s="1" t="s">
        <v>33</v>
      </c>
      <c r="P1504"/>
    </row>
    <row r="1505" spans="1:16" x14ac:dyDescent="0.35">
      <c r="A1505" s="1" t="s">
        <v>94</v>
      </c>
      <c r="B1505" s="1" t="s">
        <v>16</v>
      </c>
      <c r="C1505" s="2">
        <v>45657</v>
      </c>
      <c r="D1505" s="1" t="s">
        <v>31</v>
      </c>
      <c r="E1505" s="1" t="s">
        <v>76</v>
      </c>
      <c r="F1505" s="1" t="s">
        <v>19</v>
      </c>
      <c r="G1505" s="1" t="s">
        <v>20</v>
      </c>
      <c r="H1505" s="1">
        <v>1</v>
      </c>
      <c r="I1505" s="1">
        <v>514</v>
      </c>
      <c r="J1505" s="1">
        <v>799</v>
      </c>
      <c r="K1505" s="1">
        <v>0</v>
      </c>
      <c r="L1505" s="1">
        <f>ROUNDDOWN(formatted_data[[#This Row],[Selling_Price]]*formatted_data[[#This Row],[Discount_%]]/100,0)</f>
        <v>0</v>
      </c>
      <c r="M1505" s="1">
        <f>(formatted_data[[#This Row],[Selling_Price]]-formatted_data[[#This Row],[Discount_Amount]])*formatted_data[[#This Row],[Units]]</f>
        <v>799</v>
      </c>
      <c r="N1505" s="1">
        <f>formatted_data[[#This Row],[Total_Revenue]]-(formatted_data[[#This Row],[Cost_Price]]*formatted_data[[#This Row],[Units]])</f>
        <v>285</v>
      </c>
      <c r="O1505" s="1" t="s">
        <v>21</v>
      </c>
      <c r="P1505"/>
    </row>
    <row r="1506" spans="1:16" x14ac:dyDescent="0.35">
      <c r="A1506" s="1" t="s">
        <v>65</v>
      </c>
      <c r="B1506" s="1" t="s">
        <v>16</v>
      </c>
      <c r="C1506" s="2">
        <v>45529</v>
      </c>
      <c r="D1506" s="1" t="s">
        <v>17</v>
      </c>
      <c r="E1506" s="1" t="s">
        <v>48</v>
      </c>
      <c r="F1506" s="1" t="s">
        <v>25</v>
      </c>
      <c r="G1506" s="1" t="s">
        <v>20</v>
      </c>
      <c r="H1506" s="1">
        <v>2</v>
      </c>
      <c r="I1506" s="1">
        <v>283</v>
      </c>
      <c r="J1506" s="1">
        <v>399</v>
      </c>
      <c r="K1506" s="1">
        <v>0</v>
      </c>
      <c r="L1506" s="1">
        <f>ROUNDDOWN(formatted_data[[#This Row],[Selling_Price]]*formatted_data[[#This Row],[Discount_%]]/100,0)</f>
        <v>0</v>
      </c>
      <c r="M1506" s="1">
        <f>(formatted_data[[#This Row],[Selling_Price]]-formatted_data[[#This Row],[Discount_Amount]])*formatted_data[[#This Row],[Units]]</f>
        <v>798</v>
      </c>
      <c r="N1506" s="1">
        <f>formatted_data[[#This Row],[Total_Revenue]]-(formatted_data[[#This Row],[Cost_Price]]*formatted_data[[#This Row],[Units]])</f>
        <v>232</v>
      </c>
      <c r="O1506" s="1" t="s">
        <v>33</v>
      </c>
      <c r="P1506"/>
    </row>
    <row r="1507" spans="1:16" x14ac:dyDescent="0.35">
      <c r="A1507" s="1" t="s">
        <v>93</v>
      </c>
      <c r="B1507" s="1" t="s">
        <v>16</v>
      </c>
      <c r="C1507" s="2">
        <v>45542</v>
      </c>
      <c r="D1507" s="1" t="s">
        <v>31</v>
      </c>
      <c r="E1507" s="1" t="s">
        <v>76</v>
      </c>
      <c r="F1507" s="1" t="s">
        <v>37</v>
      </c>
      <c r="G1507" s="1" t="s">
        <v>19</v>
      </c>
      <c r="H1507" s="1">
        <v>2</v>
      </c>
      <c r="I1507" s="1">
        <v>724</v>
      </c>
      <c r="J1507" s="1">
        <v>1199</v>
      </c>
      <c r="K1507" s="1">
        <v>0</v>
      </c>
      <c r="L1507" s="1">
        <f>ROUNDDOWN(formatted_data[[#This Row],[Selling_Price]]*formatted_data[[#This Row],[Discount_%]]/100,0)</f>
        <v>0</v>
      </c>
      <c r="M1507" s="1">
        <f>(formatted_data[[#This Row],[Selling_Price]]-formatted_data[[#This Row],[Discount_Amount]])*formatted_data[[#This Row],[Units]]</f>
        <v>2398</v>
      </c>
      <c r="N1507" s="1">
        <f>formatted_data[[#This Row],[Total_Revenue]]-(formatted_data[[#This Row],[Cost_Price]]*formatted_data[[#This Row],[Units]])</f>
        <v>950</v>
      </c>
      <c r="O1507" s="1" t="s">
        <v>21</v>
      </c>
      <c r="P1507"/>
    </row>
    <row r="1508" spans="1:16" x14ac:dyDescent="0.35">
      <c r="A1508" s="1" t="s">
        <v>61</v>
      </c>
      <c r="B1508" s="1" t="s">
        <v>27</v>
      </c>
      <c r="C1508" s="2">
        <v>45534</v>
      </c>
      <c r="D1508" s="1" t="s">
        <v>23</v>
      </c>
      <c r="E1508" s="1" t="s">
        <v>43</v>
      </c>
      <c r="F1508" s="1" t="s">
        <v>25</v>
      </c>
      <c r="G1508" s="1" t="s">
        <v>20</v>
      </c>
      <c r="H1508" s="1">
        <v>1</v>
      </c>
      <c r="I1508" s="1">
        <v>1504</v>
      </c>
      <c r="J1508" s="1">
        <v>2399</v>
      </c>
      <c r="K1508" s="1">
        <v>5</v>
      </c>
      <c r="L1508" s="1">
        <f>ROUNDDOWN(formatted_data[[#This Row],[Selling_Price]]*formatted_data[[#This Row],[Discount_%]]/100,0)</f>
        <v>119</v>
      </c>
      <c r="M1508" s="1">
        <f>(formatted_data[[#This Row],[Selling_Price]]-formatted_data[[#This Row],[Discount_Amount]])*formatted_data[[#This Row],[Units]]</f>
        <v>2280</v>
      </c>
      <c r="N1508" s="1">
        <f>formatted_data[[#This Row],[Total_Revenue]]-(formatted_data[[#This Row],[Cost_Price]]*formatted_data[[#This Row],[Units]])</f>
        <v>776</v>
      </c>
      <c r="O1508" s="1" t="s">
        <v>21</v>
      </c>
      <c r="P1508"/>
    </row>
    <row r="1509" spans="1:16" x14ac:dyDescent="0.35">
      <c r="A1509" s="1" t="s">
        <v>82</v>
      </c>
      <c r="B1509" s="1" t="s">
        <v>27</v>
      </c>
      <c r="C1509" s="2">
        <v>45628</v>
      </c>
      <c r="D1509" s="1" t="s">
        <v>28</v>
      </c>
      <c r="E1509" s="1" t="s">
        <v>45</v>
      </c>
      <c r="F1509" s="1" t="s">
        <v>37</v>
      </c>
      <c r="G1509" s="1" t="s">
        <v>20</v>
      </c>
      <c r="H1509" s="1">
        <v>1</v>
      </c>
      <c r="I1509" s="1">
        <v>1002</v>
      </c>
      <c r="J1509" s="1">
        <v>1499</v>
      </c>
      <c r="K1509" s="1">
        <v>20</v>
      </c>
      <c r="L1509" s="1">
        <f>ROUNDDOWN(formatted_data[[#This Row],[Selling_Price]]*formatted_data[[#This Row],[Discount_%]]/100,0)</f>
        <v>299</v>
      </c>
      <c r="M1509" s="1">
        <f>(formatted_data[[#This Row],[Selling_Price]]-formatted_data[[#This Row],[Discount_Amount]])*formatted_data[[#This Row],[Units]]</f>
        <v>1200</v>
      </c>
      <c r="N1509" s="1">
        <f>formatted_data[[#This Row],[Total_Revenue]]-(formatted_data[[#This Row],[Cost_Price]]*formatted_data[[#This Row],[Units]])</f>
        <v>198</v>
      </c>
      <c r="O1509" s="1" t="s">
        <v>21</v>
      </c>
      <c r="P1509"/>
    </row>
    <row r="1510" spans="1:16" x14ac:dyDescent="0.35">
      <c r="A1510" s="1" t="s">
        <v>73</v>
      </c>
      <c r="B1510" s="1" t="s">
        <v>16</v>
      </c>
      <c r="C1510" s="2">
        <v>45532</v>
      </c>
      <c r="D1510" s="1" t="s">
        <v>23</v>
      </c>
      <c r="E1510" s="1" t="s">
        <v>43</v>
      </c>
      <c r="F1510" s="1" t="s">
        <v>37</v>
      </c>
      <c r="G1510" s="1" t="s">
        <v>19</v>
      </c>
      <c r="H1510" s="1">
        <v>2</v>
      </c>
      <c r="I1510" s="1">
        <v>1411</v>
      </c>
      <c r="J1510" s="1">
        <v>2399</v>
      </c>
      <c r="K1510" s="1">
        <v>5</v>
      </c>
      <c r="L1510" s="1">
        <f>ROUNDDOWN(formatted_data[[#This Row],[Selling_Price]]*formatted_data[[#This Row],[Discount_%]]/100,0)</f>
        <v>119</v>
      </c>
      <c r="M1510" s="1">
        <f>(formatted_data[[#This Row],[Selling_Price]]-formatted_data[[#This Row],[Discount_Amount]])*formatted_data[[#This Row],[Units]]</f>
        <v>4560</v>
      </c>
      <c r="N1510" s="1">
        <f>formatted_data[[#This Row],[Total_Revenue]]-(formatted_data[[#This Row],[Cost_Price]]*formatted_data[[#This Row],[Units]])</f>
        <v>1738</v>
      </c>
      <c r="O1510" s="1" t="s">
        <v>21</v>
      </c>
      <c r="P1510"/>
    </row>
    <row r="1511" spans="1:16" x14ac:dyDescent="0.35">
      <c r="A1511" s="1" t="s">
        <v>49</v>
      </c>
      <c r="B1511" s="1" t="s">
        <v>27</v>
      </c>
      <c r="C1511" s="2">
        <v>45652</v>
      </c>
      <c r="D1511" s="1" t="s">
        <v>23</v>
      </c>
      <c r="E1511" s="1" t="s">
        <v>43</v>
      </c>
      <c r="F1511" s="1" t="s">
        <v>25</v>
      </c>
      <c r="G1511" s="1" t="s">
        <v>19</v>
      </c>
      <c r="H1511" s="1">
        <v>1</v>
      </c>
      <c r="I1511" s="1">
        <v>2622</v>
      </c>
      <c r="J1511" s="1">
        <v>4399</v>
      </c>
      <c r="K1511" s="1">
        <v>20</v>
      </c>
      <c r="L1511" s="1">
        <f>ROUNDDOWN(formatted_data[[#This Row],[Selling_Price]]*formatted_data[[#This Row],[Discount_%]]/100,0)</f>
        <v>879</v>
      </c>
      <c r="M1511" s="1">
        <f>(formatted_data[[#This Row],[Selling_Price]]-formatted_data[[#This Row],[Discount_Amount]])*formatted_data[[#This Row],[Units]]</f>
        <v>3520</v>
      </c>
      <c r="N1511" s="1">
        <f>formatted_data[[#This Row],[Total_Revenue]]-(formatted_data[[#This Row],[Cost_Price]]*formatted_data[[#This Row],[Units]])</f>
        <v>898</v>
      </c>
      <c r="O1511" s="1" t="s">
        <v>33</v>
      </c>
      <c r="P1511"/>
    </row>
    <row r="1512" spans="1:16" x14ac:dyDescent="0.35">
      <c r="A1512" s="1" t="s">
        <v>96</v>
      </c>
      <c r="B1512" s="1" t="s">
        <v>16</v>
      </c>
      <c r="C1512" s="2">
        <v>45473</v>
      </c>
      <c r="D1512" s="1" t="s">
        <v>31</v>
      </c>
      <c r="E1512" s="1" t="s">
        <v>76</v>
      </c>
      <c r="F1512" s="1" t="s">
        <v>37</v>
      </c>
      <c r="G1512" s="1" t="s">
        <v>20</v>
      </c>
      <c r="H1512" s="1">
        <v>4</v>
      </c>
      <c r="I1512" s="1">
        <v>388</v>
      </c>
      <c r="J1512" s="1">
        <v>699</v>
      </c>
      <c r="K1512" s="1">
        <v>0</v>
      </c>
      <c r="L1512" s="1">
        <f>ROUNDDOWN(formatted_data[[#This Row],[Selling_Price]]*formatted_data[[#This Row],[Discount_%]]/100,0)</f>
        <v>0</v>
      </c>
      <c r="M1512" s="1">
        <f>(formatted_data[[#This Row],[Selling_Price]]-formatted_data[[#This Row],[Discount_Amount]])*formatted_data[[#This Row],[Units]]</f>
        <v>2796</v>
      </c>
      <c r="N1512" s="1">
        <f>formatted_data[[#This Row],[Total_Revenue]]-(formatted_data[[#This Row],[Cost_Price]]*formatted_data[[#This Row],[Units]])</f>
        <v>1244</v>
      </c>
      <c r="O1512" s="1" t="s">
        <v>33</v>
      </c>
      <c r="P1512"/>
    </row>
    <row r="1513" spans="1:16" x14ac:dyDescent="0.35">
      <c r="A1513" s="1" t="s">
        <v>108</v>
      </c>
      <c r="B1513" s="1" t="s">
        <v>27</v>
      </c>
      <c r="C1513" s="2">
        <v>45466</v>
      </c>
      <c r="D1513" s="1" t="s">
        <v>28</v>
      </c>
      <c r="E1513" s="1" t="s">
        <v>29</v>
      </c>
      <c r="F1513" s="1" t="s">
        <v>25</v>
      </c>
      <c r="G1513" s="1" t="s">
        <v>19</v>
      </c>
      <c r="H1513" s="1">
        <v>1</v>
      </c>
      <c r="I1513" s="1">
        <v>299</v>
      </c>
      <c r="J1513" s="1">
        <v>499</v>
      </c>
      <c r="K1513" s="1">
        <v>20</v>
      </c>
      <c r="L1513" s="1">
        <f>ROUNDDOWN(formatted_data[[#This Row],[Selling_Price]]*formatted_data[[#This Row],[Discount_%]]/100,0)</f>
        <v>99</v>
      </c>
      <c r="M1513" s="1">
        <f>(formatted_data[[#This Row],[Selling_Price]]-formatted_data[[#This Row],[Discount_Amount]])*formatted_data[[#This Row],[Units]]</f>
        <v>400</v>
      </c>
      <c r="N1513" s="1">
        <f>formatted_data[[#This Row],[Total_Revenue]]-(formatted_data[[#This Row],[Cost_Price]]*formatted_data[[#This Row],[Units]])</f>
        <v>101</v>
      </c>
      <c r="O1513" s="1" t="s">
        <v>33</v>
      </c>
      <c r="P1513"/>
    </row>
    <row r="1514" spans="1:16" x14ac:dyDescent="0.35">
      <c r="A1514" s="1" t="s">
        <v>89</v>
      </c>
      <c r="B1514" s="1" t="s">
        <v>16</v>
      </c>
      <c r="C1514" s="2">
        <v>45481</v>
      </c>
      <c r="D1514" s="1" t="s">
        <v>35</v>
      </c>
      <c r="E1514" s="1" t="s">
        <v>39</v>
      </c>
      <c r="F1514" s="1" t="s">
        <v>37</v>
      </c>
      <c r="G1514" s="1" t="s">
        <v>19</v>
      </c>
      <c r="H1514" s="1">
        <v>2</v>
      </c>
      <c r="I1514" s="1">
        <v>897</v>
      </c>
      <c r="J1514" s="1">
        <v>1499</v>
      </c>
      <c r="K1514" s="1">
        <v>10</v>
      </c>
      <c r="L1514" s="1">
        <f>ROUNDDOWN(formatted_data[[#This Row],[Selling_Price]]*formatted_data[[#This Row],[Discount_%]]/100,0)</f>
        <v>149</v>
      </c>
      <c r="M1514" s="1">
        <f>(formatted_data[[#This Row],[Selling_Price]]-formatted_data[[#This Row],[Discount_Amount]])*formatted_data[[#This Row],[Units]]</f>
        <v>2700</v>
      </c>
      <c r="N1514" s="1">
        <f>formatted_data[[#This Row],[Total_Revenue]]-(formatted_data[[#This Row],[Cost_Price]]*formatted_data[[#This Row],[Units]])</f>
        <v>906</v>
      </c>
      <c r="O1514" s="1" t="s">
        <v>33</v>
      </c>
      <c r="P1514"/>
    </row>
    <row r="1515" spans="1:16" x14ac:dyDescent="0.35">
      <c r="A1515" s="1" t="s">
        <v>86</v>
      </c>
      <c r="B1515" s="1" t="s">
        <v>27</v>
      </c>
      <c r="C1515" s="2">
        <v>45546</v>
      </c>
      <c r="D1515" s="1" t="s">
        <v>31</v>
      </c>
      <c r="E1515" s="1" t="s">
        <v>76</v>
      </c>
      <c r="F1515" s="1" t="s">
        <v>25</v>
      </c>
      <c r="G1515" s="1" t="s">
        <v>19</v>
      </c>
      <c r="H1515" s="1">
        <v>4</v>
      </c>
      <c r="I1515" s="1">
        <v>816</v>
      </c>
      <c r="J1515" s="1">
        <v>1199</v>
      </c>
      <c r="K1515" s="1">
        <v>0</v>
      </c>
      <c r="L1515" s="1">
        <f>ROUNDDOWN(formatted_data[[#This Row],[Selling_Price]]*formatted_data[[#This Row],[Discount_%]]/100,0)</f>
        <v>0</v>
      </c>
      <c r="M1515" s="1">
        <f>(formatted_data[[#This Row],[Selling_Price]]-formatted_data[[#This Row],[Discount_Amount]])*formatted_data[[#This Row],[Units]]</f>
        <v>4796</v>
      </c>
      <c r="N1515" s="1">
        <f>formatted_data[[#This Row],[Total_Revenue]]-(formatted_data[[#This Row],[Cost_Price]]*formatted_data[[#This Row],[Units]])</f>
        <v>1532</v>
      </c>
      <c r="O1515" s="1" t="s">
        <v>21</v>
      </c>
      <c r="P1515"/>
    </row>
    <row r="1516" spans="1:16" x14ac:dyDescent="0.35">
      <c r="A1516" s="1" t="s">
        <v>109</v>
      </c>
      <c r="B1516" s="1" t="s">
        <v>16</v>
      </c>
      <c r="C1516" s="2">
        <v>45469</v>
      </c>
      <c r="D1516" s="1" t="s">
        <v>31</v>
      </c>
      <c r="E1516" s="1" t="s">
        <v>76</v>
      </c>
      <c r="F1516" s="1" t="s">
        <v>25</v>
      </c>
      <c r="G1516" s="1" t="s">
        <v>20</v>
      </c>
      <c r="H1516" s="1">
        <v>2</v>
      </c>
      <c r="I1516" s="1">
        <v>950</v>
      </c>
      <c r="J1516" s="1">
        <v>1499</v>
      </c>
      <c r="K1516" s="1">
        <v>0</v>
      </c>
      <c r="L1516" s="1">
        <f>ROUNDDOWN(formatted_data[[#This Row],[Selling_Price]]*formatted_data[[#This Row],[Discount_%]]/100,0)</f>
        <v>0</v>
      </c>
      <c r="M1516" s="1">
        <f>(formatted_data[[#This Row],[Selling_Price]]-formatted_data[[#This Row],[Discount_Amount]])*formatted_data[[#This Row],[Units]]</f>
        <v>2998</v>
      </c>
      <c r="N1516" s="1">
        <f>formatted_data[[#This Row],[Total_Revenue]]-(formatted_data[[#This Row],[Cost_Price]]*formatted_data[[#This Row],[Units]])</f>
        <v>1098</v>
      </c>
      <c r="O1516" s="1" t="s">
        <v>21</v>
      </c>
      <c r="P1516"/>
    </row>
    <row r="1517" spans="1:16" x14ac:dyDescent="0.35">
      <c r="A1517" s="1" t="s">
        <v>34</v>
      </c>
      <c r="B1517" s="1" t="s">
        <v>27</v>
      </c>
      <c r="C1517" s="2">
        <v>45511</v>
      </c>
      <c r="D1517" s="1" t="s">
        <v>17</v>
      </c>
      <c r="E1517" s="1" t="s">
        <v>72</v>
      </c>
      <c r="F1517" s="1" t="s">
        <v>25</v>
      </c>
      <c r="G1517" s="1" t="s">
        <v>19</v>
      </c>
      <c r="H1517" s="1">
        <v>1</v>
      </c>
      <c r="I1517" s="1">
        <v>273</v>
      </c>
      <c r="J1517" s="1">
        <v>399</v>
      </c>
      <c r="K1517" s="1">
        <v>0</v>
      </c>
      <c r="L1517" s="1">
        <f>ROUNDDOWN(formatted_data[[#This Row],[Selling_Price]]*formatted_data[[#This Row],[Discount_%]]/100,0)</f>
        <v>0</v>
      </c>
      <c r="M1517" s="1">
        <f>(formatted_data[[#This Row],[Selling_Price]]-formatted_data[[#This Row],[Discount_Amount]])*formatted_data[[#This Row],[Units]]</f>
        <v>399</v>
      </c>
      <c r="N1517" s="1">
        <f>formatted_data[[#This Row],[Total_Revenue]]-(formatted_data[[#This Row],[Cost_Price]]*formatted_data[[#This Row],[Units]])</f>
        <v>126</v>
      </c>
      <c r="O1517" s="1" t="s">
        <v>21</v>
      </c>
      <c r="P1517"/>
    </row>
    <row r="1518" spans="1:16" x14ac:dyDescent="0.35">
      <c r="A1518" s="1" t="s">
        <v>96</v>
      </c>
      <c r="B1518" s="1" t="s">
        <v>16</v>
      </c>
      <c r="C1518" s="2">
        <v>45445</v>
      </c>
      <c r="D1518" s="1" t="s">
        <v>35</v>
      </c>
      <c r="E1518" s="1" t="s">
        <v>87</v>
      </c>
      <c r="F1518" s="1" t="s">
        <v>25</v>
      </c>
      <c r="G1518" s="1" t="s">
        <v>19</v>
      </c>
      <c r="H1518" s="1">
        <v>1</v>
      </c>
      <c r="I1518" s="1">
        <v>1431</v>
      </c>
      <c r="J1518" s="1">
        <v>2299</v>
      </c>
      <c r="K1518" s="1">
        <v>10</v>
      </c>
      <c r="L1518" s="1">
        <f>ROUNDDOWN(formatted_data[[#This Row],[Selling_Price]]*formatted_data[[#This Row],[Discount_%]]/100,0)</f>
        <v>229</v>
      </c>
      <c r="M1518" s="1">
        <f>(formatted_data[[#This Row],[Selling_Price]]-formatted_data[[#This Row],[Discount_Amount]])*formatted_data[[#This Row],[Units]]</f>
        <v>2070</v>
      </c>
      <c r="N1518" s="1">
        <f>formatted_data[[#This Row],[Total_Revenue]]-(formatted_data[[#This Row],[Cost_Price]]*formatted_data[[#This Row],[Units]])</f>
        <v>639</v>
      </c>
      <c r="O1518" s="1" t="s">
        <v>21</v>
      </c>
      <c r="P1518"/>
    </row>
    <row r="1519" spans="1:16" x14ac:dyDescent="0.35">
      <c r="A1519" s="1" t="s">
        <v>77</v>
      </c>
      <c r="B1519" s="1" t="s">
        <v>27</v>
      </c>
      <c r="C1519" s="2">
        <v>45485</v>
      </c>
      <c r="D1519" s="1" t="s">
        <v>31</v>
      </c>
      <c r="E1519" s="1" t="s">
        <v>32</v>
      </c>
      <c r="F1519" s="1" t="s">
        <v>25</v>
      </c>
      <c r="G1519" s="1" t="s">
        <v>19</v>
      </c>
      <c r="H1519" s="1">
        <v>4</v>
      </c>
      <c r="I1519" s="1">
        <v>512</v>
      </c>
      <c r="J1519" s="1">
        <v>899</v>
      </c>
      <c r="K1519" s="1">
        <v>0</v>
      </c>
      <c r="L1519" s="1">
        <f>ROUNDDOWN(formatted_data[[#This Row],[Selling_Price]]*formatted_data[[#This Row],[Discount_%]]/100,0)</f>
        <v>0</v>
      </c>
      <c r="M1519" s="1">
        <f>(formatted_data[[#This Row],[Selling_Price]]-formatted_data[[#This Row],[Discount_Amount]])*formatted_data[[#This Row],[Units]]</f>
        <v>3596</v>
      </c>
      <c r="N1519" s="1">
        <f>formatted_data[[#This Row],[Total_Revenue]]-(formatted_data[[#This Row],[Cost_Price]]*formatted_data[[#This Row],[Units]])</f>
        <v>1548</v>
      </c>
      <c r="O1519" s="1" t="s">
        <v>33</v>
      </c>
      <c r="P1519"/>
    </row>
    <row r="1520" spans="1:16" x14ac:dyDescent="0.35">
      <c r="A1520" s="1" t="s">
        <v>67</v>
      </c>
      <c r="B1520" s="1" t="s">
        <v>27</v>
      </c>
      <c r="C1520" s="2">
        <v>45572</v>
      </c>
      <c r="D1520" s="1" t="s">
        <v>28</v>
      </c>
      <c r="E1520" s="1" t="s">
        <v>45</v>
      </c>
      <c r="F1520" s="1" t="s">
        <v>19</v>
      </c>
      <c r="G1520" s="1" t="s">
        <v>20</v>
      </c>
      <c r="H1520" s="1">
        <v>2</v>
      </c>
      <c r="I1520" s="1">
        <v>561</v>
      </c>
      <c r="J1520" s="1">
        <v>799</v>
      </c>
      <c r="K1520" s="1">
        <v>15</v>
      </c>
      <c r="L1520" s="1">
        <f>ROUNDDOWN(formatted_data[[#This Row],[Selling_Price]]*formatted_data[[#This Row],[Discount_%]]/100,0)</f>
        <v>119</v>
      </c>
      <c r="M1520" s="1">
        <f>(formatted_data[[#This Row],[Selling_Price]]-formatted_data[[#This Row],[Discount_Amount]])*formatted_data[[#This Row],[Units]]</f>
        <v>1360</v>
      </c>
      <c r="N1520" s="1">
        <f>formatted_data[[#This Row],[Total_Revenue]]-(formatted_data[[#This Row],[Cost_Price]]*formatted_data[[#This Row],[Units]])</f>
        <v>238</v>
      </c>
      <c r="O1520" s="1" t="s">
        <v>21</v>
      </c>
      <c r="P1520"/>
    </row>
    <row r="1521" spans="1:16" x14ac:dyDescent="0.35">
      <c r="A1521" s="1" t="s">
        <v>53</v>
      </c>
      <c r="B1521" s="1" t="s">
        <v>27</v>
      </c>
      <c r="C1521" s="2">
        <v>45531</v>
      </c>
      <c r="D1521" s="1" t="s">
        <v>17</v>
      </c>
      <c r="E1521" s="1" t="s">
        <v>55</v>
      </c>
      <c r="F1521" s="1" t="s">
        <v>19</v>
      </c>
      <c r="G1521" s="1" t="s">
        <v>19</v>
      </c>
      <c r="H1521" s="1">
        <v>3</v>
      </c>
      <c r="I1521" s="1">
        <v>431</v>
      </c>
      <c r="J1521" s="1">
        <v>599</v>
      </c>
      <c r="K1521" s="1">
        <v>0</v>
      </c>
      <c r="L1521" s="1">
        <f>ROUNDDOWN(formatted_data[[#This Row],[Selling_Price]]*formatted_data[[#This Row],[Discount_%]]/100,0)</f>
        <v>0</v>
      </c>
      <c r="M1521" s="1">
        <f>(formatted_data[[#This Row],[Selling_Price]]-formatted_data[[#This Row],[Discount_Amount]])*formatted_data[[#This Row],[Units]]</f>
        <v>1797</v>
      </c>
      <c r="N1521" s="1">
        <f>formatted_data[[#This Row],[Total_Revenue]]-(formatted_data[[#This Row],[Cost_Price]]*formatted_data[[#This Row],[Units]])</f>
        <v>504</v>
      </c>
      <c r="O1521" s="1" t="s">
        <v>21</v>
      </c>
      <c r="P1521"/>
    </row>
    <row r="1522" spans="1:16" x14ac:dyDescent="0.35">
      <c r="A1522" s="1" t="s">
        <v>44</v>
      </c>
      <c r="B1522" s="1" t="s">
        <v>16</v>
      </c>
      <c r="C1522" s="2">
        <v>45596</v>
      </c>
      <c r="D1522" s="1" t="s">
        <v>31</v>
      </c>
      <c r="E1522" s="1" t="s">
        <v>32</v>
      </c>
      <c r="F1522" s="1" t="s">
        <v>37</v>
      </c>
      <c r="G1522" s="1" t="s">
        <v>19</v>
      </c>
      <c r="H1522" s="1">
        <v>1</v>
      </c>
      <c r="I1522" s="1">
        <v>943</v>
      </c>
      <c r="J1522" s="1">
        <v>1499</v>
      </c>
      <c r="K1522" s="1">
        <v>0</v>
      </c>
      <c r="L1522" s="1">
        <f>ROUNDDOWN(formatted_data[[#This Row],[Selling_Price]]*formatted_data[[#This Row],[Discount_%]]/100,0)</f>
        <v>0</v>
      </c>
      <c r="M1522" s="1">
        <f>(formatted_data[[#This Row],[Selling_Price]]-formatted_data[[#This Row],[Discount_Amount]])*formatted_data[[#This Row],[Units]]</f>
        <v>1499</v>
      </c>
      <c r="N1522" s="1">
        <f>formatted_data[[#This Row],[Total_Revenue]]-(formatted_data[[#This Row],[Cost_Price]]*formatted_data[[#This Row],[Units]])</f>
        <v>556</v>
      </c>
      <c r="O1522" s="1" t="s">
        <v>21</v>
      </c>
      <c r="P1522"/>
    </row>
    <row r="1523" spans="1:16" x14ac:dyDescent="0.35">
      <c r="A1523" s="1" t="s">
        <v>85</v>
      </c>
      <c r="B1523" s="1" t="s">
        <v>27</v>
      </c>
      <c r="C1523" s="2">
        <v>45550</v>
      </c>
      <c r="D1523" s="1" t="s">
        <v>23</v>
      </c>
      <c r="E1523" s="1" t="s">
        <v>24</v>
      </c>
      <c r="F1523" s="1" t="s">
        <v>19</v>
      </c>
      <c r="G1523" s="1" t="s">
        <v>20</v>
      </c>
      <c r="H1523" s="1">
        <v>4</v>
      </c>
      <c r="I1523" s="1">
        <v>863</v>
      </c>
      <c r="J1523" s="1">
        <v>1699</v>
      </c>
      <c r="K1523" s="1">
        <v>10</v>
      </c>
      <c r="L1523" s="1">
        <f>ROUNDDOWN(formatted_data[[#This Row],[Selling_Price]]*formatted_data[[#This Row],[Discount_%]]/100,0)</f>
        <v>169</v>
      </c>
      <c r="M1523" s="1">
        <f>(formatted_data[[#This Row],[Selling_Price]]-formatted_data[[#This Row],[Discount_Amount]])*formatted_data[[#This Row],[Units]]</f>
        <v>6120</v>
      </c>
      <c r="N1523" s="1">
        <f>formatted_data[[#This Row],[Total_Revenue]]-(formatted_data[[#This Row],[Cost_Price]]*formatted_data[[#This Row],[Units]])</f>
        <v>2668</v>
      </c>
      <c r="O1523" s="1" t="s">
        <v>21</v>
      </c>
      <c r="P1523"/>
    </row>
    <row r="1524" spans="1:16" x14ac:dyDescent="0.35">
      <c r="A1524" s="1" t="s">
        <v>79</v>
      </c>
      <c r="B1524" s="1" t="s">
        <v>16</v>
      </c>
      <c r="C1524" s="2">
        <v>45642</v>
      </c>
      <c r="D1524" s="1" t="s">
        <v>31</v>
      </c>
      <c r="E1524" s="1" t="s">
        <v>76</v>
      </c>
      <c r="F1524" s="1" t="s">
        <v>37</v>
      </c>
      <c r="G1524" s="1" t="s">
        <v>19</v>
      </c>
      <c r="H1524" s="1">
        <v>5</v>
      </c>
      <c r="I1524" s="1">
        <v>889</v>
      </c>
      <c r="J1524" s="1">
        <v>1199</v>
      </c>
      <c r="K1524" s="1">
        <v>0</v>
      </c>
      <c r="L1524" s="1">
        <f>ROUNDDOWN(formatted_data[[#This Row],[Selling_Price]]*formatted_data[[#This Row],[Discount_%]]/100,0)</f>
        <v>0</v>
      </c>
      <c r="M1524" s="1">
        <f>(formatted_data[[#This Row],[Selling_Price]]-formatted_data[[#This Row],[Discount_Amount]])*formatted_data[[#This Row],[Units]]</f>
        <v>5995</v>
      </c>
      <c r="N1524" s="1">
        <f>formatted_data[[#This Row],[Total_Revenue]]-(formatted_data[[#This Row],[Cost_Price]]*formatted_data[[#This Row],[Units]])</f>
        <v>1550</v>
      </c>
      <c r="O1524" s="1" t="s">
        <v>21</v>
      </c>
      <c r="P1524"/>
    </row>
    <row r="1525" spans="1:16" x14ac:dyDescent="0.35">
      <c r="A1525" s="1" t="s">
        <v>83</v>
      </c>
      <c r="B1525" s="1" t="s">
        <v>27</v>
      </c>
      <c r="C1525" s="2">
        <v>45604</v>
      </c>
      <c r="D1525" s="1" t="s">
        <v>23</v>
      </c>
      <c r="E1525" s="1" t="s">
        <v>43</v>
      </c>
      <c r="F1525" s="1" t="s">
        <v>37</v>
      </c>
      <c r="G1525" s="1" t="s">
        <v>19</v>
      </c>
      <c r="H1525" s="1">
        <v>1</v>
      </c>
      <c r="I1525" s="1">
        <v>1702</v>
      </c>
      <c r="J1525" s="1">
        <v>2399</v>
      </c>
      <c r="K1525" s="1">
        <v>20</v>
      </c>
      <c r="L1525" s="1">
        <f>ROUNDDOWN(formatted_data[[#This Row],[Selling_Price]]*formatted_data[[#This Row],[Discount_%]]/100,0)</f>
        <v>479</v>
      </c>
      <c r="M1525" s="1">
        <f>(formatted_data[[#This Row],[Selling_Price]]-formatted_data[[#This Row],[Discount_Amount]])*formatted_data[[#This Row],[Units]]</f>
        <v>1920</v>
      </c>
      <c r="N1525" s="1">
        <f>formatted_data[[#This Row],[Total_Revenue]]-(formatted_data[[#This Row],[Cost_Price]]*formatted_data[[#This Row],[Units]])</f>
        <v>218</v>
      </c>
      <c r="O1525" s="1" t="s">
        <v>33</v>
      </c>
      <c r="P1525"/>
    </row>
    <row r="1526" spans="1:16" x14ac:dyDescent="0.35">
      <c r="A1526" s="1" t="s">
        <v>30</v>
      </c>
      <c r="B1526" s="1" t="s">
        <v>16</v>
      </c>
      <c r="C1526" s="2">
        <v>45541</v>
      </c>
      <c r="D1526" s="1" t="s">
        <v>31</v>
      </c>
      <c r="E1526" s="1" t="s">
        <v>32</v>
      </c>
      <c r="F1526" s="1" t="s">
        <v>25</v>
      </c>
      <c r="G1526" s="1" t="s">
        <v>19</v>
      </c>
      <c r="H1526" s="1">
        <v>1</v>
      </c>
      <c r="I1526" s="1">
        <v>624</v>
      </c>
      <c r="J1526" s="1">
        <v>999</v>
      </c>
      <c r="K1526" s="1">
        <v>0</v>
      </c>
      <c r="L1526" s="1">
        <f>ROUNDDOWN(formatted_data[[#This Row],[Selling_Price]]*formatted_data[[#This Row],[Discount_%]]/100,0)</f>
        <v>0</v>
      </c>
      <c r="M1526" s="1">
        <f>(formatted_data[[#This Row],[Selling_Price]]-formatted_data[[#This Row],[Discount_Amount]])*formatted_data[[#This Row],[Units]]</f>
        <v>999</v>
      </c>
      <c r="N1526" s="1">
        <f>formatted_data[[#This Row],[Total_Revenue]]-(formatted_data[[#This Row],[Cost_Price]]*formatted_data[[#This Row],[Units]])</f>
        <v>375</v>
      </c>
      <c r="O1526" s="1" t="s">
        <v>21</v>
      </c>
      <c r="P1526"/>
    </row>
    <row r="1527" spans="1:16" x14ac:dyDescent="0.35">
      <c r="A1527" s="1" t="s">
        <v>109</v>
      </c>
      <c r="B1527" s="1" t="s">
        <v>16</v>
      </c>
      <c r="C1527" s="2">
        <v>45629</v>
      </c>
      <c r="D1527" s="1" t="s">
        <v>17</v>
      </c>
      <c r="E1527" s="1" t="s">
        <v>72</v>
      </c>
      <c r="F1527" s="1" t="s">
        <v>19</v>
      </c>
      <c r="G1527" s="1" t="s">
        <v>19</v>
      </c>
      <c r="H1527" s="1">
        <v>1</v>
      </c>
      <c r="I1527" s="1">
        <v>216</v>
      </c>
      <c r="J1527" s="1">
        <v>399</v>
      </c>
      <c r="K1527" s="1">
        <v>0</v>
      </c>
      <c r="L1527" s="1">
        <f>ROUNDDOWN(formatted_data[[#This Row],[Selling_Price]]*formatted_data[[#This Row],[Discount_%]]/100,0)</f>
        <v>0</v>
      </c>
      <c r="M1527" s="1">
        <f>(formatted_data[[#This Row],[Selling_Price]]-formatted_data[[#This Row],[Discount_Amount]])*formatted_data[[#This Row],[Units]]</f>
        <v>399</v>
      </c>
      <c r="N1527" s="1">
        <f>formatted_data[[#This Row],[Total_Revenue]]-(formatted_data[[#This Row],[Cost_Price]]*formatted_data[[#This Row],[Units]])</f>
        <v>183</v>
      </c>
      <c r="O1527" s="1" t="s">
        <v>33</v>
      </c>
      <c r="P1527"/>
    </row>
    <row r="1528" spans="1:16" x14ac:dyDescent="0.35">
      <c r="A1528" s="1" t="s">
        <v>77</v>
      </c>
      <c r="B1528" s="1" t="s">
        <v>27</v>
      </c>
      <c r="C1528" s="2">
        <v>45579</v>
      </c>
      <c r="D1528" s="1" t="s">
        <v>31</v>
      </c>
      <c r="E1528" s="1" t="s">
        <v>32</v>
      </c>
      <c r="F1528" s="1" t="s">
        <v>25</v>
      </c>
      <c r="G1528" s="1" t="s">
        <v>20</v>
      </c>
      <c r="H1528" s="1">
        <v>4</v>
      </c>
      <c r="I1528" s="1">
        <v>636</v>
      </c>
      <c r="J1528" s="1">
        <v>1199</v>
      </c>
      <c r="K1528" s="1">
        <v>0</v>
      </c>
      <c r="L1528" s="1">
        <f>ROUNDDOWN(formatted_data[[#This Row],[Selling_Price]]*formatted_data[[#This Row],[Discount_%]]/100,0)</f>
        <v>0</v>
      </c>
      <c r="M1528" s="1">
        <f>(formatted_data[[#This Row],[Selling_Price]]-formatted_data[[#This Row],[Discount_Amount]])*formatted_data[[#This Row],[Units]]</f>
        <v>4796</v>
      </c>
      <c r="N1528" s="1">
        <f>formatted_data[[#This Row],[Total_Revenue]]-(formatted_data[[#This Row],[Cost_Price]]*formatted_data[[#This Row],[Units]])</f>
        <v>2252</v>
      </c>
      <c r="O1528" s="1" t="s">
        <v>21</v>
      </c>
      <c r="P1528"/>
    </row>
    <row r="1529" spans="1:16" x14ac:dyDescent="0.35">
      <c r="A1529" s="1" t="s">
        <v>67</v>
      </c>
      <c r="B1529" s="1" t="s">
        <v>27</v>
      </c>
      <c r="C1529" s="2">
        <v>45447</v>
      </c>
      <c r="D1529" s="1" t="s">
        <v>31</v>
      </c>
      <c r="E1529" s="1" t="s">
        <v>76</v>
      </c>
      <c r="F1529" s="1" t="s">
        <v>25</v>
      </c>
      <c r="G1529" s="1" t="s">
        <v>19</v>
      </c>
      <c r="H1529" s="1">
        <v>1</v>
      </c>
      <c r="I1529" s="1">
        <v>488</v>
      </c>
      <c r="J1529" s="1">
        <v>699</v>
      </c>
      <c r="K1529" s="1">
        <v>0</v>
      </c>
      <c r="L1529" s="1">
        <f>ROUNDDOWN(formatted_data[[#This Row],[Selling_Price]]*formatted_data[[#This Row],[Discount_%]]/100,0)</f>
        <v>0</v>
      </c>
      <c r="M1529" s="1">
        <f>(formatted_data[[#This Row],[Selling_Price]]-formatted_data[[#This Row],[Discount_Amount]])*formatted_data[[#This Row],[Units]]</f>
        <v>699</v>
      </c>
      <c r="N1529" s="1">
        <f>formatted_data[[#This Row],[Total_Revenue]]-(formatted_data[[#This Row],[Cost_Price]]*formatted_data[[#This Row],[Units]])</f>
        <v>211</v>
      </c>
      <c r="O1529" s="1" t="s">
        <v>21</v>
      </c>
      <c r="P1529"/>
    </row>
    <row r="1530" spans="1:16" x14ac:dyDescent="0.35">
      <c r="A1530" s="1" t="s">
        <v>107</v>
      </c>
      <c r="B1530" s="1" t="s">
        <v>27</v>
      </c>
      <c r="C1530" s="2">
        <v>45597</v>
      </c>
      <c r="D1530" s="1" t="s">
        <v>28</v>
      </c>
      <c r="E1530" s="1" t="s">
        <v>45</v>
      </c>
      <c r="F1530" s="1" t="s">
        <v>37</v>
      </c>
      <c r="G1530" s="1" t="s">
        <v>20</v>
      </c>
      <c r="H1530" s="1">
        <v>1</v>
      </c>
      <c r="I1530" s="1">
        <v>1274</v>
      </c>
      <c r="J1530" s="1">
        <v>2299</v>
      </c>
      <c r="K1530" s="1">
        <v>20</v>
      </c>
      <c r="L1530" s="1">
        <f>ROUNDDOWN(formatted_data[[#This Row],[Selling_Price]]*formatted_data[[#This Row],[Discount_%]]/100,0)</f>
        <v>459</v>
      </c>
      <c r="M1530" s="1">
        <f>(formatted_data[[#This Row],[Selling_Price]]-formatted_data[[#This Row],[Discount_Amount]])*formatted_data[[#This Row],[Units]]</f>
        <v>1840</v>
      </c>
      <c r="N1530" s="1">
        <f>formatted_data[[#This Row],[Total_Revenue]]-(formatted_data[[#This Row],[Cost_Price]]*formatted_data[[#This Row],[Units]])</f>
        <v>566</v>
      </c>
      <c r="O1530" s="1" t="s">
        <v>21</v>
      </c>
      <c r="P1530"/>
    </row>
    <row r="1531" spans="1:16" x14ac:dyDescent="0.35">
      <c r="A1531" s="1" t="s">
        <v>46</v>
      </c>
      <c r="B1531" s="1" t="s">
        <v>16</v>
      </c>
      <c r="C1531" s="2">
        <v>45582</v>
      </c>
      <c r="D1531" s="1" t="s">
        <v>31</v>
      </c>
      <c r="E1531" s="1" t="s">
        <v>76</v>
      </c>
      <c r="F1531" s="1" t="s">
        <v>37</v>
      </c>
      <c r="G1531" s="1" t="s">
        <v>20</v>
      </c>
      <c r="H1531" s="1">
        <v>1</v>
      </c>
      <c r="I1531" s="1">
        <v>397</v>
      </c>
      <c r="J1531" s="1">
        <v>699</v>
      </c>
      <c r="K1531" s="1">
        <v>0</v>
      </c>
      <c r="L1531" s="1">
        <f>ROUNDDOWN(formatted_data[[#This Row],[Selling_Price]]*formatted_data[[#This Row],[Discount_%]]/100,0)</f>
        <v>0</v>
      </c>
      <c r="M1531" s="1">
        <f>(formatted_data[[#This Row],[Selling_Price]]-formatted_data[[#This Row],[Discount_Amount]])*formatted_data[[#This Row],[Units]]</f>
        <v>699</v>
      </c>
      <c r="N1531" s="1">
        <f>formatted_data[[#This Row],[Total_Revenue]]-(formatted_data[[#This Row],[Cost_Price]]*formatted_data[[#This Row],[Units]])</f>
        <v>302</v>
      </c>
      <c r="O1531" s="1" t="s">
        <v>21</v>
      </c>
      <c r="P1531"/>
    </row>
    <row r="1532" spans="1:16" x14ac:dyDescent="0.35">
      <c r="A1532" s="1" t="s">
        <v>103</v>
      </c>
      <c r="B1532" s="1" t="s">
        <v>16</v>
      </c>
      <c r="C1532" s="2">
        <v>45580</v>
      </c>
      <c r="D1532" s="1" t="s">
        <v>35</v>
      </c>
      <c r="E1532" s="1" t="s">
        <v>58</v>
      </c>
      <c r="F1532" s="1" t="s">
        <v>25</v>
      </c>
      <c r="G1532" s="1" t="s">
        <v>20</v>
      </c>
      <c r="H1532" s="1">
        <v>1</v>
      </c>
      <c r="I1532" s="1">
        <v>695</v>
      </c>
      <c r="J1532" s="1">
        <v>1199</v>
      </c>
      <c r="K1532" s="1">
        <v>15</v>
      </c>
      <c r="L1532" s="1">
        <f>ROUNDDOWN(formatted_data[[#This Row],[Selling_Price]]*formatted_data[[#This Row],[Discount_%]]/100,0)</f>
        <v>179</v>
      </c>
      <c r="M1532" s="1">
        <f>(formatted_data[[#This Row],[Selling_Price]]-formatted_data[[#This Row],[Discount_Amount]])*formatted_data[[#This Row],[Units]]</f>
        <v>1020</v>
      </c>
      <c r="N1532" s="1">
        <f>formatted_data[[#This Row],[Total_Revenue]]-(formatted_data[[#This Row],[Cost_Price]]*formatted_data[[#This Row],[Units]])</f>
        <v>325</v>
      </c>
      <c r="O1532" s="1" t="s">
        <v>21</v>
      </c>
      <c r="P1532"/>
    </row>
    <row r="1533" spans="1:16" x14ac:dyDescent="0.35">
      <c r="A1533" s="1" t="s">
        <v>22</v>
      </c>
      <c r="B1533" s="1" t="s">
        <v>16</v>
      </c>
      <c r="C1533" s="2">
        <v>45508</v>
      </c>
      <c r="D1533" s="1" t="s">
        <v>17</v>
      </c>
      <c r="E1533" s="1" t="s">
        <v>72</v>
      </c>
      <c r="F1533" s="1" t="s">
        <v>37</v>
      </c>
      <c r="G1533" s="1" t="s">
        <v>20</v>
      </c>
      <c r="H1533" s="1">
        <v>3</v>
      </c>
      <c r="I1533" s="1">
        <v>288</v>
      </c>
      <c r="J1533" s="1">
        <v>399</v>
      </c>
      <c r="K1533" s="1">
        <v>0</v>
      </c>
      <c r="L1533" s="1">
        <f>ROUNDDOWN(formatted_data[[#This Row],[Selling_Price]]*formatted_data[[#This Row],[Discount_%]]/100,0)</f>
        <v>0</v>
      </c>
      <c r="M1533" s="1">
        <f>(formatted_data[[#This Row],[Selling_Price]]-formatted_data[[#This Row],[Discount_Amount]])*formatted_data[[#This Row],[Units]]</f>
        <v>1197</v>
      </c>
      <c r="N1533" s="1">
        <f>formatted_data[[#This Row],[Total_Revenue]]-(formatted_data[[#This Row],[Cost_Price]]*formatted_data[[#This Row],[Units]])</f>
        <v>333</v>
      </c>
      <c r="O1533" s="1" t="s">
        <v>21</v>
      </c>
      <c r="P1533"/>
    </row>
    <row r="1534" spans="1:16" x14ac:dyDescent="0.35">
      <c r="A1534" s="1" t="s">
        <v>109</v>
      </c>
      <c r="B1534" s="1" t="s">
        <v>16</v>
      </c>
      <c r="C1534" s="2">
        <v>45549</v>
      </c>
      <c r="D1534" s="1" t="s">
        <v>17</v>
      </c>
      <c r="E1534" s="1" t="s">
        <v>48</v>
      </c>
      <c r="F1534" s="1" t="s">
        <v>19</v>
      </c>
      <c r="G1534" s="1" t="s">
        <v>20</v>
      </c>
      <c r="H1534" s="1">
        <v>5</v>
      </c>
      <c r="I1534" s="1">
        <v>224</v>
      </c>
      <c r="J1534" s="1">
        <v>299</v>
      </c>
      <c r="K1534" s="1">
        <v>0</v>
      </c>
      <c r="L1534" s="1">
        <f>ROUNDDOWN(formatted_data[[#This Row],[Selling_Price]]*formatted_data[[#This Row],[Discount_%]]/100,0)</f>
        <v>0</v>
      </c>
      <c r="M1534" s="1">
        <f>(formatted_data[[#This Row],[Selling_Price]]-formatted_data[[#This Row],[Discount_Amount]])*formatted_data[[#This Row],[Units]]</f>
        <v>1495</v>
      </c>
      <c r="N1534" s="1">
        <f>formatted_data[[#This Row],[Total_Revenue]]-(formatted_data[[#This Row],[Cost_Price]]*formatted_data[[#This Row],[Units]])</f>
        <v>375</v>
      </c>
      <c r="O1534" s="1" t="s">
        <v>21</v>
      </c>
      <c r="P1534"/>
    </row>
    <row r="1535" spans="1:16" x14ac:dyDescent="0.35">
      <c r="A1535" s="1" t="s">
        <v>75</v>
      </c>
      <c r="B1535" s="1" t="s">
        <v>27</v>
      </c>
      <c r="C1535" s="2">
        <v>45452</v>
      </c>
      <c r="D1535" s="1" t="s">
        <v>35</v>
      </c>
      <c r="E1535" s="1" t="s">
        <v>50</v>
      </c>
      <c r="F1535" s="1" t="s">
        <v>37</v>
      </c>
      <c r="G1535" s="1" t="s">
        <v>20</v>
      </c>
      <c r="H1535" s="1">
        <v>2</v>
      </c>
      <c r="I1535" s="1">
        <v>1133</v>
      </c>
      <c r="J1535" s="1">
        <v>1599</v>
      </c>
      <c r="K1535" s="1">
        <v>5</v>
      </c>
      <c r="L1535" s="1">
        <f>ROUNDDOWN(formatted_data[[#This Row],[Selling_Price]]*formatted_data[[#This Row],[Discount_%]]/100,0)</f>
        <v>79</v>
      </c>
      <c r="M1535" s="1">
        <f>(formatted_data[[#This Row],[Selling_Price]]-formatted_data[[#This Row],[Discount_Amount]])*formatted_data[[#This Row],[Units]]</f>
        <v>3040</v>
      </c>
      <c r="N1535" s="1">
        <f>formatted_data[[#This Row],[Total_Revenue]]-(formatted_data[[#This Row],[Cost_Price]]*formatted_data[[#This Row],[Units]])</f>
        <v>774</v>
      </c>
      <c r="O1535" s="1" t="s">
        <v>21</v>
      </c>
      <c r="P1535"/>
    </row>
    <row r="1536" spans="1:16" x14ac:dyDescent="0.35">
      <c r="A1536" s="1" t="s">
        <v>44</v>
      </c>
      <c r="B1536" s="1" t="s">
        <v>16</v>
      </c>
      <c r="C1536" s="2">
        <v>45474</v>
      </c>
      <c r="D1536" s="1" t="s">
        <v>31</v>
      </c>
      <c r="E1536" s="1" t="s">
        <v>32</v>
      </c>
      <c r="F1536" s="1" t="s">
        <v>37</v>
      </c>
      <c r="G1536" s="1" t="s">
        <v>20</v>
      </c>
      <c r="H1536" s="1">
        <v>1</v>
      </c>
      <c r="I1536" s="1">
        <v>967</v>
      </c>
      <c r="J1536" s="1">
        <v>1499</v>
      </c>
      <c r="K1536" s="1">
        <v>0</v>
      </c>
      <c r="L1536" s="1">
        <f>ROUNDDOWN(formatted_data[[#This Row],[Selling_Price]]*formatted_data[[#This Row],[Discount_%]]/100,0)</f>
        <v>0</v>
      </c>
      <c r="M1536" s="1">
        <f>(formatted_data[[#This Row],[Selling_Price]]-formatted_data[[#This Row],[Discount_Amount]])*formatted_data[[#This Row],[Units]]</f>
        <v>1499</v>
      </c>
      <c r="N1536" s="1">
        <f>formatted_data[[#This Row],[Total_Revenue]]-(formatted_data[[#This Row],[Cost_Price]]*formatted_data[[#This Row],[Units]])</f>
        <v>532</v>
      </c>
      <c r="O1536" s="1" t="s">
        <v>33</v>
      </c>
      <c r="P1536"/>
    </row>
    <row r="1537" spans="1:16" x14ac:dyDescent="0.35">
      <c r="A1537" s="1" t="s">
        <v>94</v>
      </c>
      <c r="B1537" s="1" t="s">
        <v>16</v>
      </c>
      <c r="C1537" s="2">
        <v>45494</v>
      </c>
      <c r="D1537" s="1" t="s">
        <v>31</v>
      </c>
      <c r="E1537" s="1" t="s">
        <v>76</v>
      </c>
      <c r="F1537" s="1" t="s">
        <v>25</v>
      </c>
      <c r="G1537" s="1" t="s">
        <v>20</v>
      </c>
      <c r="H1537" s="1">
        <v>1</v>
      </c>
      <c r="I1537" s="1">
        <v>593</v>
      </c>
      <c r="J1537" s="1">
        <v>799</v>
      </c>
      <c r="K1537" s="1">
        <v>0</v>
      </c>
      <c r="L1537" s="1">
        <f>ROUNDDOWN(formatted_data[[#This Row],[Selling_Price]]*formatted_data[[#This Row],[Discount_%]]/100,0)</f>
        <v>0</v>
      </c>
      <c r="M1537" s="1">
        <f>(formatted_data[[#This Row],[Selling_Price]]-formatted_data[[#This Row],[Discount_Amount]])*formatted_data[[#This Row],[Units]]</f>
        <v>799</v>
      </c>
      <c r="N1537" s="1">
        <f>formatted_data[[#This Row],[Total_Revenue]]-(formatted_data[[#This Row],[Cost_Price]]*formatted_data[[#This Row],[Units]])</f>
        <v>206</v>
      </c>
      <c r="O1537" s="1" t="s">
        <v>21</v>
      </c>
      <c r="P1537"/>
    </row>
    <row r="1538" spans="1:16" x14ac:dyDescent="0.35">
      <c r="A1538" s="1" t="s">
        <v>92</v>
      </c>
      <c r="B1538" s="1" t="s">
        <v>27</v>
      </c>
      <c r="C1538" s="2">
        <v>45573</v>
      </c>
      <c r="D1538" s="1" t="s">
        <v>28</v>
      </c>
      <c r="E1538" s="1" t="s">
        <v>29</v>
      </c>
      <c r="F1538" s="1" t="s">
        <v>19</v>
      </c>
      <c r="G1538" s="1" t="s">
        <v>20</v>
      </c>
      <c r="H1538" s="1">
        <v>1</v>
      </c>
      <c r="I1538" s="1">
        <v>345</v>
      </c>
      <c r="J1538" s="1">
        <v>499</v>
      </c>
      <c r="K1538" s="1">
        <v>20</v>
      </c>
      <c r="L1538" s="1">
        <f>ROUNDDOWN(formatted_data[[#This Row],[Selling_Price]]*formatted_data[[#This Row],[Discount_%]]/100,0)</f>
        <v>99</v>
      </c>
      <c r="M1538" s="1">
        <f>(formatted_data[[#This Row],[Selling_Price]]-formatted_data[[#This Row],[Discount_Amount]])*formatted_data[[#This Row],[Units]]</f>
        <v>400</v>
      </c>
      <c r="N1538" s="1">
        <f>formatted_data[[#This Row],[Total_Revenue]]-(formatted_data[[#This Row],[Cost_Price]]*formatted_data[[#This Row],[Units]])</f>
        <v>55</v>
      </c>
      <c r="O1538" s="1" t="s">
        <v>21</v>
      </c>
      <c r="P1538"/>
    </row>
    <row r="1539" spans="1:16" x14ac:dyDescent="0.35">
      <c r="A1539" s="1" t="s">
        <v>86</v>
      </c>
      <c r="B1539" s="1" t="s">
        <v>27</v>
      </c>
      <c r="C1539" s="2">
        <v>45505</v>
      </c>
      <c r="D1539" s="1" t="s">
        <v>17</v>
      </c>
      <c r="E1539" s="1" t="s">
        <v>55</v>
      </c>
      <c r="F1539" s="1" t="s">
        <v>25</v>
      </c>
      <c r="G1539" s="1" t="s">
        <v>20</v>
      </c>
      <c r="H1539" s="1">
        <v>4</v>
      </c>
      <c r="I1539" s="1">
        <v>255</v>
      </c>
      <c r="J1539" s="1">
        <v>499</v>
      </c>
      <c r="K1539" s="1">
        <v>0</v>
      </c>
      <c r="L1539" s="1">
        <f>ROUNDDOWN(formatted_data[[#This Row],[Selling_Price]]*formatted_data[[#This Row],[Discount_%]]/100,0)</f>
        <v>0</v>
      </c>
      <c r="M1539" s="1">
        <f>(formatted_data[[#This Row],[Selling_Price]]-formatted_data[[#This Row],[Discount_Amount]])*formatted_data[[#This Row],[Units]]</f>
        <v>1996</v>
      </c>
      <c r="N1539" s="1">
        <f>formatted_data[[#This Row],[Total_Revenue]]-(formatted_data[[#This Row],[Cost_Price]]*formatted_data[[#This Row],[Units]])</f>
        <v>976</v>
      </c>
      <c r="O1539" s="1" t="s">
        <v>33</v>
      </c>
      <c r="P1539"/>
    </row>
    <row r="1540" spans="1:16" x14ac:dyDescent="0.35">
      <c r="A1540" s="1" t="s">
        <v>74</v>
      </c>
      <c r="B1540" s="1" t="s">
        <v>16</v>
      </c>
      <c r="C1540" s="2">
        <v>45542</v>
      </c>
      <c r="D1540" s="1" t="s">
        <v>17</v>
      </c>
      <c r="E1540" s="1" t="s">
        <v>48</v>
      </c>
      <c r="F1540" s="1" t="s">
        <v>37</v>
      </c>
      <c r="G1540" s="1" t="s">
        <v>19</v>
      </c>
      <c r="H1540" s="1">
        <v>1</v>
      </c>
      <c r="I1540" s="1">
        <v>270</v>
      </c>
      <c r="J1540" s="1">
        <v>399</v>
      </c>
      <c r="K1540" s="1">
        <v>0</v>
      </c>
      <c r="L1540" s="1">
        <f>ROUNDDOWN(formatted_data[[#This Row],[Selling_Price]]*formatted_data[[#This Row],[Discount_%]]/100,0)</f>
        <v>0</v>
      </c>
      <c r="M1540" s="1">
        <f>(formatted_data[[#This Row],[Selling_Price]]-formatted_data[[#This Row],[Discount_Amount]])*formatted_data[[#This Row],[Units]]</f>
        <v>399</v>
      </c>
      <c r="N1540" s="1">
        <f>formatted_data[[#This Row],[Total_Revenue]]-(formatted_data[[#This Row],[Cost_Price]]*formatted_data[[#This Row],[Units]])</f>
        <v>129</v>
      </c>
      <c r="O1540" s="1" t="s">
        <v>21</v>
      </c>
      <c r="P1540"/>
    </row>
    <row r="1541" spans="1:16" x14ac:dyDescent="0.35">
      <c r="A1541" s="1" t="s">
        <v>15</v>
      </c>
      <c r="B1541" s="1" t="s">
        <v>16</v>
      </c>
      <c r="C1541" s="2">
        <v>45526</v>
      </c>
      <c r="D1541" s="1" t="s">
        <v>28</v>
      </c>
      <c r="E1541" s="1" t="s">
        <v>29</v>
      </c>
      <c r="F1541" s="1" t="s">
        <v>25</v>
      </c>
      <c r="G1541" s="1" t="s">
        <v>20</v>
      </c>
      <c r="H1541" s="1">
        <v>2</v>
      </c>
      <c r="I1541" s="1">
        <v>435</v>
      </c>
      <c r="J1541" s="1">
        <v>599</v>
      </c>
      <c r="K1541" s="1">
        <v>15</v>
      </c>
      <c r="L1541" s="1">
        <f>ROUNDDOWN(formatted_data[[#This Row],[Selling_Price]]*formatted_data[[#This Row],[Discount_%]]/100,0)</f>
        <v>89</v>
      </c>
      <c r="M1541" s="1">
        <f>(formatted_data[[#This Row],[Selling_Price]]-formatted_data[[#This Row],[Discount_Amount]])*formatted_data[[#This Row],[Units]]</f>
        <v>1020</v>
      </c>
      <c r="N1541" s="1">
        <f>formatted_data[[#This Row],[Total_Revenue]]-(formatted_data[[#This Row],[Cost_Price]]*formatted_data[[#This Row],[Units]])</f>
        <v>150</v>
      </c>
      <c r="O1541" s="1" t="s">
        <v>21</v>
      </c>
      <c r="P1541"/>
    </row>
    <row r="1542" spans="1:16" x14ac:dyDescent="0.35">
      <c r="A1542" s="1" t="s">
        <v>106</v>
      </c>
      <c r="B1542" s="1" t="s">
        <v>27</v>
      </c>
      <c r="C1542" s="2">
        <v>45591</v>
      </c>
      <c r="D1542" s="1" t="s">
        <v>31</v>
      </c>
      <c r="E1542" s="1" t="s">
        <v>32</v>
      </c>
      <c r="F1542" s="1" t="s">
        <v>37</v>
      </c>
      <c r="G1542" s="1" t="s">
        <v>20</v>
      </c>
      <c r="H1542" s="1">
        <v>1</v>
      </c>
      <c r="I1542" s="1">
        <v>577</v>
      </c>
      <c r="J1542" s="1">
        <v>999</v>
      </c>
      <c r="K1542" s="1">
        <v>0</v>
      </c>
      <c r="L1542" s="1">
        <f>ROUNDDOWN(formatted_data[[#This Row],[Selling_Price]]*formatted_data[[#This Row],[Discount_%]]/100,0)</f>
        <v>0</v>
      </c>
      <c r="M1542" s="1">
        <f>(formatted_data[[#This Row],[Selling_Price]]-formatted_data[[#This Row],[Discount_Amount]])*formatted_data[[#This Row],[Units]]</f>
        <v>999</v>
      </c>
      <c r="N1542" s="1">
        <f>formatted_data[[#This Row],[Total_Revenue]]-(formatted_data[[#This Row],[Cost_Price]]*formatted_data[[#This Row],[Units]])</f>
        <v>422</v>
      </c>
      <c r="O1542" s="1" t="s">
        <v>33</v>
      </c>
      <c r="P1542"/>
    </row>
    <row r="1543" spans="1:16" x14ac:dyDescent="0.35">
      <c r="A1543" s="1" t="s">
        <v>57</v>
      </c>
      <c r="B1543" s="1" t="s">
        <v>27</v>
      </c>
      <c r="C1543" s="2">
        <v>45508</v>
      </c>
      <c r="D1543" s="1" t="s">
        <v>23</v>
      </c>
      <c r="E1543" s="1" t="s">
        <v>24</v>
      </c>
      <c r="F1543" s="1" t="s">
        <v>37</v>
      </c>
      <c r="G1543" s="1" t="s">
        <v>20</v>
      </c>
      <c r="H1543" s="1">
        <v>3</v>
      </c>
      <c r="I1543" s="1">
        <v>1249</v>
      </c>
      <c r="J1543" s="1">
        <v>2199</v>
      </c>
      <c r="K1543" s="1">
        <v>5</v>
      </c>
      <c r="L1543" s="1">
        <f>ROUNDDOWN(formatted_data[[#This Row],[Selling_Price]]*formatted_data[[#This Row],[Discount_%]]/100,0)</f>
        <v>109</v>
      </c>
      <c r="M1543" s="1">
        <f>(formatted_data[[#This Row],[Selling_Price]]-formatted_data[[#This Row],[Discount_Amount]])*formatted_data[[#This Row],[Units]]</f>
        <v>6270</v>
      </c>
      <c r="N1543" s="1">
        <f>formatted_data[[#This Row],[Total_Revenue]]-(formatted_data[[#This Row],[Cost_Price]]*formatted_data[[#This Row],[Units]])</f>
        <v>2523</v>
      </c>
      <c r="O1543" s="1" t="s">
        <v>21</v>
      </c>
      <c r="P1543"/>
    </row>
    <row r="1544" spans="1:16" x14ac:dyDescent="0.35">
      <c r="A1544" s="1" t="s">
        <v>105</v>
      </c>
      <c r="B1544" s="1" t="s">
        <v>16</v>
      </c>
      <c r="C1544" s="2">
        <v>45551</v>
      </c>
      <c r="D1544" s="1" t="s">
        <v>17</v>
      </c>
      <c r="E1544" s="1" t="s">
        <v>72</v>
      </c>
      <c r="F1544" s="1" t="s">
        <v>37</v>
      </c>
      <c r="G1544" s="1" t="s">
        <v>19</v>
      </c>
      <c r="H1544" s="1">
        <v>1</v>
      </c>
      <c r="I1544" s="1">
        <v>304</v>
      </c>
      <c r="J1544" s="1">
        <v>499</v>
      </c>
      <c r="K1544" s="1">
        <v>0</v>
      </c>
      <c r="L1544" s="1">
        <f>ROUNDDOWN(formatted_data[[#This Row],[Selling_Price]]*formatted_data[[#This Row],[Discount_%]]/100,0)</f>
        <v>0</v>
      </c>
      <c r="M1544" s="1">
        <f>(formatted_data[[#This Row],[Selling_Price]]-formatted_data[[#This Row],[Discount_Amount]])*formatted_data[[#This Row],[Units]]</f>
        <v>499</v>
      </c>
      <c r="N1544" s="1">
        <f>formatted_data[[#This Row],[Total_Revenue]]-(formatted_data[[#This Row],[Cost_Price]]*formatted_data[[#This Row],[Units]])</f>
        <v>195</v>
      </c>
      <c r="O1544" s="1" t="s">
        <v>21</v>
      </c>
      <c r="P1544"/>
    </row>
    <row r="1545" spans="1:16" x14ac:dyDescent="0.35">
      <c r="A1545" s="1" t="s">
        <v>105</v>
      </c>
      <c r="B1545" s="1" t="s">
        <v>16</v>
      </c>
      <c r="C1545" s="2">
        <v>45549</v>
      </c>
      <c r="D1545" s="1" t="s">
        <v>28</v>
      </c>
      <c r="E1545" s="1" t="s">
        <v>45</v>
      </c>
      <c r="F1545" s="1" t="s">
        <v>37</v>
      </c>
      <c r="G1545" s="1" t="s">
        <v>19</v>
      </c>
      <c r="H1545" s="1">
        <v>2</v>
      </c>
      <c r="I1545" s="1">
        <v>800</v>
      </c>
      <c r="J1545" s="1">
        <v>1099</v>
      </c>
      <c r="K1545" s="1">
        <v>5</v>
      </c>
      <c r="L1545" s="1">
        <f>ROUNDDOWN(formatted_data[[#This Row],[Selling_Price]]*formatted_data[[#This Row],[Discount_%]]/100,0)</f>
        <v>54</v>
      </c>
      <c r="M1545" s="1">
        <f>(formatted_data[[#This Row],[Selling_Price]]-formatted_data[[#This Row],[Discount_Amount]])*formatted_data[[#This Row],[Units]]</f>
        <v>2090</v>
      </c>
      <c r="N1545" s="1">
        <f>formatted_data[[#This Row],[Total_Revenue]]-(formatted_data[[#This Row],[Cost_Price]]*formatted_data[[#This Row],[Units]])</f>
        <v>490</v>
      </c>
      <c r="O1545" s="1" t="s">
        <v>21</v>
      </c>
      <c r="P1545"/>
    </row>
    <row r="1546" spans="1:16" x14ac:dyDescent="0.35">
      <c r="A1546" s="1" t="s">
        <v>67</v>
      </c>
      <c r="B1546" s="1" t="s">
        <v>27</v>
      </c>
      <c r="C1546" s="2">
        <v>45480</v>
      </c>
      <c r="D1546" s="1" t="s">
        <v>31</v>
      </c>
      <c r="E1546" s="1" t="s">
        <v>76</v>
      </c>
      <c r="F1546" s="1" t="s">
        <v>25</v>
      </c>
      <c r="G1546" s="1" t="s">
        <v>19</v>
      </c>
      <c r="H1546" s="1">
        <v>4</v>
      </c>
      <c r="I1546" s="1">
        <v>873</v>
      </c>
      <c r="J1546" s="1">
        <v>1499</v>
      </c>
      <c r="K1546" s="1">
        <v>0</v>
      </c>
      <c r="L1546" s="1">
        <f>ROUNDDOWN(formatted_data[[#This Row],[Selling_Price]]*formatted_data[[#This Row],[Discount_%]]/100,0)</f>
        <v>0</v>
      </c>
      <c r="M1546" s="1">
        <f>(formatted_data[[#This Row],[Selling_Price]]-formatted_data[[#This Row],[Discount_Amount]])*formatted_data[[#This Row],[Units]]</f>
        <v>5996</v>
      </c>
      <c r="N1546" s="1">
        <f>formatted_data[[#This Row],[Total_Revenue]]-(formatted_data[[#This Row],[Cost_Price]]*formatted_data[[#This Row],[Units]])</f>
        <v>2504</v>
      </c>
      <c r="O1546" s="1" t="s">
        <v>33</v>
      </c>
      <c r="P1546"/>
    </row>
    <row r="1547" spans="1:16" x14ac:dyDescent="0.35">
      <c r="A1547" s="1" t="s">
        <v>49</v>
      </c>
      <c r="B1547" s="1" t="s">
        <v>27</v>
      </c>
      <c r="C1547" s="2">
        <v>45592</v>
      </c>
      <c r="D1547" s="1" t="s">
        <v>35</v>
      </c>
      <c r="E1547" s="1" t="s">
        <v>58</v>
      </c>
      <c r="F1547" s="1" t="s">
        <v>19</v>
      </c>
      <c r="G1547" s="1" t="s">
        <v>19</v>
      </c>
      <c r="H1547" s="1">
        <v>1</v>
      </c>
      <c r="I1547" s="1">
        <v>817</v>
      </c>
      <c r="J1547" s="1">
        <v>1099</v>
      </c>
      <c r="K1547" s="1">
        <v>5</v>
      </c>
      <c r="L1547" s="1">
        <f>ROUNDDOWN(formatted_data[[#This Row],[Selling_Price]]*formatted_data[[#This Row],[Discount_%]]/100,0)</f>
        <v>54</v>
      </c>
      <c r="M1547" s="1">
        <f>(formatted_data[[#This Row],[Selling_Price]]-formatted_data[[#This Row],[Discount_Amount]])*formatted_data[[#This Row],[Units]]</f>
        <v>1045</v>
      </c>
      <c r="N1547" s="1">
        <f>formatted_data[[#This Row],[Total_Revenue]]-(formatted_data[[#This Row],[Cost_Price]]*formatted_data[[#This Row],[Units]])</f>
        <v>228</v>
      </c>
      <c r="O1547" s="1" t="s">
        <v>21</v>
      </c>
      <c r="P1547"/>
    </row>
    <row r="1548" spans="1:16" x14ac:dyDescent="0.35">
      <c r="A1548" s="1" t="s">
        <v>98</v>
      </c>
      <c r="B1548" s="1" t="s">
        <v>16</v>
      </c>
      <c r="C1548" s="2">
        <v>45648</v>
      </c>
      <c r="D1548" s="1" t="s">
        <v>28</v>
      </c>
      <c r="E1548" s="1" t="s">
        <v>29</v>
      </c>
      <c r="F1548" s="1" t="s">
        <v>25</v>
      </c>
      <c r="G1548" s="1" t="s">
        <v>19</v>
      </c>
      <c r="H1548" s="1">
        <v>1</v>
      </c>
      <c r="I1548" s="1">
        <v>301</v>
      </c>
      <c r="J1548" s="1">
        <v>599</v>
      </c>
      <c r="K1548" s="1">
        <v>5</v>
      </c>
      <c r="L1548" s="1">
        <f>ROUNDDOWN(formatted_data[[#This Row],[Selling_Price]]*formatted_data[[#This Row],[Discount_%]]/100,0)</f>
        <v>29</v>
      </c>
      <c r="M1548" s="1">
        <f>(formatted_data[[#This Row],[Selling_Price]]-formatted_data[[#This Row],[Discount_Amount]])*formatted_data[[#This Row],[Units]]</f>
        <v>570</v>
      </c>
      <c r="N1548" s="1">
        <f>formatted_data[[#This Row],[Total_Revenue]]-(formatted_data[[#This Row],[Cost_Price]]*formatted_data[[#This Row],[Units]])</f>
        <v>269</v>
      </c>
      <c r="O1548" s="1" t="s">
        <v>21</v>
      </c>
      <c r="P1548"/>
    </row>
    <row r="1549" spans="1:16" x14ac:dyDescent="0.35">
      <c r="A1549" s="1" t="s">
        <v>107</v>
      </c>
      <c r="B1549" s="1" t="s">
        <v>27</v>
      </c>
      <c r="C1549" s="2">
        <v>45655</v>
      </c>
      <c r="D1549" s="1" t="s">
        <v>28</v>
      </c>
      <c r="E1549" s="1" t="s">
        <v>45</v>
      </c>
      <c r="F1549" s="1" t="s">
        <v>19</v>
      </c>
      <c r="G1549" s="1" t="s">
        <v>19</v>
      </c>
      <c r="H1549" s="1">
        <v>1</v>
      </c>
      <c r="I1549" s="1">
        <v>961</v>
      </c>
      <c r="J1549" s="1">
        <v>1299</v>
      </c>
      <c r="K1549" s="1">
        <v>20</v>
      </c>
      <c r="L1549" s="1">
        <f>ROUNDDOWN(formatted_data[[#This Row],[Selling_Price]]*formatted_data[[#This Row],[Discount_%]]/100,0)</f>
        <v>259</v>
      </c>
      <c r="M1549" s="1">
        <f>(formatted_data[[#This Row],[Selling_Price]]-formatted_data[[#This Row],[Discount_Amount]])*formatted_data[[#This Row],[Units]]</f>
        <v>1040</v>
      </c>
      <c r="N1549" s="1">
        <f>formatted_data[[#This Row],[Total_Revenue]]-(formatted_data[[#This Row],[Cost_Price]]*formatted_data[[#This Row],[Units]])</f>
        <v>79</v>
      </c>
      <c r="O1549" s="1" t="s">
        <v>21</v>
      </c>
      <c r="P1549"/>
    </row>
    <row r="1550" spans="1:16" x14ac:dyDescent="0.35">
      <c r="A1550" s="1" t="s">
        <v>91</v>
      </c>
      <c r="B1550" s="1" t="s">
        <v>16</v>
      </c>
      <c r="C1550" s="2">
        <v>45649</v>
      </c>
      <c r="D1550" s="1" t="s">
        <v>31</v>
      </c>
      <c r="E1550" s="1" t="s">
        <v>32</v>
      </c>
      <c r="F1550" s="1" t="s">
        <v>25</v>
      </c>
      <c r="G1550" s="1" t="s">
        <v>20</v>
      </c>
      <c r="H1550" s="1">
        <v>4</v>
      </c>
      <c r="I1550" s="1">
        <v>770</v>
      </c>
      <c r="J1550" s="1">
        <v>1399</v>
      </c>
      <c r="K1550" s="1">
        <v>0</v>
      </c>
      <c r="L1550" s="1">
        <f>ROUNDDOWN(formatted_data[[#This Row],[Selling_Price]]*formatted_data[[#This Row],[Discount_%]]/100,0)</f>
        <v>0</v>
      </c>
      <c r="M1550" s="1">
        <f>(formatted_data[[#This Row],[Selling_Price]]-formatted_data[[#This Row],[Discount_Amount]])*formatted_data[[#This Row],[Units]]</f>
        <v>5596</v>
      </c>
      <c r="N1550" s="1">
        <f>formatted_data[[#This Row],[Total_Revenue]]-(formatted_data[[#This Row],[Cost_Price]]*formatted_data[[#This Row],[Units]])</f>
        <v>2516</v>
      </c>
      <c r="O1550" s="1" t="s">
        <v>33</v>
      </c>
      <c r="P1550"/>
    </row>
    <row r="1551" spans="1:16" x14ac:dyDescent="0.35">
      <c r="A1551" s="1" t="s">
        <v>73</v>
      </c>
      <c r="B1551" s="1" t="s">
        <v>16</v>
      </c>
      <c r="C1551" s="2">
        <v>45573</v>
      </c>
      <c r="D1551" s="1" t="s">
        <v>31</v>
      </c>
      <c r="E1551" s="1" t="s">
        <v>76</v>
      </c>
      <c r="F1551" s="1" t="s">
        <v>37</v>
      </c>
      <c r="G1551" s="1" t="s">
        <v>20</v>
      </c>
      <c r="H1551" s="1">
        <v>1</v>
      </c>
      <c r="I1551" s="1">
        <v>1086</v>
      </c>
      <c r="J1551" s="1">
        <v>1499</v>
      </c>
      <c r="K1551" s="1">
        <v>0</v>
      </c>
      <c r="L1551" s="1">
        <f>ROUNDDOWN(formatted_data[[#This Row],[Selling_Price]]*formatted_data[[#This Row],[Discount_%]]/100,0)</f>
        <v>0</v>
      </c>
      <c r="M1551" s="1">
        <f>(formatted_data[[#This Row],[Selling_Price]]-formatted_data[[#This Row],[Discount_Amount]])*formatted_data[[#This Row],[Units]]</f>
        <v>1499</v>
      </c>
      <c r="N1551" s="1">
        <f>formatted_data[[#This Row],[Total_Revenue]]-(formatted_data[[#This Row],[Cost_Price]]*formatted_data[[#This Row],[Units]])</f>
        <v>413</v>
      </c>
      <c r="O1551" s="1" t="s">
        <v>21</v>
      </c>
      <c r="P1551"/>
    </row>
    <row r="1552" spans="1:16" x14ac:dyDescent="0.35">
      <c r="A1552" s="1" t="s">
        <v>69</v>
      </c>
      <c r="B1552" s="1" t="s">
        <v>16</v>
      </c>
      <c r="C1552" s="2">
        <v>45536</v>
      </c>
      <c r="D1552" s="1" t="s">
        <v>17</v>
      </c>
      <c r="E1552" s="1" t="s">
        <v>72</v>
      </c>
      <c r="F1552" s="1" t="s">
        <v>19</v>
      </c>
      <c r="G1552" s="1" t="s">
        <v>19</v>
      </c>
      <c r="H1552" s="1">
        <v>3</v>
      </c>
      <c r="I1552" s="1">
        <v>255</v>
      </c>
      <c r="J1552" s="1">
        <v>399</v>
      </c>
      <c r="K1552" s="1">
        <v>0</v>
      </c>
      <c r="L1552" s="1">
        <f>ROUNDDOWN(formatted_data[[#This Row],[Selling_Price]]*formatted_data[[#This Row],[Discount_%]]/100,0)</f>
        <v>0</v>
      </c>
      <c r="M1552" s="1">
        <f>(formatted_data[[#This Row],[Selling_Price]]-formatted_data[[#This Row],[Discount_Amount]])*formatted_data[[#This Row],[Units]]</f>
        <v>1197</v>
      </c>
      <c r="N1552" s="1">
        <f>formatted_data[[#This Row],[Total_Revenue]]-(formatted_data[[#This Row],[Cost_Price]]*formatted_data[[#This Row],[Units]])</f>
        <v>432</v>
      </c>
      <c r="O1552" s="1" t="s">
        <v>33</v>
      </c>
      <c r="P1552"/>
    </row>
    <row r="1553" spans="1:16" x14ac:dyDescent="0.35">
      <c r="A1553" s="1" t="s">
        <v>85</v>
      </c>
      <c r="B1553" s="1" t="s">
        <v>27</v>
      </c>
      <c r="C1553" s="2">
        <v>45657</v>
      </c>
      <c r="D1553" s="1" t="s">
        <v>23</v>
      </c>
      <c r="E1553" s="1" t="s">
        <v>43</v>
      </c>
      <c r="F1553" s="1" t="s">
        <v>19</v>
      </c>
      <c r="G1553" s="1" t="s">
        <v>19</v>
      </c>
      <c r="H1553" s="1">
        <v>2</v>
      </c>
      <c r="I1553" s="1">
        <v>1670</v>
      </c>
      <c r="J1553" s="1">
        <v>2399</v>
      </c>
      <c r="K1553" s="1">
        <v>15</v>
      </c>
      <c r="L1553" s="1">
        <f>ROUNDDOWN(formatted_data[[#This Row],[Selling_Price]]*formatted_data[[#This Row],[Discount_%]]/100,0)</f>
        <v>359</v>
      </c>
      <c r="M1553" s="1">
        <f>(formatted_data[[#This Row],[Selling_Price]]-formatted_data[[#This Row],[Discount_Amount]])*formatted_data[[#This Row],[Units]]</f>
        <v>4080</v>
      </c>
      <c r="N1553" s="1">
        <f>formatted_data[[#This Row],[Total_Revenue]]-(formatted_data[[#This Row],[Cost_Price]]*formatted_data[[#This Row],[Units]])</f>
        <v>740</v>
      </c>
      <c r="O1553" s="1" t="s">
        <v>21</v>
      </c>
      <c r="P1553"/>
    </row>
    <row r="1554" spans="1:16" x14ac:dyDescent="0.35">
      <c r="A1554" s="1" t="s">
        <v>96</v>
      </c>
      <c r="B1554" s="1" t="s">
        <v>16</v>
      </c>
      <c r="C1554" s="2">
        <v>45546</v>
      </c>
      <c r="D1554" s="1" t="s">
        <v>35</v>
      </c>
      <c r="E1554" s="1" t="s">
        <v>100</v>
      </c>
      <c r="F1554" s="1" t="s">
        <v>19</v>
      </c>
      <c r="G1554" s="1" t="s">
        <v>19</v>
      </c>
      <c r="H1554" s="1">
        <v>2</v>
      </c>
      <c r="I1554" s="1">
        <v>1563</v>
      </c>
      <c r="J1554" s="1">
        <v>2199</v>
      </c>
      <c r="K1554" s="1">
        <v>5</v>
      </c>
      <c r="L1554" s="1">
        <f>ROUNDDOWN(formatted_data[[#This Row],[Selling_Price]]*formatted_data[[#This Row],[Discount_%]]/100,0)</f>
        <v>109</v>
      </c>
      <c r="M1554" s="1">
        <f>(formatted_data[[#This Row],[Selling_Price]]-formatted_data[[#This Row],[Discount_Amount]])*formatted_data[[#This Row],[Units]]</f>
        <v>4180</v>
      </c>
      <c r="N1554" s="1">
        <f>formatted_data[[#This Row],[Total_Revenue]]-(formatted_data[[#This Row],[Cost_Price]]*formatted_data[[#This Row],[Units]])</f>
        <v>1054</v>
      </c>
      <c r="O1554" s="1" t="s">
        <v>21</v>
      </c>
      <c r="P1554"/>
    </row>
    <row r="1555" spans="1:16" x14ac:dyDescent="0.35">
      <c r="A1555" s="1" t="s">
        <v>63</v>
      </c>
      <c r="B1555" s="1" t="s">
        <v>27</v>
      </c>
      <c r="C1555" s="2">
        <v>45623</v>
      </c>
      <c r="D1555" s="1" t="s">
        <v>23</v>
      </c>
      <c r="E1555" s="1" t="s">
        <v>24</v>
      </c>
      <c r="F1555" s="1" t="s">
        <v>37</v>
      </c>
      <c r="G1555" s="1" t="s">
        <v>20</v>
      </c>
      <c r="H1555" s="1">
        <v>4</v>
      </c>
      <c r="I1555" s="1">
        <v>618</v>
      </c>
      <c r="J1555" s="1">
        <v>899</v>
      </c>
      <c r="K1555" s="1">
        <v>10</v>
      </c>
      <c r="L1555" s="1">
        <f>ROUNDDOWN(formatted_data[[#This Row],[Selling_Price]]*formatted_data[[#This Row],[Discount_%]]/100,0)</f>
        <v>89</v>
      </c>
      <c r="M1555" s="1">
        <f>(formatted_data[[#This Row],[Selling_Price]]-formatted_data[[#This Row],[Discount_Amount]])*formatted_data[[#This Row],[Units]]</f>
        <v>3240</v>
      </c>
      <c r="N1555" s="1">
        <f>formatted_data[[#This Row],[Total_Revenue]]-(formatted_data[[#This Row],[Cost_Price]]*formatted_data[[#This Row],[Units]])</f>
        <v>768</v>
      </c>
      <c r="O1555" s="1" t="s">
        <v>33</v>
      </c>
      <c r="P1555"/>
    </row>
    <row r="1556" spans="1:16" x14ac:dyDescent="0.35">
      <c r="A1556" s="1" t="s">
        <v>62</v>
      </c>
      <c r="B1556" s="1" t="s">
        <v>16</v>
      </c>
      <c r="C1556" s="2">
        <v>45458</v>
      </c>
      <c r="D1556" s="1" t="s">
        <v>31</v>
      </c>
      <c r="E1556" s="1" t="s">
        <v>76</v>
      </c>
      <c r="F1556" s="1" t="s">
        <v>37</v>
      </c>
      <c r="G1556" s="1" t="s">
        <v>19</v>
      </c>
      <c r="H1556" s="1">
        <v>2</v>
      </c>
      <c r="I1556" s="1">
        <v>730</v>
      </c>
      <c r="J1556" s="1">
        <v>999</v>
      </c>
      <c r="K1556" s="1">
        <v>0</v>
      </c>
      <c r="L1556" s="1">
        <f>ROUNDDOWN(formatted_data[[#This Row],[Selling_Price]]*formatted_data[[#This Row],[Discount_%]]/100,0)</f>
        <v>0</v>
      </c>
      <c r="M1556" s="1">
        <f>(formatted_data[[#This Row],[Selling_Price]]-formatted_data[[#This Row],[Discount_Amount]])*formatted_data[[#This Row],[Units]]</f>
        <v>1998</v>
      </c>
      <c r="N1556" s="1">
        <f>formatted_data[[#This Row],[Total_Revenue]]-(formatted_data[[#This Row],[Cost_Price]]*formatted_data[[#This Row],[Units]])</f>
        <v>538</v>
      </c>
      <c r="O1556" s="1" t="s">
        <v>21</v>
      </c>
      <c r="P1556"/>
    </row>
    <row r="1557" spans="1:16" x14ac:dyDescent="0.35">
      <c r="A1557" s="1" t="s">
        <v>99</v>
      </c>
      <c r="B1557" s="1" t="s">
        <v>27</v>
      </c>
      <c r="C1557" s="2">
        <v>45502</v>
      </c>
      <c r="D1557" s="1" t="s">
        <v>31</v>
      </c>
      <c r="E1557" s="1" t="s">
        <v>32</v>
      </c>
      <c r="F1557" s="1" t="s">
        <v>25</v>
      </c>
      <c r="G1557" s="1" t="s">
        <v>20</v>
      </c>
      <c r="H1557" s="1">
        <v>2</v>
      </c>
      <c r="I1557" s="1">
        <v>998</v>
      </c>
      <c r="J1557" s="1">
        <v>1499</v>
      </c>
      <c r="K1557" s="1">
        <v>0</v>
      </c>
      <c r="L1557" s="1">
        <f>ROUNDDOWN(formatted_data[[#This Row],[Selling_Price]]*formatted_data[[#This Row],[Discount_%]]/100,0)</f>
        <v>0</v>
      </c>
      <c r="M1557" s="1">
        <f>(formatted_data[[#This Row],[Selling_Price]]-formatted_data[[#This Row],[Discount_Amount]])*formatted_data[[#This Row],[Units]]</f>
        <v>2998</v>
      </c>
      <c r="N1557" s="1">
        <f>formatted_data[[#This Row],[Total_Revenue]]-(formatted_data[[#This Row],[Cost_Price]]*formatted_data[[#This Row],[Units]])</f>
        <v>1002</v>
      </c>
      <c r="O1557" s="1" t="s">
        <v>21</v>
      </c>
      <c r="P1557"/>
    </row>
    <row r="1558" spans="1:16" x14ac:dyDescent="0.35">
      <c r="A1558" s="1" t="s">
        <v>102</v>
      </c>
      <c r="B1558" s="1" t="s">
        <v>27</v>
      </c>
      <c r="C1558" s="2">
        <v>45610</v>
      </c>
      <c r="D1558" s="1" t="s">
        <v>31</v>
      </c>
      <c r="E1558" s="1" t="s">
        <v>76</v>
      </c>
      <c r="F1558" s="1" t="s">
        <v>37</v>
      </c>
      <c r="G1558" s="1" t="s">
        <v>20</v>
      </c>
      <c r="H1558" s="1">
        <v>1</v>
      </c>
      <c r="I1558" s="1">
        <v>387</v>
      </c>
      <c r="J1558" s="1">
        <v>699</v>
      </c>
      <c r="K1558" s="1">
        <v>0</v>
      </c>
      <c r="L1558" s="1">
        <f>ROUNDDOWN(formatted_data[[#This Row],[Selling_Price]]*formatted_data[[#This Row],[Discount_%]]/100,0)</f>
        <v>0</v>
      </c>
      <c r="M1558" s="1">
        <f>(formatted_data[[#This Row],[Selling_Price]]-formatted_data[[#This Row],[Discount_Amount]])*formatted_data[[#This Row],[Units]]</f>
        <v>699</v>
      </c>
      <c r="N1558" s="1">
        <f>formatted_data[[#This Row],[Total_Revenue]]-(formatted_data[[#This Row],[Cost_Price]]*formatted_data[[#This Row],[Units]])</f>
        <v>312</v>
      </c>
      <c r="O1558" s="1" t="s">
        <v>21</v>
      </c>
      <c r="P1558"/>
    </row>
    <row r="1559" spans="1:16" x14ac:dyDescent="0.35">
      <c r="A1559" s="1" t="s">
        <v>40</v>
      </c>
      <c r="B1559" s="1" t="s">
        <v>27</v>
      </c>
      <c r="C1559" s="2">
        <v>45473</v>
      </c>
      <c r="D1559" s="1" t="s">
        <v>17</v>
      </c>
      <c r="E1559" s="1" t="s">
        <v>55</v>
      </c>
      <c r="F1559" s="1" t="s">
        <v>25</v>
      </c>
      <c r="G1559" s="1" t="s">
        <v>20</v>
      </c>
      <c r="H1559" s="1">
        <v>1</v>
      </c>
      <c r="I1559" s="1">
        <v>453</v>
      </c>
      <c r="J1559" s="1">
        <v>799</v>
      </c>
      <c r="K1559" s="1">
        <v>0</v>
      </c>
      <c r="L1559" s="1">
        <f>ROUNDDOWN(formatted_data[[#This Row],[Selling_Price]]*formatted_data[[#This Row],[Discount_%]]/100,0)</f>
        <v>0</v>
      </c>
      <c r="M1559" s="1">
        <f>(formatted_data[[#This Row],[Selling_Price]]-formatted_data[[#This Row],[Discount_Amount]])*formatted_data[[#This Row],[Units]]</f>
        <v>799</v>
      </c>
      <c r="N1559" s="1">
        <f>formatted_data[[#This Row],[Total_Revenue]]-(formatted_data[[#This Row],[Cost_Price]]*formatted_data[[#This Row],[Units]])</f>
        <v>346</v>
      </c>
      <c r="O1559" s="1" t="s">
        <v>21</v>
      </c>
      <c r="P1559"/>
    </row>
    <row r="1560" spans="1:16" x14ac:dyDescent="0.35">
      <c r="A1560" s="1" t="s">
        <v>104</v>
      </c>
      <c r="B1560" s="1" t="s">
        <v>27</v>
      </c>
      <c r="C1560" s="2">
        <v>45539</v>
      </c>
      <c r="D1560" s="1" t="s">
        <v>17</v>
      </c>
      <c r="E1560" s="1" t="s">
        <v>48</v>
      </c>
      <c r="F1560" s="1" t="s">
        <v>37</v>
      </c>
      <c r="G1560" s="1" t="s">
        <v>19</v>
      </c>
      <c r="H1560" s="1">
        <v>3</v>
      </c>
      <c r="I1560" s="1">
        <v>222</v>
      </c>
      <c r="J1560" s="1">
        <v>299</v>
      </c>
      <c r="K1560" s="1">
        <v>0</v>
      </c>
      <c r="L1560" s="1">
        <f>ROUNDDOWN(formatted_data[[#This Row],[Selling_Price]]*formatted_data[[#This Row],[Discount_%]]/100,0)</f>
        <v>0</v>
      </c>
      <c r="M1560" s="1">
        <f>(formatted_data[[#This Row],[Selling_Price]]-formatted_data[[#This Row],[Discount_Amount]])*formatted_data[[#This Row],[Units]]</f>
        <v>897</v>
      </c>
      <c r="N1560" s="1">
        <f>formatted_data[[#This Row],[Total_Revenue]]-(formatted_data[[#This Row],[Cost_Price]]*formatted_data[[#This Row],[Units]])</f>
        <v>231</v>
      </c>
      <c r="O1560" s="1" t="s">
        <v>21</v>
      </c>
      <c r="P1560"/>
    </row>
    <row r="1561" spans="1:16" x14ac:dyDescent="0.35">
      <c r="A1561" s="1" t="s">
        <v>80</v>
      </c>
      <c r="B1561" s="1" t="s">
        <v>27</v>
      </c>
      <c r="C1561" s="2">
        <v>45615</v>
      </c>
      <c r="D1561" s="1" t="s">
        <v>23</v>
      </c>
      <c r="E1561" s="1" t="s">
        <v>24</v>
      </c>
      <c r="F1561" s="1" t="s">
        <v>37</v>
      </c>
      <c r="G1561" s="1" t="s">
        <v>19</v>
      </c>
      <c r="H1561" s="1">
        <v>1</v>
      </c>
      <c r="I1561" s="1">
        <v>1248</v>
      </c>
      <c r="J1561" s="1">
        <v>1799</v>
      </c>
      <c r="K1561" s="1">
        <v>15</v>
      </c>
      <c r="L1561" s="1">
        <f>ROUNDDOWN(formatted_data[[#This Row],[Selling_Price]]*formatted_data[[#This Row],[Discount_%]]/100,0)</f>
        <v>269</v>
      </c>
      <c r="M1561" s="1">
        <f>(formatted_data[[#This Row],[Selling_Price]]-formatted_data[[#This Row],[Discount_Amount]])*formatted_data[[#This Row],[Units]]</f>
        <v>1530</v>
      </c>
      <c r="N1561" s="1">
        <f>formatted_data[[#This Row],[Total_Revenue]]-(formatted_data[[#This Row],[Cost_Price]]*formatted_data[[#This Row],[Units]])</f>
        <v>282</v>
      </c>
      <c r="O1561" s="1" t="s">
        <v>21</v>
      </c>
      <c r="P1561"/>
    </row>
    <row r="1562" spans="1:16" x14ac:dyDescent="0.35">
      <c r="A1562" s="1" t="s">
        <v>106</v>
      </c>
      <c r="B1562" s="1" t="s">
        <v>27</v>
      </c>
      <c r="C1562" s="2">
        <v>45447</v>
      </c>
      <c r="D1562" s="1" t="s">
        <v>35</v>
      </c>
      <c r="E1562" s="1" t="s">
        <v>87</v>
      </c>
      <c r="F1562" s="1" t="s">
        <v>37</v>
      </c>
      <c r="G1562" s="1" t="s">
        <v>19</v>
      </c>
      <c r="H1562" s="1">
        <v>2</v>
      </c>
      <c r="I1562" s="1">
        <v>2205</v>
      </c>
      <c r="J1562" s="1">
        <v>3199</v>
      </c>
      <c r="K1562" s="1">
        <v>20</v>
      </c>
      <c r="L1562" s="1">
        <f>ROUNDDOWN(formatted_data[[#This Row],[Selling_Price]]*formatted_data[[#This Row],[Discount_%]]/100,0)</f>
        <v>639</v>
      </c>
      <c r="M1562" s="1">
        <f>(formatted_data[[#This Row],[Selling_Price]]-formatted_data[[#This Row],[Discount_Amount]])*formatted_data[[#This Row],[Units]]</f>
        <v>5120</v>
      </c>
      <c r="N1562" s="1">
        <f>formatted_data[[#This Row],[Total_Revenue]]-(formatted_data[[#This Row],[Cost_Price]]*formatted_data[[#This Row],[Units]])</f>
        <v>710</v>
      </c>
      <c r="O1562" s="1" t="s">
        <v>21</v>
      </c>
      <c r="P1562"/>
    </row>
    <row r="1563" spans="1:16" x14ac:dyDescent="0.35">
      <c r="A1563" s="1" t="s">
        <v>91</v>
      </c>
      <c r="B1563" s="1" t="s">
        <v>16</v>
      </c>
      <c r="C1563" s="2">
        <v>45647</v>
      </c>
      <c r="D1563" s="1" t="s">
        <v>17</v>
      </c>
      <c r="E1563" s="1" t="s">
        <v>72</v>
      </c>
      <c r="F1563" s="1" t="s">
        <v>19</v>
      </c>
      <c r="G1563" s="1" t="s">
        <v>19</v>
      </c>
      <c r="H1563" s="1">
        <v>5</v>
      </c>
      <c r="I1563" s="1">
        <v>343</v>
      </c>
      <c r="J1563" s="1">
        <v>499</v>
      </c>
      <c r="K1563" s="1">
        <v>0</v>
      </c>
      <c r="L1563" s="1">
        <f>ROUNDDOWN(formatted_data[[#This Row],[Selling_Price]]*formatted_data[[#This Row],[Discount_%]]/100,0)</f>
        <v>0</v>
      </c>
      <c r="M1563" s="1">
        <f>(formatted_data[[#This Row],[Selling_Price]]-formatted_data[[#This Row],[Discount_Amount]])*formatted_data[[#This Row],[Units]]</f>
        <v>2495</v>
      </c>
      <c r="N1563" s="1">
        <f>formatted_data[[#This Row],[Total_Revenue]]-(formatted_data[[#This Row],[Cost_Price]]*formatted_data[[#This Row],[Units]])</f>
        <v>780</v>
      </c>
      <c r="O1563" s="1" t="s">
        <v>21</v>
      </c>
      <c r="P1563"/>
    </row>
    <row r="1564" spans="1:16" x14ac:dyDescent="0.35">
      <c r="A1564" s="1" t="s">
        <v>61</v>
      </c>
      <c r="B1564" s="1" t="s">
        <v>27</v>
      </c>
      <c r="C1564" s="2">
        <v>45621</v>
      </c>
      <c r="D1564" s="1" t="s">
        <v>17</v>
      </c>
      <c r="E1564" s="1" t="s">
        <v>72</v>
      </c>
      <c r="F1564" s="1" t="s">
        <v>25</v>
      </c>
      <c r="G1564" s="1" t="s">
        <v>20</v>
      </c>
      <c r="H1564" s="1">
        <v>1</v>
      </c>
      <c r="I1564" s="1">
        <v>311</v>
      </c>
      <c r="J1564" s="1">
        <v>499</v>
      </c>
      <c r="K1564" s="1">
        <v>0</v>
      </c>
      <c r="L1564" s="1">
        <f>ROUNDDOWN(formatted_data[[#This Row],[Selling_Price]]*formatted_data[[#This Row],[Discount_%]]/100,0)</f>
        <v>0</v>
      </c>
      <c r="M1564" s="1">
        <f>(formatted_data[[#This Row],[Selling_Price]]-formatted_data[[#This Row],[Discount_Amount]])*formatted_data[[#This Row],[Units]]</f>
        <v>499</v>
      </c>
      <c r="N1564" s="1">
        <f>formatted_data[[#This Row],[Total_Revenue]]-(formatted_data[[#This Row],[Cost_Price]]*formatted_data[[#This Row],[Units]])</f>
        <v>188</v>
      </c>
      <c r="O1564" s="1" t="s">
        <v>21</v>
      </c>
      <c r="P1564"/>
    </row>
    <row r="1565" spans="1:16" x14ac:dyDescent="0.35">
      <c r="A1565" s="1" t="s">
        <v>22</v>
      </c>
      <c r="B1565" s="1" t="s">
        <v>16</v>
      </c>
      <c r="C1565" s="2">
        <v>45516</v>
      </c>
      <c r="D1565" s="1" t="s">
        <v>31</v>
      </c>
      <c r="E1565" s="1" t="s">
        <v>32</v>
      </c>
      <c r="F1565" s="1" t="s">
        <v>37</v>
      </c>
      <c r="G1565" s="1" t="s">
        <v>20</v>
      </c>
      <c r="H1565" s="1">
        <v>4</v>
      </c>
      <c r="I1565" s="1">
        <v>1040</v>
      </c>
      <c r="J1565" s="1">
        <v>1399</v>
      </c>
      <c r="K1565" s="1">
        <v>0</v>
      </c>
      <c r="L1565" s="1">
        <f>ROUNDDOWN(formatted_data[[#This Row],[Selling_Price]]*formatted_data[[#This Row],[Discount_%]]/100,0)</f>
        <v>0</v>
      </c>
      <c r="M1565" s="1">
        <f>(formatted_data[[#This Row],[Selling_Price]]-formatted_data[[#This Row],[Discount_Amount]])*formatted_data[[#This Row],[Units]]</f>
        <v>5596</v>
      </c>
      <c r="N1565" s="1">
        <f>formatted_data[[#This Row],[Total_Revenue]]-(formatted_data[[#This Row],[Cost_Price]]*formatted_data[[#This Row],[Units]])</f>
        <v>1436</v>
      </c>
      <c r="O1565" s="1" t="s">
        <v>21</v>
      </c>
      <c r="P1565"/>
    </row>
    <row r="1566" spans="1:16" x14ac:dyDescent="0.35">
      <c r="A1566" s="1" t="s">
        <v>81</v>
      </c>
      <c r="B1566" s="1" t="s">
        <v>27</v>
      </c>
      <c r="C1566" s="2">
        <v>45452</v>
      </c>
      <c r="D1566" s="1" t="s">
        <v>17</v>
      </c>
      <c r="E1566" s="1" t="s">
        <v>72</v>
      </c>
      <c r="F1566" s="1" t="s">
        <v>37</v>
      </c>
      <c r="G1566" s="1" t="s">
        <v>20</v>
      </c>
      <c r="H1566" s="1">
        <v>1</v>
      </c>
      <c r="I1566" s="1">
        <v>265</v>
      </c>
      <c r="J1566" s="1">
        <v>499</v>
      </c>
      <c r="K1566" s="1">
        <v>0</v>
      </c>
      <c r="L1566" s="1">
        <f>ROUNDDOWN(formatted_data[[#This Row],[Selling_Price]]*formatted_data[[#This Row],[Discount_%]]/100,0)</f>
        <v>0</v>
      </c>
      <c r="M1566" s="1">
        <f>(formatted_data[[#This Row],[Selling_Price]]-formatted_data[[#This Row],[Discount_Amount]])*formatted_data[[#This Row],[Units]]</f>
        <v>499</v>
      </c>
      <c r="N1566" s="1">
        <f>formatted_data[[#This Row],[Total_Revenue]]-(formatted_data[[#This Row],[Cost_Price]]*formatted_data[[#This Row],[Units]])</f>
        <v>234</v>
      </c>
      <c r="O1566" s="1" t="s">
        <v>21</v>
      </c>
      <c r="P1566"/>
    </row>
    <row r="1567" spans="1:16" x14ac:dyDescent="0.35">
      <c r="A1567" s="1" t="s">
        <v>90</v>
      </c>
      <c r="B1567" s="1" t="s">
        <v>27</v>
      </c>
      <c r="C1567" s="2">
        <v>45536</v>
      </c>
      <c r="D1567" s="1" t="s">
        <v>35</v>
      </c>
      <c r="E1567" s="1" t="s">
        <v>50</v>
      </c>
      <c r="F1567" s="1" t="s">
        <v>37</v>
      </c>
      <c r="G1567" s="1" t="s">
        <v>19</v>
      </c>
      <c r="H1567" s="1">
        <v>2</v>
      </c>
      <c r="I1567" s="1">
        <v>1064</v>
      </c>
      <c r="J1567" s="1">
        <v>1799</v>
      </c>
      <c r="K1567" s="1">
        <v>15</v>
      </c>
      <c r="L1567" s="1">
        <f>ROUNDDOWN(formatted_data[[#This Row],[Selling_Price]]*formatted_data[[#This Row],[Discount_%]]/100,0)</f>
        <v>269</v>
      </c>
      <c r="M1567" s="1">
        <f>(formatted_data[[#This Row],[Selling_Price]]-formatted_data[[#This Row],[Discount_Amount]])*formatted_data[[#This Row],[Units]]</f>
        <v>3060</v>
      </c>
      <c r="N1567" s="1">
        <f>formatted_data[[#This Row],[Total_Revenue]]-(formatted_data[[#This Row],[Cost_Price]]*formatted_data[[#This Row],[Units]])</f>
        <v>932</v>
      </c>
      <c r="O1567" s="1" t="s">
        <v>21</v>
      </c>
      <c r="P1567"/>
    </row>
    <row r="1568" spans="1:16" x14ac:dyDescent="0.35">
      <c r="A1568" s="1" t="s">
        <v>74</v>
      </c>
      <c r="B1568" s="1" t="s">
        <v>16</v>
      </c>
      <c r="C1568" s="2">
        <v>45624</v>
      </c>
      <c r="D1568" s="1" t="s">
        <v>31</v>
      </c>
      <c r="E1568" s="1" t="s">
        <v>32</v>
      </c>
      <c r="F1568" s="1" t="s">
        <v>37</v>
      </c>
      <c r="G1568" s="1" t="s">
        <v>20</v>
      </c>
      <c r="H1568" s="1">
        <v>4</v>
      </c>
      <c r="I1568" s="1">
        <v>820</v>
      </c>
      <c r="J1568" s="1">
        <v>1199</v>
      </c>
      <c r="K1568" s="1">
        <v>0</v>
      </c>
      <c r="L1568" s="1">
        <f>ROUNDDOWN(formatted_data[[#This Row],[Selling_Price]]*formatted_data[[#This Row],[Discount_%]]/100,0)</f>
        <v>0</v>
      </c>
      <c r="M1568" s="1">
        <f>(formatted_data[[#This Row],[Selling_Price]]-formatted_data[[#This Row],[Discount_Amount]])*formatted_data[[#This Row],[Units]]</f>
        <v>4796</v>
      </c>
      <c r="N1568" s="1">
        <f>formatted_data[[#This Row],[Total_Revenue]]-(formatted_data[[#This Row],[Cost_Price]]*formatted_data[[#This Row],[Units]])</f>
        <v>1516</v>
      </c>
      <c r="O1568" s="1" t="s">
        <v>21</v>
      </c>
      <c r="P1568"/>
    </row>
    <row r="1569" spans="1:16" x14ac:dyDescent="0.35">
      <c r="A1569" s="1" t="s">
        <v>34</v>
      </c>
      <c r="B1569" s="1" t="s">
        <v>27</v>
      </c>
      <c r="C1569" s="2">
        <v>45599</v>
      </c>
      <c r="D1569" s="1" t="s">
        <v>17</v>
      </c>
      <c r="E1569" s="1" t="s">
        <v>18</v>
      </c>
      <c r="F1569" s="1" t="s">
        <v>19</v>
      </c>
      <c r="G1569" s="1" t="s">
        <v>20</v>
      </c>
      <c r="H1569" s="1">
        <v>4</v>
      </c>
      <c r="I1569" s="1">
        <v>242</v>
      </c>
      <c r="J1569" s="1">
        <v>399</v>
      </c>
      <c r="K1569" s="1">
        <v>0</v>
      </c>
      <c r="L1569" s="1">
        <f>ROUNDDOWN(formatted_data[[#This Row],[Selling_Price]]*formatted_data[[#This Row],[Discount_%]]/100,0)</f>
        <v>0</v>
      </c>
      <c r="M1569" s="1">
        <f>(formatted_data[[#This Row],[Selling_Price]]-formatted_data[[#This Row],[Discount_Amount]])*formatted_data[[#This Row],[Units]]</f>
        <v>1596</v>
      </c>
      <c r="N1569" s="1">
        <f>formatted_data[[#This Row],[Total_Revenue]]-(formatted_data[[#This Row],[Cost_Price]]*formatted_data[[#This Row],[Units]])</f>
        <v>628</v>
      </c>
      <c r="O1569" s="1" t="s">
        <v>21</v>
      </c>
      <c r="P1569"/>
    </row>
    <row r="1570" spans="1:16" x14ac:dyDescent="0.35">
      <c r="A1570" s="1" t="s">
        <v>70</v>
      </c>
      <c r="B1570" s="1" t="s">
        <v>27</v>
      </c>
      <c r="C1570" s="2">
        <v>45459</v>
      </c>
      <c r="D1570" s="1" t="s">
        <v>17</v>
      </c>
      <c r="E1570" s="1" t="s">
        <v>55</v>
      </c>
      <c r="F1570" s="1" t="s">
        <v>37</v>
      </c>
      <c r="G1570" s="1" t="s">
        <v>19</v>
      </c>
      <c r="H1570" s="1">
        <v>5</v>
      </c>
      <c r="I1570" s="1">
        <v>311</v>
      </c>
      <c r="J1570" s="1">
        <v>499</v>
      </c>
      <c r="K1570" s="1">
        <v>0</v>
      </c>
      <c r="L1570" s="1">
        <f>ROUNDDOWN(formatted_data[[#This Row],[Selling_Price]]*formatted_data[[#This Row],[Discount_%]]/100,0)</f>
        <v>0</v>
      </c>
      <c r="M1570" s="1">
        <f>(formatted_data[[#This Row],[Selling_Price]]-formatted_data[[#This Row],[Discount_Amount]])*formatted_data[[#This Row],[Units]]</f>
        <v>2495</v>
      </c>
      <c r="N1570" s="1">
        <f>formatted_data[[#This Row],[Total_Revenue]]-(formatted_data[[#This Row],[Cost_Price]]*formatted_data[[#This Row],[Units]])</f>
        <v>940</v>
      </c>
      <c r="O1570" s="1" t="s">
        <v>33</v>
      </c>
      <c r="P1570"/>
    </row>
    <row r="1571" spans="1:16" x14ac:dyDescent="0.35">
      <c r="A1571" s="1" t="s">
        <v>56</v>
      </c>
      <c r="B1571" s="1" t="s">
        <v>27</v>
      </c>
      <c r="C1571" s="2">
        <v>45631</v>
      </c>
      <c r="D1571" s="1" t="s">
        <v>28</v>
      </c>
      <c r="E1571" s="1" t="s">
        <v>45</v>
      </c>
      <c r="F1571" s="1" t="s">
        <v>37</v>
      </c>
      <c r="G1571" s="1" t="s">
        <v>20</v>
      </c>
      <c r="H1571" s="1">
        <v>1</v>
      </c>
      <c r="I1571" s="1">
        <v>1459</v>
      </c>
      <c r="J1571" s="1">
        <v>2299</v>
      </c>
      <c r="K1571" s="1">
        <v>20</v>
      </c>
      <c r="L1571" s="1">
        <f>ROUNDDOWN(formatted_data[[#This Row],[Selling_Price]]*formatted_data[[#This Row],[Discount_%]]/100,0)</f>
        <v>459</v>
      </c>
      <c r="M1571" s="1">
        <f>(formatted_data[[#This Row],[Selling_Price]]-formatted_data[[#This Row],[Discount_Amount]])*formatted_data[[#This Row],[Units]]</f>
        <v>1840</v>
      </c>
      <c r="N1571" s="1">
        <f>formatted_data[[#This Row],[Total_Revenue]]-(formatted_data[[#This Row],[Cost_Price]]*formatted_data[[#This Row],[Units]])</f>
        <v>381</v>
      </c>
      <c r="O1571" s="1" t="s">
        <v>33</v>
      </c>
      <c r="P1571"/>
    </row>
    <row r="1572" spans="1:16" x14ac:dyDescent="0.35">
      <c r="A1572" s="1" t="s">
        <v>82</v>
      </c>
      <c r="B1572" s="1" t="s">
        <v>27</v>
      </c>
      <c r="C1572" s="2">
        <v>45629</v>
      </c>
      <c r="D1572" s="1" t="s">
        <v>35</v>
      </c>
      <c r="E1572" s="1" t="s">
        <v>87</v>
      </c>
      <c r="F1572" s="1" t="s">
        <v>25</v>
      </c>
      <c r="G1572" s="1" t="s">
        <v>20</v>
      </c>
      <c r="H1572" s="1">
        <v>1</v>
      </c>
      <c r="I1572" s="1">
        <v>1449</v>
      </c>
      <c r="J1572" s="1">
        <v>2299</v>
      </c>
      <c r="K1572" s="1">
        <v>10</v>
      </c>
      <c r="L1572" s="1">
        <f>ROUNDDOWN(formatted_data[[#This Row],[Selling_Price]]*formatted_data[[#This Row],[Discount_%]]/100,0)</f>
        <v>229</v>
      </c>
      <c r="M1572" s="1">
        <f>(formatted_data[[#This Row],[Selling_Price]]-formatted_data[[#This Row],[Discount_Amount]])*formatted_data[[#This Row],[Units]]</f>
        <v>2070</v>
      </c>
      <c r="N1572" s="1">
        <f>formatted_data[[#This Row],[Total_Revenue]]-(formatted_data[[#This Row],[Cost_Price]]*formatted_data[[#This Row],[Units]])</f>
        <v>621</v>
      </c>
      <c r="O1572" s="1" t="s">
        <v>21</v>
      </c>
      <c r="P1572"/>
    </row>
    <row r="1573" spans="1:16" x14ac:dyDescent="0.35">
      <c r="A1573" s="1" t="s">
        <v>79</v>
      </c>
      <c r="B1573" s="1" t="s">
        <v>16</v>
      </c>
      <c r="C1573" s="2">
        <v>45613</v>
      </c>
      <c r="D1573" s="1" t="s">
        <v>23</v>
      </c>
      <c r="E1573" s="1" t="s">
        <v>24</v>
      </c>
      <c r="F1573" s="1" t="s">
        <v>37</v>
      </c>
      <c r="G1573" s="1" t="s">
        <v>20</v>
      </c>
      <c r="H1573" s="1">
        <v>3</v>
      </c>
      <c r="I1573" s="1">
        <v>1071</v>
      </c>
      <c r="J1573" s="1">
        <v>1699</v>
      </c>
      <c r="K1573" s="1">
        <v>10</v>
      </c>
      <c r="L1573" s="1">
        <f>ROUNDDOWN(formatted_data[[#This Row],[Selling_Price]]*formatted_data[[#This Row],[Discount_%]]/100,0)</f>
        <v>169</v>
      </c>
      <c r="M1573" s="1">
        <f>(formatted_data[[#This Row],[Selling_Price]]-formatted_data[[#This Row],[Discount_Amount]])*formatted_data[[#This Row],[Units]]</f>
        <v>4590</v>
      </c>
      <c r="N1573" s="1">
        <f>formatted_data[[#This Row],[Total_Revenue]]-(formatted_data[[#This Row],[Cost_Price]]*formatted_data[[#This Row],[Units]])</f>
        <v>1377</v>
      </c>
      <c r="O1573" s="1" t="s">
        <v>21</v>
      </c>
      <c r="P1573"/>
    </row>
    <row r="1574" spans="1:16" x14ac:dyDescent="0.35">
      <c r="A1574" s="1" t="s">
        <v>82</v>
      </c>
      <c r="B1574" s="1" t="s">
        <v>27</v>
      </c>
      <c r="C1574" s="2">
        <v>45537</v>
      </c>
      <c r="D1574" s="1" t="s">
        <v>31</v>
      </c>
      <c r="E1574" s="1" t="s">
        <v>76</v>
      </c>
      <c r="F1574" s="1" t="s">
        <v>19</v>
      </c>
      <c r="G1574" s="1" t="s">
        <v>19</v>
      </c>
      <c r="H1574" s="1">
        <v>1</v>
      </c>
      <c r="I1574" s="1">
        <v>683</v>
      </c>
      <c r="J1574" s="1">
        <v>999</v>
      </c>
      <c r="K1574" s="1">
        <v>0</v>
      </c>
      <c r="L1574" s="1">
        <f>ROUNDDOWN(formatted_data[[#This Row],[Selling_Price]]*formatted_data[[#This Row],[Discount_%]]/100,0)</f>
        <v>0</v>
      </c>
      <c r="M1574" s="1">
        <f>(formatted_data[[#This Row],[Selling_Price]]-formatted_data[[#This Row],[Discount_Amount]])*formatted_data[[#This Row],[Units]]</f>
        <v>999</v>
      </c>
      <c r="N1574" s="1">
        <f>formatted_data[[#This Row],[Total_Revenue]]-(formatted_data[[#This Row],[Cost_Price]]*formatted_data[[#This Row],[Units]])</f>
        <v>316</v>
      </c>
      <c r="O1574" s="1" t="s">
        <v>21</v>
      </c>
      <c r="P1574"/>
    </row>
    <row r="1575" spans="1:16" x14ac:dyDescent="0.35">
      <c r="A1575" s="1" t="s">
        <v>102</v>
      </c>
      <c r="B1575" s="1" t="s">
        <v>27</v>
      </c>
      <c r="C1575" s="2">
        <v>45542</v>
      </c>
      <c r="D1575" s="1" t="s">
        <v>35</v>
      </c>
      <c r="E1575" s="1" t="s">
        <v>36</v>
      </c>
      <c r="F1575" s="1" t="s">
        <v>37</v>
      </c>
      <c r="G1575" s="1" t="s">
        <v>20</v>
      </c>
      <c r="H1575" s="1">
        <v>1</v>
      </c>
      <c r="I1575" s="1">
        <v>300</v>
      </c>
      <c r="J1575" s="1">
        <v>599</v>
      </c>
      <c r="K1575" s="1">
        <v>10</v>
      </c>
      <c r="L1575" s="1">
        <f>ROUNDDOWN(formatted_data[[#This Row],[Selling_Price]]*formatted_data[[#This Row],[Discount_%]]/100,0)</f>
        <v>59</v>
      </c>
      <c r="M1575" s="1">
        <f>(formatted_data[[#This Row],[Selling_Price]]-formatted_data[[#This Row],[Discount_Amount]])*formatted_data[[#This Row],[Units]]</f>
        <v>540</v>
      </c>
      <c r="N1575" s="1">
        <f>formatted_data[[#This Row],[Total_Revenue]]-(formatted_data[[#This Row],[Cost_Price]]*formatted_data[[#This Row],[Units]])</f>
        <v>240</v>
      </c>
      <c r="O1575" s="1" t="s">
        <v>21</v>
      </c>
      <c r="P1575"/>
    </row>
    <row r="1576" spans="1:16" x14ac:dyDescent="0.35">
      <c r="A1576" s="1" t="s">
        <v>93</v>
      </c>
      <c r="B1576" s="1" t="s">
        <v>16</v>
      </c>
      <c r="C1576" s="2">
        <v>45614</v>
      </c>
      <c r="D1576" s="1" t="s">
        <v>35</v>
      </c>
      <c r="E1576" s="1" t="s">
        <v>39</v>
      </c>
      <c r="F1576" s="1" t="s">
        <v>19</v>
      </c>
      <c r="G1576" s="1" t="s">
        <v>19</v>
      </c>
      <c r="H1576" s="1">
        <v>2</v>
      </c>
      <c r="I1576" s="1">
        <v>526</v>
      </c>
      <c r="J1576" s="1">
        <v>799</v>
      </c>
      <c r="K1576" s="1">
        <v>10</v>
      </c>
      <c r="L1576" s="1">
        <f>ROUNDDOWN(formatted_data[[#This Row],[Selling_Price]]*formatted_data[[#This Row],[Discount_%]]/100,0)</f>
        <v>79</v>
      </c>
      <c r="M1576" s="1">
        <f>(formatted_data[[#This Row],[Selling_Price]]-formatted_data[[#This Row],[Discount_Amount]])*formatted_data[[#This Row],[Units]]</f>
        <v>1440</v>
      </c>
      <c r="N1576" s="1">
        <f>formatted_data[[#This Row],[Total_Revenue]]-(formatted_data[[#This Row],[Cost_Price]]*formatted_data[[#This Row],[Units]])</f>
        <v>388</v>
      </c>
      <c r="O1576" s="1" t="s">
        <v>21</v>
      </c>
      <c r="P1576"/>
    </row>
    <row r="1577" spans="1:16" x14ac:dyDescent="0.35">
      <c r="A1577" s="1" t="s">
        <v>57</v>
      </c>
      <c r="B1577" s="1" t="s">
        <v>27</v>
      </c>
      <c r="C1577" s="2">
        <v>45534</v>
      </c>
      <c r="D1577" s="1" t="s">
        <v>23</v>
      </c>
      <c r="E1577" s="1" t="s">
        <v>43</v>
      </c>
      <c r="F1577" s="1" t="s">
        <v>37</v>
      </c>
      <c r="G1577" s="1" t="s">
        <v>19</v>
      </c>
      <c r="H1577" s="1">
        <v>1</v>
      </c>
      <c r="I1577" s="1">
        <v>2505</v>
      </c>
      <c r="J1577" s="1">
        <v>3799</v>
      </c>
      <c r="K1577" s="1">
        <v>20</v>
      </c>
      <c r="L1577" s="1">
        <f>ROUNDDOWN(formatted_data[[#This Row],[Selling_Price]]*formatted_data[[#This Row],[Discount_%]]/100,0)</f>
        <v>759</v>
      </c>
      <c r="M1577" s="1">
        <f>(formatted_data[[#This Row],[Selling_Price]]-formatted_data[[#This Row],[Discount_Amount]])*formatted_data[[#This Row],[Units]]</f>
        <v>3040</v>
      </c>
      <c r="N1577" s="1">
        <f>formatted_data[[#This Row],[Total_Revenue]]-(formatted_data[[#This Row],[Cost_Price]]*formatted_data[[#This Row],[Units]])</f>
        <v>535</v>
      </c>
      <c r="O1577" s="1" t="s">
        <v>21</v>
      </c>
      <c r="P1577"/>
    </row>
    <row r="1578" spans="1:16" x14ac:dyDescent="0.35">
      <c r="A1578" s="1" t="s">
        <v>26</v>
      </c>
      <c r="B1578" s="1" t="s">
        <v>27</v>
      </c>
      <c r="C1578" s="2">
        <v>45504</v>
      </c>
      <c r="D1578" s="1" t="s">
        <v>35</v>
      </c>
      <c r="E1578" s="1" t="s">
        <v>41</v>
      </c>
      <c r="F1578" s="1" t="s">
        <v>25</v>
      </c>
      <c r="G1578" s="1" t="s">
        <v>20</v>
      </c>
      <c r="H1578" s="1">
        <v>2</v>
      </c>
      <c r="I1578" s="1">
        <v>495</v>
      </c>
      <c r="J1578" s="1">
        <v>699</v>
      </c>
      <c r="K1578" s="1">
        <v>20</v>
      </c>
      <c r="L1578" s="1">
        <f>ROUNDDOWN(formatted_data[[#This Row],[Selling_Price]]*formatted_data[[#This Row],[Discount_%]]/100,0)</f>
        <v>139</v>
      </c>
      <c r="M1578" s="1">
        <f>(formatted_data[[#This Row],[Selling_Price]]-formatted_data[[#This Row],[Discount_Amount]])*formatted_data[[#This Row],[Units]]</f>
        <v>1120</v>
      </c>
      <c r="N1578" s="1">
        <f>formatted_data[[#This Row],[Total_Revenue]]-(formatted_data[[#This Row],[Cost_Price]]*formatted_data[[#This Row],[Units]])</f>
        <v>130</v>
      </c>
      <c r="O1578" s="1" t="s">
        <v>21</v>
      </c>
      <c r="P1578"/>
    </row>
    <row r="1579" spans="1:16" x14ac:dyDescent="0.35">
      <c r="A1579" s="1" t="s">
        <v>51</v>
      </c>
      <c r="B1579" s="1" t="s">
        <v>16</v>
      </c>
      <c r="C1579" s="2">
        <v>45657</v>
      </c>
      <c r="D1579" s="1" t="s">
        <v>17</v>
      </c>
      <c r="E1579" s="1" t="s">
        <v>48</v>
      </c>
      <c r="F1579" s="1" t="s">
        <v>19</v>
      </c>
      <c r="G1579" s="1" t="s">
        <v>19</v>
      </c>
      <c r="H1579" s="1">
        <v>2</v>
      </c>
      <c r="I1579" s="1">
        <v>176</v>
      </c>
      <c r="J1579" s="1">
        <v>299</v>
      </c>
      <c r="K1579" s="1">
        <v>0</v>
      </c>
      <c r="L1579" s="1">
        <f>ROUNDDOWN(formatted_data[[#This Row],[Selling_Price]]*formatted_data[[#This Row],[Discount_%]]/100,0)</f>
        <v>0</v>
      </c>
      <c r="M1579" s="1">
        <f>(formatted_data[[#This Row],[Selling_Price]]-formatted_data[[#This Row],[Discount_Amount]])*formatted_data[[#This Row],[Units]]</f>
        <v>598</v>
      </c>
      <c r="N1579" s="1">
        <f>formatted_data[[#This Row],[Total_Revenue]]-(formatted_data[[#This Row],[Cost_Price]]*formatted_data[[#This Row],[Units]])</f>
        <v>246</v>
      </c>
      <c r="O1579" s="1" t="s">
        <v>21</v>
      </c>
      <c r="P1579"/>
    </row>
    <row r="1580" spans="1:16" x14ac:dyDescent="0.35">
      <c r="A1580" s="1" t="s">
        <v>62</v>
      </c>
      <c r="B1580" s="1" t="s">
        <v>16</v>
      </c>
      <c r="C1580" s="2">
        <v>45469</v>
      </c>
      <c r="D1580" s="1" t="s">
        <v>35</v>
      </c>
      <c r="E1580" s="1" t="s">
        <v>100</v>
      </c>
      <c r="F1580" s="1" t="s">
        <v>19</v>
      </c>
      <c r="G1580" s="1" t="s">
        <v>20</v>
      </c>
      <c r="H1580" s="1">
        <v>1</v>
      </c>
      <c r="I1580" s="1">
        <v>1024</v>
      </c>
      <c r="J1580" s="1">
        <v>1699</v>
      </c>
      <c r="K1580" s="1">
        <v>10</v>
      </c>
      <c r="L1580" s="1">
        <f>ROUNDDOWN(formatted_data[[#This Row],[Selling_Price]]*formatted_data[[#This Row],[Discount_%]]/100,0)</f>
        <v>169</v>
      </c>
      <c r="M1580" s="1">
        <f>(formatted_data[[#This Row],[Selling_Price]]-formatted_data[[#This Row],[Discount_Amount]])*formatted_data[[#This Row],[Units]]</f>
        <v>1530</v>
      </c>
      <c r="N1580" s="1">
        <f>formatted_data[[#This Row],[Total_Revenue]]-(formatted_data[[#This Row],[Cost_Price]]*formatted_data[[#This Row],[Units]])</f>
        <v>506</v>
      </c>
      <c r="O1580" s="1" t="s">
        <v>21</v>
      </c>
      <c r="P1580"/>
    </row>
    <row r="1581" spans="1:16" x14ac:dyDescent="0.35">
      <c r="A1581" s="1" t="s">
        <v>102</v>
      </c>
      <c r="B1581" s="1" t="s">
        <v>27</v>
      </c>
      <c r="C1581" s="2">
        <v>45578</v>
      </c>
      <c r="D1581" s="1" t="s">
        <v>35</v>
      </c>
      <c r="E1581" s="1" t="s">
        <v>41</v>
      </c>
      <c r="F1581" s="1" t="s">
        <v>19</v>
      </c>
      <c r="G1581" s="1" t="s">
        <v>19</v>
      </c>
      <c r="H1581" s="1">
        <v>5</v>
      </c>
      <c r="I1581" s="1">
        <v>461</v>
      </c>
      <c r="J1581" s="1">
        <v>899</v>
      </c>
      <c r="K1581" s="1">
        <v>10</v>
      </c>
      <c r="L1581" s="1">
        <f>ROUNDDOWN(formatted_data[[#This Row],[Selling_Price]]*formatted_data[[#This Row],[Discount_%]]/100,0)</f>
        <v>89</v>
      </c>
      <c r="M1581" s="1">
        <f>(formatted_data[[#This Row],[Selling_Price]]-formatted_data[[#This Row],[Discount_Amount]])*formatted_data[[#This Row],[Units]]</f>
        <v>4050</v>
      </c>
      <c r="N1581" s="1">
        <f>formatted_data[[#This Row],[Total_Revenue]]-(formatted_data[[#This Row],[Cost_Price]]*formatted_data[[#This Row],[Units]])</f>
        <v>1745</v>
      </c>
      <c r="O1581" s="1" t="s">
        <v>21</v>
      </c>
      <c r="P1581"/>
    </row>
    <row r="1582" spans="1:16" x14ac:dyDescent="0.35">
      <c r="A1582" s="1" t="s">
        <v>105</v>
      </c>
      <c r="B1582" s="1" t="s">
        <v>16</v>
      </c>
      <c r="C1582" s="2">
        <v>45584</v>
      </c>
      <c r="D1582" s="1" t="s">
        <v>17</v>
      </c>
      <c r="E1582" s="1" t="s">
        <v>48</v>
      </c>
      <c r="F1582" s="1" t="s">
        <v>25</v>
      </c>
      <c r="G1582" s="1" t="s">
        <v>20</v>
      </c>
      <c r="H1582" s="1">
        <v>1</v>
      </c>
      <c r="I1582" s="1">
        <v>416</v>
      </c>
      <c r="J1582" s="1">
        <v>599</v>
      </c>
      <c r="K1582" s="1">
        <v>0</v>
      </c>
      <c r="L1582" s="1">
        <f>ROUNDDOWN(formatted_data[[#This Row],[Selling_Price]]*formatted_data[[#This Row],[Discount_%]]/100,0)</f>
        <v>0</v>
      </c>
      <c r="M1582" s="1">
        <f>(formatted_data[[#This Row],[Selling_Price]]-formatted_data[[#This Row],[Discount_Amount]])*formatted_data[[#This Row],[Units]]</f>
        <v>599</v>
      </c>
      <c r="N1582" s="1">
        <f>formatted_data[[#This Row],[Total_Revenue]]-(formatted_data[[#This Row],[Cost_Price]]*formatted_data[[#This Row],[Units]])</f>
        <v>183</v>
      </c>
      <c r="O1582" s="1" t="s">
        <v>21</v>
      </c>
      <c r="P1582"/>
    </row>
    <row r="1583" spans="1:16" x14ac:dyDescent="0.35">
      <c r="A1583" s="1" t="s">
        <v>57</v>
      </c>
      <c r="B1583" s="1" t="s">
        <v>27</v>
      </c>
      <c r="C1583" s="2">
        <v>45571</v>
      </c>
      <c r="D1583" s="1" t="s">
        <v>35</v>
      </c>
      <c r="E1583" s="1" t="s">
        <v>39</v>
      </c>
      <c r="F1583" s="1" t="s">
        <v>37</v>
      </c>
      <c r="G1583" s="1" t="s">
        <v>19</v>
      </c>
      <c r="H1583" s="1">
        <v>1</v>
      </c>
      <c r="I1583" s="1">
        <v>1072</v>
      </c>
      <c r="J1583" s="1">
        <v>1599</v>
      </c>
      <c r="K1583" s="1">
        <v>15</v>
      </c>
      <c r="L1583" s="1">
        <f>ROUNDDOWN(formatted_data[[#This Row],[Selling_Price]]*formatted_data[[#This Row],[Discount_%]]/100,0)</f>
        <v>239</v>
      </c>
      <c r="M1583" s="1">
        <f>(formatted_data[[#This Row],[Selling_Price]]-formatted_data[[#This Row],[Discount_Amount]])*formatted_data[[#This Row],[Units]]</f>
        <v>1360</v>
      </c>
      <c r="N1583" s="1">
        <f>formatted_data[[#This Row],[Total_Revenue]]-(formatted_data[[#This Row],[Cost_Price]]*formatted_data[[#This Row],[Units]])</f>
        <v>288</v>
      </c>
      <c r="O1583" s="1" t="s">
        <v>21</v>
      </c>
      <c r="P1583"/>
    </row>
    <row r="1584" spans="1:16" x14ac:dyDescent="0.35">
      <c r="A1584" s="1" t="s">
        <v>64</v>
      </c>
      <c r="B1584" s="1" t="s">
        <v>16</v>
      </c>
      <c r="C1584" s="2">
        <v>45601</v>
      </c>
      <c r="D1584" s="1" t="s">
        <v>17</v>
      </c>
      <c r="E1584" s="1" t="s">
        <v>72</v>
      </c>
      <c r="F1584" s="1" t="s">
        <v>25</v>
      </c>
      <c r="G1584" s="1" t="s">
        <v>20</v>
      </c>
      <c r="H1584" s="1">
        <v>4</v>
      </c>
      <c r="I1584" s="1">
        <v>222</v>
      </c>
      <c r="J1584" s="1">
        <v>399</v>
      </c>
      <c r="K1584" s="1">
        <v>0</v>
      </c>
      <c r="L1584" s="1">
        <f>ROUNDDOWN(formatted_data[[#This Row],[Selling_Price]]*formatted_data[[#This Row],[Discount_%]]/100,0)</f>
        <v>0</v>
      </c>
      <c r="M1584" s="1">
        <f>(formatted_data[[#This Row],[Selling_Price]]-formatted_data[[#This Row],[Discount_Amount]])*formatted_data[[#This Row],[Units]]</f>
        <v>1596</v>
      </c>
      <c r="N1584" s="1">
        <f>formatted_data[[#This Row],[Total_Revenue]]-(formatted_data[[#This Row],[Cost_Price]]*formatted_data[[#This Row],[Units]])</f>
        <v>708</v>
      </c>
      <c r="O1584" s="1" t="s">
        <v>21</v>
      </c>
      <c r="P1584"/>
    </row>
    <row r="1585" spans="1:16" x14ac:dyDescent="0.35">
      <c r="A1585" s="1" t="s">
        <v>77</v>
      </c>
      <c r="B1585" s="1" t="s">
        <v>27</v>
      </c>
      <c r="C1585" s="2">
        <v>45510</v>
      </c>
      <c r="D1585" s="1" t="s">
        <v>35</v>
      </c>
      <c r="E1585" s="1" t="s">
        <v>39</v>
      </c>
      <c r="F1585" s="1" t="s">
        <v>19</v>
      </c>
      <c r="G1585" s="1" t="s">
        <v>20</v>
      </c>
      <c r="H1585" s="1">
        <v>3</v>
      </c>
      <c r="I1585" s="1">
        <v>757</v>
      </c>
      <c r="J1585" s="1">
        <v>1099</v>
      </c>
      <c r="K1585" s="1">
        <v>5</v>
      </c>
      <c r="L1585" s="1">
        <f>ROUNDDOWN(formatted_data[[#This Row],[Selling_Price]]*formatted_data[[#This Row],[Discount_%]]/100,0)</f>
        <v>54</v>
      </c>
      <c r="M1585" s="1">
        <f>(formatted_data[[#This Row],[Selling_Price]]-formatted_data[[#This Row],[Discount_Amount]])*formatted_data[[#This Row],[Units]]</f>
        <v>3135</v>
      </c>
      <c r="N1585" s="1">
        <f>formatted_data[[#This Row],[Total_Revenue]]-(formatted_data[[#This Row],[Cost_Price]]*formatted_data[[#This Row],[Units]])</f>
        <v>864</v>
      </c>
      <c r="O1585" s="1" t="s">
        <v>21</v>
      </c>
      <c r="P1585"/>
    </row>
    <row r="1586" spans="1:16" x14ac:dyDescent="0.35">
      <c r="A1586" s="1" t="s">
        <v>66</v>
      </c>
      <c r="B1586" s="1" t="s">
        <v>27</v>
      </c>
      <c r="C1586" s="2">
        <v>45653</v>
      </c>
      <c r="D1586" s="1" t="s">
        <v>17</v>
      </c>
      <c r="E1586" s="1" t="s">
        <v>18</v>
      </c>
      <c r="F1586" s="1" t="s">
        <v>37</v>
      </c>
      <c r="G1586" s="1" t="s">
        <v>19</v>
      </c>
      <c r="H1586" s="1">
        <v>1</v>
      </c>
      <c r="I1586" s="1">
        <v>182</v>
      </c>
      <c r="J1586" s="1">
        <v>299</v>
      </c>
      <c r="K1586" s="1">
        <v>0</v>
      </c>
      <c r="L1586" s="1">
        <f>ROUNDDOWN(formatted_data[[#This Row],[Selling_Price]]*formatted_data[[#This Row],[Discount_%]]/100,0)</f>
        <v>0</v>
      </c>
      <c r="M1586" s="1">
        <f>(formatted_data[[#This Row],[Selling_Price]]-formatted_data[[#This Row],[Discount_Amount]])*formatted_data[[#This Row],[Units]]</f>
        <v>299</v>
      </c>
      <c r="N1586" s="1">
        <f>formatted_data[[#This Row],[Total_Revenue]]-(formatted_data[[#This Row],[Cost_Price]]*formatted_data[[#This Row],[Units]])</f>
        <v>117</v>
      </c>
      <c r="O1586" s="1" t="s">
        <v>21</v>
      </c>
      <c r="P1586"/>
    </row>
    <row r="1587" spans="1:16" x14ac:dyDescent="0.35">
      <c r="A1587" s="1" t="s">
        <v>77</v>
      </c>
      <c r="B1587" s="1" t="s">
        <v>27</v>
      </c>
      <c r="C1587" s="2">
        <v>45503</v>
      </c>
      <c r="D1587" s="1" t="s">
        <v>35</v>
      </c>
      <c r="E1587" s="1" t="s">
        <v>36</v>
      </c>
      <c r="F1587" s="1" t="s">
        <v>25</v>
      </c>
      <c r="G1587" s="1" t="s">
        <v>20</v>
      </c>
      <c r="H1587" s="1">
        <v>2</v>
      </c>
      <c r="I1587" s="1">
        <v>294</v>
      </c>
      <c r="J1587" s="1">
        <v>399</v>
      </c>
      <c r="K1587" s="1">
        <v>5</v>
      </c>
      <c r="L1587" s="1">
        <f>ROUNDDOWN(formatted_data[[#This Row],[Selling_Price]]*formatted_data[[#This Row],[Discount_%]]/100,0)</f>
        <v>19</v>
      </c>
      <c r="M1587" s="1">
        <f>(formatted_data[[#This Row],[Selling_Price]]-formatted_data[[#This Row],[Discount_Amount]])*formatted_data[[#This Row],[Units]]</f>
        <v>760</v>
      </c>
      <c r="N1587" s="1">
        <f>formatted_data[[#This Row],[Total_Revenue]]-(formatted_data[[#This Row],[Cost_Price]]*formatted_data[[#This Row],[Units]])</f>
        <v>172</v>
      </c>
      <c r="O1587" s="1" t="s">
        <v>21</v>
      </c>
      <c r="P1587"/>
    </row>
    <row r="1588" spans="1:16" x14ac:dyDescent="0.35">
      <c r="A1588" s="1" t="s">
        <v>89</v>
      </c>
      <c r="B1588" s="1" t="s">
        <v>16</v>
      </c>
      <c r="C1588" s="2">
        <v>45542</v>
      </c>
      <c r="D1588" s="1" t="s">
        <v>23</v>
      </c>
      <c r="E1588" s="1" t="s">
        <v>24</v>
      </c>
      <c r="F1588" s="1" t="s">
        <v>25</v>
      </c>
      <c r="G1588" s="1" t="s">
        <v>19</v>
      </c>
      <c r="H1588" s="1">
        <v>3</v>
      </c>
      <c r="I1588" s="1">
        <v>624</v>
      </c>
      <c r="J1588" s="1">
        <v>1099</v>
      </c>
      <c r="K1588" s="1">
        <v>5</v>
      </c>
      <c r="L1588" s="1">
        <f>ROUNDDOWN(formatted_data[[#This Row],[Selling_Price]]*formatted_data[[#This Row],[Discount_%]]/100,0)</f>
        <v>54</v>
      </c>
      <c r="M1588" s="1">
        <f>(formatted_data[[#This Row],[Selling_Price]]-formatted_data[[#This Row],[Discount_Amount]])*formatted_data[[#This Row],[Units]]</f>
        <v>3135</v>
      </c>
      <c r="N1588" s="1">
        <f>formatted_data[[#This Row],[Total_Revenue]]-(formatted_data[[#This Row],[Cost_Price]]*formatted_data[[#This Row],[Units]])</f>
        <v>1263</v>
      </c>
      <c r="O1588" s="1" t="s">
        <v>33</v>
      </c>
      <c r="P1588"/>
    </row>
    <row r="1589" spans="1:16" x14ac:dyDescent="0.35">
      <c r="A1589" s="1" t="s">
        <v>66</v>
      </c>
      <c r="B1589" s="1" t="s">
        <v>27</v>
      </c>
      <c r="C1589" s="2">
        <v>45589</v>
      </c>
      <c r="D1589" s="1" t="s">
        <v>17</v>
      </c>
      <c r="E1589" s="1" t="s">
        <v>48</v>
      </c>
      <c r="F1589" s="1" t="s">
        <v>19</v>
      </c>
      <c r="G1589" s="1" t="s">
        <v>19</v>
      </c>
      <c r="H1589" s="1">
        <v>1</v>
      </c>
      <c r="I1589" s="1">
        <v>279</v>
      </c>
      <c r="J1589" s="1">
        <v>399</v>
      </c>
      <c r="K1589" s="1">
        <v>0</v>
      </c>
      <c r="L1589" s="1">
        <f>ROUNDDOWN(formatted_data[[#This Row],[Selling_Price]]*formatted_data[[#This Row],[Discount_%]]/100,0)</f>
        <v>0</v>
      </c>
      <c r="M1589" s="1">
        <f>(formatted_data[[#This Row],[Selling_Price]]-formatted_data[[#This Row],[Discount_Amount]])*formatted_data[[#This Row],[Units]]</f>
        <v>399</v>
      </c>
      <c r="N1589" s="1">
        <f>formatted_data[[#This Row],[Total_Revenue]]-(formatted_data[[#This Row],[Cost_Price]]*formatted_data[[#This Row],[Units]])</f>
        <v>120</v>
      </c>
      <c r="O1589" s="1" t="s">
        <v>21</v>
      </c>
      <c r="P1589"/>
    </row>
    <row r="1590" spans="1:16" x14ac:dyDescent="0.35">
      <c r="A1590" s="1" t="s">
        <v>60</v>
      </c>
      <c r="B1590" s="1" t="s">
        <v>27</v>
      </c>
      <c r="C1590" s="2">
        <v>45557</v>
      </c>
      <c r="D1590" s="1" t="s">
        <v>28</v>
      </c>
      <c r="E1590" s="1" t="s">
        <v>29</v>
      </c>
      <c r="F1590" s="1" t="s">
        <v>19</v>
      </c>
      <c r="G1590" s="1" t="s">
        <v>19</v>
      </c>
      <c r="H1590" s="1">
        <v>1</v>
      </c>
      <c r="I1590" s="1">
        <v>331</v>
      </c>
      <c r="J1590" s="1">
        <v>499</v>
      </c>
      <c r="K1590" s="1">
        <v>10</v>
      </c>
      <c r="L1590" s="1">
        <f>ROUNDDOWN(formatted_data[[#This Row],[Selling_Price]]*formatted_data[[#This Row],[Discount_%]]/100,0)</f>
        <v>49</v>
      </c>
      <c r="M1590" s="1">
        <f>(formatted_data[[#This Row],[Selling_Price]]-formatted_data[[#This Row],[Discount_Amount]])*formatted_data[[#This Row],[Units]]</f>
        <v>450</v>
      </c>
      <c r="N1590" s="1">
        <f>formatted_data[[#This Row],[Total_Revenue]]-(formatted_data[[#This Row],[Cost_Price]]*formatted_data[[#This Row],[Units]])</f>
        <v>119</v>
      </c>
      <c r="O1590" s="1" t="s">
        <v>33</v>
      </c>
      <c r="P1590"/>
    </row>
    <row r="1591" spans="1:16" x14ac:dyDescent="0.35">
      <c r="A1591" s="1" t="s">
        <v>75</v>
      </c>
      <c r="B1591" s="1" t="s">
        <v>27</v>
      </c>
      <c r="C1591" s="2">
        <v>45544</v>
      </c>
      <c r="D1591" s="1" t="s">
        <v>35</v>
      </c>
      <c r="E1591" s="1" t="s">
        <v>58</v>
      </c>
      <c r="F1591" s="1" t="s">
        <v>19</v>
      </c>
      <c r="G1591" s="1" t="s">
        <v>19</v>
      </c>
      <c r="H1591" s="1">
        <v>2</v>
      </c>
      <c r="I1591" s="1">
        <v>707</v>
      </c>
      <c r="J1591" s="1">
        <v>1199</v>
      </c>
      <c r="K1591" s="1">
        <v>10</v>
      </c>
      <c r="L1591" s="1">
        <f>ROUNDDOWN(formatted_data[[#This Row],[Selling_Price]]*formatted_data[[#This Row],[Discount_%]]/100,0)</f>
        <v>119</v>
      </c>
      <c r="M1591" s="1">
        <f>(formatted_data[[#This Row],[Selling_Price]]-formatted_data[[#This Row],[Discount_Amount]])*formatted_data[[#This Row],[Units]]</f>
        <v>2160</v>
      </c>
      <c r="N1591" s="1">
        <f>formatted_data[[#This Row],[Total_Revenue]]-(formatted_data[[#This Row],[Cost_Price]]*formatted_data[[#This Row],[Units]])</f>
        <v>746</v>
      </c>
      <c r="O1591" s="1" t="s">
        <v>21</v>
      </c>
      <c r="P1591"/>
    </row>
    <row r="1592" spans="1:16" x14ac:dyDescent="0.35">
      <c r="A1592" s="1" t="s">
        <v>84</v>
      </c>
      <c r="B1592" s="1" t="s">
        <v>27</v>
      </c>
      <c r="C1592" s="2">
        <v>45628</v>
      </c>
      <c r="D1592" s="1" t="s">
        <v>28</v>
      </c>
      <c r="E1592" s="1" t="s">
        <v>29</v>
      </c>
      <c r="F1592" s="1" t="s">
        <v>19</v>
      </c>
      <c r="G1592" s="1" t="s">
        <v>20</v>
      </c>
      <c r="H1592" s="1">
        <v>2</v>
      </c>
      <c r="I1592" s="1">
        <v>334</v>
      </c>
      <c r="J1592" s="1">
        <v>499</v>
      </c>
      <c r="K1592" s="1">
        <v>15</v>
      </c>
      <c r="L1592" s="1">
        <f>ROUNDDOWN(formatted_data[[#This Row],[Selling_Price]]*formatted_data[[#This Row],[Discount_%]]/100,0)</f>
        <v>74</v>
      </c>
      <c r="M1592" s="1">
        <f>(formatted_data[[#This Row],[Selling_Price]]-formatted_data[[#This Row],[Discount_Amount]])*formatted_data[[#This Row],[Units]]</f>
        <v>850</v>
      </c>
      <c r="N1592" s="1">
        <f>formatted_data[[#This Row],[Total_Revenue]]-(formatted_data[[#This Row],[Cost_Price]]*formatted_data[[#This Row],[Units]])</f>
        <v>182</v>
      </c>
      <c r="O1592" s="1" t="s">
        <v>21</v>
      </c>
      <c r="P1592"/>
    </row>
    <row r="1593" spans="1:16" x14ac:dyDescent="0.35">
      <c r="A1593" s="1" t="s">
        <v>98</v>
      </c>
      <c r="B1593" s="1" t="s">
        <v>16</v>
      </c>
      <c r="C1593" s="2">
        <v>45626</v>
      </c>
      <c r="D1593" s="1" t="s">
        <v>17</v>
      </c>
      <c r="E1593" s="1" t="s">
        <v>55</v>
      </c>
      <c r="F1593" s="1" t="s">
        <v>37</v>
      </c>
      <c r="G1593" s="1" t="s">
        <v>20</v>
      </c>
      <c r="H1593" s="1">
        <v>1</v>
      </c>
      <c r="I1593" s="1">
        <v>284</v>
      </c>
      <c r="J1593" s="1">
        <v>499</v>
      </c>
      <c r="K1593" s="1">
        <v>0</v>
      </c>
      <c r="L1593" s="1">
        <f>ROUNDDOWN(formatted_data[[#This Row],[Selling_Price]]*formatted_data[[#This Row],[Discount_%]]/100,0)</f>
        <v>0</v>
      </c>
      <c r="M1593" s="1">
        <f>(formatted_data[[#This Row],[Selling_Price]]-formatted_data[[#This Row],[Discount_Amount]])*formatted_data[[#This Row],[Units]]</f>
        <v>499</v>
      </c>
      <c r="N1593" s="1">
        <f>formatted_data[[#This Row],[Total_Revenue]]-(formatted_data[[#This Row],[Cost_Price]]*formatted_data[[#This Row],[Units]])</f>
        <v>215</v>
      </c>
      <c r="O1593" s="1" t="s">
        <v>21</v>
      </c>
      <c r="P1593"/>
    </row>
    <row r="1594" spans="1:16" x14ac:dyDescent="0.35">
      <c r="A1594" s="1" t="s">
        <v>63</v>
      </c>
      <c r="B1594" s="1" t="s">
        <v>27</v>
      </c>
      <c r="C1594" s="2">
        <v>45486</v>
      </c>
      <c r="D1594" s="1" t="s">
        <v>17</v>
      </c>
      <c r="E1594" s="1" t="s">
        <v>55</v>
      </c>
      <c r="F1594" s="1" t="s">
        <v>19</v>
      </c>
      <c r="G1594" s="1" t="s">
        <v>19</v>
      </c>
      <c r="H1594" s="1">
        <v>2</v>
      </c>
      <c r="I1594" s="1">
        <v>204</v>
      </c>
      <c r="J1594" s="1">
        <v>399</v>
      </c>
      <c r="K1594" s="1">
        <v>0</v>
      </c>
      <c r="L1594" s="1">
        <f>ROUNDDOWN(formatted_data[[#This Row],[Selling_Price]]*formatted_data[[#This Row],[Discount_%]]/100,0)</f>
        <v>0</v>
      </c>
      <c r="M1594" s="1">
        <f>(formatted_data[[#This Row],[Selling_Price]]-formatted_data[[#This Row],[Discount_Amount]])*formatted_data[[#This Row],[Units]]</f>
        <v>798</v>
      </c>
      <c r="N1594" s="1">
        <f>formatted_data[[#This Row],[Total_Revenue]]-(formatted_data[[#This Row],[Cost_Price]]*formatted_data[[#This Row],[Units]])</f>
        <v>390</v>
      </c>
      <c r="O1594" s="1" t="s">
        <v>21</v>
      </c>
      <c r="P1594"/>
    </row>
    <row r="1595" spans="1:16" x14ac:dyDescent="0.35">
      <c r="A1595" s="1" t="s">
        <v>98</v>
      </c>
      <c r="B1595" s="1" t="s">
        <v>16</v>
      </c>
      <c r="C1595" s="2">
        <v>45468</v>
      </c>
      <c r="D1595" s="1" t="s">
        <v>23</v>
      </c>
      <c r="E1595" s="1" t="s">
        <v>24</v>
      </c>
      <c r="F1595" s="1" t="s">
        <v>37</v>
      </c>
      <c r="G1595" s="1" t="s">
        <v>20</v>
      </c>
      <c r="H1595" s="1">
        <v>2</v>
      </c>
      <c r="I1595" s="1">
        <v>658</v>
      </c>
      <c r="J1595" s="1">
        <v>899</v>
      </c>
      <c r="K1595" s="1">
        <v>10</v>
      </c>
      <c r="L1595" s="1">
        <f>ROUNDDOWN(formatted_data[[#This Row],[Selling_Price]]*formatted_data[[#This Row],[Discount_%]]/100,0)</f>
        <v>89</v>
      </c>
      <c r="M1595" s="1">
        <f>(formatted_data[[#This Row],[Selling_Price]]-formatted_data[[#This Row],[Discount_Amount]])*formatted_data[[#This Row],[Units]]</f>
        <v>1620</v>
      </c>
      <c r="N1595" s="1">
        <f>formatted_data[[#This Row],[Total_Revenue]]-(formatted_data[[#This Row],[Cost_Price]]*formatted_data[[#This Row],[Units]])</f>
        <v>304</v>
      </c>
      <c r="O1595" s="1" t="s">
        <v>21</v>
      </c>
      <c r="P1595"/>
    </row>
    <row r="1596" spans="1:16" x14ac:dyDescent="0.35">
      <c r="A1596" s="1" t="s">
        <v>96</v>
      </c>
      <c r="B1596" s="1" t="s">
        <v>16</v>
      </c>
      <c r="C1596" s="2">
        <v>45566</v>
      </c>
      <c r="D1596" s="1" t="s">
        <v>23</v>
      </c>
      <c r="E1596" s="1" t="s">
        <v>43</v>
      </c>
      <c r="F1596" s="1" t="s">
        <v>37</v>
      </c>
      <c r="G1596" s="1" t="s">
        <v>20</v>
      </c>
      <c r="H1596" s="1">
        <v>4</v>
      </c>
      <c r="I1596" s="1">
        <v>1806</v>
      </c>
      <c r="J1596" s="1">
        <v>2599</v>
      </c>
      <c r="K1596" s="1">
        <v>15</v>
      </c>
      <c r="L1596" s="1">
        <f>ROUNDDOWN(formatted_data[[#This Row],[Selling_Price]]*formatted_data[[#This Row],[Discount_%]]/100,0)</f>
        <v>389</v>
      </c>
      <c r="M1596" s="1">
        <f>(formatted_data[[#This Row],[Selling_Price]]-formatted_data[[#This Row],[Discount_Amount]])*formatted_data[[#This Row],[Units]]</f>
        <v>8840</v>
      </c>
      <c r="N1596" s="1">
        <f>formatted_data[[#This Row],[Total_Revenue]]-(formatted_data[[#This Row],[Cost_Price]]*formatted_data[[#This Row],[Units]])</f>
        <v>1616</v>
      </c>
      <c r="O1596" s="1" t="s">
        <v>33</v>
      </c>
      <c r="P1596"/>
    </row>
    <row r="1597" spans="1:16" x14ac:dyDescent="0.35">
      <c r="A1597" s="1" t="s">
        <v>69</v>
      </c>
      <c r="B1597" s="1" t="s">
        <v>16</v>
      </c>
      <c r="C1597" s="2">
        <v>45465</v>
      </c>
      <c r="D1597" s="1" t="s">
        <v>23</v>
      </c>
      <c r="E1597" s="1" t="s">
        <v>24</v>
      </c>
      <c r="F1597" s="1" t="s">
        <v>19</v>
      </c>
      <c r="G1597" s="1" t="s">
        <v>20</v>
      </c>
      <c r="H1597" s="1">
        <v>2</v>
      </c>
      <c r="I1597" s="1">
        <v>1172</v>
      </c>
      <c r="J1597" s="1">
        <v>1899</v>
      </c>
      <c r="K1597" s="1">
        <v>20</v>
      </c>
      <c r="L1597" s="1">
        <f>ROUNDDOWN(formatted_data[[#This Row],[Selling_Price]]*formatted_data[[#This Row],[Discount_%]]/100,0)</f>
        <v>379</v>
      </c>
      <c r="M1597" s="1">
        <f>(formatted_data[[#This Row],[Selling_Price]]-formatted_data[[#This Row],[Discount_Amount]])*formatted_data[[#This Row],[Units]]</f>
        <v>3040</v>
      </c>
      <c r="N1597" s="1">
        <f>formatted_data[[#This Row],[Total_Revenue]]-(formatted_data[[#This Row],[Cost_Price]]*formatted_data[[#This Row],[Units]])</f>
        <v>696</v>
      </c>
      <c r="O1597" s="1" t="s">
        <v>21</v>
      </c>
      <c r="P1597"/>
    </row>
    <row r="1598" spans="1:16" x14ac:dyDescent="0.35">
      <c r="A1598" s="1" t="s">
        <v>64</v>
      </c>
      <c r="B1598" s="1" t="s">
        <v>16</v>
      </c>
      <c r="C1598" s="2">
        <v>45510</v>
      </c>
      <c r="D1598" s="1" t="s">
        <v>17</v>
      </c>
      <c r="E1598" s="1" t="s">
        <v>72</v>
      </c>
      <c r="F1598" s="1" t="s">
        <v>19</v>
      </c>
      <c r="G1598" s="1" t="s">
        <v>20</v>
      </c>
      <c r="H1598" s="1">
        <v>1</v>
      </c>
      <c r="I1598" s="1">
        <v>260</v>
      </c>
      <c r="J1598" s="1">
        <v>399</v>
      </c>
      <c r="K1598" s="1">
        <v>0</v>
      </c>
      <c r="L1598" s="1">
        <f>ROUNDDOWN(formatted_data[[#This Row],[Selling_Price]]*formatted_data[[#This Row],[Discount_%]]/100,0)</f>
        <v>0</v>
      </c>
      <c r="M1598" s="1">
        <f>(formatted_data[[#This Row],[Selling_Price]]-formatted_data[[#This Row],[Discount_Amount]])*formatted_data[[#This Row],[Units]]</f>
        <v>399</v>
      </c>
      <c r="N1598" s="1">
        <f>formatted_data[[#This Row],[Total_Revenue]]-(formatted_data[[#This Row],[Cost_Price]]*formatted_data[[#This Row],[Units]])</f>
        <v>139</v>
      </c>
      <c r="O1598" s="1" t="s">
        <v>33</v>
      </c>
      <c r="P1598"/>
    </row>
    <row r="1599" spans="1:16" x14ac:dyDescent="0.35">
      <c r="A1599" s="1" t="s">
        <v>84</v>
      </c>
      <c r="B1599" s="1" t="s">
        <v>27</v>
      </c>
      <c r="C1599" s="2">
        <v>45546</v>
      </c>
      <c r="D1599" s="1" t="s">
        <v>17</v>
      </c>
      <c r="E1599" s="1" t="s">
        <v>18</v>
      </c>
      <c r="F1599" s="1" t="s">
        <v>37</v>
      </c>
      <c r="G1599" s="1" t="s">
        <v>19</v>
      </c>
      <c r="H1599" s="1">
        <v>1</v>
      </c>
      <c r="I1599" s="1">
        <v>345</v>
      </c>
      <c r="J1599" s="1">
        <v>499</v>
      </c>
      <c r="K1599" s="1">
        <v>0</v>
      </c>
      <c r="L1599" s="1">
        <f>ROUNDDOWN(formatted_data[[#This Row],[Selling_Price]]*formatted_data[[#This Row],[Discount_%]]/100,0)</f>
        <v>0</v>
      </c>
      <c r="M1599" s="1">
        <f>(formatted_data[[#This Row],[Selling_Price]]-formatted_data[[#This Row],[Discount_Amount]])*formatted_data[[#This Row],[Units]]</f>
        <v>499</v>
      </c>
      <c r="N1599" s="1">
        <f>formatted_data[[#This Row],[Total_Revenue]]-(formatted_data[[#This Row],[Cost_Price]]*formatted_data[[#This Row],[Units]])</f>
        <v>154</v>
      </c>
      <c r="O1599" s="1" t="s">
        <v>21</v>
      </c>
      <c r="P1599"/>
    </row>
    <row r="1600" spans="1:16" x14ac:dyDescent="0.35">
      <c r="A1600" s="1" t="s">
        <v>99</v>
      </c>
      <c r="B1600" s="1" t="s">
        <v>27</v>
      </c>
      <c r="C1600" s="2">
        <v>45487</v>
      </c>
      <c r="D1600" s="1" t="s">
        <v>17</v>
      </c>
      <c r="E1600" s="1" t="s">
        <v>48</v>
      </c>
      <c r="F1600" s="1" t="s">
        <v>37</v>
      </c>
      <c r="G1600" s="1" t="s">
        <v>20</v>
      </c>
      <c r="H1600" s="1">
        <v>3</v>
      </c>
      <c r="I1600" s="1">
        <v>395</v>
      </c>
      <c r="J1600" s="1">
        <v>599</v>
      </c>
      <c r="K1600" s="1">
        <v>0</v>
      </c>
      <c r="L1600" s="1">
        <f>ROUNDDOWN(formatted_data[[#This Row],[Selling_Price]]*formatted_data[[#This Row],[Discount_%]]/100,0)</f>
        <v>0</v>
      </c>
      <c r="M1600" s="1">
        <f>(formatted_data[[#This Row],[Selling_Price]]-formatted_data[[#This Row],[Discount_Amount]])*formatted_data[[#This Row],[Units]]</f>
        <v>1797</v>
      </c>
      <c r="N1600" s="1">
        <f>formatted_data[[#This Row],[Total_Revenue]]-(formatted_data[[#This Row],[Cost_Price]]*formatted_data[[#This Row],[Units]])</f>
        <v>612</v>
      </c>
      <c r="O1600" s="1" t="s">
        <v>21</v>
      </c>
      <c r="P1600"/>
    </row>
    <row r="1601" spans="1:16" x14ac:dyDescent="0.35">
      <c r="A1601" s="1" t="s">
        <v>57</v>
      </c>
      <c r="B1601" s="1" t="s">
        <v>27</v>
      </c>
      <c r="C1601" s="2">
        <v>45583</v>
      </c>
      <c r="D1601" s="1" t="s">
        <v>31</v>
      </c>
      <c r="E1601" s="1" t="s">
        <v>32</v>
      </c>
      <c r="F1601" s="1" t="s">
        <v>25</v>
      </c>
      <c r="G1601" s="1" t="s">
        <v>20</v>
      </c>
      <c r="H1601" s="1">
        <v>1</v>
      </c>
      <c r="I1601" s="1">
        <v>855</v>
      </c>
      <c r="J1601" s="1">
        <v>1499</v>
      </c>
      <c r="K1601" s="1">
        <v>0</v>
      </c>
      <c r="L1601" s="1">
        <f>ROUNDDOWN(formatted_data[[#This Row],[Selling_Price]]*formatted_data[[#This Row],[Discount_%]]/100,0)</f>
        <v>0</v>
      </c>
      <c r="M1601" s="1">
        <f>(formatted_data[[#This Row],[Selling_Price]]-formatted_data[[#This Row],[Discount_Amount]])*formatted_data[[#This Row],[Units]]</f>
        <v>1499</v>
      </c>
      <c r="N1601" s="1">
        <f>formatted_data[[#This Row],[Total_Revenue]]-(formatted_data[[#This Row],[Cost_Price]]*formatted_data[[#This Row],[Units]])</f>
        <v>644</v>
      </c>
      <c r="O1601" s="1" t="s">
        <v>21</v>
      </c>
      <c r="P1601"/>
    </row>
    <row r="1602" spans="1:16" x14ac:dyDescent="0.35">
      <c r="A1602" s="1" t="s">
        <v>49</v>
      </c>
      <c r="B1602" s="1" t="s">
        <v>27</v>
      </c>
      <c r="C1602" s="2">
        <v>45581</v>
      </c>
      <c r="D1602" s="1" t="s">
        <v>17</v>
      </c>
      <c r="E1602" s="1" t="s">
        <v>55</v>
      </c>
      <c r="F1602" s="1" t="s">
        <v>25</v>
      </c>
      <c r="G1602" s="1" t="s">
        <v>19</v>
      </c>
      <c r="H1602" s="1">
        <v>1</v>
      </c>
      <c r="I1602" s="1">
        <v>282</v>
      </c>
      <c r="J1602" s="1">
        <v>399</v>
      </c>
      <c r="K1602" s="1">
        <v>0</v>
      </c>
      <c r="L1602" s="1">
        <f>ROUNDDOWN(formatted_data[[#This Row],[Selling_Price]]*formatted_data[[#This Row],[Discount_%]]/100,0)</f>
        <v>0</v>
      </c>
      <c r="M1602" s="1">
        <f>(formatted_data[[#This Row],[Selling_Price]]-formatted_data[[#This Row],[Discount_Amount]])*formatted_data[[#This Row],[Units]]</f>
        <v>399</v>
      </c>
      <c r="N1602" s="1">
        <f>formatted_data[[#This Row],[Total_Revenue]]-(formatted_data[[#This Row],[Cost_Price]]*formatted_data[[#This Row],[Units]])</f>
        <v>117</v>
      </c>
      <c r="O1602" s="1" t="s">
        <v>21</v>
      </c>
      <c r="P1602"/>
    </row>
    <row r="1603" spans="1:16" x14ac:dyDescent="0.35">
      <c r="A1603" s="1" t="s">
        <v>85</v>
      </c>
      <c r="B1603" s="1" t="s">
        <v>27</v>
      </c>
      <c r="C1603" s="2">
        <v>45571</v>
      </c>
      <c r="D1603" s="1" t="s">
        <v>28</v>
      </c>
      <c r="E1603" s="1" t="s">
        <v>45</v>
      </c>
      <c r="F1603" s="1" t="s">
        <v>25</v>
      </c>
      <c r="G1603" s="1" t="s">
        <v>20</v>
      </c>
      <c r="H1603" s="1">
        <v>2</v>
      </c>
      <c r="I1603" s="1">
        <v>579</v>
      </c>
      <c r="J1603" s="1">
        <v>1099</v>
      </c>
      <c r="K1603" s="1">
        <v>5</v>
      </c>
      <c r="L1603" s="1">
        <f>ROUNDDOWN(formatted_data[[#This Row],[Selling_Price]]*formatted_data[[#This Row],[Discount_%]]/100,0)</f>
        <v>54</v>
      </c>
      <c r="M1603" s="1">
        <f>(formatted_data[[#This Row],[Selling_Price]]-formatted_data[[#This Row],[Discount_Amount]])*formatted_data[[#This Row],[Units]]</f>
        <v>2090</v>
      </c>
      <c r="N1603" s="1">
        <f>formatted_data[[#This Row],[Total_Revenue]]-(formatted_data[[#This Row],[Cost_Price]]*formatted_data[[#This Row],[Units]])</f>
        <v>932</v>
      </c>
      <c r="O1603" s="1" t="s">
        <v>21</v>
      </c>
      <c r="P1603"/>
    </row>
    <row r="1604" spans="1:16" x14ac:dyDescent="0.35">
      <c r="A1604" s="1" t="s">
        <v>75</v>
      </c>
      <c r="B1604" s="1" t="s">
        <v>27</v>
      </c>
      <c r="C1604" s="2">
        <v>45482</v>
      </c>
      <c r="D1604" s="1" t="s">
        <v>23</v>
      </c>
      <c r="E1604" s="1" t="s">
        <v>24</v>
      </c>
      <c r="F1604" s="1" t="s">
        <v>25</v>
      </c>
      <c r="G1604" s="1" t="s">
        <v>20</v>
      </c>
      <c r="H1604" s="1">
        <v>1</v>
      </c>
      <c r="I1604" s="1">
        <v>1653</v>
      </c>
      <c r="J1604" s="1">
        <v>2299</v>
      </c>
      <c r="K1604" s="1">
        <v>10</v>
      </c>
      <c r="L1604" s="1">
        <f>ROUNDDOWN(formatted_data[[#This Row],[Selling_Price]]*formatted_data[[#This Row],[Discount_%]]/100,0)</f>
        <v>229</v>
      </c>
      <c r="M1604" s="1">
        <f>(formatted_data[[#This Row],[Selling_Price]]-formatted_data[[#This Row],[Discount_Amount]])*formatted_data[[#This Row],[Units]]</f>
        <v>2070</v>
      </c>
      <c r="N1604" s="1">
        <f>formatted_data[[#This Row],[Total_Revenue]]-(formatted_data[[#This Row],[Cost_Price]]*formatted_data[[#This Row],[Units]])</f>
        <v>417</v>
      </c>
      <c r="O1604" s="1" t="s">
        <v>33</v>
      </c>
      <c r="P1604"/>
    </row>
    <row r="1605" spans="1:16" x14ac:dyDescent="0.35">
      <c r="A1605" s="1" t="s">
        <v>78</v>
      </c>
      <c r="B1605" s="1" t="s">
        <v>16</v>
      </c>
      <c r="C1605" s="2">
        <v>45580</v>
      </c>
      <c r="D1605" s="1" t="s">
        <v>28</v>
      </c>
      <c r="E1605" s="1" t="s">
        <v>45</v>
      </c>
      <c r="F1605" s="1" t="s">
        <v>37</v>
      </c>
      <c r="G1605" s="1" t="s">
        <v>20</v>
      </c>
      <c r="H1605" s="1">
        <v>1</v>
      </c>
      <c r="I1605" s="1">
        <v>1291</v>
      </c>
      <c r="J1605" s="1">
        <v>1799</v>
      </c>
      <c r="K1605" s="1">
        <v>15</v>
      </c>
      <c r="L1605" s="1">
        <f>ROUNDDOWN(formatted_data[[#This Row],[Selling_Price]]*formatted_data[[#This Row],[Discount_%]]/100,0)</f>
        <v>269</v>
      </c>
      <c r="M1605" s="1">
        <f>(formatted_data[[#This Row],[Selling_Price]]-formatted_data[[#This Row],[Discount_Amount]])*formatted_data[[#This Row],[Units]]</f>
        <v>1530</v>
      </c>
      <c r="N1605" s="1">
        <f>formatted_data[[#This Row],[Total_Revenue]]-(formatted_data[[#This Row],[Cost_Price]]*formatted_data[[#This Row],[Units]])</f>
        <v>239</v>
      </c>
      <c r="O1605" s="1" t="s">
        <v>21</v>
      </c>
      <c r="P1605"/>
    </row>
    <row r="1606" spans="1:16" x14ac:dyDescent="0.35">
      <c r="A1606" s="1" t="s">
        <v>34</v>
      </c>
      <c r="B1606" s="1" t="s">
        <v>27</v>
      </c>
      <c r="C1606" s="2">
        <v>45603</v>
      </c>
      <c r="D1606" s="1" t="s">
        <v>28</v>
      </c>
      <c r="E1606" s="1" t="s">
        <v>29</v>
      </c>
      <c r="F1606" s="1" t="s">
        <v>37</v>
      </c>
      <c r="G1606" s="1" t="s">
        <v>19</v>
      </c>
      <c r="H1606" s="1">
        <v>1</v>
      </c>
      <c r="I1606" s="1">
        <v>581</v>
      </c>
      <c r="J1606" s="1">
        <v>799</v>
      </c>
      <c r="K1606" s="1">
        <v>20</v>
      </c>
      <c r="L1606" s="1">
        <f>ROUNDDOWN(formatted_data[[#This Row],[Selling_Price]]*formatted_data[[#This Row],[Discount_%]]/100,0)</f>
        <v>159</v>
      </c>
      <c r="M1606" s="1">
        <f>(formatted_data[[#This Row],[Selling_Price]]-formatted_data[[#This Row],[Discount_Amount]])*formatted_data[[#This Row],[Units]]</f>
        <v>640</v>
      </c>
      <c r="N1606" s="1">
        <f>formatted_data[[#This Row],[Total_Revenue]]-(formatted_data[[#This Row],[Cost_Price]]*formatted_data[[#This Row],[Units]])</f>
        <v>59</v>
      </c>
      <c r="O1606" s="1" t="s">
        <v>21</v>
      </c>
      <c r="P1606"/>
    </row>
    <row r="1607" spans="1:16" x14ac:dyDescent="0.35">
      <c r="A1607" s="1" t="s">
        <v>106</v>
      </c>
      <c r="B1607" s="1" t="s">
        <v>27</v>
      </c>
      <c r="C1607" s="2">
        <v>45654</v>
      </c>
      <c r="D1607" s="1" t="s">
        <v>28</v>
      </c>
      <c r="E1607" s="1" t="s">
        <v>45</v>
      </c>
      <c r="F1607" s="1" t="s">
        <v>37</v>
      </c>
      <c r="G1607" s="1" t="s">
        <v>20</v>
      </c>
      <c r="H1607" s="1">
        <v>1</v>
      </c>
      <c r="I1607" s="1">
        <v>506</v>
      </c>
      <c r="J1607" s="1">
        <v>799</v>
      </c>
      <c r="K1607" s="1">
        <v>15</v>
      </c>
      <c r="L1607" s="1">
        <f>ROUNDDOWN(formatted_data[[#This Row],[Selling_Price]]*formatted_data[[#This Row],[Discount_%]]/100,0)</f>
        <v>119</v>
      </c>
      <c r="M1607" s="1">
        <f>(formatted_data[[#This Row],[Selling_Price]]-formatted_data[[#This Row],[Discount_Amount]])*formatted_data[[#This Row],[Units]]</f>
        <v>680</v>
      </c>
      <c r="N1607" s="1">
        <f>formatted_data[[#This Row],[Total_Revenue]]-(formatted_data[[#This Row],[Cost_Price]]*formatted_data[[#This Row],[Units]])</f>
        <v>174</v>
      </c>
      <c r="O1607" s="1" t="s">
        <v>21</v>
      </c>
      <c r="P1607"/>
    </row>
    <row r="1608" spans="1:16" x14ac:dyDescent="0.35">
      <c r="A1608" s="1" t="s">
        <v>106</v>
      </c>
      <c r="B1608" s="1" t="s">
        <v>27</v>
      </c>
      <c r="C1608" s="2">
        <v>45563</v>
      </c>
      <c r="D1608" s="1" t="s">
        <v>31</v>
      </c>
      <c r="E1608" s="1" t="s">
        <v>76</v>
      </c>
      <c r="F1608" s="1" t="s">
        <v>25</v>
      </c>
      <c r="G1608" s="1" t="s">
        <v>20</v>
      </c>
      <c r="H1608" s="1">
        <v>2</v>
      </c>
      <c r="I1608" s="1">
        <v>510</v>
      </c>
      <c r="J1608" s="1">
        <v>999</v>
      </c>
      <c r="K1608" s="1">
        <v>0</v>
      </c>
      <c r="L1608" s="1">
        <f>ROUNDDOWN(formatted_data[[#This Row],[Selling_Price]]*formatted_data[[#This Row],[Discount_%]]/100,0)</f>
        <v>0</v>
      </c>
      <c r="M1608" s="1">
        <f>(formatted_data[[#This Row],[Selling_Price]]-formatted_data[[#This Row],[Discount_Amount]])*formatted_data[[#This Row],[Units]]</f>
        <v>1998</v>
      </c>
      <c r="N1608" s="1">
        <f>formatted_data[[#This Row],[Total_Revenue]]-(formatted_data[[#This Row],[Cost_Price]]*formatted_data[[#This Row],[Units]])</f>
        <v>978</v>
      </c>
      <c r="O1608" s="1" t="s">
        <v>33</v>
      </c>
      <c r="P1608"/>
    </row>
    <row r="1609" spans="1:16" x14ac:dyDescent="0.35">
      <c r="A1609" s="1" t="s">
        <v>80</v>
      </c>
      <c r="B1609" s="1" t="s">
        <v>27</v>
      </c>
      <c r="C1609" s="2">
        <v>45586</v>
      </c>
      <c r="D1609" s="1" t="s">
        <v>31</v>
      </c>
      <c r="E1609" s="1" t="s">
        <v>32</v>
      </c>
      <c r="F1609" s="1" t="s">
        <v>37</v>
      </c>
      <c r="G1609" s="1" t="s">
        <v>19</v>
      </c>
      <c r="H1609" s="1">
        <v>5</v>
      </c>
      <c r="I1609" s="1">
        <v>886</v>
      </c>
      <c r="J1609" s="1">
        <v>1499</v>
      </c>
      <c r="K1609" s="1">
        <v>0</v>
      </c>
      <c r="L1609" s="1">
        <f>ROUNDDOWN(formatted_data[[#This Row],[Selling_Price]]*formatted_data[[#This Row],[Discount_%]]/100,0)</f>
        <v>0</v>
      </c>
      <c r="M1609" s="1">
        <f>(formatted_data[[#This Row],[Selling_Price]]-formatted_data[[#This Row],[Discount_Amount]])*formatted_data[[#This Row],[Units]]</f>
        <v>7495</v>
      </c>
      <c r="N1609" s="1">
        <f>formatted_data[[#This Row],[Total_Revenue]]-(formatted_data[[#This Row],[Cost_Price]]*formatted_data[[#This Row],[Units]])</f>
        <v>3065</v>
      </c>
      <c r="O1609" s="1" t="s">
        <v>21</v>
      </c>
      <c r="P1609"/>
    </row>
    <row r="1610" spans="1:16" x14ac:dyDescent="0.35">
      <c r="A1610" s="1" t="s">
        <v>95</v>
      </c>
      <c r="B1610" s="1" t="s">
        <v>27</v>
      </c>
      <c r="C1610" s="2">
        <v>45586</v>
      </c>
      <c r="D1610" s="1" t="s">
        <v>28</v>
      </c>
      <c r="E1610" s="1" t="s">
        <v>29</v>
      </c>
      <c r="F1610" s="1" t="s">
        <v>25</v>
      </c>
      <c r="G1610" s="1" t="s">
        <v>19</v>
      </c>
      <c r="H1610" s="1">
        <v>1</v>
      </c>
      <c r="I1610" s="1">
        <v>345</v>
      </c>
      <c r="J1610" s="1">
        <v>499</v>
      </c>
      <c r="K1610" s="1">
        <v>20</v>
      </c>
      <c r="L1610" s="1">
        <f>ROUNDDOWN(formatted_data[[#This Row],[Selling_Price]]*formatted_data[[#This Row],[Discount_%]]/100,0)</f>
        <v>99</v>
      </c>
      <c r="M1610" s="1">
        <f>(formatted_data[[#This Row],[Selling_Price]]-formatted_data[[#This Row],[Discount_Amount]])*formatted_data[[#This Row],[Units]]</f>
        <v>400</v>
      </c>
      <c r="N1610" s="1">
        <f>formatted_data[[#This Row],[Total_Revenue]]-(formatted_data[[#This Row],[Cost_Price]]*formatted_data[[#This Row],[Units]])</f>
        <v>55</v>
      </c>
      <c r="O1610" s="1" t="s">
        <v>21</v>
      </c>
      <c r="P1610"/>
    </row>
    <row r="1611" spans="1:16" x14ac:dyDescent="0.35">
      <c r="A1611" s="1" t="s">
        <v>93</v>
      </c>
      <c r="B1611" s="1" t="s">
        <v>16</v>
      </c>
      <c r="C1611" s="2">
        <v>45603</v>
      </c>
      <c r="D1611" s="1" t="s">
        <v>28</v>
      </c>
      <c r="E1611" s="1" t="s">
        <v>29</v>
      </c>
      <c r="F1611" s="1" t="s">
        <v>25</v>
      </c>
      <c r="G1611" s="1" t="s">
        <v>20</v>
      </c>
      <c r="H1611" s="1">
        <v>3</v>
      </c>
      <c r="I1611" s="1">
        <v>365</v>
      </c>
      <c r="J1611" s="1">
        <v>499</v>
      </c>
      <c r="K1611" s="1">
        <v>15</v>
      </c>
      <c r="L1611" s="1">
        <f>ROUNDDOWN(formatted_data[[#This Row],[Selling_Price]]*formatted_data[[#This Row],[Discount_%]]/100,0)</f>
        <v>74</v>
      </c>
      <c r="M1611" s="1">
        <f>(formatted_data[[#This Row],[Selling_Price]]-formatted_data[[#This Row],[Discount_Amount]])*formatted_data[[#This Row],[Units]]</f>
        <v>1275</v>
      </c>
      <c r="N1611" s="1">
        <f>formatted_data[[#This Row],[Total_Revenue]]-(formatted_data[[#This Row],[Cost_Price]]*formatted_data[[#This Row],[Units]])</f>
        <v>180</v>
      </c>
      <c r="O1611" s="1" t="s">
        <v>21</v>
      </c>
      <c r="P1611"/>
    </row>
    <row r="1612" spans="1:16" x14ac:dyDescent="0.35">
      <c r="A1612" s="1" t="s">
        <v>49</v>
      </c>
      <c r="B1612" s="1" t="s">
        <v>27</v>
      </c>
      <c r="C1612" s="2">
        <v>45650</v>
      </c>
      <c r="D1612" s="1" t="s">
        <v>23</v>
      </c>
      <c r="E1612" s="1" t="s">
        <v>24</v>
      </c>
      <c r="F1612" s="1" t="s">
        <v>37</v>
      </c>
      <c r="G1612" s="1" t="s">
        <v>19</v>
      </c>
      <c r="H1612" s="1">
        <v>1</v>
      </c>
      <c r="I1612" s="1">
        <v>788</v>
      </c>
      <c r="J1612" s="1">
        <v>1299</v>
      </c>
      <c r="K1612" s="1">
        <v>5</v>
      </c>
      <c r="L1612" s="1">
        <f>ROUNDDOWN(formatted_data[[#This Row],[Selling_Price]]*formatted_data[[#This Row],[Discount_%]]/100,0)</f>
        <v>64</v>
      </c>
      <c r="M1612" s="1">
        <f>(formatted_data[[#This Row],[Selling_Price]]-formatted_data[[#This Row],[Discount_Amount]])*formatted_data[[#This Row],[Units]]</f>
        <v>1235</v>
      </c>
      <c r="N1612" s="1">
        <f>formatted_data[[#This Row],[Total_Revenue]]-(formatted_data[[#This Row],[Cost_Price]]*formatted_data[[#This Row],[Units]])</f>
        <v>447</v>
      </c>
      <c r="O1612" s="1" t="s">
        <v>21</v>
      </c>
      <c r="P1612"/>
    </row>
    <row r="1613" spans="1:16" x14ac:dyDescent="0.35">
      <c r="A1613" s="1" t="s">
        <v>65</v>
      </c>
      <c r="B1613" s="1" t="s">
        <v>16</v>
      </c>
      <c r="C1613" s="2">
        <v>45604</v>
      </c>
      <c r="D1613" s="1" t="s">
        <v>35</v>
      </c>
      <c r="E1613" s="1" t="s">
        <v>41</v>
      </c>
      <c r="F1613" s="1" t="s">
        <v>25</v>
      </c>
      <c r="G1613" s="1" t="s">
        <v>20</v>
      </c>
      <c r="H1613" s="1">
        <v>2</v>
      </c>
      <c r="I1613" s="1">
        <v>444</v>
      </c>
      <c r="J1613" s="1">
        <v>599</v>
      </c>
      <c r="K1613" s="1">
        <v>15</v>
      </c>
      <c r="L1613" s="1">
        <f>ROUNDDOWN(formatted_data[[#This Row],[Selling_Price]]*formatted_data[[#This Row],[Discount_%]]/100,0)</f>
        <v>89</v>
      </c>
      <c r="M1613" s="1">
        <f>(formatted_data[[#This Row],[Selling_Price]]-formatted_data[[#This Row],[Discount_Amount]])*formatted_data[[#This Row],[Units]]</f>
        <v>1020</v>
      </c>
      <c r="N1613" s="1">
        <f>formatted_data[[#This Row],[Total_Revenue]]-(formatted_data[[#This Row],[Cost_Price]]*formatted_data[[#This Row],[Units]])</f>
        <v>132</v>
      </c>
      <c r="O1613" s="1" t="s">
        <v>21</v>
      </c>
      <c r="P1613"/>
    </row>
    <row r="1614" spans="1:16" x14ac:dyDescent="0.35">
      <c r="A1614" s="1" t="s">
        <v>97</v>
      </c>
      <c r="B1614" s="1" t="s">
        <v>16</v>
      </c>
      <c r="C1614" s="2">
        <v>45453</v>
      </c>
      <c r="D1614" s="1" t="s">
        <v>23</v>
      </c>
      <c r="E1614" s="1" t="s">
        <v>24</v>
      </c>
      <c r="F1614" s="1" t="s">
        <v>19</v>
      </c>
      <c r="G1614" s="1" t="s">
        <v>20</v>
      </c>
      <c r="H1614" s="1">
        <v>1</v>
      </c>
      <c r="I1614" s="1">
        <v>602</v>
      </c>
      <c r="J1614" s="1">
        <v>899</v>
      </c>
      <c r="K1614" s="1">
        <v>5</v>
      </c>
      <c r="L1614" s="1">
        <f>ROUNDDOWN(formatted_data[[#This Row],[Selling_Price]]*formatted_data[[#This Row],[Discount_%]]/100,0)</f>
        <v>44</v>
      </c>
      <c r="M1614" s="1">
        <f>(formatted_data[[#This Row],[Selling_Price]]-formatted_data[[#This Row],[Discount_Amount]])*formatted_data[[#This Row],[Units]]</f>
        <v>855</v>
      </c>
      <c r="N1614" s="1">
        <f>formatted_data[[#This Row],[Total_Revenue]]-(formatted_data[[#This Row],[Cost_Price]]*formatted_data[[#This Row],[Units]])</f>
        <v>253</v>
      </c>
      <c r="O1614" s="1" t="s">
        <v>21</v>
      </c>
      <c r="P1614"/>
    </row>
    <row r="1615" spans="1:16" x14ac:dyDescent="0.35">
      <c r="A1615" s="1" t="s">
        <v>77</v>
      </c>
      <c r="B1615" s="1" t="s">
        <v>27</v>
      </c>
      <c r="C1615" s="2">
        <v>45541</v>
      </c>
      <c r="D1615" s="1" t="s">
        <v>31</v>
      </c>
      <c r="E1615" s="1" t="s">
        <v>76</v>
      </c>
      <c r="F1615" s="1" t="s">
        <v>25</v>
      </c>
      <c r="G1615" s="1" t="s">
        <v>19</v>
      </c>
      <c r="H1615" s="1">
        <v>1</v>
      </c>
      <c r="I1615" s="1">
        <v>700</v>
      </c>
      <c r="J1615" s="1">
        <v>1199</v>
      </c>
      <c r="K1615" s="1">
        <v>0</v>
      </c>
      <c r="L1615" s="1">
        <f>ROUNDDOWN(formatted_data[[#This Row],[Selling_Price]]*formatted_data[[#This Row],[Discount_%]]/100,0)</f>
        <v>0</v>
      </c>
      <c r="M1615" s="1">
        <f>(formatted_data[[#This Row],[Selling_Price]]-formatted_data[[#This Row],[Discount_Amount]])*formatted_data[[#This Row],[Units]]</f>
        <v>1199</v>
      </c>
      <c r="N1615" s="1">
        <f>formatted_data[[#This Row],[Total_Revenue]]-(formatted_data[[#This Row],[Cost_Price]]*formatted_data[[#This Row],[Units]])</f>
        <v>499</v>
      </c>
      <c r="O1615" s="1" t="s">
        <v>21</v>
      </c>
      <c r="P1615"/>
    </row>
    <row r="1616" spans="1:16" x14ac:dyDescent="0.35">
      <c r="A1616" s="1" t="s">
        <v>64</v>
      </c>
      <c r="B1616" s="1" t="s">
        <v>16</v>
      </c>
      <c r="C1616" s="2">
        <v>45522</v>
      </c>
      <c r="D1616" s="1" t="s">
        <v>31</v>
      </c>
      <c r="E1616" s="1" t="s">
        <v>76</v>
      </c>
      <c r="F1616" s="1" t="s">
        <v>19</v>
      </c>
      <c r="G1616" s="1" t="s">
        <v>20</v>
      </c>
      <c r="H1616" s="1">
        <v>5</v>
      </c>
      <c r="I1616" s="1">
        <v>435</v>
      </c>
      <c r="J1616" s="1">
        <v>699</v>
      </c>
      <c r="K1616" s="1">
        <v>0</v>
      </c>
      <c r="L1616" s="1">
        <f>ROUNDDOWN(formatted_data[[#This Row],[Selling_Price]]*formatted_data[[#This Row],[Discount_%]]/100,0)</f>
        <v>0</v>
      </c>
      <c r="M1616" s="1">
        <f>(formatted_data[[#This Row],[Selling_Price]]-formatted_data[[#This Row],[Discount_Amount]])*formatted_data[[#This Row],[Units]]</f>
        <v>3495</v>
      </c>
      <c r="N1616" s="1">
        <f>formatted_data[[#This Row],[Total_Revenue]]-(formatted_data[[#This Row],[Cost_Price]]*formatted_data[[#This Row],[Units]])</f>
        <v>1320</v>
      </c>
      <c r="O1616" s="1" t="s">
        <v>21</v>
      </c>
      <c r="P1616"/>
    </row>
    <row r="1617" spans="1:16" x14ac:dyDescent="0.35">
      <c r="A1617" s="1" t="s">
        <v>97</v>
      </c>
      <c r="B1617" s="1" t="s">
        <v>16</v>
      </c>
      <c r="C1617" s="2">
        <v>45497</v>
      </c>
      <c r="D1617" s="1" t="s">
        <v>35</v>
      </c>
      <c r="E1617" s="1" t="s">
        <v>50</v>
      </c>
      <c r="F1617" s="1" t="s">
        <v>25</v>
      </c>
      <c r="G1617" s="1" t="s">
        <v>19</v>
      </c>
      <c r="H1617" s="1">
        <v>5</v>
      </c>
      <c r="I1617" s="1">
        <v>919</v>
      </c>
      <c r="J1617" s="1">
        <v>1799</v>
      </c>
      <c r="K1617" s="1">
        <v>15</v>
      </c>
      <c r="L1617" s="1">
        <f>ROUNDDOWN(formatted_data[[#This Row],[Selling_Price]]*formatted_data[[#This Row],[Discount_%]]/100,0)</f>
        <v>269</v>
      </c>
      <c r="M1617" s="1">
        <f>(formatted_data[[#This Row],[Selling_Price]]-formatted_data[[#This Row],[Discount_Amount]])*formatted_data[[#This Row],[Units]]</f>
        <v>7650</v>
      </c>
      <c r="N1617" s="1">
        <f>formatted_data[[#This Row],[Total_Revenue]]-(formatted_data[[#This Row],[Cost_Price]]*formatted_data[[#This Row],[Units]])</f>
        <v>3055</v>
      </c>
      <c r="O1617" s="1" t="s">
        <v>21</v>
      </c>
      <c r="P1617"/>
    </row>
    <row r="1618" spans="1:16" x14ac:dyDescent="0.35">
      <c r="A1618" s="1" t="s">
        <v>52</v>
      </c>
      <c r="B1618" s="1" t="s">
        <v>27</v>
      </c>
      <c r="C1618" s="2">
        <v>45446</v>
      </c>
      <c r="D1618" s="1" t="s">
        <v>17</v>
      </c>
      <c r="E1618" s="1" t="s">
        <v>18</v>
      </c>
      <c r="F1618" s="1" t="s">
        <v>19</v>
      </c>
      <c r="G1618" s="1" t="s">
        <v>19</v>
      </c>
      <c r="H1618" s="1">
        <v>5</v>
      </c>
      <c r="I1618" s="1">
        <v>370</v>
      </c>
      <c r="J1618" s="1">
        <v>599</v>
      </c>
      <c r="K1618" s="1">
        <v>0</v>
      </c>
      <c r="L1618" s="1">
        <f>ROUNDDOWN(formatted_data[[#This Row],[Selling_Price]]*formatted_data[[#This Row],[Discount_%]]/100,0)</f>
        <v>0</v>
      </c>
      <c r="M1618" s="1">
        <f>(formatted_data[[#This Row],[Selling_Price]]-formatted_data[[#This Row],[Discount_Amount]])*formatted_data[[#This Row],[Units]]</f>
        <v>2995</v>
      </c>
      <c r="N1618" s="1">
        <f>formatted_data[[#This Row],[Total_Revenue]]-(formatted_data[[#This Row],[Cost_Price]]*formatted_data[[#This Row],[Units]])</f>
        <v>1145</v>
      </c>
      <c r="O1618" s="1" t="s">
        <v>21</v>
      </c>
      <c r="P1618"/>
    </row>
    <row r="1619" spans="1:16" x14ac:dyDescent="0.35">
      <c r="A1619" s="1" t="s">
        <v>89</v>
      </c>
      <c r="B1619" s="1" t="s">
        <v>16</v>
      </c>
      <c r="C1619" s="2">
        <v>45650</v>
      </c>
      <c r="D1619" s="1" t="s">
        <v>31</v>
      </c>
      <c r="E1619" s="1" t="s">
        <v>76</v>
      </c>
      <c r="F1619" s="1" t="s">
        <v>19</v>
      </c>
      <c r="G1619" s="1" t="s">
        <v>19</v>
      </c>
      <c r="H1619" s="1">
        <v>1</v>
      </c>
      <c r="I1619" s="1">
        <v>1058</v>
      </c>
      <c r="J1619" s="1">
        <v>1499</v>
      </c>
      <c r="K1619" s="1">
        <v>0</v>
      </c>
      <c r="L1619" s="1">
        <f>ROUNDDOWN(formatted_data[[#This Row],[Selling_Price]]*formatted_data[[#This Row],[Discount_%]]/100,0)</f>
        <v>0</v>
      </c>
      <c r="M1619" s="1">
        <f>(formatted_data[[#This Row],[Selling_Price]]-formatted_data[[#This Row],[Discount_Amount]])*formatted_data[[#This Row],[Units]]</f>
        <v>1499</v>
      </c>
      <c r="N1619" s="1">
        <f>formatted_data[[#This Row],[Total_Revenue]]-(formatted_data[[#This Row],[Cost_Price]]*formatted_data[[#This Row],[Units]])</f>
        <v>441</v>
      </c>
      <c r="O1619" s="1" t="s">
        <v>21</v>
      </c>
      <c r="P1619"/>
    </row>
    <row r="1620" spans="1:16" x14ac:dyDescent="0.35">
      <c r="A1620" s="1" t="s">
        <v>54</v>
      </c>
      <c r="B1620" s="1" t="s">
        <v>27</v>
      </c>
      <c r="C1620" s="2">
        <v>45533</v>
      </c>
      <c r="D1620" s="1" t="s">
        <v>17</v>
      </c>
      <c r="E1620" s="1" t="s">
        <v>72</v>
      </c>
      <c r="F1620" s="1" t="s">
        <v>37</v>
      </c>
      <c r="G1620" s="1" t="s">
        <v>19</v>
      </c>
      <c r="H1620" s="1">
        <v>2</v>
      </c>
      <c r="I1620" s="1">
        <v>268</v>
      </c>
      <c r="J1620" s="1">
        <v>499</v>
      </c>
      <c r="K1620" s="1">
        <v>0</v>
      </c>
      <c r="L1620" s="1">
        <f>ROUNDDOWN(formatted_data[[#This Row],[Selling_Price]]*formatted_data[[#This Row],[Discount_%]]/100,0)</f>
        <v>0</v>
      </c>
      <c r="M1620" s="1">
        <f>(formatted_data[[#This Row],[Selling_Price]]-formatted_data[[#This Row],[Discount_Amount]])*formatted_data[[#This Row],[Units]]</f>
        <v>998</v>
      </c>
      <c r="N1620" s="1">
        <f>formatted_data[[#This Row],[Total_Revenue]]-(formatted_data[[#This Row],[Cost_Price]]*formatted_data[[#This Row],[Units]])</f>
        <v>462</v>
      </c>
      <c r="O1620" s="1" t="s">
        <v>21</v>
      </c>
      <c r="P1620"/>
    </row>
    <row r="1621" spans="1:16" x14ac:dyDescent="0.35">
      <c r="A1621" s="1" t="s">
        <v>26</v>
      </c>
      <c r="B1621" s="1" t="s">
        <v>27</v>
      </c>
      <c r="C1621" s="2">
        <v>45466</v>
      </c>
      <c r="D1621" s="1" t="s">
        <v>17</v>
      </c>
      <c r="E1621" s="1" t="s">
        <v>18</v>
      </c>
      <c r="F1621" s="1" t="s">
        <v>25</v>
      </c>
      <c r="G1621" s="1" t="s">
        <v>20</v>
      </c>
      <c r="H1621" s="1">
        <v>1</v>
      </c>
      <c r="I1621" s="1">
        <v>347</v>
      </c>
      <c r="J1621" s="1">
        <v>599</v>
      </c>
      <c r="K1621" s="1">
        <v>0</v>
      </c>
      <c r="L1621" s="1">
        <f>ROUNDDOWN(formatted_data[[#This Row],[Selling_Price]]*formatted_data[[#This Row],[Discount_%]]/100,0)</f>
        <v>0</v>
      </c>
      <c r="M1621" s="1">
        <f>(formatted_data[[#This Row],[Selling_Price]]-formatted_data[[#This Row],[Discount_Amount]])*formatted_data[[#This Row],[Units]]</f>
        <v>599</v>
      </c>
      <c r="N1621" s="1">
        <f>formatted_data[[#This Row],[Total_Revenue]]-(formatted_data[[#This Row],[Cost_Price]]*formatted_data[[#This Row],[Units]])</f>
        <v>252</v>
      </c>
      <c r="O1621" s="1" t="s">
        <v>21</v>
      </c>
      <c r="P1621"/>
    </row>
    <row r="1622" spans="1:16" x14ac:dyDescent="0.35">
      <c r="A1622" s="1" t="s">
        <v>84</v>
      </c>
      <c r="B1622" s="1" t="s">
        <v>27</v>
      </c>
      <c r="C1622" s="2">
        <v>45465</v>
      </c>
      <c r="D1622" s="1" t="s">
        <v>31</v>
      </c>
      <c r="E1622" s="1" t="s">
        <v>76</v>
      </c>
      <c r="F1622" s="1" t="s">
        <v>19</v>
      </c>
      <c r="G1622" s="1" t="s">
        <v>20</v>
      </c>
      <c r="H1622" s="1">
        <v>5</v>
      </c>
      <c r="I1622" s="1">
        <v>983</v>
      </c>
      <c r="J1622" s="1">
        <v>1499</v>
      </c>
      <c r="K1622" s="1">
        <v>0</v>
      </c>
      <c r="L1622" s="1">
        <f>ROUNDDOWN(formatted_data[[#This Row],[Selling_Price]]*formatted_data[[#This Row],[Discount_%]]/100,0)</f>
        <v>0</v>
      </c>
      <c r="M1622" s="1">
        <f>(formatted_data[[#This Row],[Selling_Price]]-formatted_data[[#This Row],[Discount_Amount]])*formatted_data[[#This Row],[Units]]</f>
        <v>7495</v>
      </c>
      <c r="N1622" s="1">
        <f>formatted_data[[#This Row],[Total_Revenue]]-(formatted_data[[#This Row],[Cost_Price]]*formatted_data[[#This Row],[Units]])</f>
        <v>2580</v>
      </c>
      <c r="O1622" s="1" t="s">
        <v>21</v>
      </c>
      <c r="P1622"/>
    </row>
    <row r="1623" spans="1:16" x14ac:dyDescent="0.35">
      <c r="A1623" s="1" t="s">
        <v>22</v>
      </c>
      <c r="B1623" s="1" t="s">
        <v>16</v>
      </c>
      <c r="C1623" s="2">
        <v>45563</v>
      </c>
      <c r="D1623" s="1" t="s">
        <v>23</v>
      </c>
      <c r="E1623" s="1" t="s">
        <v>24</v>
      </c>
      <c r="F1623" s="1" t="s">
        <v>25</v>
      </c>
      <c r="G1623" s="1" t="s">
        <v>20</v>
      </c>
      <c r="H1623" s="1">
        <v>2</v>
      </c>
      <c r="I1623" s="1">
        <v>1091</v>
      </c>
      <c r="J1623" s="1">
        <v>1499</v>
      </c>
      <c r="K1623" s="1">
        <v>15</v>
      </c>
      <c r="L1623" s="1">
        <f>ROUNDDOWN(formatted_data[[#This Row],[Selling_Price]]*formatted_data[[#This Row],[Discount_%]]/100,0)</f>
        <v>224</v>
      </c>
      <c r="M1623" s="1">
        <f>(formatted_data[[#This Row],[Selling_Price]]-formatted_data[[#This Row],[Discount_Amount]])*formatted_data[[#This Row],[Units]]</f>
        <v>2550</v>
      </c>
      <c r="N1623" s="1">
        <f>formatted_data[[#This Row],[Total_Revenue]]-(formatted_data[[#This Row],[Cost_Price]]*formatted_data[[#This Row],[Units]])</f>
        <v>368</v>
      </c>
      <c r="O1623" s="1" t="s">
        <v>21</v>
      </c>
      <c r="P1623"/>
    </row>
    <row r="1624" spans="1:16" x14ac:dyDescent="0.35">
      <c r="A1624" s="1" t="s">
        <v>57</v>
      </c>
      <c r="B1624" s="1" t="s">
        <v>27</v>
      </c>
      <c r="C1624" s="2">
        <v>45473</v>
      </c>
      <c r="D1624" s="1" t="s">
        <v>23</v>
      </c>
      <c r="E1624" s="1" t="s">
        <v>24</v>
      </c>
      <c r="F1624" s="1" t="s">
        <v>37</v>
      </c>
      <c r="G1624" s="1" t="s">
        <v>19</v>
      </c>
      <c r="H1624" s="1">
        <v>1</v>
      </c>
      <c r="I1624" s="1">
        <v>796</v>
      </c>
      <c r="J1624" s="1">
        <v>1499</v>
      </c>
      <c r="K1624" s="1">
        <v>20</v>
      </c>
      <c r="L1624" s="1">
        <f>ROUNDDOWN(formatted_data[[#This Row],[Selling_Price]]*formatted_data[[#This Row],[Discount_%]]/100,0)</f>
        <v>299</v>
      </c>
      <c r="M1624" s="1">
        <f>(formatted_data[[#This Row],[Selling_Price]]-formatted_data[[#This Row],[Discount_Amount]])*formatted_data[[#This Row],[Units]]</f>
        <v>1200</v>
      </c>
      <c r="N1624" s="1">
        <f>formatted_data[[#This Row],[Total_Revenue]]-(formatted_data[[#This Row],[Cost_Price]]*formatted_data[[#This Row],[Units]])</f>
        <v>404</v>
      </c>
      <c r="O1624" s="1" t="s">
        <v>33</v>
      </c>
      <c r="P1624"/>
    </row>
    <row r="1625" spans="1:16" x14ac:dyDescent="0.35">
      <c r="A1625" s="1" t="s">
        <v>62</v>
      </c>
      <c r="B1625" s="1" t="s">
        <v>16</v>
      </c>
      <c r="C1625" s="2">
        <v>45492</v>
      </c>
      <c r="D1625" s="1" t="s">
        <v>23</v>
      </c>
      <c r="E1625" s="1" t="s">
        <v>24</v>
      </c>
      <c r="F1625" s="1" t="s">
        <v>37</v>
      </c>
      <c r="G1625" s="1" t="s">
        <v>20</v>
      </c>
      <c r="H1625" s="1">
        <v>5</v>
      </c>
      <c r="I1625" s="1">
        <v>1067</v>
      </c>
      <c r="J1625" s="1">
        <v>1499</v>
      </c>
      <c r="K1625" s="1">
        <v>20</v>
      </c>
      <c r="L1625" s="1">
        <f>ROUNDDOWN(formatted_data[[#This Row],[Selling_Price]]*formatted_data[[#This Row],[Discount_%]]/100,0)</f>
        <v>299</v>
      </c>
      <c r="M1625" s="1">
        <f>(formatted_data[[#This Row],[Selling_Price]]-formatted_data[[#This Row],[Discount_Amount]])*formatted_data[[#This Row],[Units]]</f>
        <v>6000</v>
      </c>
      <c r="N1625" s="1">
        <f>formatted_data[[#This Row],[Total_Revenue]]-(formatted_data[[#This Row],[Cost_Price]]*formatted_data[[#This Row],[Units]])</f>
        <v>665</v>
      </c>
      <c r="O1625" s="1" t="s">
        <v>21</v>
      </c>
      <c r="P1625"/>
    </row>
    <row r="1626" spans="1:16" x14ac:dyDescent="0.35">
      <c r="A1626" s="1" t="s">
        <v>54</v>
      </c>
      <c r="B1626" s="1" t="s">
        <v>27</v>
      </c>
      <c r="C1626" s="2">
        <v>45565</v>
      </c>
      <c r="D1626" s="1" t="s">
        <v>17</v>
      </c>
      <c r="E1626" s="1" t="s">
        <v>72</v>
      </c>
      <c r="F1626" s="1" t="s">
        <v>19</v>
      </c>
      <c r="G1626" s="1" t="s">
        <v>19</v>
      </c>
      <c r="H1626" s="1">
        <v>1</v>
      </c>
      <c r="I1626" s="1">
        <v>244</v>
      </c>
      <c r="J1626" s="1">
        <v>399</v>
      </c>
      <c r="K1626" s="1">
        <v>0</v>
      </c>
      <c r="L1626" s="1">
        <f>ROUNDDOWN(formatted_data[[#This Row],[Selling_Price]]*formatted_data[[#This Row],[Discount_%]]/100,0)</f>
        <v>0</v>
      </c>
      <c r="M1626" s="1">
        <f>(formatted_data[[#This Row],[Selling_Price]]-formatted_data[[#This Row],[Discount_Amount]])*formatted_data[[#This Row],[Units]]</f>
        <v>399</v>
      </c>
      <c r="N1626" s="1">
        <f>formatted_data[[#This Row],[Total_Revenue]]-(formatted_data[[#This Row],[Cost_Price]]*formatted_data[[#This Row],[Units]])</f>
        <v>155</v>
      </c>
      <c r="O1626" s="1" t="s">
        <v>21</v>
      </c>
      <c r="P1626"/>
    </row>
    <row r="1627" spans="1:16" x14ac:dyDescent="0.35">
      <c r="A1627" s="1" t="s">
        <v>42</v>
      </c>
      <c r="B1627" s="1" t="s">
        <v>27</v>
      </c>
      <c r="C1627" s="2">
        <v>45580</v>
      </c>
      <c r="D1627" s="1" t="s">
        <v>23</v>
      </c>
      <c r="E1627" s="1" t="s">
        <v>24</v>
      </c>
      <c r="F1627" s="1" t="s">
        <v>37</v>
      </c>
      <c r="G1627" s="1" t="s">
        <v>19</v>
      </c>
      <c r="H1627" s="1">
        <v>1</v>
      </c>
      <c r="I1627" s="1">
        <v>960</v>
      </c>
      <c r="J1627" s="1">
        <v>1299</v>
      </c>
      <c r="K1627" s="1">
        <v>5</v>
      </c>
      <c r="L1627" s="1">
        <f>ROUNDDOWN(formatted_data[[#This Row],[Selling_Price]]*formatted_data[[#This Row],[Discount_%]]/100,0)</f>
        <v>64</v>
      </c>
      <c r="M1627" s="1">
        <f>(formatted_data[[#This Row],[Selling_Price]]-formatted_data[[#This Row],[Discount_Amount]])*formatted_data[[#This Row],[Units]]</f>
        <v>1235</v>
      </c>
      <c r="N1627" s="1">
        <f>formatted_data[[#This Row],[Total_Revenue]]-(formatted_data[[#This Row],[Cost_Price]]*formatted_data[[#This Row],[Units]])</f>
        <v>275</v>
      </c>
      <c r="O1627" s="1" t="s">
        <v>21</v>
      </c>
      <c r="P1627"/>
    </row>
    <row r="1628" spans="1:16" x14ac:dyDescent="0.35">
      <c r="A1628" s="1" t="s">
        <v>84</v>
      </c>
      <c r="B1628" s="1" t="s">
        <v>27</v>
      </c>
      <c r="C1628" s="2">
        <v>45650</v>
      </c>
      <c r="D1628" s="1" t="s">
        <v>35</v>
      </c>
      <c r="E1628" s="1" t="s">
        <v>39</v>
      </c>
      <c r="F1628" s="1" t="s">
        <v>25</v>
      </c>
      <c r="G1628" s="1" t="s">
        <v>19</v>
      </c>
      <c r="H1628" s="1">
        <v>4</v>
      </c>
      <c r="I1628" s="1">
        <v>901</v>
      </c>
      <c r="J1628" s="1">
        <v>1599</v>
      </c>
      <c r="K1628" s="1">
        <v>15</v>
      </c>
      <c r="L1628" s="1">
        <f>ROUNDDOWN(formatted_data[[#This Row],[Selling_Price]]*formatted_data[[#This Row],[Discount_%]]/100,0)</f>
        <v>239</v>
      </c>
      <c r="M1628" s="1">
        <f>(formatted_data[[#This Row],[Selling_Price]]-formatted_data[[#This Row],[Discount_Amount]])*formatted_data[[#This Row],[Units]]</f>
        <v>5440</v>
      </c>
      <c r="N1628" s="1">
        <f>formatted_data[[#This Row],[Total_Revenue]]-(formatted_data[[#This Row],[Cost_Price]]*formatted_data[[#This Row],[Units]])</f>
        <v>1836</v>
      </c>
      <c r="O1628" s="1" t="s">
        <v>21</v>
      </c>
      <c r="P1628"/>
    </row>
    <row r="1629" spans="1:16" x14ac:dyDescent="0.35">
      <c r="A1629" s="1" t="s">
        <v>103</v>
      </c>
      <c r="B1629" s="1" t="s">
        <v>16</v>
      </c>
      <c r="C1629" s="2">
        <v>45576</v>
      </c>
      <c r="D1629" s="1" t="s">
        <v>23</v>
      </c>
      <c r="E1629" s="1" t="s">
        <v>24</v>
      </c>
      <c r="F1629" s="1" t="s">
        <v>37</v>
      </c>
      <c r="G1629" s="1" t="s">
        <v>20</v>
      </c>
      <c r="H1629" s="1">
        <v>1</v>
      </c>
      <c r="I1629" s="1">
        <v>1332</v>
      </c>
      <c r="J1629" s="1">
        <v>2499</v>
      </c>
      <c r="K1629" s="1">
        <v>20</v>
      </c>
      <c r="L1629" s="1">
        <f>ROUNDDOWN(formatted_data[[#This Row],[Selling_Price]]*formatted_data[[#This Row],[Discount_%]]/100,0)</f>
        <v>499</v>
      </c>
      <c r="M1629" s="1">
        <f>(formatted_data[[#This Row],[Selling_Price]]-formatted_data[[#This Row],[Discount_Amount]])*formatted_data[[#This Row],[Units]]</f>
        <v>2000</v>
      </c>
      <c r="N1629" s="1">
        <f>formatted_data[[#This Row],[Total_Revenue]]-(formatted_data[[#This Row],[Cost_Price]]*formatted_data[[#This Row],[Units]])</f>
        <v>668</v>
      </c>
      <c r="O1629" s="1" t="s">
        <v>21</v>
      </c>
      <c r="P1629"/>
    </row>
    <row r="1630" spans="1:16" x14ac:dyDescent="0.35">
      <c r="A1630" s="1" t="s">
        <v>91</v>
      </c>
      <c r="B1630" s="1" t="s">
        <v>16</v>
      </c>
      <c r="C1630" s="2">
        <v>45538</v>
      </c>
      <c r="D1630" s="1" t="s">
        <v>35</v>
      </c>
      <c r="E1630" s="1" t="s">
        <v>58</v>
      </c>
      <c r="F1630" s="1" t="s">
        <v>19</v>
      </c>
      <c r="G1630" s="1" t="s">
        <v>20</v>
      </c>
      <c r="H1630" s="1">
        <v>1</v>
      </c>
      <c r="I1630" s="1">
        <v>951</v>
      </c>
      <c r="J1630" s="1">
        <v>1699</v>
      </c>
      <c r="K1630" s="1">
        <v>10</v>
      </c>
      <c r="L1630" s="1">
        <f>ROUNDDOWN(formatted_data[[#This Row],[Selling_Price]]*formatted_data[[#This Row],[Discount_%]]/100,0)</f>
        <v>169</v>
      </c>
      <c r="M1630" s="1">
        <f>(formatted_data[[#This Row],[Selling_Price]]-formatted_data[[#This Row],[Discount_Amount]])*formatted_data[[#This Row],[Units]]</f>
        <v>1530</v>
      </c>
      <c r="N1630" s="1">
        <f>formatted_data[[#This Row],[Total_Revenue]]-(formatted_data[[#This Row],[Cost_Price]]*formatted_data[[#This Row],[Units]])</f>
        <v>579</v>
      </c>
      <c r="O1630" s="1" t="s">
        <v>21</v>
      </c>
      <c r="P1630"/>
    </row>
    <row r="1631" spans="1:16" x14ac:dyDescent="0.35">
      <c r="A1631" s="1" t="s">
        <v>57</v>
      </c>
      <c r="B1631" s="1" t="s">
        <v>27</v>
      </c>
      <c r="C1631" s="2">
        <v>45556</v>
      </c>
      <c r="D1631" s="1" t="s">
        <v>31</v>
      </c>
      <c r="E1631" s="1" t="s">
        <v>32</v>
      </c>
      <c r="F1631" s="1" t="s">
        <v>25</v>
      </c>
      <c r="G1631" s="1" t="s">
        <v>20</v>
      </c>
      <c r="H1631" s="1">
        <v>1</v>
      </c>
      <c r="I1631" s="1">
        <v>1018</v>
      </c>
      <c r="J1631" s="1">
        <v>1399</v>
      </c>
      <c r="K1631" s="1">
        <v>0</v>
      </c>
      <c r="L1631" s="1">
        <f>ROUNDDOWN(formatted_data[[#This Row],[Selling_Price]]*formatted_data[[#This Row],[Discount_%]]/100,0)</f>
        <v>0</v>
      </c>
      <c r="M1631" s="1">
        <f>(formatted_data[[#This Row],[Selling_Price]]-formatted_data[[#This Row],[Discount_Amount]])*formatted_data[[#This Row],[Units]]</f>
        <v>1399</v>
      </c>
      <c r="N1631" s="1">
        <f>formatted_data[[#This Row],[Total_Revenue]]-(formatted_data[[#This Row],[Cost_Price]]*formatted_data[[#This Row],[Units]])</f>
        <v>381</v>
      </c>
      <c r="O1631" s="1" t="s">
        <v>21</v>
      </c>
      <c r="P1631"/>
    </row>
    <row r="1632" spans="1:16" x14ac:dyDescent="0.35">
      <c r="A1632" s="1" t="s">
        <v>78</v>
      </c>
      <c r="B1632" s="1" t="s">
        <v>16</v>
      </c>
      <c r="C1632" s="2">
        <v>45579</v>
      </c>
      <c r="D1632" s="1" t="s">
        <v>35</v>
      </c>
      <c r="E1632" s="1" t="s">
        <v>58</v>
      </c>
      <c r="F1632" s="1" t="s">
        <v>19</v>
      </c>
      <c r="G1632" s="1" t="s">
        <v>19</v>
      </c>
      <c r="H1632" s="1">
        <v>1</v>
      </c>
      <c r="I1632" s="1">
        <v>1473</v>
      </c>
      <c r="J1632" s="1">
        <v>2199</v>
      </c>
      <c r="K1632" s="1">
        <v>5</v>
      </c>
      <c r="L1632" s="1">
        <f>ROUNDDOWN(formatted_data[[#This Row],[Selling_Price]]*formatted_data[[#This Row],[Discount_%]]/100,0)</f>
        <v>109</v>
      </c>
      <c r="M1632" s="1">
        <f>(formatted_data[[#This Row],[Selling_Price]]-formatted_data[[#This Row],[Discount_Amount]])*formatted_data[[#This Row],[Units]]</f>
        <v>2090</v>
      </c>
      <c r="N1632" s="1">
        <f>formatted_data[[#This Row],[Total_Revenue]]-(formatted_data[[#This Row],[Cost_Price]]*formatted_data[[#This Row],[Units]])</f>
        <v>617</v>
      </c>
      <c r="O1632" s="1" t="s">
        <v>21</v>
      </c>
      <c r="P1632"/>
    </row>
    <row r="1633" spans="1:16" x14ac:dyDescent="0.35">
      <c r="A1633" s="1" t="s">
        <v>59</v>
      </c>
      <c r="B1633" s="1" t="s">
        <v>27</v>
      </c>
      <c r="C1633" s="2">
        <v>45584</v>
      </c>
      <c r="D1633" s="1" t="s">
        <v>23</v>
      </c>
      <c r="E1633" s="1" t="s">
        <v>43</v>
      </c>
      <c r="F1633" s="1" t="s">
        <v>37</v>
      </c>
      <c r="G1633" s="1" t="s">
        <v>20</v>
      </c>
      <c r="H1633" s="1">
        <v>2</v>
      </c>
      <c r="I1633" s="1">
        <v>1290</v>
      </c>
      <c r="J1633" s="1">
        <v>2199</v>
      </c>
      <c r="K1633" s="1">
        <v>10</v>
      </c>
      <c r="L1633" s="1">
        <f>ROUNDDOWN(formatted_data[[#This Row],[Selling_Price]]*formatted_data[[#This Row],[Discount_%]]/100,0)</f>
        <v>219</v>
      </c>
      <c r="M1633" s="1">
        <f>(formatted_data[[#This Row],[Selling_Price]]-formatted_data[[#This Row],[Discount_Amount]])*formatted_data[[#This Row],[Units]]</f>
        <v>3960</v>
      </c>
      <c r="N1633" s="1">
        <f>formatted_data[[#This Row],[Total_Revenue]]-(formatted_data[[#This Row],[Cost_Price]]*formatted_data[[#This Row],[Units]])</f>
        <v>1380</v>
      </c>
      <c r="O1633" s="1" t="s">
        <v>21</v>
      </c>
      <c r="P1633"/>
    </row>
    <row r="1634" spans="1:16" x14ac:dyDescent="0.35">
      <c r="A1634" s="1" t="s">
        <v>74</v>
      </c>
      <c r="B1634" s="1" t="s">
        <v>16</v>
      </c>
      <c r="C1634" s="2">
        <v>45518</v>
      </c>
      <c r="D1634" s="1" t="s">
        <v>31</v>
      </c>
      <c r="E1634" s="1" t="s">
        <v>76</v>
      </c>
      <c r="F1634" s="1" t="s">
        <v>19</v>
      </c>
      <c r="G1634" s="1" t="s">
        <v>19</v>
      </c>
      <c r="H1634" s="1">
        <v>1</v>
      </c>
      <c r="I1634" s="1">
        <v>402</v>
      </c>
      <c r="J1634" s="1">
        <v>699</v>
      </c>
      <c r="K1634" s="1">
        <v>0</v>
      </c>
      <c r="L1634" s="1">
        <f>ROUNDDOWN(formatted_data[[#This Row],[Selling_Price]]*formatted_data[[#This Row],[Discount_%]]/100,0)</f>
        <v>0</v>
      </c>
      <c r="M1634" s="1">
        <f>(formatted_data[[#This Row],[Selling_Price]]-formatted_data[[#This Row],[Discount_Amount]])*formatted_data[[#This Row],[Units]]</f>
        <v>699</v>
      </c>
      <c r="N1634" s="1">
        <f>formatted_data[[#This Row],[Total_Revenue]]-(formatted_data[[#This Row],[Cost_Price]]*formatted_data[[#This Row],[Units]])</f>
        <v>297</v>
      </c>
      <c r="O1634" s="1" t="s">
        <v>33</v>
      </c>
      <c r="P1634"/>
    </row>
    <row r="1635" spans="1:16" x14ac:dyDescent="0.35">
      <c r="A1635" s="1" t="s">
        <v>107</v>
      </c>
      <c r="B1635" s="1" t="s">
        <v>27</v>
      </c>
      <c r="C1635" s="2">
        <v>45556</v>
      </c>
      <c r="D1635" s="1" t="s">
        <v>23</v>
      </c>
      <c r="E1635" s="1" t="s">
        <v>43</v>
      </c>
      <c r="F1635" s="1" t="s">
        <v>37</v>
      </c>
      <c r="G1635" s="1" t="s">
        <v>19</v>
      </c>
      <c r="H1635" s="1">
        <v>4</v>
      </c>
      <c r="I1635" s="1">
        <v>1856</v>
      </c>
      <c r="J1635" s="1">
        <v>2599</v>
      </c>
      <c r="K1635" s="1">
        <v>15</v>
      </c>
      <c r="L1635" s="1">
        <f>ROUNDDOWN(formatted_data[[#This Row],[Selling_Price]]*formatted_data[[#This Row],[Discount_%]]/100,0)</f>
        <v>389</v>
      </c>
      <c r="M1635" s="1">
        <f>(formatted_data[[#This Row],[Selling_Price]]-formatted_data[[#This Row],[Discount_Amount]])*formatted_data[[#This Row],[Units]]</f>
        <v>8840</v>
      </c>
      <c r="N1635" s="1">
        <f>formatted_data[[#This Row],[Total_Revenue]]-(formatted_data[[#This Row],[Cost_Price]]*formatted_data[[#This Row],[Units]])</f>
        <v>1416</v>
      </c>
      <c r="O1635" s="1" t="s">
        <v>21</v>
      </c>
      <c r="P1635"/>
    </row>
    <row r="1636" spans="1:16" x14ac:dyDescent="0.35">
      <c r="A1636" s="1" t="s">
        <v>90</v>
      </c>
      <c r="B1636" s="1" t="s">
        <v>27</v>
      </c>
      <c r="C1636" s="2">
        <v>45655</v>
      </c>
      <c r="D1636" s="1" t="s">
        <v>31</v>
      </c>
      <c r="E1636" s="1" t="s">
        <v>76</v>
      </c>
      <c r="F1636" s="1" t="s">
        <v>25</v>
      </c>
      <c r="G1636" s="1" t="s">
        <v>20</v>
      </c>
      <c r="H1636" s="1">
        <v>3</v>
      </c>
      <c r="I1636" s="1">
        <v>464</v>
      </c>
      <c r="J1636" s="1">
        <v>699</v>
      </c>
      <c r="K1636" s="1">
        <v>0</v>
      </c>
      <c r="L1636" s="1">
        <f>ROUNDDOWN(formatted_data[[#This Row],[Selling_Price]]*formatted_data[[#This Row],[Discount_%]]/100,0)</f>
        <v>0</v>
      </c>
      <c r="M1636" s="1">
        <f>(formatted_data[[#This Row],[Selling_Price]]-formatted_data[[#This Row],[Discount_Amount]])*formatted_data[[#This Row],[Units]]</f>
        <v>2097</v>
      </c>
      <c r="N1636" s="1">
        <f>formatted_data[[#This Row],[Total_Revenue]]-(formatted_data[[#This Row],[Cost_Price]]*formatted_data[[#This Row],[Units]])</f>
        <v>705</v>
      </c>
      <c r="O1636" s="1" t="s">
        <v>21</v>
      </c>
      <c r="P1636"/>
    </row>
    <row r="1637" spans="1:16" x14ac:dyDescent="0.35">
      <c r="A1637" s="1" t="s">
        <v>105</v>
      </c>
      <c r="B1637" s="1" t="s">
        <v>16</v>
      </c>
      <c r="C1637" s="2">
        <v>45531</v>
      </c>
      <c r="D1637" s="1" t="s">
        <v>28</v>
      </c>
      <c r="E1637" s="1" t="s">
        <v>45</v>
      </c>
      <c r="F1637" s="1" t="s">
        <v>25</v>
      </c>
      <c r="G1637" s="1" t="s">
        <v>20</v>
      </c>
      <c r="H1637" s="1">
        <v>3</v>
      </c>
      <c r="I1637" s="1">
        <v>1206</v>
      </c>
      <c r="J1637" s="1">
        <v>1899</v>
      </c>
      <c r="K1637" s="1">
        <v>20</v>
      </c>
      <c r="L1637" s="1">
        <f>ROUNDDOWN(formatted_data[[#This Row],[Selling_Price]]*formatted_data[[#This Row],[Discount_%]]/100,0)</f>
        <v>379</v>
      </c>
      <c r="M1637" s="1">
        <f>(formatted_data[[#This Row],[Selling_Price]]-formatted_data[[#This Row],[Discount_Amount]])*formatted_data[[#This Row],[Units]]</f>
        <v>4560</v>
      </c>
      <c r="N1637" s="1">
        <f>formatted_data[[#This Row],[Total_Revenue]]-(formatted_data[[#This Row],[Cost_Price]]*formatted_data[[#This Row],[Units]])</f>
        <v>942</v>
      </c>
      <c r="O1637" s="1" t="s">
        <v>21</v>
      </c>
      <c r="P1637"/>
    </row>
    <row r="1638" spans="1:16" x14ac:dyDescent="0.35">
      <c r="A1638" s="1" t="s">
        <v>67</v>
      </c>
      <c r="B1638" s="1" t="s">
        <v>27</v>
      </c>
      <c r="C1638" s="2">
        <v>45546</v>
      </c>
      <c r="D1638" s="1" t="s">
        <v>28</v>
      </c>
      <c r="E1638" s="1" t="s">
        <v>29</v>
      </c>
      <c r="F1638" s="1" t="s">
        <v>37</v>
      </c>
      <c r="G1638" s="1" t="s">
        <v>20</v>
      </c>
      <c r="H1638" s="1">
        <v>1</v>
      </c>
      <c r="I1638" s="1">
        <v>362</v>
      </c>
      <c r="J1638" s="1">
        <v>499</v>
      </c>
      <c r="K1638" s="1">
        <v>10</v>
      </c>
      <c r="L1638" s="1">
        <f>ROUNDDOWN(formatted_data[[#This Row],[Selling_Price]]*formatted_data[[#This Row],[Discount_%]]/100,0)</f>
        <v>49</v>
      </c>
      <c r="M1638" s="1">
        <f>(formatted_data[[#This Row],[Selling_Price]]-formatted_data[[#This Row],[Discount_Amount]])*formatted_data[[#This Row],[Units]]</f>
        <v>450</v>
      </c>
      <c r="N1638" s="1">
        <f>formatted_data[[#This Row],[Total_Revenue]]-(formatted_data[[#This Row],[Cost_Price]]*formatted_data[[#This Row],[Units]])</f>
        <v>88</v>
      </c>
      <c r="O1638" s="1" t="s">
        <v>21</v>
      </c>
      <c r="P1638"/>
    </row>
    <row r="1639" spans="1:16" x14ac:dyDescent="0.35">
      <c r="A1639" s="1" t="s">
        <v>53</v>
      </c>
      <c r="B1639" s="1" t="s">
        <v>27</v>
      </c>
      <c r="C1639" s="2">
        <v>45486</v>
      </c>
      <c r="D1639" s="1" t="s">
        <v>23</v>
      </c>
      <c r="E1639" s="1" t="s">
        <v>24</v>
      </c>
      <c r="F1639" s="1" t="s">
        <v>19</v>
      </c>
      <c r="G1639" s="1" t="s">
        <v>20</v>
      </c>
      <c r="H1639" s="1">
        <v>1</v>
      </c>
      <c r="I1639" s="1">
        <v>659</v>
      </c>
      <c r="J1639" s="1">
        <v>1199</v>
      </c>
      <c r="K1639" s="1">
        <v>15</v>
      </c>
      <c r="L1639" s="1">
        <f>ROUNDDOWN(formatted_data[[#This Row],[Selling_Price]]*formatted_data[[#This Row],[Discount_%]]/100,0)</f>
        <v>179</v>
      </c>
      <c r="M1639" s="1">
        <f>(formatted_data[[#This Row],[Selling_Price]]-formatted_data[[#This Row],[Discount_Amount]])*formatted_data[[#This Row],[Units]]</f>
        <v>1020</v>
      </c>
      <c r="N1639" s="1">
        <f>formatted_data[[#This Row],[Total_Revenue]]-(formatted_data[[#This Row],[Cost_Price]]*formatted_data[[#This Row],[Units]])</f>
        <v>361</v>
      </c>
      <c r="O1639" s="1" t="s">
        <v>33</v>
      </c>
      <c r="P1639"/>
    </row>
    <row r="1640" spans="1:16" x14ac:dyDescent="0.35">
      <c r="A1640" s="1" t="s">
        <v>34</v>
      </c>
      <c r="B1640" s="1" t="s">
        <v>27</v>
      </c>
      <c r="C1640" s="2">
        <v>45621</v>
      </c>
      <c r="D1640" s="1" t="s">
        <v>35</v>
      </c>
      <c r="E1640" s="1" t="s">
        <v>41</v>
      </c>
      <c r="F1640" s="1" t="s">
        <v>25</v>
      </c>
      <c r="G1640" s="1" t="s">
        <v>19</v>
      </c>
      <c r="H1640" s="1">
        <v>1</v>
      </c>
      <c r="I1640" s="1">
        <v>426</v>
      </c>
      <c r="J1640" s="1">
        <v>599</v>
      </c>
      <c r="K1640" s="1">
        <v>5</v>
      </c>
      <c r="L1640" s="1">
        <f>ROUNDDOWN(formatted_data[[#This Row],[Selling_Price]]*formatted_data[[#This Row],[Discount_%]]/100,0)</f>
        <v>29</v>
      </c>
      <c r="M1640" s="1">
        <f>(formatted_data[[#This Row],[Selling_Price]]-formatted_data[[#This Row],[Discount_Amount]])*formatted_data[[#This Row],[Units]]</f>
        <v>570</v>
      </c>
      <c r="N1640" s="1">
        <f>formatted_data[[#This Row],[Total_Revenue]]-(formatted_data[[#This Row],[Cost_Price]]*formatted_data[[#This Row],[Units]])</f>
        <v>144</v>
      </c>
      <c r="O1640" s="1" t="s">
        <v>21</v>
      </c>
      <c r="P1640"/>
    </row>
    <row r="1641" spans="1:16" x14ac:dyDescent="0.35">
      <c r="A1641" s="1" t="s">
        <v>66</v>
      </c>
      <c r="B1641" s="1" t="s">
        <v>27</v>
      </c>
      <c r="C1641" s="2">
        <v>45587</v>
      </c>
      <c r="D1641" s="1" t="s">
        <v>28</v>
      </c>
      <c r="E1641" s="1" t="s">
        <v>29</v>
      </c>
      <c r="F1641" s="1" t="s">
        <v>19</v>
      </c>
      <c r="G1641" s="1" t="s">
        <v>20</v>
      </c>
      <c r="H1641" s="1">
        <v>4</v>
      </c>
      <c r="I1641" s="1">
        <v>384</v>
      </c>
      <c r="J1641" s="1">
        <v>599</v>
      </c>
      <c r="K1641" s="1">
        <v>10</v>
      </c>
      <c r="L1641" s="1">
        <f>ROUNDDOWN(formatted_data[[#This Row],[Selling_Price]]*formatted_data[[#This Row],[Discount_%]]/100,0)</f>
        <v>59</v>
      </c>
      <c r="M1641" s="1">
        <f>(formatted_data[[#This Row],[Selling_Price]]-formatted_data[[#This Row],[Discount_Amount]])*formatted_data[[#This Row],[Units]]</f>
        <v>2160</v>
      </c>
      <c r="N1641" s="1">
        <f>formatted_data[[#This Row],[Total_Revenue]]-(formatted_data[[#This Row],[Cost_Price]]*formatted_data[[#This Row],[Units]])</f>
        <v>624</v>
      </c>
      <c r="O1641" s="1" t="s">
        <v>21</v>
      </c>
      <c r="P1641"/>
    </row>
    <row r="1642" spans="1:16" x14ac:dyDescent="0.35">
      <c r="A1642" s="1" t="s">
        <v>85</v>
      </c>
      <c r="B1642" s="1" t="s">
        <v>27</v>
      </c>
      <c r="C1642" s="2">
        <v>45609</v>
      </c>
      <c r="D1642" s="1" t="s">
        <v>23</v>
      </c>
      <c r="E1642" s="1" t="s">
        <v>24</v>
      </c>
      <c r="F1642" s="1" t="s">
        <v>25</v>
      </c>
      <c r="G1642" s="1" t="s">
        <v>20</v>
      </c>
      <c r="H1642" s="1">
        <v>1</v>
      </c>
      <c r="I1642" s="1">
        <v>506</v>
      </c>
      <c r="J1642" s="1">
        <v>999</v>
      </c>
      <c r="K1642" s="1">
        <v>15</v>
      </c>
      <c r="L1642" s="1">
        <f>ROUNDDOWN(formatted_data[[#This Row],[Selling_Price]]*formatted_data[[#This Row],[Discount_%]]/100,0)</f>
        <v>149</v>
      </c>
      <c r="M1642" s="1">
        <f>(formatted_data[[#This Row],[Selling_Price]]-formatted_data[[#This Row],[Discount_Amount]])*formatted_data[[#This Row],[Units]]</f>
        <v>850</v>
      </c>
      <c r="N1642" s="1">
        <f>formatted_data[[#This Row],[Total_Revenue]]-(formatted_data[[#This Row],[Cost_Price]]*formatted_data[[#This Row],[Units]])</f>
        <v>344</v>
      </c>
      <c r="O1642" s="1" t="s">
        <v>33</v>
      </c>
      <c r="P1642"/>
    </row>
    <row r="1643" spans="1:16" x14ac:dyDescent="0.35">
      <c r="A1643" s="1" t="s">
        <v>46</v>
      </c>
      <c r="B1643" s="1" t="s">
        <v>16</v>
      </c>
      <c r="C1643" s="2">
        <v>45616</v>
      </c>
      <c r="D1643" s="1" t="s">
        <v>23</v>
      </c>
      <c r="E1643" s="1" t="s">
        <v>43</v>
      </c>
      <c r="F1643" s="1" t="s">
        <v>25</v>
      </c>
      <c r="G1643" s="1" t="s">
        <v>19</v>
      </c>
      <c r="H1643" s="1">
        <v>4</v>
      </c>
      <c r="I1643" s="1">
        <v>1864</v>
      </c>
      <c r="J1643" s="1">
        <v>2799</v>
      </c>
      <c r="K1643" s="1">
        <v>20</v>
      </c>
      <c r="L1643" s="1">
        <f>ROUNDDOWN(formatted_data[[#This Row],[Selling_Price]]*formatted_data[[#This Row],[Discount_%]]/100,0)</f>
        <v>559</v>
      </c>
      <c r="M1643" s="1">
        <f>(formatted_data[[#This Row],[Selling_Price]]-formatted_data[[#This Row],[Discount_Amount]])*formatted_data[[#This Row],[Units]]</f>
        <v>8960</v>
      </c>
      <c r="N1643" s="1">
        <f>formatted_data[[#This Row],[Total_Revenue]]-(formatted_data[[#This Row],[Cost_Price]]*formatted_data[[#This Row],[Units]])</f>
        <v>1504</v>
      </c>
      <c r="O1643" s="1" t="s">
        <v>33</v>
      </c>
      <c r="P1643"/>
    </row>
    <row r="1644" spans="1:16" x14ac:dyDescent="0.35">
      <c r="A1644" s="1" t="s">
        <v>94</v>
      </c>
      <c r="B1644" s="1" t="s">
        <v>16</v>
      </c>
      <c r="C1644" s="2">
        <v>45454</v>
      </c>
      <c r="D1644" s="1" t="s">
        <v>31</v>
      </c>
      <c r="E1644" s="1" t="s">
        <v>32</v>
      </c>
      <c r="F1644" s="1" t="s">
        <v>25</v>
      </c>
      <c r="G1644" s="1" t="s">
        <v>20</v>
      </c>
      <c r="H1644" s="1">
        <v>5</v>
      </c>
      <c r="I1644" s="1">
        <v>1062</v>
      </c>
      <c r="J1644" s="1">
        <v>1499</v>
      </c>
      <c r="K1644" s="1">
        <v>0</v>
      </c>
      <c r="L1644" s="1">
        <f>ROUNDDOWN(formatted_data[[#This Row],[Selling_Price]]*formatted_data[[#This Row],[Discount_%]]/100,0)</f>
        <v>0</v>
      </c>
      <c r="M1644" s="1">
        <f>(formatted_data[[#This Row],[Selling_Price]]-formatted_data[[#This Row],[Discount_Amount]])*formatted_data[[#This Row],[Units]]</f>
        <v>7495</v>
      </c>
      <c r="N1644" s="1">
        <f>formatted_data[[#This Row],[Total_Revenue]]-(formatted_data[[#This Row],[Cost_Price]]*formatted_data[[#This Row],[Units]])</f>
        <v>2185</v>
      </c>
      <c r="O1644" s="1" t="s">
        <v>21</v>
      </c>
      <c r="P1644"/>
    </row>
    <row r="1645" spans="1:16" x14ac:dyDescent="0.35">
      <c r="A1645" s="1" t="s">
        <v>106</v>
      </c>
      <c r="B1645" s="1" t="s">
        <v>27</v>
      </c>
      <c r="C1645" s="2">
        <v>45576</v>
      </c>
      <c r="D1645" s="1" t="s">
        <v>31</v>
      </c>
      <c r="E1645" s="1" t="s">
        <v>76</v>
      </c>
      <c r="F1645" s="1" t="s">
        <v>37</v>
      </c>
      <c r="G1645" s="1" t="s">
        <v>20</v>
      </c>
      <c r="H1645" s="1">
        <v>1</v>
      </c>
      <c r="I1645" s="1">
        <v>561</v>
      </c>
      <c r="J1645" s="1">
        <v>799</v>
      </c>
      <c r="K1645" s="1">
        <v>0</v>
      </c>
      <c r="L1645" s="1">
        <f>ROUNDDOWN(formatted_data[[#This Row],[Selling_Price]]*formatted_data[[#This Row],[Discount_%]]/100,0)</f>
        <v>0</v>
      </c>
      <c r="M1645" s="1">
        <f>(formatted_data[[#This Row],[Selling_Price]]-formatted_data[[#This Row],[Discount_Amount]])*formatted_data[[#This Row],[Units]]</f>
        <v>799</v>
      </c>
      <c r="N1645" s="1">
        <f>formatted_data[[#This Row],[Total_Revenue]]-(formatted_data[[#This Row],[Cost_Price]]*formatted_data[[#This Row],[Units]])</f>
        <v>238</v>
      </c>
      <c r="O1645" s="1" t="s">
        <v>21</v>
      </c>
      <c r="P1645"/>
    </row>
    <row r="1646" spans="1:16" x14ac:dyDescent="0.35">
      <c r="A1646" s="1" t="s">
        <v>15</v>
      </c>
      <c r="B1646" s="1" t="s">
        <v>16</v>
      </c>
      <c r="C1646" s="2">
        <v>45528</v>
      </c>
      <c r="D1646" s="1" t="s">
        <v>28</v>
      </c>
      <c r="E1646" s="1" t="s">
        <v>45</v>
      </c>
      <c r="F1646" s="1" t="s">
        <v>25</v>
      </c>
      <c r="G1646" s="1" t="s">
        <v>20</v>
      </c>
      <c r="H1646" s="1">
        <v>2</v>
      </c>
      <c r="I1646" s="1">
        <v>1107</v>
      </c>
      <c r="J1646" s="1">
        <v>1499</v>
      </c>
      <c r="K1646" s="1">
        <v>20</v>
      </c>
      <c r="L1646" s="1">
        <f>ROUNDDOWN(formatted_data[[#This Row],[Selling_Price]]*formatted_data[[#This Row],[Discount_%]]/100,0)</f>
        <v>299</v>
      </c>
      <c r="M1646" s="1">
        <f>(formatted_data[[#This Row],[Selling_Price]]-formatted_data[[#This Row],[Discount_Amount]])*formatted_data[[#This Row],[Units]]</f>
        <v>2400</v>
      </c>
      <c r="N1646" s="1">
        <f>formatted_data[[#This Row],[Total_Revenue]]-(formatted_data[[#This Row],[Cost_Price]]*formatted_data[[#This Row],[Units]])</f>
        <v>186</v>
      </c>
      <c r="O1646" s="1" t="s">
        <v>21</v>
      </c>
      <c r="P1646"/>
    </row>
    <row r="1647" spans="1:16" x14ac:dyDescent="0.35">
      <c r="A1647" s="1" t="s">
        <v>86</v>
      </c>
      <c r="B1647" s="1" t="s">
        <v>27</v>
      </c>
      <c r="C1647" s="2">
        <v>45521</v>
      </c>
      <c r="D1647" s="1" t="s">
        <v>35</v>
      </c>
      <c r="E1647" s="1" t="s">
        <v>41</v>
      </c>
      <c r="F1647" s="1" t="s">
        <v>37</v>
      </c>
      <c r="G1647" s="1" t="s">
        <v>19</v>
      </c>
      <c r="H1647" s="1">
        <v>5</v>
      </c>
      <c r="I1647" s="1">
        <v>437</v>
      </c>
      <c r="J1647" s="1">
        <v>699</v>
      </c>
      <c r="K1647" s="1">
        <v>20</v>
      </c>
      <c r="L1647" s="1">
        <f>ROUNDDOWN(formatted_data[[#This Row],[Selling_Price]]*formatted_data[[#This Row],[Discount_%]]/100,0)</f>
        <v>139</v>
      </c>
      <c r="M1647" s="1">
        <f>(formatted_data[[#This Row],[Selling_Price]]-formatted_data[[#This Row],[Discount_Amount]])*formatted_data[[#This Row],[Units]]</f>
        <v>2800</v>
      </c>
      <c r="N1647" s="1">
        <f>formatted_data[[#This Row],[Total_Revenue]]-(formatted_data[[#This Row],[Cost_Price]]*formatted_data[[#This Row],[Units]])</f>
        <v>615</v>
      </c>
      <c r="O1647" s="1" t="s">
        <v>33</v>
      </c>
      <c r="P1647"/>
    </row>
    <row r="1648" spans="1:16" x14ac:dyDescent="0.35">
      <c r="A1648" s="1" t="s">
        <v>57</v>
      </c>
      <c r="B1648" s="1" t="s">
        <v>27</v>
      </c>
      <c r="C1648" s="2">
        <v>45504</v>
      </c>
      <c r="D1648" s="1" t="s">
        <v>17</v>
      </c>
      <c r="E1648" s="1" t="s">
        <v>72</v>
      </c>
      <c r="F1648" s="1" t="s">
        <v>25</v>
      </c>
      <c r="G1648" s="1" t="s">
        <v>20</v>
      </c>
      <c r="H1648" s="1">
        <v>1</v>
      </c>
      <c r="I1648" s="1">
        <v>259</v>
      </c>
      <c r="J1648" s="1">
        <v>399</v>
      </c>
      <c r="K1648" s="1">
        <v>0</v>
      </c>
      <c r="L1648" s="1">
        <f>ROUNDDOWN(formatted_data[[#This Row],[Selling_Price]]*formatted_data[[#This Row],[Discount_%]]/100,0)</f>
        <v>0</v>
      </c>
      <c r="M1648" s="1">
        <f>(formatted_data[[#This Row],[Selling_Price]]-formatted_data[[#This Row],[Discount_Amount]])*formatted_data[[#This Row],[Units]]</f>
        <v>399</v>
      </c>
      <c r="N1648" s="1">
        <f>formatted_data[[#This Row],[Total_Revenue]]-(formatted_data[[#This Row],[Cost_Price]]*formatted_data[[#This Row],[Units]])</f>
        <v>140</v>
      </c>
      <c r="O1648" s="1" t="s">
        <v>21</v>
      </c>
      <c r="P1648"/>
    </row>
    <row r="1649" spans="1:16" x14ac:dyDescent="0.35">
      <c r="A1649" s="1" t="s">
        <v>74</v>
      </c>
      <c r="B1649" s="1" t="s">
        <v>16</v>
      </c>
      <c r="C1649" s="2">
        <v>45588</v>
      </c>
      <c r="D1649" s="1" t="s">
        <v>17</v>
      </c>
      <c r="E1649" s="1" t="s">
        <v>72</v>
      </c>
      <c r="F1649" s="1" t="s">
        <v>25</v>
      </c>
      <c r="G1649" s="1" t="s">
        <v>19</v>
      </c>
      <c r="H1649" s="1">
        <v>3</v>
      </c>
      <c r="I1649" s="1">
        <v>278</v>
      </c>
      <c r="J1649" s="1">
        <v>399</v>
      </c>
      <c r="K1649" s="1">
        <v>0</v>
      </c>
      <c r="L1649" s="1">
        <f>ROUNDDOWN(formatted_data[[#This Row],[Selling_Price]]*formatted_data[[#This Row],[Discount_%]]/100,0)</f>
        <v>0</v>
      </c>
      <c r="M1649" s="1">
        <f>(formatted_data[[#This Row],[Selling_Price]]-formatted_data[[#This Row],[Discount_Amount]])*formatted_data[[#This Row],[Units]]</f>
        <v>1197</v>
      </c>
      <c r="N1649" s="1">
        <f>formatted_data[[#This Row],[Total_Revenue]]-(formatted_data[[#This Row],[Cost_Price]]*formatted_data[[#This Row],[Units]])</f>
        <v>363</v>
      </c>
      <c r="O1649" s="1" t="s">
        <v>21</v>
      </c>
      <c r="P1649"/>
    </row>
    <row r="1650" spans="1:16" x14ac:dyDescent="0.35">
      <c r="A1650" s="1" t="s">
        <v>104</v>
      </c>
      <c r="B1650" s="1" t="s">
        <v>27</v>
      </c>
      <c r="C1650" s="2">
        <v>45513</v>
      </c>
      <c r="D1650" s="1" t="s">
        <v>35</v>
      </c>
      <c r="E1650" s="1" t="s">
        <v>39</v>
      </c>
      <c r="F1650" s="1" t="s">
        <v>19</v>
      </c>
      <c r="G1650" s="1" t="s">
        <v>20</v>
      </c>
      <c r="H1650" s="1">
        <v>2</v>
      </c>
      <c r="I1650" s="1">
        <v>629</v>
      </c>
      <c r="J1650" s="1">
        <v>1099</v>
      </c>
      <c r="K1650" s="1">
        <v>5</v>
      </c>
      <c r="L1650" s="1">
        <f>ROUNDDOWN(formatted_data[[#This Row],[Selling_Price]]*formatted_data[[#This Row],[Discount_%]]/100,0)</f>
        <v>54</v>
      </c>
      <c r="M1650" s="1">
        <f>(formatted_data[[#This Row],[Selling_Price]]-formatted_data[[#This Row],[Discount_Amount]])*formatted_data[[#This Row],[Units]]</f>
        <v>2090</v>
      </c>
      <c r="N1650" s="1">
        <f>formatted_data[[#This Row],[Total_Revenue]]-(formatted_data[[#This Row],[Cost_Price]]*formatted_data[[#This Row],[Units]])</f>
        <v>832</v>
      </c>
      <c r="O1650" s="1" t="s">
        <v>21</v>
      </c>
      <c r="P1650"/>
    </row>
    <row r="1651" spans="1:16" x14ac:dyDescent="0.35">
      <c r="A1651" s="1" t="s">
        <v>70</v>
      </c>
      <c r="B1651" s="1" t="s">
        <v>27</v>
      </c>
      <c r="C1651" s="2">
        <v>45587</v>
      </c>
      <c r="D1651" s="1" t="s">
        <v>31</v>
      </c>
      <c r="E1651" s="1" t="s">
        <v>76</v>
      </c>
      <c r="F1651" s="1" t="s">
        <v>19</v>
      </c>
      <c r="G1651" s="1" t="s">
        <v>20</v>
      </c>
      <c r="H1651" s="1">
        <v>4</v>
      </c>
      <c r="I1651" s="1">
        <v>501</v>
      </c>
      <c r="J1651" s="1">
        <v>699</v>
      </c>
      <c r="K1651" s="1">
        <v>0</v>
      </c>
      <c r="L1651" s="1">
        <f>ROUNDDOWN(formatted_data[[#This Row],[Selling_Price]]*formatted_data[[#This Row],[Discount_%]]/100,0)</f>
        <v>0</v>
      </c>
      <c r="M1651" s="1">
        <f>(formatted_data[[#This Row],[Selling_Price]]-formatted_data[[#This Row],[Discount_Amount]])*formatted_data[[#This Row],[Units]]</f>
        <v>2796</v>
      </c>
      <c r="N1651" s="1">
        <f>formatted_data[[#This Row],[Total_Revenue]]-(formatted_data[[#This Row],[Cost_Price]]*formatted_data[[#This Row],[Units]])</f>
        <v>792</v>
      </c>
      <c r="O1651" s="1" t="s">
        <v>21</v>
      </c>
      <c r="P1651"/>
    </row>
    <row r="1652" spans="1:16" x14ac:dyDescent="0.35">
      <c r="A1652" s="1" t="s">
        <v>91</v>
      </c>
      <c r="B1652" s="1" t="s">
        <v>16</v>
      </c>
      <c r="C1652" s="2">
        <v>45495</v>
      </c>
      <c r="D1652" s="1" t="s">
        <v>23</v>
      </c>
      <c r="E1652" s="1" t="s">
        <v>43</v>
      </c>
      <c r="F1652" s="1" t="s">
        <v>25</v>
      </c>
      <c r="G1652" s="1" t="s">
        <v>20</v>
      </c>
      <c r="H1652" s="1">
        <v>2</v>
      </c>
      <c r="I1652" s="1">
        <v>1996</v>
      </c>
      <c r="J1652" s="1">
        <v>3199</v>
      </c>
      <c r="K1652" s="1">
        <v>5</v>
      </c>
      <c r="L1652" s="1">
        <f>ROUNDDOWN(formatted_data[[#This Row],[Selling_Price]]*formatted_data[[#This Row],[Discount_%]]/100,0)</f>
        <v>159</v>
      </c>
      <c r="M1652" s="1">
        <f>(formatted_data[[#This Row],[Selling_Price]]-formatted_data[[#This Row],[Discount_Amount]])*formatted_data[[#This Row],[Units]]</f>
        <v>6080</v>
      </c>
      <c r="N1652" s="1">
        <f>formatted_data[[#This Row],[Total_Revenue]]-(formatted_data[[#This Row],[Cost_Price]]*formatted_data[[#This Row],[Units]])</f>
        <v>2088</v>
      </c>
      <c r="O1652" s="1" t="s">
        <v>33</v>
      </c>
      <c r="P1652"/>
    </row>
    <row r="1653" spans="1:16" x14ac:dyDescent="0.35">
      <c r="A1653" s="1" t="s">
        <v>57</v>
      </c>
      <c r="B1653" s="1" t="s">
        <v>27</v>
      </c>
      <c r="C1653" s="2">
        <v>45564</v>
      </c>
      <c r="D1653" s="1" t="s">
        <v>28</v>
      </c>
      <c r="E1653" s="1" t="s">
        <v>29</v>
      </c>
      <c r="F1653" s="1" t="s">
        <v>25</v>
      </c>
      <c r="G1653" s="1" t="s">
        <v>19</v>
      </c>
      <c r="H1653" s="1">
        <v>1</v>
      </c>
      <c r="I1653" s="1">
        <v>543</v>
      </c>
      <c r="J1653" s="1">
        <v>799</v>
      </c>
      <c r="K1653" s="1">
        <v>15</v>
      </c>
      <c r="L1653" s="1">
        <f>ROUNDDOWN(formatted_data[[#This Row],[Selling_Price]]*formatted_data[[#This Row],[Discount_%]]/100,0)</f>
        <v>119</v>
      </c>
      <c r="M1653" s="1">
        <f>(formatted_data[[#This Row],[Selling_Price]]-formatted_data[[#This Row],[Discount_Amount]])*formatted_data[[#This Row],[Units]]</f>
        <v>680</v>
      </c>
      <c r="N1653" s="1">
        <f>formatted_data[[#This Row],[Total_Revenue]]-(formatted_data[[#This Row],[Cost_Price]]*formatted_data[[#This Row],[Units]])</f>
        <v>137</v>
      </c>
      <c r="O1653" s="1" t="s">
        <v>21</v>
      </c>
      <c r="P1653"/>
    </row>
    <row r="1654" spans="1:16" x14ac:dyDescent="0.35">
      <c r="A1654" s="1" t="s">
        <v>105</v>
      </c>
      <c r="B1654" s="1" t="s">
        <v>16</v>
      </c>
      <c r="C1654" s="2">
        <v>45465</v>
      </c>
      <c r="D1654" s="1" t="s">
        <v>31</v>
      </c>
      <c r="E1654" s="1" t="s">
        <v>76</v>
      </c>
      <c r="F1654" s="1" t="s">
        <v>25</v>
      </c>
      <c r="G1654" s="1" t="s">
        <v>20</v>
      </c>
      <c r="H1654" s="1">
        <v>3</v>
      </c>
      <c r="I1654" s="1">
        <v>516</v>
      </c>
      <c r="J1654" s="1">
        <v>699</v>
      </c>
      <c r="K1654" s="1">
        <v>0</v>
      </c>
      <c r="L1654" s="1">
        <f>ROUNDDOWN(formatted_data[[#This Row],[Selling_Price]]*formatted_data[[#This Row],[Discount_%]]/100,0)</f>
        <v>0</v>
      </c>
      <c r="M1654" s="1">
        <f>(formatted_data[[#This Row],[Selling_Price]]-formatted_data[[#This Row],[Discount_Amount]])*formatted_data[[#This Row],[Units]]</f>
        <v>2097</v>
      </c>
      <c r="N1654" s="1">
        <f>formatted_data[[#This Row],[Total_Revenue]]-(formatted_data[[#This Row],[Cost_Price]]*formatted_data[[#This Row],[Units]])</f>
        <v>549</v>
      </c>
      <c r="O1654" s="1" t="s">
        <v>21</v>
      </c>
      <c r="P1654"/>
    </row>
    <row r="1655" spans="1:16" x14ac:dyDescent="0.35">
      <c r="A1655" s="1" t="s">
        <v>105</v>
      </c>
      <c r="B1655" s="1" t="s">
        <v>16</v>
      </c>
      <c r="C1655" s="2">
        <v>45480</v>
      </c>
      <c r="D1655" s="1" t="s">
        <v>28</v>
      </c>
      <c r="E1655" s="1" t="s">
        <v>45</v>
      </c>
      <c r="F1655" s="1" t="s">
        <v>37</v>
      </c>
      <c r="G1655" s="1" t="s">
        <v>19</v>
      </c>
      <c r="H1655" s="1">
        <v>4</v>
      </c>
      <c r="I1655" s="1">
        <v>561</v>
      </c>
      <c r="J1655" s="1">
        <v>1099</v>
      </c>
      <c r="K1655" s="1">
        <v>5</v>
      </c>
      <c r="L1655" s="1">
        <f>ROUNDDOWN(formatted_data[[#This Row],[Selling_Price]]*formatted_data[[#This Row],[Discount_%]]/100,0)</f>
        <v>54</v>
      </c>
      <c r="M1655" s="1">
        <f>(formatted_data[[#This Row],[Selling_Price]]-formatted_data[[#This Row],[Discount_Amount]])*formatted_data[[#This Row],[Units]]</f>
        <v>4180</v>
      </c>
      <c r="N1655" s="1">
        <f>formatted_data[[#This Row],[Total_Revenue]]-(formatted_data[[#This Row],[Cost_Price]]*formatted_data[[#This Row],[Units]])</f>
        <v>1936</v>
      </c>
      <c r="O1655" s="1" t="s">
        <v>21</v>
      </c>
      <c r="P1655"/>
    </row>
    <row r="1656" spans="1:16" x14ac:dyDescent="0.35">
      <c r="A1656" s="1" t="s">
        <v>86</v>
      </c>
      <c r="B1656" s="1" t="s">
        <v>27</v>
      </c>
      <c r="C1656" s="2">
        <v>45644</v>
      </c>
      <c r="D1656" s="1" t="s">
        <v>23</v>
      </c>
      <c r="E1656" s="1" t="s">
        <v>24</v>
      </c>
      <c r="F1656" s="1" t="s">
        <v>19</v>
      </c>
      <c r="G1656" s="1" t="s">
        <v>20</v>
      </c>
      <c r="H1656" s="1">
        <v>2</v>
      </c>
      <c r="I1656" s="1">
        <v>456</v>
      </c>
      <c r="J1656" s="1">
        <v>899</v>
      </c>
      <c r="K1656" s="1">
        <v>5</v>
      </c>
      <c r="L1656" s="1">
        <f>ROUNDDOWN(formatted_data[[#This Row],[Selling_Price]]*formatted_data[[#This Row],[Discount_%]]/100,0)</f>
        <v>44</v>
      </c>
      <c r="M1656" s="1">
        <f>(formatted_data[[#This Row],[Selling_Price]]-formatted_data[[#This Row],[Discount_Amount]])*formatted_data[[#This Row],[Units]]</f>
        <v>1710</v>
      </c>
      <c r="N1656" s="1">
        <f>formatted_data[[#This Row],[Total_Revenue]]-(formatted_data[[#This Row],[Cost_Price]]*formatted_data[[#This Row],[Units]])</f>
        <v>798</v>
      </c>
      <c r="O1656" s="1" t="s">
        <v>21</v>
      </c>
      <c r="P1656"/>
    </row>
    <row r="1657" spans="1:16" x14ac:dyDescent="0.35">
      <c r="A1657" s="1" t="s">
        <v>86</v>
      </c>
      <c r="B1657" s="1" t="s">
        <v>27</v>
      </c>
      <c r="C1657" s="2">
        <v>45597</v>
      </c>
      <c r="D1657" s="1" t="s">
        <v>23</v>
      </c>
      <c r="E1657" s="1" t="s">
        <v>43</v>
      </c>
      <c r="F1657" s="1" t="s">
        <v>37</v>
      </c>
      <c r="G1657" s="1" t="s">
        <v>20</v>
      </c>
      <c r="H1657" s="1">
        <v>1</v>
      </c>
      <c r="I1657" s="1">
        <v>1973</v>
      </c>
      <c r="J1657" s="1">
        <v>2699</v>
      </c>
      <c r="K1657" s="1">
        <v>5</v>
      </c>
      <c r="L1657" s="1">
        <f>ROUNDDOWN(formatted_data[[#This Row],[Selling_Price]]*formatted_data[[#This Row],[Discount_%]]/100,0)</f>
        <v>134</v>
      </c>
      <c r="M1657" s="1">
        <f>(formatted_data[[#This Row],[Selling_Price]]-formatted_data[[#This Row],[Discount_Amount]])*formatted_data[[#This Row],[Units]]</f>
        <v>2565</v>
      </c>
      <c r="N1657" s="1">
        <f>formatted_data[[#This Row],[Total_Revenue]]-(formatted_data[[#This Row],[Cost_Price]]*formatted_data[[#This Row],[Units]])</f>
        <v>592</v>
      </c>
      <c r="O1657" s="1" t="s">
        <v>21</v>
      </c>
      <c r="P1657"/>
    </row>
    <row r="1658" spans="1:16" x14ac:dyDescent="0.35">
      <c r="A1658" s="1" t="s">
        <v>40</v>
      </c>
      <c r="B1658" s="1" t="s">
        <v>27</v>
      </c>
      <c r="C1658" s="2">
        <v>45613</v>
      </c>
      <c r="D1658" s="1" t="s">
        <v>31</v>
      </c>
      <c r="E1658" s="1" t="s">
        <v>32</v>
      </c>
      <c r="F1658" s="1" t="s">
        <v>19</v>
      </c>
      <c r="G1658" s="1" t="s">
        <v>20</v>
      </c>
      <c r="H1658" s="1">
        <v>1</v>
      </c>
      <c r="I1658" s="1">
        <v>540</v>
      </c>
      <c r="J1658" s="1">
        <v>999</v>
      </c>
      <c r="K1658" s="1">
        <v>0</v>
      </c>
      <c r="L1658" s="1">
        <f>ROUNDDOWN(formatted_data[[#This Row],[Selling_Price]]*formatted_data[[#This Row],[Discount_%]]/100,0)</f>
        <v>0</v>
      </c>
      <c r="M1658" s="1">
        <f>(formatted_data[[#This Row],[Selling_Price]]-formatted_data[[#This Row],[Discount_Amount]])*formatted_data[[#This Row],[Units]]</f>
        <v>999</v>
      </c>
      <c r="N1658" s="1">
        <f>formatted_data[[#This Row],[Total_Revenue]]-(formatted_data[[#This Row],[Cost_Price]]*formatted_data[[#This Row],[Units]])</f>
        <v>459</v>
      </c>
      <c r="O1658" s="1" t="s">
        <v>21</v>
      </c>
      <c r="P1658"/>
    </row>
    <row r="1659" spans="1:16" x14ac:dyDescent="0.35">
      <c r="A1659" s="1" t="s">
        <v>63</v>
      </c>
      <c r="B1659" s="1" t="s">
        <v>27</v>
      </c>
      <c r="C1659" s="2">
        <v>45581</v>
      </c>
      <c r="D1659" s="1" t="s">
        <v>31</v>
      </c>
      <c r="E1659" s="1" t="s">
        <v>32</v>
      </c>
      <c r="F1659" s="1" t="s">
        <v>25</v>
      </c>
      <c r="G1659" s="1" t="s">
        <v>19</v>
      </c>
      <c r="H1659" s="1">
        <v>2</v>
      </c>
      <c r="I1659" s="1">
        <v>774</v>
      </c>
      <c r="J1659" s="1">
        <v>1499</v>
      </c>
      <c r="K1659" s="1">
        <v>0</v>
      </c>
      <c r="L1659" s="1">
        <f>ROUNDDOWN(formatted_data[[#This Row],[Selling_Price]]*formatted_data[[#This Row],[Discount_%]]/100,0)</f>
        <v>0</v>
      </c>
      <c r="M1659" s="1">
        <f>(formatted_data[[#This Row],[Selling_Price]]-formatted_data[[#This Row],[Discount_Amount]])*formatted_data[[#This Row],[Units]]</f>
        <v>2998</v>
      </c>
      <c r="N1659" s="1">
        <f>formatted_data[[#This Row],[Total_Revenue]]-(formatted_data[[#This Row],[Cost_Price]]*formatted_data[[#This Row],[Units]])</f>
        <v>1450</v>
      </c>
      <c r="O1659" s="1" t="s">
        <v>21</v>
      </c>
      <c r="P1659"/>
    </row>
    <row r="1660" spans="1:16" x14ac:dyDescent="0.35">
      <c r="A1660" s="1" t="s">
        <v>77</v>
      </c>
      <c r="B1660" s="1" t="s">
        <v>27</v>
      </c>
      <c r="C1660" s="2">
        <v>45475</v>
      </c>
      <c r="D1660" s="1" t="s">
        <v>28</v>
      </c>
      <c r="E1660" s="1" t="s">
        <v>45</v>
      </c>
      <c r="F1660" s="1" t="s">
        <v>37</v>
      </c>
      <c r="G1660" s="1" t="s">
        <v>19</v>
      </c>
      <c r="H1660" s="1">
        <v>1</v>
      </c>
      <c r="I1660" s="1">
        <v>712</v>
      </c>
      <c r="J1660" s="1">
        <v>1099</v>
      </c>
      <c r="K1660" s="1">
        <v>5</v>
      </c>
      <c r="L1660" s="1">
        <f>ROUNDDOWN(formatted_data[[#This Row],[Selling_Price]]*formatted_data[[#This Row],[Discount_%]]/100,0)</f>
        <v>54</v>
      </c>
      <c r="M1660" s="1">
        <f>(formatted_data[[#This Row],[Selling_Price]]-formatted_data[[#This Row],[Discount_Amount]])*formatted_data[[#This Row],[Units]]</f>
        <v>1045</v>
      </c>
      <c r="N1660" s="1">
        <f>formatted_data[[#This Row],[Total_Revenue]]-(formatted_data[[#This Row],[Cost_Price]]*formatted_data[[#This Row],[Units]])</f>
        <v>333</v>
      </c>
      <c r="O1660" s="1" t="s">
        <v>21</v>
      </c>
      <c r="P1660"/>
    </row>
    <row r="1661" spans="1:16" x14ac:dyDescent="0.35">
      <c r="A1661" s="1" t="s">
        <v>99</v>
      </c>
      <c r="B1661" s="1" t="s">
        <v>27</v>
      </c>
      <c r="C1661" s="2">
        <v>45456</v>
      </c>
      <c r="D1661" s="1" t="s">
        <v>23</v>
      </c>
      <c r="E1661" s="1" t="s">
        <v>43</v>
      </c>
      <c r="F1661" s="1" t="s">
        <v>25</v>
      </c>
      <c r="G1661" s="1" t="s">
        <v>19</v>
      </c>
      <c r="H1661" s="1">
        <v>2</v>
      </c>
      <c r="I1661" s="1">
        <v>2203</v>
      </c>
      <c r="J1661" s="1">
        <v>3599</v>
      </c>
      <c r="K1661" s="1">
        <v>15</v>
      </c>
      <c r="L1661" s="1">
        <f>ROUNDDOWN(formatted_data[[#This Row],[Selling_Price]]*formatted_data[[#This Row],[Discount_%]]/100,0)</f>
        <v>539</v>
      </c>
      <c r="M1661" s="1">
        <f>(formatted_data[[#This Row],[Selling_Price]]-formatted_data[[#This Row],[Discount_Amount]])*formatted_data[[#This Row],[Units]]</f>
        <v>6120</v>
      </c>
      <c r="N1661" s="1">
        <f>formatted_data[[#This Row],[Total_Revenue]]-(formatted_data[[#This Row],[Cost_Price]]*formatted_data[[#This Row],[Units]])</f>
        <v>1714</v>
      </c>
      <c r="O1661" s="1" t="s">
        <v>21</v>
      </c>
      <c r="P1661"/>
    </row>
    <row r="1662" spans="1:16" x14ac:dyDescent="0.35">
      <c r="A1662" s="1" t="s">
        <v>73</v>
      </c>
      <c r="B1662" s="1" t="s">
        <v>16</v>
      </c>
      <c r="C1662" s="2">
        <v>45547</v>
      </c>
      <c r="D1662" s="1" t="s">
        <v>31</v>
      </c>
      <c r="E1662" s="1" t="s">
        <v>76</v>
      </c>
      <c r="F1662" s="1" t="s">
        <v>19</v>
      </c>
      <c r="G1662" s="1" t="s">
        <v>19</v>
      </c>
      <c r="H1662" s="1">
        <v>5</v>
      </c>
      <c r="I1662" s="1">
        <v>727</v>
      </c>
      <c r="J1662" s="1">
        <v>999</v>
      </c>
      <c r="K1662" s="1">
        <v>0</v>
      </c>
      <c r="L1662" s="1">
        <f>ROUNDDOWN(formatted_data[[#This Row],[Selling_Price]]*formatted_data[[#This Row],[Discount_%]]/100,0)</f>
        <v>0</v>
      </c>
      <c r="M1662" s="1">
        <f>(formatted_data[[#This Row],[Selling_Price]]-formatted_data[[#This Row],[Discount_Amount]])*formatted_data[[#This Row],[Units]]</f>
        <v>4995</v>
      </c>
      <c r="N1662" s="1">
        <f>formatted_data[[#This Row],[Total_Revenue]]-(formatted_data[[#This Row],[Cost_Price]]*formatted_data[[#This Row],[Units]])</f>
        <v>1360</v>
      </c>
      <c r="O1662" s="1" t="s">
        <v>21</v>
      </c>
      <c r="P1662"/>
    </row>
    <row r="1663" spans="1:16" x14ac:dyDescent="0.35">
      <c r="A1663" s="1" t="s">
        <v>53</v>
      </c>
      <c r="B1663" s="1" t="s">
        <v>27</v>
      </c>
      <c r="C1663" s="2">
        <v>45480</v>
      </c>
      <c r="D1663" s="1" t="s">
        <v>35</v>
      </c>
      <c r="E1663" s="1" t="s">
        <v>100</v>
      </c>
      <c r="F1663" s="1" t="s">
        <v>25</v>
      </c>
      <c r="G1663" s="1" t="s">
        <v>20</v>
      </c>
      <c r="H1663" s="1">
        <v>2</v>
      </c>
      <c r="I1663" s="1">
        <v>1322</v>
      </c>
      <c r="J1663" s="1">
        <v>2199</v>
      </c>
      <c r="K1663" s="1">
        <v>5</v>
      </c>
      <c r="L1663" s="1">
        <f>ROUNDDOWN(formatted_data[[#This Row],[Selling_Price]]*formatted_data[[#This Row],[Discount_%]]/100,0)</f>
        <v>109</v>
      </c>
      <c r="M1663" s="1">
        <f>(formatted_data[[#This Row],[Selling_Price]]-formatted_data[[#This Row],[Discount_Amount]])*formatted_data[[#This Row],[Units]]</f>
        <v>4180</v>
      </c>
      <c r="N1663" s="1">
        <f>formatted_data[[#This Row],[Total_Revenue]]-(formatted_data[[#This Row],[Cost_Price]]*formatted_data[[#This Row],[Units]])</f>
        <v>1536</v>
      </c>
      <c r="O1663" s="1" t="s">
        <v>21</v>
      </c>
      <c r="P1663"/>
    </row>
    <row r="1664" spans="1:16" x14ac:dyDescent="0.35">
      <c r="A1664" s="1" t="s">
        <v>106</v>
      </c>
      <c r="B1664" s="1" t="s">
        <v>27</v>
      </c>
      <c r="C1664" s="2">
        <v>45607</v>
      </c>
      <c r="D1664" s="1" t="s">
        <v>31</v>
      </c>
      <c r="E1664" s="1" t="s">
        <v>76</v>
      </c>
      <c r="F1664" s="1" t="s">
        <v>37</v>
      </c>
      <c r="G1664" s="1" t="s">
        <v>19</v>
      </c>
      <c r="H1664" s="1">
        <v>1</v>
      </c>
      <c r="I1664" s="1">
        <v>872</v>
      </c>
      <c r="J1664" s="1">
        <v>1499</v>
      </c>
      <c r="K1664" s="1">
        <v>0</v>
      </c>
      <c r="L1664" s="1">
        <f>ROUNDDOWN(formatted_data[[#This Row],[Selling_Price]]*formatted_data[[#This Row],[Discount_%]]/100,0)</f>
        <v>0</v>
      </c>
      <c r="M1664" s="1">
        <f>(formatted_data[[#This Row],[Selling_Price]]-formatted_data[[#This Row],[Discount_Amount]])*formatted_data[[#This Row],[Units]]</f>
        <v>1499</v>
      </c>
      <c r="N1664" s="1">
        <f>formatted_data[[#This Row],[Total_Revenue]]-(formatted_data[[#This Row],[Cost_Price]]*formatted_data[[#This Row],[Units]])</f>
        <v>627</v>
      </c>
      <c r="O1664" s="1" t="s">
        <v>21</v>
      </c>
      <c r="P1664"/>
    </row>
    <row r="1665" spans="1:16" x14ac:dyDescent="0.35">
      <c r="A1665" s="1" t="s">
        <v>62</v>
      </c>
      <c r="B1665" s="1" t="s">
        <v>16</v>
      </c>
      <c r="C1665" s="2">
        <v>45560</v>
      </c>
      <c r="D1665" s="1" t="s">
        <v>31</v>
      </c>
      <c r="E1665" s="1" t="s">
        <v>32</v>
      </c>
      <c r="F1665" s="1" t="s">
        <v>37</v>
      </c>
      <c r="G1665" s="1" t="s">
        <v>19</v>
      </c>
      <c r="H1665" s="1">
        <v>4</v>
      </c>
      <c r="I1665" s="1">
        <v>605</v>
      </c>
      <c r="J1665" s="1">
        <v>1199</v>
      </c>
      <c r="K1665" s="1">
        <v>0</v>
      </c>
      <c r="L1665" s="1">
        <f>ROUNDDOWN(formatted_data[[#This Row],[Selling_Price]]*formatted_data[[#This Row],[Discount_%]]/100,0)</f>
        <v>0</v>
      </c>
      <c r="M1665" s="1">
        <f>(formatted_data[[#This Row],[Selling_Price]]-formatted_data[[#This Row],[Discount_Amount]])*formatted_data[[#This Row],[Units]]</f>
        <v>4796</v>
      </c>
      <c r="N1665" s="1">
        <f>formatted_data[[#This Row],[Total_Revenue]]-(formatted_data[[#This Row],[Cost_Price]]*formatted_data[[#This Row],[Units]])</f>
        <v>2376</v>
      </c>
      <c r="O1665" s="1" t="s">
        <v>21</v>
      </c>
      <c r="P1665"/>
    </row>
    <row r="1666" spans="1:16" x14ac:dyDescent="0.35">
      <c r="A1666" s="1" t="s">
        <v>79</v>
      </c>
      <c r="B1666" s="1" t="s">
        <v>16</v>
      </c>
      <c r="C1666" s="2">
        <v>45480</v>
      </c>
      <c r="D1666" s="1" t="s">
        <v>17</v>
      </c>
      <c r="E1666" s="1" t="s">
        <v>48</v>
      </c>
      <c r="F1666" s="1" t="s">
        <v>37</v>
      </c>
      <c r="G1666" s="1" t="s">
        <v>19</v>
      </c>
      <c r="H1666" s="1">
        <v>1</v>
      </c>
      <c r="I1666" s="1">
        <v>209</v>
      </c>
      <c r="J1666" s="1">
        <v>299</v>
      </c>
      <c r="K1666" s="1">
        <v>0</v>
      </c>
      <c r="L1666" s="1">
        <f>ROUNDDOWN(formatted_data[[#This Row],[Selling_Price]]*formatted_data[[#This Row],[Discount_%]]/100,0)</f>
        <v>0</v>
      </c>
      <c r="M1666" s="1">
        <f>(formatted_data[[#This Row],[Selling_Price]]-formatted_data[[#This Row],[Discount_Amount]])*formatted_data[[#This Row],[Units]]</f>
        <v>299</v>
      </c>
      <c r="N1666" s="1">
        <f>formatted_data[[#This Row],[Total_Revenue]]-(formatted_data[[#This Row],[Cost_Price]]*formatted_data[[#This Row],[Units]])</f>
        <v>90</v>
      </c>
      <c r="O1666" s="1" t="s">
        <v>33</v>
      </c>
      <c r="P1666"/>
    </row>
    <row r="1667" spans="1:16" x14ac:dyDescent="0.35">
      <c r="A1667" s="1" t="s">
        <v>83</v>
      </c>
      <c r="B1667" s="1" t="s">
        <v>27</v>
      </c>
      <c r="C1667" s="2">
        <v>45563</v>
      </c>
      <c r="D1667" s="1" t="s">
        <v>35</v>
      </c>
      <c r="E1667" s="1" t="s">
        <v>41</v>
      </c>
      <c r="F1667" s="1" t="s">
        <v>19</v>
      </c>
      <c r="G1667" s="1" t="s">
        <v>19</v>
      </c>
      <c r="H1667" s="1">
        <v>1</v>
      </c>
      <c r="I1667" s="1">
        <v>606</v>
      </c>
      <c r="J1667" s="1">
        <v>999</v>
      </c>
      <c r="K1667" s="1">
        <v>20</v>
      </c>
      <c r="L1667" s="1">
        <f>ROUNDDOWN(formatted_data[[#This Row],[Selling_Price]]*formatted_data[[#This Row],[Discount_%]]/100,0)</f>
        <v>199</v>
      </c>
      <c r="M1667" s="1">
        <f>(formatted_data[[#This Row],[Selling_Price]]-formatted_data[[#This Row],[Discount_Amount]])*formatted_data[[#This Row],[Units]]</f>
        <v>800</v>
      </c>
      <c r="N1667" s="1">
        <f>formatted_data[[#This Row],[Total_Revenue]]-(formatted_data[[#This Row],[Cost_Price]]*formatted_data[[#This Row],[Units]])</f>
        <v>194</v>
      </c>
      <c r="O1667" s="1" t="s">
        <v>33</v>
      </c>
      <c r="P1667"/>
    </row>
    <row r="1668" spans="1:16" x14ac:dyDescent="0.35">
      <c r="A1668" s="1" t="s">
        <v>38</v>
      </c>
      <c r="B1668" s="1" t="s">
        <v>27</v>
      </c>
      <c r="C1668" s="2">
        <v>45462</v>
      </c>
      <c r="D1668" s="1" t="s">
        <v>23</v>
      </c>
      <c r="E1668" s="1" t="s">
        <v>24</v>
      </c>
      <c r="F1668" s="1" t="s">
        <v>19</v>
      </c>
      <c r="G1668" s="1" t="s">
        <v>20</v>
      </c>
      <c r="H1668" s="1">
        <v>3</v>
      </c>
      <c r="I1668" s="1">
        <v>1521</v>
      </c>
      <c r="J1668" s="1">
        <v>2299</v>
      </c>
      <c r="K1668" s="1">
        <v>10</v>
      </c>
      <c r="L1668" s="1">
        <f>ROUNDDOWN(formatted_data[[#This Row],[Selling_Price]]*formatted_data[[#This Row],[Discount_%]]/100,0)</f>
        <v>229</v>
      </c>
      <c r="M1668" s="1">
        <f>(formatted_data[[#This Row],[Selling_Price]]-formatted_data[[#This Row],[Discount_Amount]])*formatted_data[[#This Row],[Units]]</f>
        <v>6210</v>
      </c>
      <c r="N1668" s="1">
        <f>formatted_data[[#This Row],[Total_Revenue]]-(formatted_data[[#This Row],[Cost_Price]]*formatted_data[[#This Row],[Units]])</f>
        <v>1647</v>
      </c>
      <c r="O1668" s="1" t="s">
        <v>33</v>
      </c>
      <c r="P1668"/>
    </row>
    <row r="1669" spans="1:16" x14ac:dyDescent="0.35">
      <c r="A1669" s="1" t="s">
        <v>64</v>
      </c>
      <c r="B1669" s="1" t="s">
        <v>16</v>
      </c>
      <c r="C1669" s="2">
        <v>45546</v>
      </c>
      <c r="D1669" s="1" t="s">
        <v>23</v>
      </c>
      <c r="E1669" s="1" t="s">
        <v>24</v>
      </c>
      <c r="F1669" s="1" t="s">
        <v>25</v>
      </c>
      <c r="G1669" s="1" t="s">
        <v>19</v>
      </c>
      <c r="H1669" s="1">
        <v>1</v>
      </c>
      <c r="I1669" s="1">
        <v>1230</v>
      </c>
      <c r="J1669" s="1">
        <v>1699</v>
      </c>
      <c r="K1669" s="1">
        <v>10</v>
      </c>
      <c r="L1669" s="1">
        <f>ROUNDDOWN(formatted_data[[#This Row],[Selling_Price]]*formatted_data[[#This Row],[Discount_%]]/100,0)</f>
        <v>169</v>
      </c>
      <c r="M1669" s="1">
        <f>(formatted_data[[#This Row],[Selling_Price]]-formatted_data[[#This Row],[Discount_Amount]])*formatted_data[[#This Row],[Units]]</f>
        <v>1530</v>
      </c>
      <c r="N1669" s="1">
        <f>formatted_data[[#This Row],[Total_Revenue]]-(formatted_data[[#This Row],[Cost_Price]]*formatted_data[[#This Row],[Units]])</f>
        <v>300</v>
      </c>
      <c r="O1669" s="1" t="s">
        <v>33</v>
      </c>
      <c r="P1669"/>
    </row>
    <row r="1670" spans="1:16" x14ac:dyDescent="0.35">
      <c r="A1670" s="1" t="s">
        <v>82</v>
      </c>
      <c r="B1670" s="1" t="s">
        <v>27</v>
      </c>
      <c r="C1670" s="2">
        <v>45641</v>
      </c>
      <c r="D1670" s="1" t="s">
        <v>17</v>
      </c>
      <c r="E1670" s="1" t="s">
        <v>18</v>
      </c>
      <c r="F1670" s="1" t="s">
        <v>19</v>
      </c>
      <c r="G1670" s="1" t="s">
        <v>19</v>
      </c>
      <c r="H1670" s="1">
        <v>1</v>
      </c>
      <c r="I1670" s="1">
        <v>222</v>
      </c>
      <c r="J1670" s="1">
        <v>299</v>
      </c>
      <c r="K1670" s="1">
        <v>0</v>
      </c>
      <c r="L1670" s="1">
        <f>ROUNDDOWN(formatted_data[[#This Row],[Selling_Price]]*formatted_data[[#This Row],[Discount_%]]/100,0)</f>
        <v>0</v>
      </c>
      <c r="M1670" s="1">
        <f>(formatted_data[[#This Row],[Selling_Price]]-formatted_data[[#This Row],[Discount_Amount]])*formatted_data[[#This Row],[Units]]</f>
        <v>299</v>
      </c>
      <c r="N1670" s="1">
        <f>formatted_data[[#This Row],[Total_Revenue]]-(formatted_data[[#This Row],[Cost_Price]]*formatted_data[[#This Row],[Units]])</f>
        <v>77</v>
      </c>
      <c r="O1670" s="1" t="s">
        <v>21</v>
      </c>
      <c r="P1670"/>
    </row>
    <row r="1671" spans="1:16" x14ac:dyDescent="0.35">
      <c r="A1671" s="1" t="s">
        <v>104</v>
      </c>
      <c r="B1671" s="1" t="s">
        <v>27</v>
      </c>
      <c r="C1671" s="2">
        <v>45653</v>
      </c>
      <c r="D1671" s="1" t="s">
        <v>35</v>
      </c>
      <c r="E1671" s="1" t="s">
        <v>100</v>
      </c>
      <c r="F1671" s="1" t="s">
        <v>25</v>
      </c>
      <c r="G1671" s="1" t="s">
        <v>19</v>
      </c>
      <c r="H1671" s="1">
        <v>4</v>
      </c>
      <c r="I1671" s="1">
        <v>904</v>
      </c>
      <c r="J1671" s="1">
        <v>1799</v>
      </c>
      <c r="K1671" s="1">
        <v>15</v>
      </c>
      <c r="L1671" s="1">
        <f>ROUNDDOWN(formatted_data[[#This Row],[Selling_Price]]*formatted_data[[#This Row],[Discount_%]]/100,0)</f>
        <v>269</v>
      </c>
      <c r="M1671" s="1">
        <f>(formatted_data[[#This Row],[Selling_Price]]-formatted_data[[#This Row],[Discount_Amount]])*formatted_data[[#This Row],[Units]]</f>
        <v>6120</v>
      </c>
      <c r="N1671" s="1">
        <f>formatted_data[[#This Row],[Total_Revenue]]-(formatted_data[[#This Row],[Cost_Price]]*formatted_data[[#This Row],[Units]])</f>
        <v>2504</v>
      </c>
      <c r="O1671" s="1" t="s">
        <v>21</v>
      </c>
      <c r="P1671"/>
    </row>
    <row r="1672" spans="1:16" x14ac:dyDescent="0.35">
      <c r="A1672" s="1" t="s">
        <v>97</v>
      </c>
      <c r="B1672" s="1" t="s">
        <v>16</v>
      </c>
      <c r="C1672" s="2">
        <v>45545</v>
      </c>
      <c r="D1672" s="1" t="s">
        <v>23</v>
      </c>
      <c r="E1672" s="1" t="s">
        <v>24</v>
      </c>
      <c r="F1672" s="1" t="s">
        <v>19</v>
      </c>
      <c r="G1672" s="1" t="s">
        <v>19</v>
      </c>
      <c r="H1672" s="1">
        <v>1</v>
      </c>
      <c r="I1672" s="1">
        <v>810</v>
      </c>
      <c r="J1672" s="1">
        <v>1599</v>
      </c>
      <c r="K1672" s="1">
        <v>5</v>
      </c>
      <c r="L1672" s="1">
        <f>ROUNDDOWN(formatted_data[[#This Row],[Selling_Price]]*formatted_data[[#This Row],[Discount_%]]/100,0)</f>
        <v>79</v>
      </c>
      <c r="M1672" s="1">
        <f>(formatted_data[[#This Row],[Selling_Price]]-formatted_data[[#This Row],[Discount_Amount]])*formatted_data[[#This Row],[Units]]</f>
        <v>1520</v>
      </c>
      <c r="N1672" s="1">
        <f>formatted_data[[#This Row],[Total_Revenue]]-(formatted_data[[#This Row],[Cost_Price]]*formatted_data[[#This Row],[Units]])</f>
        <v>710</v>
      </c>
      <c r="O1672" s="1" t="s">
        <v>21</v>
      </c>
      <c r="P1672"/>
    </row>
    <row r="1673" spans="1:16" x14ac:dyDescent="0.35">
      <c r="A1673" s="1" t="s">
        <v>69</v>
      </c>
      <c r="B1673" s="1" t="s">
        <v>16</v>
      </c>
      <c r="C1673" s="2">
        <v>45488</v>
      </c>
      <c r="D1673" s="1" t="s">
        <v>35</v>
      </c>
      <c r="E1673" s="1" t="s">
        <v>100</v>
      </c>
      <c r="F1673" s="1" t="s">
        <v>19</v>
      </c>
      <c r="G1673" s="1" t="s">
        <v>19</v>
      </c>
      <c r="H1673" s="1">
        <v>1</v>
      </c>
      <c r="I1673" s="1">
        <v>1380</v>
      </c>
      <c r="J1673" s="1">
        <v>2299</v>
      </c>
      <c r="K1673" s="1">
        <v>10</v>
      </c>
      <c r="L1673" s="1">
        <f>ROUNDDOWN(formatted_data[[#This Row],[Selling_Price]]*formatted_data[[#This Row],[Discount_%]]/100,0)</f>
        <v>229</v>
      </c>
      <c r="M1673" s="1">
        <f>(formatted_data[[#This Row],[Selling_Price]]-formatted_data[[#This Row],[Discount_Amount]])*formatted_data[[#This Row],[Units]]</f>
        <v>2070</v>
      </c>
      <c r="N1673" s="1">
        <f>formatted_data[[#This Row],[Total_Revenue]]-(formatted_data[[#This Row],[Cost_Price]]*formatted_data[[#This Row],[Units]])</f>
        <v>690</v>
      </c>
      <c r="O1673" s="1" t="s">
        <v>21</v>
      </c>
      <c r="P1673"/>
    </row>
    <row r="1674" spans="1:16" x14ac:dyDescent="0.35">
      <c r="A1674" s="1" t="s">
        <v>54</v>
      </c>
      <c r="B1674" s="1" t="s">
        <v>27</v>
      </c>
      <c r="C1674" s="2">
        <v>45460</v>
      </c>
      <c r="D1674" s="1" t="s">
        <v>17</v>
      </c>
      <c r="E1674" s="1" t="s">
        <v>72</v>
      </c>
      <c r="F1674" s="1" t="s">
        <v>37</v>
      </c>
      <c r="G1674" s="1" t="s">
        <v>19</v>
      </c>
      <c r="H1674" s="1">
        <v>5</v>
      </c>
      <c r="I1674" s="1">
        <v>245</v>
      </c>
      <c r="J1674" s="1">
        <v>399</v>
      </c>
      <c r="K1674" s="1">
        <v>0</v>
      </c>
      <c r="L1674" s="1">
        <f>ROUNDDOWN(formatted_data[[#This Row],[Selling_Price]]*formatted_data[[#This Row],[Discount_%]]/100,0)</f>
        <v>0</v>
      </c>
      <c r="M1674" s="1">
        <f>(formatted_data[[#This Row],[Selling_Price]]-formatted_data[[#This Row],[Discount_Amount]])*formatted_data[[#This Row],[Units]]</f>
        <v>1995</v>
      </c>
      <c r="N1674" s="1">
        <f>formatted_data[[#This Row],[Total_Revenue]]-(formatted_data[[#This Row],[Cost_Price]]*formatted_data[[#This Row],[Units]])</f>
        <v>770</v>
      </c>
      <c r="O1674" s="1" t="s">
        <v>21</v>
      </c>
      <c r="P1674"/>
    </row>
    <row r="1675" spans="1:16" x14ac:dyDescent="0.35">
      <c r="A1675" s="1" t="s">
        <v>61</v>
      </c>
      <c r="B1675" s="1" t="s">
        <v>27</v>
      </c>
      <c r="C1675" s="2">
        <v>45654</v>
      </c>
      <c r="D1675" s="1" t="s">
        <v>23</v>
      </c>
      <c r="E1675" s="1" t="s">
        <v>43</v>
      </c>
      <c r="F1675" s="1" t="s">
        <v>19</v>
      </c>
      <c r="G1675" s="1" t="s">
        <v>19</v>
      </c>
      <c r="H1675" s="1">
        <v>5</v>
      </c>
      <c r="I1675" s="1">
        <v>2666</v>
      </c>
      <c r="J1675" s="1">
        <v>3699</v>
      </c>
      <c r="K1675" s="1">
        <v>5</v>
      </c>
      <c r="L1675" s="1">
        <f>ROUNDDOWN(formatted_data[[#This Row],[Selling_Price]]*formatted_data[[#This Row],[Discount_%]]/100,0)</f>
        <v>184</v>
      </c>
      <c r="M1675" s="1">
        <f>(formatted_data[[#This Row],[Selling_Price]]-formatted_data[[#This Row],[Discount_Amount]])*formatted_data[[#This Row],[Units]]</f>
        <v>17575</v>
      </c>
      <c r="N1675" s="1">
        <f>formatted_data[[#This Row],[Total_Revenue]]-(formatted_data[[#This Row],[Cost_Price]]*formatted_data[[#This Row],[Units]])</f>
        <v>4245</v>
      </c>
      <c r="O1675" s="1" t="s">
        <v>21</v>
      </c>
      <c r="P1675"/>
    </row>
    <row r="1676" spans="1:16" x14ac:dyDescent="0.35">
      <c r="A1676" s="1" t="s">
        <v>103</v>
      </c>
      <c r="B1676" s="1" t="s">
        <v>16</v>
      </c>
      <c r="C1676" s="2">
        <v>45465</v>
      </c>
      <c r="D1676" s="1" t="s">
        <v>23</v>
      </c>
      <c r="E1676" s="1" t="s">
        <v>43</v>
      </c>
      <c r="F1676" s="1" t="s">
        <v>25</v>
      </c>
      <c r="G1676" s="1" t="s">
        <v>20</v>
      </c>
      <c r="H1676" s="1">
        <v>1</v>
      </c>
      <c r="I1676" s="1">
        <v>1393</v>
      </c>
      <c r="J1676" s="1">
        <v>2599</v>
      </c>
      <c r="K1676" s="1">
        <v>15</v>
      </c>
      <c r="L1676" s="1">
        <f>ROUNDDOWN(formatted_data[[#This Row],[Selling_Price]]*formatted_data[[#This Row],[Discount_%]]/100,0)</f>
        <v>389</v>
      </c>
      <c r="M1676" s="1">
        <f>(formatted_data[[#This Row],[Selling_Price]]-formatted_data[[#This Row],[Discount_Amount]])*formatted_data[[#This Row],[Units]]</f>
        <v>2210</v>
      </c>
      <c r="N1676" s="1">
        <f>formatted_data[[#This Row],[Total_Revenue]]-(formatted_data[[#This Row],[Cost_Price]]*formatted_data[[#This Row],[Units]])</f>
        <v>817</v>
      </c>
      <c r="O1676" s="1" t="s">
        <v>21</v>
      </c>
      <c r="P1676"/>
    </row>
    <row r="1677" spans="1:16" x14ac:dyDescent="0.35">
      <c r="A1677" s="1" t="s">
        <v>65</v>
      </c>
      <c r="B1677" s="1" t="s">
        <v>16</v>
      </c>
      <c r="C1677" s="2">
        <v>45625</v>
      </c>
      <c r="D1677" s="1" t="s">
        <v>35</v>
      </c>
      <c r="E1677" s="1" t="s">
        <v>39</v>
      </c>
      <c r="F1677" s="1" t="s">
        <v>25</v>
      </c>
      <c r="G1677" s="1" t="s">
        <v>19</v>
      </c>
      <c r="H1677" s="1">
        <v>3</v>
      </c>
      <c r="I1677" s="1">
        <v>589</v>
      </c>
      <c r="J1677" s="1">
        <v>799</v>
      </c>
      <c r="K1677" s="1">
        <v>5</v>
      </c>
      <c r="L1677" s="1">
        <f>ROUNDDOWN(formatted_data[[#This Row],[Selling_Price]]*formatted_data[[#This Row],[Discount_%]]/100,0)</f>
        <v>39</v>
      </c>
      <c r="M1677" s="1">
        <f>(formatted_data[[#This Row],[Selling_Price]]-formatted_data[[#This Row],[Discount_Amount]])*formatted_data[[#This Row],[Units]]</f>
        <v>2280</v>
      </c>
      <c r="N1677" s="1">
        <f>formatted_data[[#This Row],[Total_Revenue]]-(formatted_data[[#This Row],[Cost_Price]]*formatted_data[[#This Row],[Units]])</f>
        <v>513</v>
      </c>
      <c r="O1677" s="1" t="s">
        <v>21</v>
      </c>
      <c r="P1677"/>
    </row>
    <row r="1678" spans="1:16" x14ac:dyDescent="0.35">
      <c r="A1678" s="1" t="s">
        <v>62</v>
      </c>
      <c r="B1678" s="1" t="s">
        <v>16</v>
      </c>
      <c r="C1678" s="2">
        <v>45591</v>
      </c>
      <c r="D1678" s="1" t="s">
        <v>35</v>
      </c>
      <c r="E1678" s="1" t="s">
        <v>41</v>
      </c>
      <c r="F1678" s="1" t="s">
        <v>25</v>
      </c>
      <c r="G1678" s="1" t="s">
        <v>19</v>
      </c>
      <c r="H1678" s="1">
        <v>2</v>
      </c>
      <c r="I1678" s="1">
        <v>405</v>
      </c>
      <c r="J1678" s="1">
        <v>599</v>
      </c>
      <c r="K1678" s="1">
        <v>10</v>
      </c>
      <c r="L1678" s="1">
        <f>ROUNDDOWN(formatted_data[[#This Row],[Selling_Price]]*formatted_data[[#This Row],[Discount_%]]/100,0)</f>
        <v>59</v>
      </c>
      <c r="M1678" s="1">
        <f>(formatted_data[[#This Row],[Selling_Price]]-formatted_data[[#This Row],[Discount_Amount]])*formatted_data[[#This Row],[Units]]</f>
        <v>1080</v>
      </c>
      <c r="N1678" s="1">
        <f>formatted_data[[#This Row],[Total_Revenue]]-(formatted_data[[#This Row],[Cost_Price]]*formatted_data[[#This Row],[Units]])</f>
        <v>270</v>
      </c>
      <c r="O1678" s="1" t="s">
        <v>21</v>
      </c>
      <c r="P1678"/>
    </row>
    <row r="1679" spans="1:16" x14ac:dyDescent="0.35">
      <c r="A1679" s="1" t="s">
        <v>101</v>
      </c>
      <c r="B1679" s="1" t="s">
        <v>16</v>
      </c>
      <c r="C1679" s="2">
        <v>45466</v>
      </c>
      <c r="D1679" s="1" t="s">
        <v>23</v>
      </c>
      <c r="E1679" s="1" t="s">
        <v>43</v>
      </c>
      <c r="F1679" s="1" t="s">
        <v>19</v>
      </c>
      <c r="G1679" s="1" t="s">
        <v>20</v>
      </c>
      <c r="H1679" s="1">
        <v>1</v>
      </c>
      <c r="I1679" s="1">
        <v>2696</v>
      </c>
      <c r="J1679" s="1">
        <v>3599</v>
      </c>
      <c r="K1679" s="1">
        <v>15</v>
      </c>
      <c r="L1679" s="1">
        <f>ROUNDDOWN(formatted_data[[#This Row],[Selling_Price]]*formatted_data[[#This Row],[Discount_%]]/100,0)</f>
        <v>539</v>
      </c>
      <c r="M1679" s="1">
        <f>(formatted_data[[#This Row],[Selling_Price]]-formatted_data[[#This Row],[Discount_Amount]])*formatted_data[[#This Row],[Units]]</f>
        <v>3060</v>
      </c>
      <c r="N1679" s="1">
        <f>formatted_data[[#This Row],[Total_Revenue]]-(formatted_data[[#This Row],[Cost_Price]]*formatted_data[[#This Row],[Units]])</f>
        <v>364</v>
      </c>
      <c r="O1679" s="1" t="s">
        <v>21</v>
      </c>
      <c r="P1679"/>
    </row>
    <row r="1680" spans="1:16" x14ac:dyDescent="0.35">
      <c r="A1680" s="1" t="s">
        <v>75</v>
      </c>
      <c r="B1680" s="1" t="s">
        <v>27</v>
      </c>
      <c r="C1680" s="2">
        <v>45632</v>
      </c>
      <c r="D1680" s="1" t="s">
        <v>23</v>
      </c>
      <c r="E1680" s="1" t="s">
        <v>43</v>
      </c>
      <c r="F1680" s="1" t="s">
        <v>19</v>
      </c>
      <c r="G1680" s="1" t="s">
        <v>19</v>
      </c>
      <c r="H1680" s="1">
        <v>1</v>
      </c>
      <c r="I1680" s="1">
        <v>1801</v>
      </c>
      <c r="J1680" s="1">
        <v>2699</v>
      </c>
      <c r="K1680" s="1">
        <v>5</v>
      </c>
      <c r="L1680" s="1">
        <f>ROUNDDOWN(formatted_data[[#This Row],[Selling_Price]]*formatted_data[[#This Row],[Discount_%]]/100,0)</f>
        <v>134</v>
      </c>
      <c r="M1680" s="1">
        <f>(formatted_data[[#This Row],[Selling_Price]]-formatted_data[[#This Row],[Discount_Amount]])*formatted_data[[#This Row],[Units]]</f>
        <v>2565</v>
      </c>
      <c r="N1680" s="1">
        <f>formatted_data[[#This Row],[Total_Revenue]]-(formatted_data[[#This Row],[Cost_Price]]*formatted_data[[#This Row],[Units]])</f>
        <v>764</v>
      </c>
      <c r="O1680" s="1" t="s">
        <v>21</v>
      </c>
      <c r="P1680"/>
    </row>
    <row r="1681" spans="1:16" x14ac:dyDescent="0.35">
      <c r="A1681" s="1" t="s">
        <v>82</v>
      </c>
      <c r="B1681" s="1" t="s">
        <v>27</v>
      </c>
      <c r="C1681" s="2">
        <v>45592</v>
      </c>
      <c r="D1681" s="1" t="s">
        <v>17</v>
      </c>
      <c r="E1681" s="1" t="s">
        <v>55</v>
      </c>
      <c r="F1681" s="1" t="s">
        <v>25</v>
      </c>
      <c r="G1681" s="1" t="s">
        <v>20</v>
      </c>
      <c r="H1681" s="1">
        <v>3</v>
      </c>
      <c r="I1681" s="1">
        <v>204</v>
      </c>
      <c r="J1681" s="1">
        <v>399</v>
      </c>
      <c r="K1681" s="1">
        <v>0</v>
      </c>
      <c r="L1681" s="1">
        <f>ROUNDDOWN(formatted_data[[#This Row],[Selling_Price]]*formatted_data[[#This Row],[Discount_%]]/100,0)</f>
        <v>0</v>
      </c>
      <c r="M1681" s="1">
        <f>(formatted_data[[#This Row],[Selling_Price]]-formatted_data[[#This Row],[Discount_Amount]])*formatted_data[[#This Row],[Units]]</f>
        <v>1197</v>
      </c>
      <c r="N1681" s="1">
        <f>formatted_data[[#This Row],[Total_Revenue]]-(formatted_data[[#This Row],[Cost_Price]]*formatted_data[[#This Row],[Units]])</f>
        <v>585</v>
      </c>
      <c r="O1681" s="1" t="s">
        <v>21</v>
      </c>
      <c r="P1681"/>
    </row>
    <row r="1682" spans="1:16" x14ac:dyDescent="0.35">
      <c r="A1682" s="1" t="s">
        <v>105</v>
      </c>
      <c r="B1682" s="1" t="s">
        <v>16</v>
      </c>
      <c r="C1682" s="2">
        <v>45517</v>
      </c>
      <c r="D1682" s="1" t="s">
        <v>28</v>
      </c>
      <c r="E1682" s="1" t="s">
        <v>29</v>
      </c>
      <c r="F1682" s="1" t="s">
        <v>37</v>
      </c>
      <c r="G1682" s="1" t="s">
        <v>19</v>
      </c>
      <c r="H1682" s="1">
        <v>1</v>
      </c>
      <c r="I1682" s="1">
        <v>280</v>
      </c>
      <c r="J1682" s="1">
        <v>499</v>
      </c>
      <c r="K1682" s="1">
        <v>5</v>
      </c>
      <c r="L1682" s="1">
        <f>ROUNDDOWN(formatted_data[[#This Row],[Selling_Price]]*formatted_data[[#This Row],[Discount_%]]/100,0)</f>
        <v>24</v>
      </c>
      <c r="M1682" s="1">
        <f>(formatted_data[[#This Row],[Selling_Price]]-formatted_data[[#This Row],[Discount_Amount]])*formatted_data[[#This Row],[Units]]</f>
        <v>475</v>
      </c>
      <c r="N1682" s="1">
        <f>formatted_data[[#This Row],[Total_Revenue]]-(formatted_data[[#This Row],[Cost_Price]]*formatted_data[[#This Row],[Units]])</f>
        <v>195</v>
      </c>
      <c r="O1682" s="1" t="s">
        <v>21</v>
      </c>
      <c r="P1682"/>
    </row>
    <row r="1683" spans="1:16" x14ac:dyDescent="0.35">
      <c r="A1683" s="1" t="s">
        <v>30</v>
      </c>
      <c r="B1683" s="1" t="s">
        <v>16</v>
      </c>
      <c r="C1683" s="2">
        <v>45521</v>
      </c>
      <c r="D1683" s="1" t="s">
        <v>23</v>
      </c>
      <c r="E1683" s="1" t="s">
        <v>24</v>
      </c>
      <c r="F1683" s="1" t="s">
        <v>37</v>
      </c>
      <c r="G1683" s="1" t="s">
        <v>20</v>
      </c>
      <c r="H1683" s="1">
        <v>1</v>
      </c>
      <c r="I1683" s="1">
        <v>590</v>
      </c>
      <c r="J1683" s="1">
        <v>999</v>
      </c>
      <c r="K1683" s="1">
        <v>15</v>
      </c>
      <c r="L1683" s="1">
        <f>ROUNDDOWN(formatted_data[[#This Row],[Selling_Price]]*formatted_data[[#This Row],[Discount_%]]/100,0)</f>
        <v>149</v>
      </c>
      <c r="M1683" s="1">
        <f>(formatted_data[[#This Row],[Selling_Price]]-formatted_data[[#This Row],[Discount_Amount]])*formatted_data[[#This Row],[Units]]</f>
        <v>850</v>
      </c>
      <c r="N1683" s="1">
        <f>formatted_data[[#This Row],[Total_Revenue]]-(formatted_data[[#This Row],[Cost_Price]]*formatted_data[[#This Row],[Units]])</f>
        <v>260</v>
      </c>
      <c r="O1683" s="1" t="s">
        <v>33</v>
      </c>
      <c r="P1683"/>
    </row>
    <row r="1684" spans="1:16" x14ac:dyDescent="0.35">
      <c r="A1684" s="1" t="s">
        <v>30</v>
      </c>
      <c r="B1684" s="1" t="s">
        <v>16</v>
      </c>
      <c r="C1684" s="2">
        <v>45602</v>
      </c>
      <c r="D1684" s="1" t="s">
        <v>31</v>
      </c>
      <c r="E1684" s="1" t="s">
        <v>76</v>
      </c>
      <c r="F1684" s="1" t="s">
        <v>25</v>
      </c>
      <c r="G1684" s="1" t="s">
        <v>19</v>
      </c>
      <c r="H1684" s="1">
        <v>1</v>
      </c>
      <c r="I1684" s="1">
        <v>903</v>
      </c>
      <c r="J1684" s="1">
        <v>1499</v>
      </c>
      <c r="K1684" s="1">
        <v>0</v>
      </c>
      <c r="L1684" s="1">
        <f>ROUNDDOWN(formatted_data[[#This Row],[Selling_Price]]*formatted_data[[#This Row],[Discount_%]]/100,0)</f>
        <v>0</v>
      </c>
      <c r="M1684" s="1">
        <f>(formatted_data[[#This Row],[Selling_Price]]-formatted_data[[#This Row],[Discount_Amount]])*formatted_data[[#This Row],[Units]]</f>
        <v>1499</v>
      </c>
      <c r="N1684" s="1">
        <f>formatted_data[[#This Row],[Total_Revenue]]-(formatted_data[[#This Row],[Cost_Price]]*formatted_data[[#This Row],[Units]])</f>
        <v>596</v>
      </c>
      <c r="O1684" s="1" t="s">
        <v>21</v>
      </c>
      <c r="P1684"/>
    </row>
    <row r="1685" spans="1:16" x14ac:dyDescent="0.35">
      <c r="A1685" s="1" t="s">
        <v>104</v>
      </c>
      <c r="B1685" s="1" t="s">
        <v>27</v>
      </c>
      <c r="C1685" s="2">
        <v>45646</v>
      </c>
      <c r="D1685" s="1" t="s">
        <v>23</v>
      </c>
      <c r="E1685" s="1" t="s">
        <v>24</v>
      </c>
      <c r="F1685" s="1" t="s">
        <v>37</v>
      </c>
      <c r="G1685" s="1" t="s">
        <v>19</v>
      </c>
      <c r="H1685" s="1">
        <v>4</v>
      </c>
      <c r="I1685" s="1">
        <v>1044</v>
      </c>
      <c r="J1685" s="1">
        <v>1499</v>
      </c>
      <c r="K1685" s="1">
        <v>20</v>
      </c>
      <c r="L1685" s="1">
        <f>ROUNDDOWN(formatted_data[[#This Row],[Selling_Price]]*formatted_data[[#This Row],[Discount_%]]/100,0)</f>
        <v>299</v>
      </c>
      <c r="M1685" s="1">
        <f>(formatted_data[[#This Row],[Selling_Price]]-formatted_data[[#This Row],[Discount_Amount]])*formatted_data[[#This Row],[Units]]</f>
        <v>4800</v>
      </c>
      <c r="N1685" s="1">
        <f>formatted_data[[#This Row],[Total_Revenue]]-(formatted_data[[#This Row],[Cost_Price]]*formatted_data[[#This Row],[Units]])</f>
        <v>624</v>
      </c>
      <c r="O1685" s="1" t="s">
        <v>33</v>
      </c>
      <c r="P1685"/>
    </row>
    <row r="1686" spans="1:16" x14ac:dyDescent="0.35">
      <c r="A1686" s="1" t="s">
        <v>73</v>
      </c>
      <c r="B1686" s="1" t="s">
        <v>16</v>
      </c>
      <c r="C1686" s="2">
        <v>45493</v>
      </c>
      <c r="D1686" s="1" t="s">
        <v>23</v>
      </c>
      <c r="E1686" s="1" t="s">
        <v>43</v>
      </c>
      <c r="F1686" s="1" t="s">
        <v>25</v>
      </c>
      <c r="G1686" s="1" t="s">
        <v>20</v>
      </c>
      <c r="H1686" s="1">
        <v>5</v>
      </c>
      <c r="I1686" s="1">
        <v>2829</v>
      </c>
      <c r="J1686" s="1">
        <v>4299</v>
      </c>
      <c r="K1686" s="1">
        <v>5</v>
      </c>
      <c r="L1686" s="1">
        <f>ROUNDDOWN(formatted_data[[#This Row],[Selling_Price]]*formatted_data[[#This Row],[Discount_%]]/100,0)</f>
        <v>214</v>
      </c>
      <c r="M1686" s="1">
        <f>(formatted_data[[#This Row],[Selling_Price]]-formatted_data[[#This Row],[Discount_Amount]])*formatted_data[[#This Row],[Units]]</f>
        <v>20425</v>
      </c>
      <c r="N1686" s="1">
        <f>formatted_data[[#This Row],[Total_Revenue]]-(formatted_data[[#This Row],[Cost_Price]]*formatted_data[[#This Row],[Units]])</f>
        <v>6280</v>
      </c>
      <c r="O1686" s="1" t="s">
        <v>33</v>
      </c>
      <c r="P1686"/>
    </row>
    <row r="1687" spans="1:16" x14ac:dyDescent="0.35">
      <c r="A1687" s="1" t="s">
        <v>75</v>
      </c>
      <c r="B1687" s="1" t="s">
        <v>27</v>
      </c>
      <c r="C1687" s="2">
        <v>45547</v>
      </c>
      <c r="D1687" s="1" t="s">
        <v>17</v>
      </c>
      <c r="E1687" s="1" t="s">
        <v>48</v>
      </c>
      <c r="F1687" s="1" t="s">
        <v>19</v>
      </c>
      <c r="G1687" s="1" t="s">
        <v>19</v>
      </c>
      <c r="H1687" s="1">
        <v>2</v>
      </c>
      <c r="I1687" s="1">
        <v>205</v>
      </c>
      <c r="J1687" s="1">
        <v>299</v>
      </c>
      <c r="K1687" s="1">
        <v>0</v>
      </c>
      <c r="L1687" s="1">
        <f>ROUNDDOWN(formatted_data[[#This Row],[Selling_Price]]*formatted_data[[#This Row],[Discount_%]]/100,0)</f>
        <v>0</v>
      </c>
      <c r="M1687" s="1">
        <f>(formatted_data[[#This Row],[Selling_Price]]-formatted_data[[#This Row],[Discount_Amount]])*formatted_data[[#This Row],[Units]]</f>
        <v>598</v>
      </c>
      <c r="N1687" s="1">
        <f>formatted_data[[#This Row],[Total_Revenue]]-(formatted_data[[#This Row],[Cost_Price]]*formatted_data[[#This Row],[Units]])</f>
        <v>188</v>
      </c>
      <c r="O1687" s="1" t="s">
        <v>21</v>
      </c>
      <c r="P1687"/>
    </row>
    <row r="1688" spans="1:16" x14ac:dyDescent="0.35">
      <c r="A1688" s="1" t="s">
        <v>30</v>
      </c>
      <c r="B1688" s="1" t="s">
        <v>16</v>
      </c>
      <c r="C1688" s="2">
        <v>45503</v>
      </c>
      <c r="D1688" s="1" t="s">
        <v>28</v>
      </c>
      <c r="E1688" s="1" t="s">
        <v>45</v>
      </c>
      <c r="F1688" s="1" t="s">
        <v>37</v>
      </c>
      <c r="G1688" s="1" t="s">
        <v>19</v>
      </c>
      <c r="H1688" s="1">
        <v>1</v>
      </c>
      <c r="I1688" s="1">
        <v>1036</v>
      </c>
      <c r="J1688" s="1">
        <v>1499</v>
      </c>
      <c r="K1688" s="1">
        <v>20</v>
      </c>
      <c r="L1688" s="1">
        <f>ROUNDDOWN(formatted_data[[#This Row],[Selling_Price]]*formatted_data[[#This Row],[Discount_%]]/100,0)</f>
        <v>299</v>
      </c>
      <c r="M1688" s="1">
        <f>(formatted_data[[#This Row],[Selling_Price]]-formatted_data[[#This Row],[Discount_Amount]])*formatted_data[[#This Row],[Units]]</f>
        <v>1200</v>
      </c>
      <c r="N1688" s="1">
        <f>formatted_data[[#This Row],[Total_Revenue]]-(formatted_data[[#This Row],[Cost_Price]]*formatted_data[[#This Row],[Units]])</f>
        <v>164</v>
      </c>
      <c r="O1688" s="1" t="s">
        <v>21</v>
      </c>
      <c r="P1688"/>
    </row>
    <row r="1689" spans="1:16" x14ac:dyDescent="0.35">
      <c r="A1689" s="1" t="s">
        <v>71</v>
      </c>
      <c r="B1689" s="1" t="s">
        <v>16</v>
      </c>
      <c r="C1689" s="2">
        <v>45577</v>
      </c>
      <c r="D1689" s="1" t="s">
        <v>28</v>
      </c>
      <c r="E1689" s="1" t="s">
        <v>29</v>
      </c>
      <c r="F1689" s="1" t="s">
        <v>25</v>
      </c>
      <c r="G1689" s="1" t="s">
        <v>20</v>
      </c>
      <c r="H1689" s="1">
        <v>1</v>
      </c>
      <c r="I1689" s="1">
        <v>442</v>
      </c>
      <c r="J1689" s="1">
        <v>599</v>
      </c>
      <c r="K1689" s="1">
        <v>10</v>
      </c>
      <c r="L1689" s="1">
        <f>ROUNDDOWN(formatted_data[[#This Row],[Selling_Price]]*formatted_data[[#This Row],[Discount_%]]/100,0)</f>
        <v>59</v>
      </c>
      <c r="M1689" s="1">
        <f>(formatted_data[[#This Row],[Selling_Price]]-formatted_data[[#This Row],[Discount_Amount]])*formatted_data[[#This Row],[Units]]</f>
        <v>540</v>
      </c>
      <c r="N1689" s="1">
        <f>formatted_data[[#This Row],[Total_Revenue]]-(formatted_data[[#This Row],[Cost_Price]]*formatted_data[[#This Row],[Units]])</f>
        <v>98</v>
      </c>
      <c r="O1689" s="1" t="s">
        <v>21</v>
      </c>
      <c r="P1689"/>
    </row>
    <row r="1690" spans="1:16" x14ac:dyDescent="0.35">
      <c r="A1690" s="1" t="s">
        <v>99</v>
      </c>
      <c r="B1690" s="1" t="s">
        <v>27</v>
      </c>
      <c r="C1690" s="2">
        <v>45599</v>
      </c>
      <c r="D1690" s="1" t="s">
        <v>31</v>
      </c>
      <c r="E1690" s="1" t="s">
        <v>32</v>
      </c>
      <c r="F1690" s="1" t="s">
        <v>19</v>
      </c>
      <c r="G1690" s="1" t="s">
        <v>20</v>
      </c>
      <c r="H1690" s="1">
        <v>5</v>
      </c>
      <c r="I1690" s="1">
        <v>717</v>
      </c>
      <c r="J1690" s="1">
        <v>1199</v>
      </c>
      <c r="K1690" s="1">
        <v>0</v>
      </c>
      <c r="L1690" s="1">
        <f>ROUNDDOWN(formatted_data[[#This Row],[Selling_Price]]*formatted_data[[#This Row],[Discount_%]]/100,0)</f>
        <v>0</v>
      </c>
      <c r="M1690" s="1">
        <f>(formatted_data[[#This Row],[Selling_Price]]-formatted_data[[#This Row],[Discount_Amount]])*formatted_data[[#This Row],[Units]]</f>
        <v>5995</v>
      </c>
      <c r="N1690" s="1">
        <f>formatted_data[[#This Row],[Total_Revenue]]-(formatted_data[[#This Row],[Cost_Price]]*formatted_data[[#This Row],[Units]])</f>
        <v>2410</v>
      </c>
      <c r="O1690" s="1" t="s">
        <v>33</v>
      </c>
      <c r="P1690"/>
    </row>
    <row r="1691" spans="1:16" x14ac:dyDescent="0.35">
      <c r="A1691" s="1" t="s">
        <v>63</v>
      </c>
      <c r="B1691" s="1" t="s">
        <v>27</v>
      </c>
      <c r="C1691" s="2">
        <v>45565</v>
      </c>
      <c r="D1691" s="1" t="s">
        <v>35</v>
      </c>
      <c r="E1691" s="1" t="s">
        <v>58</v>
      </c>
      <c r="F1691" s="1" t="s">
        <v>37</v>
      </c>
      <c r="G1691" s="1" t="s">
        <v>20</v>
      </c>
      <c r="H1691" s="1">
        <v>1</v>
      </c>
      <c r="I1691" s="1">
        <v>897</v>
      </c>
      <c r="J1691" s="1">
        <v>1599</v>
      </c>
      <c r="K1691" s="1">
        <v>5</v>
      </c>
      <c r="L1691" s="1">
        <f>ROUNDDOWN(formatted_data[[#This Row],[Selling_Price]]*formatted_data[[#This Row],[Discount_%]]/100,0)</f>
        <v>79</v>
      </c>
      <c r="M1691" s="1">
        <f>(formatted_data[[#This Row],[Selling_Price]]-formatted_data[[#This Row],[Discount_Amount]])*formatted_data[[#This Row],[Units]]</f>
        <v>1520</v>
      </c>
      <c r="N1691" s="1">
        <f>formatted_data[[#This Row],[Total_Revenue]]-(formatted_data[[#This Row],[Cost_Price]]*formatted_data[[#This Row],[Units]])</f>
        <v>623</v>
      </c>
      <c r="O1691" s="1" t="s">
        <v>21</v>
      </c>
      <c r="P1691"/>
    </row>
    <row r="1692" spans="1:16" x14ac:dyDescent="0.35">
      <c r="A1692" s="1" t="s">
        <v>86</v>
      </c>
      <c r="B1692" s="1" t="s">
        <v>27</v>
      </c>
      <c r="C1692" s="2">
        <v>45641</v>
      </c>
      <c r="D1692" s="1" t="s">
        <v>17</v>
      </c>
      <c r="E1692" s="1" t="s">
        <v>72</v>
      </c>
      <c r="F1692" s="1" t="s">
        <v>25</v>
      </c>
      <c r="G1692" s="1" t="s">
        <v>20</v>
      </c>
      <c r="H1692" s="1">
        <v>4</v>
      </c>
      <c r="I1692" s="1">
        <v>279</v>
      </c>
      <c r="J1692" s="1">
        <v>399</v>
      </c>
      <c r="K1692" s="1">
        <v>0</v>
      </c>
      <c r="L1692" s="1">
        <f>ROUNDDOWN(formatted_data[[#This Row],[Selling_Price]]*formatted_data[[#This Row],[Discount_%]]/100,0)</f>
        <v>0</v>
      </c>
      <c r="M1692" s="1">
        <f>(formatted_data[[#This Row],[Selling_Price]]-formatted_data[[#This Row],[Discount_Amount]])*formatted_data[[#This Row],[Units]]</f>
        <v>1596</v>
      </c>
      <c r="N1692" s="1">
        <f>formatted_data[[#This Row],[Total_Revenue]]-(formatted_data[[#This Row],[Cost_Price]]*formatted_data[[#This Row],[Units]])</f>
        <v>480</v>
      </c>
      <c r="O1692" s="1" t="s">
        <v>21</v>
      </c>
      <c r="P1692"/>
    </row>
    <row r="1693" spans="1:16" x14ac:dyDescent="0.35">
      <c r="A1693" s="1" t="s">
        <v>83</v>
      </c>
      <c r="B1693" s="1" t="s">
        <v>27</v>
      </c>
      <c r="C1693" s="2">
        <v>45580</v>
      </c>
      <c r="D1693" s="1" t="s">
        <v>31</v>
      </c>
      <c r="E1693" s="1" t="s">
        <v>32</v>
      </c>
      <c r="F1693" s="1" t="s">
        <v>25</v>
      </c>
      <c r="G1693" s="1" t="s">
        <v>19</v>
      </c>
      <c r="H1693" s="1">
        <v>1</v>
      </c>
      <c r="I1693" s="1">
        <v>973</v>
      </c>
      <c r="J1693" s="1">
        <v>1399</v>
      </c>
      <c r="K1693" s="1">
        <v>0</v>
      </c>
      <c r="L1693" s="1">
        <f>ROUNDDOWN(formatted_data[[#This Row],[Selling_Price]]*formatted_data[[#This Row],[Discount_%]]/100,0)</f>
        <v>0</v>
      </c>
      <c r="M1693" s="1">
        <f>(formatted_data[[#This Row],[Selling_Price]]-formatted_data[[#This Row],[Discount_Amount]])*formatted_data[[#This Row],[Units]]</f>
        <v>1399</v>
      </c>
      <c r="N1693" s="1">
        <f>formatted_data[[#This Row],[Total_Revenue]]-(formatted_data[[#This Row],[Cost_Price]]*formatted_data[[#This Row],[Units]])</f>
        <v>426</v>
      </c>
      <c r="O1693" s="1" t="s">
        <v>33</v>
      </c>
      <c r="P1693"/>
    </row>
    <row r="1694" spans="1:16" x14ac:dyDescent="0.35">
      <c r="A1694" s="1" t="s">
        <v>86</v>
      </c>
      <c r="B1694" s="1" t="s">
        <v>27</v>
      </c>
      <c r="C1694" s="2">
        <v>45530</v>
      </c>
      <c r="D1694" s="1" t="s">
        <v>17</v>
      </c>
      <c r="E1694" s="1" t="s">
        <v>72</v>
      </c>
      <c r="F1694" s="1" t="s">
        <v>25</v>
      </c>
      <c r="G1694" s="1" t="s">
        <v>19</v>
      </c>
      <c r="H1694" s="1">
        <v>5</v>
      </c>
      <c r="I1694" s="1">
        <v>271</v>
      </c>
      <c r="J1694" s="1">
        <v>399</v>
      </c>
      <c r="K1694" s="1">
        <v>0</v>
      </c>
      <c r="L1694" s="1">
        <f>ROUNDDOWN(formatted_data[[#This Row],[Selling_Price]]*formatted_data[[#This Row],[Discount_%]]/100,0)</f>
        <v>0</v>
      </c>
      <c r="M1694" s="1">
        <f>(formatted_data[[#This Row],[Selling_Price]]-formatted_data[[#This Row],[Discount_Amount]])*formatted_data[[#This Row],[Units]]</f>
        <v>1995</v>
      </c>
      <c r="N1694" s="1">
        <f>formatted_data[[#This Row],[Total_Revenue]]-(formatted_data[[#This Row],[Cost_Price]]*formatted_data[[#This Row],[Units]])</f>
        <v>640</v>
      </c>
      <c r="O1694" s="1" t="s">
        <v>21</v>
      </c>
      <c r="P1694"/>
    </row>
    <row r="1695" spans="1:16" x14ac:dyDescent="0.35">
      <c r="A1695" s="1" t="s">
        <v>61</v>
      </c>
      <c r="B1695" s="1" t="s">
        <v>27</v>
      </c>
      <c r="C1695" s="2">
        <v>45479</v>
      </c>
      <c r="D1695" s="1" t="s">
        <v>35</v>
      </c>
      <c r="E1695" s="1" t="s">
        <v>58</v>
      </c>
      <c r="F1695" s="1" t="s">
        <v>19</v>
      </c>
      <c r="G1695" s="1" t="s">
        <v>20</v>
      </c>
      <c r="H1695" s="1">
        <v>2</v>
      </c>
      <c r="I1695" s="1">
        <v>946</v>
      </c>
      <c r="J1695" s="1">
        <v>1699</v>
      </c>
      <c r="K1695" s="1">
        <v>10</v>
      </c>
      <c r="L1695" s="1">
        <f>ROUNDDOWN(formatted_data[[#This Row],[Selling_Price]]*formatted_data[[#This Row],[Discount_%]]/100,0)</f>
        <v>169</v>
      </c>
      <c r="M1695" s="1">
        <f>(formatted_data[[#This Row],[Selling_Price]]-formatted_data[[#This Row],[Discount_Amount]])*formatted_data[[#This Row],[Units]]</f>
        <v>3060</v>
      </c>
      <c r="N1695" s="1">
        <f>formatted_data[[#This Row],[Total_Revenue]]-(formatted_data[[#This Row],[Cost_Price]]*formatted_data[[#This Row],[Units]])</f>
        <v>1168</v>
      </c>
      <c r="O1695" s="1" t="s">
        <v>21</v>
      </c>
      <c r="P1695"/>
    </row>
    <row r="1696" spans="1:16" x14ac:dyDescent="0.35">
      <c r="A1696" s="1" t="s">
        <v>69</v>
      </c>
      <c r="B1696" s="1" t="s">
        <v>16</v>
      </c>
      <c r="C1696" s="2">
        <v>45462</v>
      </c>
      <c r="D1696" s="1" t="s">
        <v>23</v>
      </c>
      <c r="E1696" s="1" t="s">
        <v>43</v>
      </c>
      <c r="F1696" s="1" t="s">
        <v>37</v>
      </c>
      <c r="G1696" s="1" t="s">
        <v>19</v>
      </c>
      <c r="H1696" s="1">
        <v>4</v>
      </c>
      <c r="I1696" s="1">
        <v>2759</v>
      </c>
      <c r="J1696" s="1">
        <v>4299</v>
      </c>
      <c r="K1696" s="1">
        <v>5</v>
      </c>
      <c r="L1696" s="1">
        <f>ROUNDDOWN(formatted_data[[#This Row],[Selling_Price]]*formatted_data[[#This Row],[Discount_%]]/100,0)</f>
        <v>214</v>
      </c>
      <c r="M1696" s="1">
        <f>(formatted_data[[#This Row],[Selling_Price]]-formatted_data[[#This Row],[Discount_Amount]])*formatted_data[[#This Row],[Units]]</f>
        <v>16340</v>
      </c>
      <c r="N1696" s="1">
        <f>formatted_data[[#This Row],[Total_Revenue]]-(formatted_data[[#This Row],[Cost_Price]]*formatted_data[[#This Row],[Units]])</f>
        <v>5304</v>
      </c>
      <c r="O1696" s="1" t="s">
        <v>21</v>
      </c>
      <c r="P1696"/>
    </row>
    <row r="1697" spans="1:16" x14ac:dyDescent="0.35">
      <c r="A1697" s="1" t="s">
        <v>51</v>
      </c>
      <c r="B1697" s="1" t="s">
        <v>16</v>
      </c>
      <c r="C1697" s="2">
        <v>45632</v>
      </c>
      <c r="D1697" s="1" t="s">
        <v>17</v>
      </c>
      <c r="E1697" s="1" t="s">
        <v>48</v>
      </c>
      <c r="F1697" s="1" t="s">
        <v>19</v>
      </c>
      <c r="G1697" s="1" t="s">
        <v>20</v>
      </c>
      <c r="H1697" s="1">
        <v>2</v>
      </c>
      <c r="I1697" s="1">
        <v>314</v>
      </c>
      <c r="J1697" s="1">
        <v>499</v>
      </c>
      <c r="K1697" s="1">
        <v>0</v>
      </c>
      <c r="L1697" s="1">
        <f>ROUNDDOWN(formatted_data[[#This Row],[Selling_Price]]*formatted_data[[#This Row],[Discount_%]]/100,0)</f>
        <v>0</v>
      </c>
      <c r="M1697" s="1">
        <f>(formatted_data[[#This Row],[Selling_Price]]-formatted_data[[#This Row],[Discount_Amount]])*formatted_data[[#This Row],[Units]]</f>
        <v>998</v>
      </c>
      <c r="N1697" s="1">
        <f>formatted_data[[#This Row],[Total_Revenue]]-(formatted_data[[#This Row],[Cost_Price]]*formatted_data[[#This Row],[Units]])</f>
        <v>370</v>
      </c>
      <c r="O1697" s="1" t="s">
        <v>21</v>
      </c>
      <c r="P1697"/>
    </row>
    <row r="1698" spans="1:16" x14ac:dyDescent="0.35">
      <c r="A1698" s="1" t="s">
        <v>102</v>
      </c>
      <c r="B1698" s="1" t="s">
        <v>27</v>
      </c>
      <c r="C1698" s="2">
        <v>45515</v>
      </c>
      <c r="D1698" s="1" t="s">
        <v>17</v>
      </c>
      <c r="E1698" s="1" t="s">
        <v>18</v>
      </c>
      <c r="F1698" s="1" t="s">
        <v>25</v>
      </c>
      <c r="G1698" s="1" t="s">
        <v>20</v>
      </c>
      <c r="H1698" s="1">
        <v>1</v>
      </c>
      <c r="I1698" s="1">
        <v>322</v>
      </c>
      <c r="J1698" s="1">
        <v>499</v>
      </c>
      <c r="K1698" s="1">
        <v>0</v>
      </c>
      <c r="L1698" s="1">
        <f>ROUNDDOWN(formatted_data[[#This Row],[Selling_Price]]*formatted_data[[#This Row],[Discount_%]]/100,0)</f>
        <v>0</v>
      </c>
      <c r="M1698" s="1">
        <f>(formatted_data[[#This Row],[Selling_Price]]-formatted_data[[#This Row],[Discount_Amount]])*formatted_data[[#This Row],[Units]]</f>
        <v>499</v>
      </c>
      <c r="N1698" s="1">
        <f>formatted_data[[#This Row],[Total_Revenue]]-(formatted_data[[#This Row],[Cost_Price]]*formatted_data[[#This Row],[Units]])</f>
        <v>177</v>
      </c>
      <c r="O1698" s="1" t="s">
        <v>21</v>
      </c>
      <c r="P1698"/>
    </row>
    <row r="1699" spans="1:16" x14ac:dyDescent="0.35">
      <c r="A1699" s="1" t="s">
        <v>106</v>
      </c>
      <c r="B1699" s="1" t="s">
        <v>27</v>
      </c>
      <c r="C1699" s="2">
        <v>45605</v>
      </c>
      <c r="D1699" s="1" t="s">
        <v>35</v>
      </c>
      <c r="E1699" s="1" t="s">
        <v>58</v>
      </c>
      <c r="F1699" s="1" t="s">
        <v>19</v>
      </c>
      <c r="G1699" s="1" t="s">
        <v>19</v>
      </c>
      <c r="H1699" s="1">
        <v>5</v>
      </c>
      <c r="I1699" s="1">
        <v>1124</v>
      </c>
      <c r="J1699" s="1">
        <v>1599</v>
      </c>
      <c r="K1699" s="1">
        <v>5</v>
      </c>
      <c r="L1699" s="1">
        <f>ROUNDDOWN(formatted_data[[#This Row],[Selling_Price]]*formatted_data[[#This Row],[Discount_%]]/100,0)</f>
        <v>79</v>
      </c>
      <c r="M1699" s="1">
        <f>(formatted_data[[#This Row],[Selling_Price]]-formatted_data[[#This Row],[Discount_Amount]])*formatted_data[[#This Row],[Units]]</f>
        <v>7600</v>
      </c>
      <c r="N1699" s="1">
        <f>formatted_data[[#This Row],[Total_Revenue]]-(formatted_data[[#This Row],[Cost_Price]]*formatted_data[[#This Row],[Units]])</f>
        <v>1980</v>
      </c>
      <c r="O1699" s="1" t="s">
        <v>21</v>
      </c>
      <c r="P1699"/>
    </row>
    <row r="1700" spans="1:16" x14ac:dyDescent="0.35">
      <c r="A1700" s="1" t="s">
        <v>40</v>
      </c>
      <c r="B1700" s="1" t="s">
        <v>27</v>
      </c>
      <c r="C1700" s="2">
        <v>45539</v>
      </c>
      <c r="D1700" s="1" t="s">
        <v>35</v>
      </c>
      <c r="E1700" s="1" t="s">
        <v>41</v>
      </c>
      <c r="F1700" s="1" t="s">
        <v>19</v>
      </c>
      <c r="G1700" s="1" t="s">
        <v>19</v>
      </c>
      <c r="H1700" s="1">
        <v>1</v>
      </c>
      <c r="I1700" s="1">
        <v>505</v>
      </c>
      <c r="J1700" s="1">
        <v>899</v>
      </c>
      <c r="K1700" s="1">
        <v>10</v>
      </c>
      <c r="L1700" s="1">
        <f>ROUNDDOWN(formatted_data[[#This Row],[Selling_Price]]*formatted_data[[#This Row],[Discount_%]]/100,0)</f>
        <v>89</v>
      </c>
      <c r="M1700" s="1">
        <f>(formatted_data[[#This Row],[Selling_Price]]-formatted_data[[#This Row],[Discount_Amount]])*formatted_data[[#This Row],[Units]]</f>
        <v>810</v>
      </c>
      <c r="N1700" s="1">
        <f>formatted_data[[#This Row],[Total_Revenue]]-(formatted_data[[#This Row],[Cost_Price]]*formatted_data[[#This Row],[Units]])</f>
        <v>305</v>
      </c>
      <c r="O1700" s="1" t="s">
        <v>33</v>
      </c>
      <c r="P1700"/>
    </row>
    <row r="1701" spans="1:16" x14ac:dyDescent="0.35">
      <c r="A1701" s="1" t="s">
        <v>56</v>
      </c>
      <c r="B1701" s="1" t="s">
        <v>27</v>
      </c>
      <c r="C1701" s="2">
        <v>45491</v>
      </c>
      <c r="D1701" s="1" t="s">
        <v>31</v>
      </c>
      <c r="E1701" s="1" t="s">
        <v>32</v>
      </c>
      <c r="F1701" s="1" t="s">
        <v>37</v>
      </c>
      <c r="G1701" s="1" t="s">
        <v>19</v>
      </c>
      <c r="H1701" s="1">
        <v>1</v>
      </c>
      <c r="I1701" s="1">
        <v>830</v>
      </c>
      <c r="J1701" s="1">
        <v>1399</v>
      </c>
      <c r="K1701" s="1">
        <v>0</v>
      </c>
      <c r="L1701" s="1">
        <f>ROUNDDOWN(formatted_data[[#This Row],[Selling_Price]]*formatted_data[[#This Row],[Discount_%]]/100,0)</f>
        <v>0</v>
      </c>
      <c r="M1701" s="1">
        <f>(formatted_data[[#This Row],[Selling_Price]]-formatted_data[[#This Row],[Discount_Amount]])*formatted_data[[#This Row],[Units]]</f>
        <v>1399</v>
      </c>
      <c r="N1701" s="1">
        <f>formatted_data[[#This Row],[Total_Revenue]]-(formatted_data[[#This Row],[Cost_Price]]*formatted_data[[#This Row],[Units]])</f>
        <v>569</v>
      </c>
      <c r="O1701" s="1" t="s">
        <v>21</v>
      </c>
      <c r="P1701"/>
    </row>
    <row r="1702" spans="1:16" x14ac:dyDescent="0.35">
      <c r="A1702" s="1" t="s">
        <v>52</v>
      </c>
      <c r="B1702" s="1" t="s">
        <v>27</v>
      </c>
      <c r="C1702" s="2">
        <v>45590</v>
      </c>
      <c r="D1702" s="1" t="s">
        <v>23</v>
      </c>
      <c r="E1702" s="1" t="s">
        <v>24</v>
      </c>
      <c r="F1702" s="1" t="s">
        <v>37</v>
      </c>
      <c r="G1702" s="1" t="s">
        <v>20</v>
      </c>
      <c r="H1702" s="1">
        <v>5</v>
      </c>
      <c r="I1702" s="1">
        <v>670</v>
      </c>
      <c r="J1702" s="1">
        <v>899</v>
      </c>
      <c r="K1702" s="1">
        <v>10</v>
      </c>
      <c r="L1702" s="1">
        <f>ROUNDDOWN(formatted_data[[#This Row],[Selling_Price]]*formatted_data[[#This Row],[Discount_%]]/100,0)</f>
        <v>89</v>
      </c>
      <c r="M1702" s="1">
        <f>(formatted_data[[#This Row],[Selling_Price]]-formatted_data[[#This Row],[Discount_Amount]])*formatted_data[[#This Row],[Units]]</f>
        <v>4050</v>
      </c>
      <c r="N1702" s="1">
        <f>formatted_data[[#This Row],[Total_Revenue]]-(formatted_data[[#This Row],[Cost_Price]]*formatted_data[[#This Row],[Units]])</f>
        <v>700</v>
      </c>
      <c r="O1702" s="1" t="s">
        <v>33</v>
      </c>
      <c r="P1702"/>
    </row>
    <row r="1703" spans="1:16" x14ac:dyDescent="0.35">
      <c r="A1703" s="1" t="s">
        <v>101</v>
      </c>
      <c r="B1703" s="1" t="s">
        <v>16</v>
      </c>
      <c r="C1703" s="2">
        <v>45642</v>
      </c>
      <c r="D1703" s="1" t="s">
        <v>35</v>
      </c>
      <c r="E1703" s="1" t="s">
        <v>39</v>
      </c>
      <c r="F1703" s="1" t="s">
        <v>19</v>
      </c>
      <c r="G1703" s="1" t="s">
        <v>19</v>
      </c>
      <c r="H1703" s="1">
        <v>2</v>
      </c>
      <c r="I1703" s="1">
        <v>959</v>
      </c>
      <c r="J1703" s="1">
        <v>1299</v>
      </c>
      <c r="K1703" s="1">
        <v>20</v>
      </c>
      <c r="L1703" s="1">
        <f>ROUNDDOWN(formatted_data[[#This Row],[Selling_Price]]*formatted_data[[#This Row],[Discount_%]]/100,0)</f>
        <v>259</v>
      </c>
      <c r="M1703" s="1">
        <f>(formatted_data[[#This Row],[Selling_Price]]-formatted_data[[#This Row],[Discount_Amount]])*formatted_data[[#This Row],[Units]]</f>
        <v>2080</v>
      </c>
      <c r="N1703" s="1">
        <f>formatted_data[[#This Row],[Total_Revenue]]-(formatted_data[[#This Row],[Cost_Price]]*formatted_data[[#This Row],[Units]])</f>
        <v>162</v>
      </c>
      <c r="O1703" s="1" t="s">
        <v>21</v>
      </c>
      <c r="P1703"/>
    </row>
    <row r="1704" spans="1:16" x14ac:dyDescent="0.35">
      <c r="A1704" s="1" t="s">
        <v>88</v>
      </c>
      <c r="B1704" s="1" t="s">
        <v>27</v>
      </c>
      <c r="C1704" s="2">
        <v>45591</v>
      </c>
      <c r="D1704" s="1" t="s">
        <v>17</v>
      </c>
      <c r="E1704" s="1" t="s">
        <v>55</v>
      </c>
      <c r="F1704" s="1" t="s">
        <v>37</v>
      </c>
      <c r="G1704" s="1" t="s">
        <v>19</v>
      </c>
      <c r="H1704" s="1">
        <v>1</v>
      </c>
      <c r="I1704" s="1">
        <v>594</v>
      </c>
      <c r="J1704" s="1">
        <v>799</v>
      </c>
      <c r="K1704" s="1">
        <v>0</v>
      </c>
      <c r="L1704" s="1">
        <f>ROUNDDOWN(formatted_data[[#This Row],[Selling_Price]]*formatted_data[[#This Row],[Discount_%]]/100,0)</f>
        <v>0</v>
      </c>
      <c r="M1704" s="1">
        <f>(formatted_data[[#This Row],[Selling_Price]]-formatted_data[[#This Row],[Discount_Amount]])*formatted_data[[#This Row],[Units]]</f>
        <v>799</v>
      </c>
      <c r="N1704" s="1">
        <f>formatted_data[[#This Row],[Total_Revenue]]-(formatted_data[[#This Row],[Cost_Price]]*formatted_data[[#This Row],[Units]])</f>
        <v>205</v>
      </c>
      <c r="O1704" s="1" t="s">
        <v>21</v>
      </c>
      <c r="P1704"/>
    </row>
    <row r="1705" spans="1:16" x14ac:dyDescent="0.35">
      <c r="A1705" s="1" t="s">
        <v>63</v>
      </c>
      <c r="B1705" s="1" t="s">
        <v>27</v>
      </c>
      <c r="C1705" s="2">
        <v>45590</v>
      </c>
      <c r="D1705" s="1" t="s">
        <v>17</v>
      </c>
      <c r="E1705" s="1" t="s">
        <v>55</v>
      </c>
      <c r="F1705" s="1" t="s">
        <v>19</v>
      </c>
      <c r="G1705" s="1" t="s">
        <v>19</v>
      </c>
      <c r="H1705" s="1">
        <v>1</v>
      </c>
      <c r="I1705" s="1">
        <v>341</v>
      </c>
      <c r="J1705" s="1">
        <v>499</v>
      </c>
      <c r="K1705" s="1">
        <v>0</v>
      </c>
      <c r="L1705" s="1">
        <f>ROUNDDOWN(formatted_data[[#This Row],[Selling_Price]]*formatted_data[[#This Row],[Discount_%]]/100,0)</f>
        <v>0</v>
      </c>
      <c r="M1705" s="1">
        <f>(formatted_data[[#This Row],[Selling_Price]]-formatted_data[[#This Row],[Discount_Amount]])*formatted_data[[#This Row],[Units]]</f>
        <v>499</v>
      </c>
      <c r="N1705" s="1">
        <f>formatted_data[[#This Row],[Total_Revenue]]-(formatted_data[[#This Row],[Cost_Price]]*formatted_data[[#This Row],[Units]])</f>
        <v>158</v>
      </c>
      <c r="O1705" s="1" t="s">
        <v>21</v>
      </c>
      <c r="P1705"/>
    </row>
    <row r="1706" spans="1:16" x14ac:dyDescent="0.35">
      <c r="A1706" s="1" t="s">
        <v>67</v>
      </c>
      <c r="B1706" s="1" t="s">
        <v>27</v>
      </c>
      <c r="C1706" s="2">
        <v>45467</v>
      </c>
      <c r="D1706" s="1" t="s">
        <v>23</v>
      </c>
      <c r="E1706" s="1" t="s">
        <v>43</v>
      </c>
      <c r="F1706" s="1" t="s">
        <v>19</v>
      </c>
      <c r="G1706" s="1" t="s">
        <v>19</v>
      </c>
      <c r="H1706" s="1">
        <v>3</v>
      </c>
      <c r="I1706" s="1">
        <v>2044</v>
      </c>
      <c r="J1706" s="1">
        <v>2799</v>
      </c>
      <c r="K1706" s="1">
        <v>10</v>
      </c>
      <c r="L1706" s="1">
        <f>ROUNDDOWN(formatted_data[[#This Row],[Selling_Price]]*formatted_data[[#This Row],[Discount_%]]/100,0)</f>
        <v>279</v>
      </c>
      <c r="M1706" s="1">
        <f>(formatted_data[[#This Row],[Selling_Price]]-formatted_data[[#This Row],[Discount_Amount]])*formatted_data[[#This Row],[Units]]</f>
        <v>7560</v>
      </c>
      <c r="N1706" s="1">
        <f>formatted_data[[#This Row],[Total_Revenue]]-(formatted_data[[#This Row],[Cost_Price]]*formatted_data[[#This Row],[Units]])</f>
        <v>1428</v>
      </c>
      <c r="O1706" s="1" t="s">
        <v>21</v>
      </c>
      <c r="P1706"/>
    </row>
    <row r="1707" spans="1:16" x14ac:dyDescent="0.35">
      <c r="A1707" s="1" t="s">
        <v>104</v>
      </c>
      <c r="B1707" s="1" t="s">
        <v>27</v>
      </c>
      <c r="C1707" s="2">
        <v>45482</v>
      </c>
      <c r="D1707" s="1" t="s">
        <v>31</v>
      </c>
      <c r="E1707" s="1" t="s">
        <v>76</v>
      </c>
      <c r="F1707" s="1" t="s">
        <v>19</v>
      </c>
      <c r="G1707" s="1" t="s">
        <v>20</v>
      </c>
      <c r="H1707" s="1">
        <v>5</v>
      </c>
      <c r="I1707" s="1">
        <v>1049</v>
      </c>
      <c r="J1707" s="1">
        <v>1499</v>
      </c>
      <c r="K1707" s="1">
        <v>0</v>
      </c>
      <c r="L1707" s="1">
        <f>ROUNDDOWN(formatted_data[[#This Row],[Selling_Price]]*formatted_data[[#This Row],[Discount_%]]/100,0)</f>
        <v>0</v>
      </c>
      <c r="M1707" s="1">
        <f>(formatted_data[[#This Row],[Selling_Price]]-formatted_data[[#This Row],[Discount_Amount]])*formatted_data[[#This Row],[Units]]</f>
        <v>7495</v>
      </c>
      <c r="N1707" s="1">
        <f>formatted_data[[#This Row],[Total_Revenue]]-(formatted_data[[#This Row],[Cost_Price]]*formatted_data[[#This Row],[Units]])</f>
        <v>2250</v>
      </c>
      <c r="O1707" s="1" t="s">
        <v>33</v>
      </c>
      <c r="P1707"/>
    </row>
    <row r="1708" spans="1:16" x14ac:dyDescent="0.35">
      <c r="A1708" s="1" t="s">
        <v>78</v>
      </c>
      <c r="B1708" s="1" t="s">
        <v>16</v>
      </c>
      <c r="C1708" s="2">
        <v>45450</v>
      </c>
      <c r="D1708" s="1" t="s">
        <v>28</v>
      </c>
      <c r="E1708" s="1" t="s">
        <v>45</v>
      </c>
      <c r="F1708" s="1" t="s">
        <v>37</v>
      </c>
      <c r="G1708" s="1" t="s">
        <v>19</v>
      </c>
      <c r="H1708" s="1">
        <v>2</v>
      </c>
      <c r="I1708" s="1">
        <v>550</v>
      </c>
      <c r="J1708" s="1">
        <v>899</v>
      </c>
      <c r="K1708" s="1">
        <v>10</v>
      </c>
      <c r="L1708" s="1">
        <f>ROUNDDOWN(formatted_data[[#This Row],[Selling_Price]]*formatted_data[[#This Row],[Discount_%]]/100,0)</f>
        <v>89</v>
      </c>
      <c r="M1708" s="1">
        <f>(formatted_data[[#This Row],[Selling_Price]]-formatted_data[[#This Row],[Discount_Amount]])*formatted_data[[#This Row],[Units]]</f>
        <v>1620</v>
      </c>
      <c r="N1708" s="1">
        <f>formatted_data[[#This Row],[Total_Revenue]]-(formatted_data[[#This Row],[Cost_Price]]*formatted_data[[#This Row],[Units]])</f>
        <v>520</v>
      </c>
      <c r="O1708" s="1" t="s">
        <v>21</v>
      </c>
      <c r="P1708"/>
    </row>
    <row r="1709" spans="1:16" x14ac:dyDescent="0.35">
      <c r="A1709" s="1" t="s">
        <v>68</v>
      </c>
      <c r="B1709" s="1" t="s">
        <v>16</v>
      </c>
      <c r="C1709" s="2">
        <v>45580</v>
      </c>
      <c r="D1709" s="1" t="s">
        <v>35</v>
      </c>
      <c r="E1709" s="1" t="s">
        <v>50</v>
      </c>
      <c r="F1709" s="1" t="s">
        <v>19</v>
      </c>
      <c r="G1709" s="1" t="s">
        <v>19</v>
      </c>
      <c r="H1709" s="1">
        <v>5</v>
      </c>
      <c r="I1709" s="1">
        <v>788</v>
      </c>
      <c r="J1709" s="1">
        <v>1099</v>
      </c>
      <c r="K1709" s="1">
        <v>5</v>
      </c>
      <c r="L1709" s="1">
        <f>ROUNDDOWN(formatted_data[[#This Row],[Selling_Price]]*formatted_data[[#This Row],[Discount_%]]/100,0)</f>
        <v>54</v>
      </c>
      <c r="M1709" s="1">
        <f>(formatted_data[[#This Row],[Selling_Price]]-formatted_data[[#This Row],[Discount_Amount]])*formatted_data[[#This Row],[Units]]</f>
        <v>5225</v>
      </c>
      <c r="N1709" s="1">
        <f>formatted_data[[#This Row],[Total_Revenue]]-(formatted_data[[#This Row],[Cost_Price]]*formatted_data[[#This Row],[Units]])</f>
        <v>1285</v>
      </c>
      <c r="O1709" s="1" t="s">
        <v>21</v>
      </c>
      <c r="P1709"/>
    </row>
    <row r="1710" spans="1:16" x14ac:dyDescent="0.35">
      <c r="A1710" s="1" t="s">
        <v>51</v>
      </c>
      <c r="B1710" s="1" t="s">
        <v>16</v>
      </c>
      <c r="C1710" s="2">
        <v>45529</v>
      </c>
      <c r="D1710" s="1" t="s">
        <v>31</v>
      </c>
      <c r="E1710" s="1" t="s">
        <v>32</v>
      </c>
      <c r="F1710" s="1" t="s">
        <v>19</v>
      </c>
      <c r="G1710" s="1" t="s">
        <v>20</v>
      </c>
      <c r="H1710" s="1">
        <v>2</v>
      </c>
      <c r="I1710" s="1">
        <v>584</v>
      </c>
      <c r="J1710" s="1">
        <v>899</v>
      </c>
      <c r="K1710" s="1">
        <v>0</v>
      </c>
      <c r="L1710" s="1">
        <f>ROUNDDOWN(formatted_data[[#This Row],[Selling_Price]]*formatted_data[[#This Row],[Discount_%]]/100,0)</f>
        <v>0</v>
      </c>
      <c r="M1710" s="1">
        <f>(formatted_data[[#This Row],[Selling_Price]]-formatted_data[[#This Row],[Discount_Amount]])*formatted_data[[#This Row],[Units]]</f>
        <v>1798</v>
      </c>
      <c r="N1710" s="1">
        <f>formatted_data[[#This Row],[Total_Revenue]]-(formatted_data[[#This Row],[Cost_Price]]*formatted_data[[#This Row],[Units]])</f>
        <v>630</v>
      </c>
      <c r="O1710" s="1" t="s">
        <v>33</v>
      </c>
      <c r="P1710"/>
    </row>
    <row r="1711" spans="1:16" x14ac:dyDescent="0.35">
      <c r="A1711" s="1" t="s">
        <v>91</v>
      </c>
      <c r="B1711" s="1" t="s">
        <v>16</v>
      </c>
      <c r="C1711" s="2">
        <v>45602</v>
      </c>
      <c r="D1711" s="1" t="s">
        <v>23</v>
      </c>
      <c r="E1711" s="1" t="s">
        <v>24</v>
      </c>
      <c r="F1711" s="1" t="s">
        <v>37</v>
      </c>
      <c r="G1711" s="1" t="s">
        <v>20</v>
      </c>
      <c r="H1711" s="1">
        <v>1</v>
      </c>
      <c r="I1711" s="1">
        <v>961</v>
      </c>
      <c r="J1711" s="1">
        <v>1399</v>
      </c>
      <c r="K1711" s="1">
        <v>10</v>
      </c>
      <c r="L1711" s="1">
        <f>ROUNDDOWN(formatted_data[[#This Row],[Selling_Price]]*formatted_data[[#This Row],[Discount_%]]/100,0)</f>
        <v>139</v>
      </c>
      <c r="M1711" s="1">
        <f>(formatted_data[[#This Row],[Selling_Price]]-formatted_data[[#This Row],[Discount_Amount]])*formatted_data[[#This Row],[Units]]</f>
        <v>1260</v>
      </c>
      <c r="N1711" s="1">
        <f>formatted_data[[#This Row],[Total_Revenue]]-(formatted_data[[#This Row],[Cost_Price]]*formatted_data[[#This Row],[Units]])</f>
        <v>299</v>
      </c>
      <c r="O1711" s="1" t="s">
        <v>21</v>
      </c>
      <c r="P1711"/>
    </row>
    <row r="1712" spans="1:16" x14ac:dyDescent="0.35">
      <c r="A1712" s="1" t="s">
        <v>107</v>
      </c>
      <c r="B1712" s="1" t="s">
        <v>27</v>
      </c>
      <c r="C1712" s="2">
        <v>45640</v>
      </c>
      <c r="D1712" s="1" t="s">
        <v>23</v>
      </c>
      <c r="E1712" s="1" t="s">
        <v>43</v>
      </c>
      <c r="F1712" s="1" t="s">
        <v>19</v>
      </c>
      <c r="G1712" s="1" t="s">
        <v>19</v>
      </c>
      <c r="H1712" s="1">
        <v>1</v>
      </c>
      <c r="I1712" s="1">
        <v>1316</v>
      </c>
      <c r="J1712" s="1">
        <v>2199</v>
      </c>
      <c r="K1712" s="1">
        <v>5</v>
      </c>
      <c r="L1712" s="1">
        <f>ROUNDDOWN(formatted_data[[#This Row],[Selling_Price]]*formatted_data[[#This Row],[Discount_%]]/100,0)</f>
        <v>109</v>
      </c>
      <c r="M1712" s="1">
        <f>(formatted_data[[#This Row],[Selling_Price]]-formatted_data[[#This Row],[Discount_Amount]])*formatted_data[[#This Row],[Units]]</f>
        <v>2090</v>
      </c>
      <c r="N1712" s="1">
        <f>formatted_data[[#This Row],[Total_Revenue]]-(formatted_data[[#This Row],[Cost_Price]]*formatted_data[[#This Row],[Units]])</f>
        <v>774</v>
      </c>
      <c r="O1712" s="1" t="s">
        <v>33</v>
      </c>
      <c r="P1712"/>
    </row>
    <row r="1713" spans="1:16" x14ac:dyDescent="0.35">
      <c r="A1713" s="1" t="s">
        <v>91</v>
      </c>
      <c r="B1713" s="1" t="s">
        <v>16</v>
      </c>
      <c r="C1713" s="2">
        <v>45508</v>
      </c>
      <c r="D1713" s="1" t="s">
        <v>17</v>
      </c>
      <c r="E1713" s="1" t="s">
        <v>72</v>
      </c>
      <c r="F1713" s="1" t="s">
        <v>25</v>
      </c>
      <c r="G1713" s="1" t="s">
        <v>19</v>
      </c>
      <c r="H1713" s="1">
        <v>5</v>
      </c>
      <c r="I1713" s="1">
        <v>313</v>
      </c>
      <c r="J1713" s="1">
        <v>499</v>
      </c>
      <c r="K1713" s="1">
        <v>0</v>
      </c>
      <c r="L1713" s="1">
        <f>ROUNDDOWN(formatted_data[[#This Row],[Selling_Price]]*formatted_data[[#This Row],[Discount_%]]/100,0)</f>
        <v>0</v>
      </c>
      <c r="M1713" s="1">
        <f>(formatted_data[[#This Row],[Selling_Price]]-formatted_data[[#This Row],[Discount_Amount]])*formatted_data[[#This Row],[Units]]</f>
        <v>2495</v>
      </c>
      <c r="N1713" s="1">
        <f>formatted_data[[#This Row],[Total_Revenue]]-(formatted_data[[#This Row],[Cost_Price]]*formatted_data[[#This Row],[Units]])</f>
        <v>930</v>
      </c>
      <c r="O1713" s="1" t="s">
        <v>21</v>
      </c>
      <c r="P1713"/>
    </row>
    <row r="1714" spans="1:16" x14ac:dyDescent="0.35">
      <c r="A1714" s="1" t="s">
        <v>57</v>
      </c>
      <c r="B1714" s="1" t="s">
        <v>27</v>
      </c>
      <c r="C1714" s="2">
        <v>45644</v>
      </c>
      <c r="D1714" s="1" t="s">
        <v>31</v>
      </c>
      <c r="E1714" s="1" t="s">
        <v>76</v>
      </c>
      <c r="F1714" s="1" t="s">
        <v>19</v>
      </c>
      <c r="G1714" s="1" t="s">
        <v>20</v>
      </c>
      <c r="H1714" s="1">
        <v>1</v>
      </c>
      <c r="I1714" s="1">
        <v>556</v>
      </c>
      <c r="J1714" s="1">
        <v>799</v>
      </c>
      <c r="K1714" s="1">
        <v>0</v>
      </c>
      <c r="L1714" s="1">
        <f>ROUNDDOWN(formatted_data[[#This Row],[Selling_Price]]*formatted_data[[#This Row],[Discount_%]]/100,0)</f>
        <v>0</v>
      </c>
      <c r="M1714" s="1">
        <f>(formatted_data[[#This Row],[Selling_Price]]-formatted_data[[#This Row],[Discount_Amount]])*formatted_data[[#This Row],[Units]]</f>
        <v>799</v>
      </c>
      <c r="N1714" s="1">
        <f>formatted_data[[#This Row],[Total_Revenue]]-(formatted_data[[#This Row],[Cost_Price]]*formatted_data[[#This Row],[Units]])</f>
        <v>243</v>
      </c>
      <c r="O1714" s="1" t="s">
        <v>21</v>
      </c>
      <c r="P1714"/>
    </row>
    <row r="1715" spans="1:16" x14ac:dyDescent="0.35">
      <c r="A1715" s="1" t="s">
        <v>91</v>
      </c>
      <c r="B1715" s="1" t="s">
        <v>16</v>
      </c>
      <c r="C1715" s="2">
        <v>45616</v>
      </c>
      <c r="D1715" s="1" t="s">
        <v>28</v>
      </c>
      <c r="E1715" s="1" t="s">
        <v>45</v>
      </c>
      <c r="F1715" s="1" t="s">
        <v>19</v>
      </c>
      <c r="G1715" s="1" t="s">
        <v>19</v>
      </c>
      <c r="H1715" s="1">
        <v>1</v>
      </c>
      <c r="I1715" s="1">
        <v>580</v>
      </c>
      <c r="J1715" s="1">
        <v>899</v>
      </c>
      <c r="K1715" s="1">
        <v>10</v>
      </c>
      <c r="L1715" s="1">
        <f>ROUNDDOWN(formatted_data[[#This Row],[Selling_Price]]*formatted_data[[#This Row],[Discount_%]]/100,0)</f>
        <v>89</v>
      </c>
      <c r="M1715" s="1">
        <f>(formatted_data[[#This Row],[Selling_Price]]-formatted_data[[#This Row],[Discount_Amount]])*formatted_data[[#This Row],[Units]]</f>
        <v>810</v>
      </c>
      <c r="N1715" s="1">
        <f>formatted_data[[#This Row],[Total_Revenue]]-(formatted_data[[#This Row],[Cost_Price]]*formatted_data[[#This Row],[Units]])</f>
        <v>230</v>
      </c>
      <c r="O1715" s="1" t="s">
        <v>21</v>
      </c>
      <c r="P1715"/>
    </row>
    <row r="1716" spans="1:16" x14ac:dyDescent="0.35">
      <c r="A1716" s="1" t="s">
        <v>49</v>
      </c>
      <c r="B1716" s="1" t="s">
        <v>27</v>
      </c>
      <c r="C1716" s="2">
        <v>45519</v>
      </c>
      <c r="D1716" s="1" t="s">
        <v>31</v>
      </c>
      <c r="E1716" s="1" t="s">
        <v>32</v>
      </c>
      <c r="F1716" s="1" t="s">
        <v>19</v>
      </c>
      <c r="G1716" s="1" t="s">
        <v>20</v>
      </c>
      <c r="H1716" s="1">
        <v>1</v>
      </c>
      <c r="I1716" s="1">
        <v>764</v>
      </c>
      <c r="J1716" s="1">
        <v>1499</v>
      </c>
      <c r="K1716" s="1">
        <v>0</v>
      </c>
      <c r="L1716" s="1">
        <f>ROUNDDOWN(formatted_data[[#This Row],[Selling_Price]]*formatted_data[[#This Row],[Discount_%]]/100,0)</f>
        <v>0</v>
      </c>
      <c r="M1716" s="1">
        <f>(formatted_data[[#This Row],[Selling_Price]]-formatted_data[[#This Row],[Discount_Amount]])*formatted_data[[#This Row],[Units]]</f>
        <v>1499</v>
      </c>
      <c r="N1716" s="1">
        <f>formatted_data[[#This Row],[Total_Revenue]]-(formatted_data[[#This Row],[Cost_Price]]*formatted_data[[#This Row],[Units]])</f>
        <v>735</v>
      </c>
      <c r="O1716" s="1" t="s">
        <v>33</v>
      </c>
      <c r="P1716"/>
    </row>
    <row r="1717" spans="1:16" x14ac:dyDescent="0.35">
      <c r="A1717" s="1" t="s">
        <v>53</v>
      </c>
      <c r="B1717" s="1" t="s">
        <v>27</v>
      </c>
      <c r="C1717" s="2">
        <v>45458</v>
      </c>
      <c r="D1717" s="1" t="s">
        <v>31</v>
      </c>
      <c r="E1717" s="1" t="s">
        <v>76</v>
      </c>
      <c r="F1717" s="1" t="s">
        <v>19</v>
      </c>
      <c r="G1717" s="1" t="s">
        <v>20</v>
      </c>
      <c r="H1717" s="1">
        <v>3</v>
      </c>
      <c r="I1717" s="1">
        <v>958</v>
      </c>
      <c r="J1717" s="1">
        <v>1499</v>
      </c>
      <c r="K1717" s="1">
        <v>0</v>
      </c>
      <c r="L1717" s="1">
        <f>ROUNDDOWN(formatted_data[[#This Row],[Selling_Price]]*formatted_data[[#This Row],[Discount_%]]/100,0)</f>
        <v>0</v>
      </c>
      <c r="M1717" s="1">
        <f>(formatted_data[[#This Row],[Selling_Price]]-formatted_data[[#This Row],[Discount_Amount]])*formatted_data[[#This Row],[Units]]</f>
        <v>4497</v>
      </c>
      <c r="N1717" s="1">
        <f>formatted_data[[#This Row],[Total_Revenue]]-(formatted_data[[#This Row],[Cost_Price]]*formatted_data[[#This Row],[Units]])</f>
        <v>1623</v>
      </c>
      <c r="O1717" s="1" t="s">
        <v>21</v>
      </c>
      <c r="P1717"/>
    </row>
    <row r="1718" spans="1:16" x14ac:dyDescent="0.35">
      <c r="A1718" s="1" t="s">
        <v>49</v>
      </c>
      <c r="B1718" s="1" t="s">
        <v>27</v>
      </c>
      <c r="C1718" s="2">
        <v>45579</v>
      </c>
      <c r="D1718" s="1" t="s">
        <v>35</v>
      </c>
      <c r="E1718" s="1" t="s">
        <v>87</v>
      </c>
      <c r="F1718" s="1" t="s">
        <v>37</v>
      </c>
      <c r="G1718" s="1" t="s">
        <v>20</v>
      </c>
      <c r="H1718" s="1">
        <v>1</v>
      </c>
      <c r="I1718" s="1">
        <v>2612</v>
      </c>
      <c r="J1718" s="1">
        <v>3799</v>
      </c>
      <c r="K1718" s="1">
        <v>20</v>
      </c>
      <c r="L1718" s="1">
        <f>ROUNDDOWN(formatted_data[[#This Row],[Selling_Price]]*formatted_data[[#This Row],[Discount_%]]/100,0)</f>
        <v>759</v>
      </c>
      <c r="M1718" s="1">
        <f>(formatted_data[[#This Row],[Selling_Price]]-formatted_data[[#This Row],[Discount_Amount]])*formatted_data[[#This Row],[Units]]</f>
        <v>3040</v>
      </c>
      <c r="N1718" s="1">
        <f>formatted_data[[#This Row],[Total_Revenue]]-(formatted_data[[#This Row],[Cost_Price]]*formatted_data[[#This Row],[Units]])</f>
        <v>428</v>
      </c>
      <c r="O1718" s="1" t="s">
        <v>33</v>
      </c>
      <c r="P1718"/>
    </row>
    <row r="1719" spans="1:16" x14ac:dyDescent="0.35">
      <c r="A1719" s="1" t="s">
        <v>86</v>
      </c>
      <c r="B1719" s="1" t="s">
        <v>27</v>
      </c>
      <c r="C1719" s="2">
        <v>45600</v>
      </c>
      <c r="D1719" s="1" t="s">
        <v>28</v>
      </c>
      <c r="E1719" s="1" t="s">
        <v>29</v>
      </c>
      <c r="F1719" s="1" t="s">
        <v>19</v>
      </c>
      <c r="G1719" s="1" t="s">
        <v>20</v>
      </c>
      <c r="H1719" s="1">
        <v>2</v>
      </c>
      <c r="I1719" s="1">
        <v>286</v>
      </c>
      <c r="J1719" s="1">
        <v>499</v>
      </c>
      <c r="K1719" s="1">
        <v>15</v>
      </c>
      <c r="L1719" s="1">
        <f>ROUNDDOWN(formatted_data[[#This Row],[Selling_Price]]*formatted_data[[#This Row],[Discount_%]]/100,0)</f>
        <v>74</v>
      </c>
      <c r="M1719" s="1">
        <f>(formatted_data[[#This Row],[Selling_Price]]-formatted_data[[#This Row],[Discount_Amount]])*formatted_data[[#This Row],[Units]]</f>
        <v>850</v>
      </c>
      <c r="N1719" s="1">
        <f>formatted_data[[#This Row],[Total_Revenue]]-(formatted_data[[#This Row],[Cost_Price]]*formatted_data[[#This Row],[Units]])</f>
        <v>278</v>
      </c>
      <c r="O1719" s="1" t="s">
        <v>21</v>
      </c>
      <c r="P1719"/>
    </row>
    <row r="1720" spans="1:16" x14ac:dyDescent="0.35">
      <c r="A1720" s="1" t="s">
        <v>22</v>
      </c>
      <c r="B1720" s="1" t="s">
        <v>16</v>
      </c>
      <c r="C1720" s="2">
        <v>45562</v>
      </c>
      <c r="D1720" s="1" t="s">
        <v>17</v>
      </c>
      <c r="E1720" s="1" t="s">
        <v>18</v>
      </c>
      <c r="F1720" s="1" t="s">
        <v>25</v>
      </c>
      <c r="G1720" s="1" t="s">
        <v>19</v>
      </c>
      <c r="H1720" s="1">
        <v>1</v>
      </c>
      <c r="I1720" s="1">
        <v>298</v>
      </c>
      <c r="J1720" s="1">
        <v>499</v>
      </c>
      <c r="K1720" s="1">
        <v>0</v>
      </c>
      <c r="L1720" s="1">
        <f>ROUNDDOWN(formatted_data[[#This Row],[Selling_Price]]*formatted_data[[#This Row],[Discount_%]]/100,0)</f>
        <v>0</v>
      </c>
      <c r="M1720" s="1">
        <f>(formatted_data[[#This Row],[Selling_Price]]-formatted_data[[#This Row],[Discount_Amount]])*formatted_data[[#This Row],[Units]]</f>
        <v>499</v>
      </c>
      <c r="N1720" s="1">
        <f>formatted_data[[#This Row],[Total_Revenue]]-(formatted_data[[#This Row],[Cost_Price]]*formatted_data[[#This Row],[Units]])</f>
        <v>201</v>
      </c>
      <c r="O1720" s="1" t="s">
        <v>21</v>
      </c>
      <c r="P1720"/>
    </row>
    <row r="1721" spans="1:16" x14ac:dyDescent="0.35">
      <c r="A1721" s="1" t="s">
        <v>79</v>
      </c>
      <c r="B1721" s="1" t="s">
        <v>16</v>
      </c>
      <c r="C1721" s="2">
        <v>45506</v>
      </c>
      <c r="D1721" s="1" t="s">
        <v>35</v>
      </c>
      <c r="E1721" s="1" t="s">
        <v>87</v>
      </c>
      <c r="F1721" s="1" t="s">
        <v>37</v>
      </c>
      <c r="G1721" s="1" t="s">
        <v>20</v>
      </c>
      <c r="H1721" s="1">
        <v>3</v>
      </c>
      <c r="I1721" s="1">
        <v>1781</v>
      </c>
      <c r="J1721" s="1">
        <v>2699</v>
      </c>
      <c r="K1721" s="1">
        <v>5</v>
      </c>
      <c r="L1721" s="1">
        <f>ROUNDDOWN(formatted_data[[#This Row],[Selling_Price]]*formatted_data[[#This Row],[Discount_%]]/100,0)</f>
        <v>134</v>
      </c>
      <c r="M1721" s="1">
        <f>(formatted_data[[#This Row],[Selling_Price]]-formatted_data[[#This Row],[Discount_Amount]])*formatted_data[[#This Row],[Units]]</f>
        <v>7695</v>
      </c>
      <c r="N1721" s="1">
        <f>formatted_data[[#This Row],[Total_Revenue]]-(formatted_data[[#This Row],[Cost_Price]]*formatted_data[[#This Row],[Units]])</f>
        <v>2352</v>
      </c>
      <c r="O1721" s="1" t="s">
        <v>21</v>
      </c>
      <c r="P1721"/>
    </row>
    <row r="1722" spans="1:16" x14ac:dyDescent="0.35">
      <c r="A1722" s="1" t="s">
        <v>94</v>
      </c>
      <c r="B1722" s="1" t="s">
        <v>16</v>
      </c>
      <c r="C1722" s="2">
        <v>45458</v>
      </c>
      <c r="D1722" s="1" t="s">
        <v>31</v>
      </c>
      <c r="E1722" s="1" t="s">
        <v>76</v>
      </c>
      <c r="F1722" s="1" t="s">
        <v>19</v>
      </c>
      <c r="G1722" s="1" t="s">
        <v>19</v>
      </c>
      <c r="H1722" s="1">
        <v>1</v>
      </c>
      <c r="I1722" s="1">
        <v>562</v>
      </c>
      <c r="J1722" s="1">
        <v>799</v>
      </c>
      <c r="K1722" s="1">
        <v>0</v>
      </c>
      <c r="L1722" s="1">
        <f>ROUNDDOWN(formatted_data[[#This Row],[Selling_Price]]*formatted_data[[#This Row],[Discount_%]]/100,0)</f>
        <v>0</v>
      </c>
      <c r="M1722" s="1">
        <f>(formatted_data[[#This Row],[Selling_Price]]-formatted_data[[#This Row],[Discount_Amount]])*formatted_data[[#This Row],[Units]]</f>
        <v>799</v>
      </c>
      <c r="N1722" s="1">
        <f>formatted_data[[#This Row],[Total_Revenue]]-(formatted_data[[#This Row],[Cost_Price]]*formatted_data[[#This Row],[Units]])</f>
        <v>237</v>
      </c>
      <c r="O1722" s="1" t="s">
        <v>21</v>
      </c>
      <c r="P1722"/>
    </row>
    <row r="1723" spans="1:16" x14ac:dyDescent="0.35">
      <c r="A1723" s="1" t="s">
        <v>79</v>
      </c>
      <c r="B1723" s="1" t="s">
        <v>16</v>
      </c>
      <c r="C1723" s="2">
        <v>45617</v>
      </c>
      <c r="D1723" s="1" t="s">
        <v>23</v>
      </c>
      <c r="E1723" s="1" t="s">
        <v>43</v>
      </c>
      <c r="F1723" s="1" t="s">
        <v>37</v>
      </c>
      <c r="G1723" s="1" t="s">
        <v>20</v>
      </c>
      <c r="H1723" s="1">
        <v>3</v>
      </c>
      <c r="I1723" s="1">
        <v>2483</v>
      </c>
      <c r="J1723" s="1">
        <v>4399</v>
      </c>
      <c r="K1723" s="1">
        <v>20</v>
      </c>
      <c r="L1723" s="1">
        <f>ROUNDDOWN(formatted_data[[#This Row],[Selling_Price]]*formatted_data[[#This Row],[Discount_%]]/100,0)</f>
        <v>879</v>
      </c>
      <c r="M1723" s="1">
        <f>(formatted_data[[#This Row],[Selling_Price]]-formatted_data[[#This Row],[Discount_Amount]])*formatted_data[[#This Row],[Units]]</f>
        <v>10560</v>
      </c>
      <c r="N1723" s="1">
        <f>formatted_data[[#This Row],[Total_Revenue]]-(formatted_data[[#This Row],[Cost_Price]]*formatted_data[[#This Row],[Units]])</f>
        <v>3111</v>
      </c>
      <c r="O1723" s="1" t="s">
        <v>33</v>
      </c>
      <c r="P1723"/>
    </row>
    <row r="1724" spans="1:16" x14ac:dyDescent="0.35">
      <c r="A1724" s="1" t="s">
        <v>15</v>
      </c>
      <c r="B1724" s="1" t="s">
        <v>16</v>
      </c>
      <c r="C1724" s="2">
        <v>45636</v>
      </c>
      <c r="D1724" s="1" t="s">
        <v>23</v>
      </c>
      <c r="E1724" s="1" t="s">
        <v>24</v>
      </c>
      <c r="F1724" s="1" t="s">
        <v>37</v>
      </c>
      <c r="G1724" s="1" t="s">
        <v>20</v>
      </c>
      <c r="H1724" s="1">
        <v>1</v>
      </c>
      <c r="I1724" s="1">
        <v>1057</v>
      </c>
      <c r="J1724" s="1">
        <v>1599</v>
      </c>
      <c r="K1724" s="1">
        <v>5</v>
      </c>
      <c r="L1724" s="1">
        <f>ROUNDDOWN(formatted_data[[#This Row],[Selling_Price]]*formatted_data[[#This Row],[Discount_%]]/100,0)</f>
        <v>79</v>
      </c>
      <c r="M1724" s="1">
        <f>(formatted_data[[#This Row],[Selling_Price]]-formatted_data[[#This Row],[Discount_Amount]])*formatted_data[[#This Row],[Units]]</f>
        <v>1520</v>
      </c>
      <c r="N1724" s="1">
        <f>formatted_data[[#This Row],[Total_Revenue]]-(formatted_data[[#This Row],[Cost_Price]]*formatted_data[[#This Row],[Units]])</f>
        <v>463</v>
      </c>
      <c r="O1724" s="1" t="s">
        <v>21</v>
      </c>
      <c r="P1724"/>
    </row>
    <row r="1725" spans="1:16" x14ac:dyDescent="0.35">
      <c r="A1725" s="1" t="s">
        <v>47</v>
      </c>
      <c r="B1725" s="1" t="s">
        <v>16</v>
      </c>
      <c r="C1725" s="2">
        <v>45625</v>
      </c>
      <c r="D1725" s="1" t="s">
        <v>28</v>
      </c>
      <c r="E1725" s="1" t="s">
        <v>29</v>
      </c>
      <c r="F1725" s="1" t="s">
        <v>19</v>
      </c>
      <c r="G1725" s="1" t="s">
        <v>19</v>
      </c>
      <c r="H1725" s="1">
        <v>2</v>
      </c>
      <c r="I1725" s="1">
        <v>422</v>
      </c>
      <c r="J1725" s="1">
        <v>799</v>
      </c>
      <c r="K1725" s="1">
        <v>15</v>
      </c>
      <c r="L1725" s="1">
        <f>ROUNDDOWN(formatted_data[[#This Row],[Selling_Price]]*formatted_data[[#This Row],[Discount_%]]/100,0)</f>
        <v>119</v>
      </c>
      <c r="M1725" s="1">
        <f>(formatted_data[[#This Row],[Selling_Price]]-formatted_data[[#This Row],[Discount_Amount]])*formatted_data[[#This Row],[Units]]</f>
        <v>1360</v>
      </c>
      <c r="N1725" s="1">
        <f>formatted_data[[#This Row],[Total_Revenue]]-(formatted_data[[#This Row],[Cost_Price]]*formatted_data[[#This Row],[Units]])</f>
        <v>516</v>
      </c>
      <c r="O1725" s="1" t="s">
        <v>21</v>
      </c>
      <c r="P1725"/>
    </row>
    <row r="1726" spans="1:16" x14ac:dyDescent="0.35">
      <c r="A1726" s="1" t="s">
        <v>49</v>
      </c>
      <c r="B1726" s="1" t="s">
        <v>27</v>
      </c>
      <c r="C1726" s="2">
        <v>45628</v>
      </c>
      <c r="D1726" s="1" t="s">
        <v>23</v>
      </c>
      <c r="E1726" s="1" t="s">
        <v>43</v>
      </c>
      <c r="F1726" s="1" t="s">
        <v>19</v>
      </c>
      <c r="G1726" s="1" t="s">
        <v>20</v>
      </c>
      <c r="H1726" s="1">
        <v>1</v>
      </c>
      <c r="I1726" s="1">
        <v>1898</v>
      </c>
      <c r="J1726" s="1">
        <v>3399</v>
      </c>
      <c r="K1726" s="1">
        <v>10</v>
      </c>
      <c r="L1726" s="1">
        <f>ROUNDDOWN(formatted_data[[#This Row],[Selling_Price]]*formatted_data[[#This Row],[Discount_%]]/100,0)</f>
        <v>339</v>
      </c>
      <c r="M1726" s="1">
        <f>(formatted_data[[#This Row],[Selling_Price]]-formatted_data[[#This Row],[Discount_Amount]])*formatted_data[[#This Row],[Units]]</f>
        <v>3060</v>
      </c>
      <c r="N1726" s="1">
        <f>formatted_data[[#This Row],[Total_Revenue]]-(formatted_data[[#This Row],[Cost_Price]]*formatted_data[[#This Row],[Units]])</f>
        <v>1162</v>
      </c>
      <c r="O1726" s="1" t="s">
        <v>33</v>
      </c>
      <c r="P1726"/>
    </row>
    <row r="1727" spans="1:16" x14ac:dyDescent="0.35">
      <c r="A1727" s="1" t="s">
        <v>68</v>
      </c>
      <c r="B1727" s="1" t="s">
        <v>16</v>
      </c>
      <c r="C1727" s="2">
        <v>45556</v>
      </c>
      <c r="D1727" s="1" t="s">
        <v>17</v>
      </c>
      <c r="E1727" s="1" t="s">
        <v>55</v>
      </c>
      <c r="F1727" s="1" t="s">
        <v>25</v>
      </c>
      <c r="G1727" s="1" t="s">
        <v>19</v>
      </c>
      <c r="H1727" s="1">
        <v>2</v>
      </c>
      <c r="I1727" s="1">
        <v>403</v>
      </c>
      <c r="J1727" s="1">
        <v>799</v>
      </c>
      <c r="K1727" s="1">
        <v>0</v>
      </c>
      <c r="L1727" s="1">
        <f>ROUNDDOWN(formatted_data[[#This Row],[Selling_Price]]*formatted_data[[#This Row],[Discount_%]]/100,0)</f>
        <v>0</v>
      </c>
      <c r="M1727" s="1">
        <f>(formatted_data[[#This Row],[Selling_Price]]-formatted_data[[#This Row],[Discount_Amount]])*formatted_data[[#This Row],[Units]]</f>
        <v>1598</v>
      </c>
      <c r="N1727" s="1">
        <f>formatted_data[[#This Row],[Total_Revenue]]-(formatted_data[[#This Row],[Cost_Price]]*formatted_data[[#This Row],[Units]])</f>
        <v>792</v>
      </c>
      <c r="O1727" s="1" t="s">
        <v>21</v>
      </c>
      <c r="P1727"/>
    </row>
    <row r="1728" spans="1:16" x14ac:dyDescent="0.35">
      <c r="A1728" s="1" t="s">
        <v>64</v>
      </c>
      <c r="B1728" s="1" t="s">
        <v>16</v>
      </c>
      <c r="C1728" s="2">
        <v>45643</v>
      </c>
      <c r="D1728" s="1" t="s">
        <v>31</v>
      </c>
      <c r="E1728" s="1" t="s">
        <v>76</v>
      </c>
      <c r="F1728" s="1" t="s">
        <v>19</v>
      </c>
      <c r="G1728" s="1" t="s">
        <v>20</v>
      </c>
      <c r="H1728" s="1">
        <v>3</v>
      </c>
      <c r="I1728" s="1">
        <v>660</v>
      </c>
      <c r="J1728" s="1">
        <v>999</v>
      </c>
      <c r="K1728" s="1">
        <v>0</v>
      </c>
      <c r="L1728" s="1">
        <f>ROUNDDOWN(formatted_data[[#This Row],[Selling_Price]]*formatted_data[[#This Row],[Discount_%]]/100,0)</f>
        <v>0</v>
      </c>
      <c r="M1728" s="1">
        <f>(formatted_data[[#This Row],[Selling_Price]]-formatted_data[[#This Row],[Discount_Amount]])*formatted_data[[#This Row],[Units]]</f>
        <v>2997</v>
      </c>
      <c r="N1728" s="1">
        <f>formatted_data[[#This Row],[Total_Revenue]]-(formatted_data[[#This Row],[Cost_Price]]*formatted_data[[#This Row],[Units]])</f>
        <v>1017</v>
      </c>
      <c r="O1728" s="1" t="s">
        <v>21</v>
      </c>
      <c r="P1728"/>
    </row>
    <row r="1729" spans="1:16" x14ac:dyDescent="0.35">
      <c r="A1729" s="1" t="s">
        <v>52</v>
      </c>
      <c r="B1729" s="1" t="s">
        <v>27</v>
      </c>
      <c r="C1729" s="2">
        <v>45470</v>
      </c>
      <c r="D1729" s="1" t="s">
        <v>23</v>
      </c>
      <c r="E1729" s="1" t="s">
        <v>24</v>
      </c>
      <c r="F1729" s="1" t="s">
        <v>37</v>
      </c>
      <c r="G1729" s="1" t="s">
        <v>19</v>
      </c>
      <c r="H1729" s="1">
        <v>2</v>
      </c>
      <c r="I1729" s="1">
        <v>911</v>
      </c>
      <c r="J1729" s="1">
        <v>1299</v>
      </c>
      <c r="K1729" s="1">
        <v>5</v>
      </c>
      <c r="L1729" s="1">
        <f>ROUNDDOWN(formatted_data[[#This Row],[Selling_Price]]*formatted_data[[#This Row],[Discount_%]]/100,0)</f>
        <v>64</v>
      </c>
      <c r="M1729" s="1">
        <f>(formatted_data[[#This Row],[Selling_Price]]-formatted_data[[#This Row],[Discount_Amount]])*formatted_data[[#This Row],[Units]]</f>
        <v>2470</v>
      </c>
      <c r="N1729" s="1">
        <f>formatted_data[[#This Row],[Total_Revenue]]-(formatted_data[[#This Row],[Cost_Price]]*formatted_data[[#This Row],[Units]])</f>
        <v>648</v>
      </c>
      <c r="O1729" s="1" t="s">
        <v>21</v>
      </c>
      <c r="P1729"/>
    </row>
    <row r="1730" spans="1:16" x14ac:dyDescent="0.35">
      <c r="A1730" s="1" t="s">
        <v>86</v>
      </c>
      <c r="B1730" s="1" t="s">
        <v>27</v>
      </c>
      <c r="C1730" s="2">
        <v>45627</v>
      </c>
      <c r="D1730" s="1" t="s">
        <v>31</v>
      </c>
      <c r="E1730" s="1" t="s">
        <v>76</v>
      </c>
      <c r="F1730" s="1" t="s">
        <v>25</v>
      </c>
      <c r="G1730" s="1" t="s">
        <v>19</v>
      </c>
      <c r="H1730" s="1">
        <v>5</v>
      </c>
      <c r="I1730" s="1">
        <v>407</v>
      </c>
      <c r="J1730" s="1">
        <v>699</v>
      </c>
      <c r="K1730" s="1">
        <v>0</v>
      </c>
      <c r="L1730" s="1">
        <f>ROUNDDOWN(formatted_data[[#This Row],[Selling_Price]]*formatted_data[[#This Row],[Discount_%]]/100,0)</f>
        <v>0</v>
      </c>
      <c r="M1730" s="1">
        <f>(formatted_data[[#This Row],[Selling_Price]]-formatted_data[[#This Row],[Discount_Amount]])*formatted_data[[#This Row],[Units]]</f>
        <v>3495</v>
      </c>
      <c r="N1730" s="1">
        <f>formatted_data[[#This Row],[Total_Revenue]]-(formatted_data[[#This Row],[Cost_Price]]*formatted_data[[#This Row],[Units]])</f>
        <v>1460</v>
      </c>
      <c r="O1730" s="1" t="s">
        <v>21</v>
      </c>
      <c r="P1730"/>
    </row>
    <row r="1731" spans="1:16" x14ac:dyDescent="0.35">
      <c r="A1731" s="1" t="s">
        <v>90</v>
      </c>
      <c r="B1731" s="1" t="s">
        <v>27</v>
      </c>
      <c r="C1731" s="2">
        <v>45552</v>
      </c>
      <c r="D1731" s="1" t="s">
        <v>28</v>
      </c>
      <c r="E1731" s="1" t="s">
        <v>45</v>
      </c>
      <c r="F1731" s="1" t="s">
        <v>25</v>
      </c>
      <c r="G1731" s="1" t="s">
        <v>19</v>
      </c>
      <c r="H1731" s="1">
        <v>1</v>
      </c>
      <c r="I1731" s="1">
        <v>408</v>
      </c>
      <c r="J1731" s="1">
        <v>699</v>
      </c>
      <c r="K1731" s="1">
        <v>10</v>
      </c>
      <c r="L1731" s="1">
        <f>ROUNDDOWN(formatted_data[[#This Row],[Selling_Price]]*formatted_data[[#This Row],[Discount_%]]/100,0)</f>
        <v>69</v>
      </c>
      <c r="M1731" s="1">
        <f>(formatted_data[[#This Row],[Selling_Price]]-formatted_data[[#This Row],[Discount_Amount]])*formatted_data[[#This Row],[Units]]</f>
        <v>630</v>
      </c>
      <c r="N1731" s="1">
        <f>formatted_data[[#This Row],[Total_Revenue]]-(formatted_data[[#This Row],[Cost_Price]]*formatted_data[[#This Row],[Units]])</f>
        <v>222</v>
      </c>
      <c r="O1731" s="1" t="s">
        <v>21</v>
      </c>
      <c r="P1731"/>
    </row>
    <row r="1732" spans="1:16" x14ac:dyDescent="0.35">
      <c r="A1732" s="1" t="s">
        <v>61</v>
      </c>
      <c r="B1732" s="1" t="s">
        <v>27</v>
      </c>
      <c r="C1732" s="2">
        <v>45573</v>
      </c>
      <c r="D1732" s="1" t="s">
        <v>28</v>
      </c>
      <c r="E1732" s="1" t="s">
        <v>29</v>
      </c>
      <c r="F1732" s="1" t="s">
        <v>37</v>
      </c>
      <c r="G1732" s="1" t="s">
        <v>19</v>
      </c>
      <c r="H1732" s="1">
        <v>1</v>
      </c>
      <c r="I1732" s="1">
        <v>458</v>
      </c>
      <c r="J1732" s="1">
        <v>699</v>
      </c>
      <c r="K1732" s="1">
        <v>5</v>
      </c>
      <c r="L1732" s="1">
        <f>ROUNDDOWN(formatted_data[[#This Row],[Selling_Price]]*formatted_data[[#This Row],[Discount_%]]/100,0)</f>
        <v>34</v>
      </c>
      <c r="M1732" s="1">
        <f>(formatted_data[[#This Row],[Selling_Price]]-formatted_data[[#This Row],[Discount_Amount]])*formatted_data[[#This Row],[Units]]</f>
        <v>665</v>
      </c>
      <c r="N1732" s="1">
        <f>formatted_data[[#This Row],[Total_Revenue]]-(formatted_data[[#This Row],[Cost_Price]]*formatted_data[[#This Row],[Units]])</f>
        <v>207</v>
      </c>
      <c r="O1732" s="1" t="s">
        <v>21</v>
      </c>
      <c r="P1732"/>
    </row>
    <row r="1733" spans="1:16" x14ac:dyDescent="0.35">
      <c r="A1733" s="1" t="s">
        <v>15</v>
      </c>
      <c r="B1733" s="1" t="s">
        <v>16</v>
      </c>
      <c r="C1733" s="2">
        <v>45490</v>
      </c>
      <c r="D1733" s="1" t="s">
        <v>31</v>
      </c>
      <c r="E1733" s="1" t="s">
        <v>76</v>
      </c>
      <c r="F1733" s="1" t="s">
        <v>37</v>
      </c>
      <c r="G1733" s="1" t="s">
        <v>19</v>
      </c>
      <c r="H1733" s="1">
        <v>1</v>
      </c>
      <c r="I1733" s="1">
        <v>985</v>
      </c>
      <c r="J1733" s="1">
        <v>1499</v>
      </c>
      <c r="K1733" s="1">
        <v>0</v>
      </c>
      <c r="L1733" s="1">
        <f>ROUNDDOWN(formatted_data[[#This Row],[Selling_Price]]*formatted_data[[#This Row],[Discount_%]]/100,0)</f>
        <v>0</v>
      </c>
      <c r="M1733" s="1">
        <f>(formatted_data[[#This Row],[Selling_Price]]-formatted_data[[#This Row],[Discount_Amount]])*formatted_data[[#This Row],[Units]]</f>
        <v>1499</v>
      </c>
      <c r="N1733" s="1">
        <f>formatted_data[[#This Row],[Total_Revenue]]-(formatted_data[[#This Row],[Cost_Price]]*formatted_data[[#This Row],[Units]])</f>
        <v>514</v>
      </c>
      <c r="O1733" s="1" t="s">
        <v>21</v>
      </c>
      <c r="P1733"/>
    </row>
    <row r="1734" spans="1:16" x14ac:dyDescent="0.35">
      <c r="A1734" s="1" t="s">
        <v>106</v>
      </c>
      <c r="B1734" s="1" t="s">
        <v>27</v>
      </c>
      <c r="C1734" s="2">
        <v>45642</v>
      </c>
      <c r="D1734" s="1" t="s">
        <v>17</v>
      </c>
      <c r="E1734" s="1" t="s">
        <v>48</v>
      </c>
      <c r="F1734" s="1" t="s">
        <v>37</v>
      </c>
      <c r="G1734" s="1" t="s">
        <v>20</v>
      </c>
      <c r="H1734" s="1">
        <v>1</v>
      </c>
      <c r="I1734" s="1">
        <v>175</v>
      </c>
      <c r="J1734" s="1">
        <v>299</v>
      </c>
      <c r="K1734" s="1">
        <v>0</v>
      </c>
      <c r="L1734" s="1">
        <f>ROUNDDOWN(formatted_data[[#This Row],[Selling_Price]]*formatted_data[[#This Row],[Discount_%]]/100,0)</f>
        <v>0</v>
      </c>
      <c r="M1734" s="1">
        <f>(formatted_data[[#This Row],[Selling_Price]]-formatted_data[[#This Row],[Discount_Amount]])*formatted_data[[#This Row],[Units]]</f>
        <v>299</v>
      </c>
      <c r="N1734" s="1">
        <f>formatted_data[[#This Row],[Total_Revenue]]-(formatted_data[[#This Row],[Cost_Price]]*formatted_data[[#This Row],[Units]])</f>
        <v>124</v>
      </c>
      <c r="O1734" s="1" t="s">
        <v>21</v>
      </c>
      <c r="P1734"/>
    </row>
    <row r="1735" spans="1:16" x14ac:dyDescent="0.35">
      <c r="A1735" s="1" t="s">
        <v>34</v>
      </c>
      <c r="B1735" s="1" t="s">
        <v>27</v>
      </c>
      <c r="C1735" s="2">
        <v>45480</v>
      </c>
      <c r="D1735" s="1" t="s">
        <v>23</v>
      </c>
      <c r="E1735" s="1" t="s">
        <v>24</v>
      </c>
      <c r="F1735" s="1" t="s">
        <v>37</v>
      </c>
      <c r="G1735" s="1" t="s">
        <v>20</v>
      </c>
      <c r="H1735" s="1">
        <v>2</v>
      </c>
      <c r="I1735" s="1">
        <v>688</v>
      </c>
      <c r="J1735" s="1">
        <v>1299</v>
      </c>
      <c r="K1735" s="1">
        <v>5</v>
      </c>
      <c r="L1735" s="1">
        <f>ROUNDDOWN(formatted_data[[#This Row],[Selling_Price]]*formatted_data[[#This Row],[Discount_%]]/100,0)</f>
        <v>64</v>
      </c>
      <c r="M1735" s="1">
        <f>(formatted_data[[#This Row],[Selling_Price]]-formatted_data[[#This Row],[Discount_Amount]])*formatted_data[[#This Row],[Units]]</f>
        <v>2470</v>
      </c>
      <c r="N1735" s="1">
        <f>formatted_data[[#This Row],[Total_Revenue]]-(formatted_data[[#This Row],[Cost_Price]]*formatted_data[[#This Row],[Units]])</f>
        <v>1094</v>
      </c>
      <c r="O1735" s="1" t="s">
        <v>21</v>
      </c>
      <c r="P1735"/>
    </row>
    <row r="1736" spans="1:16" x14ac:dyDescent="0.35">
      <c r="A1736" s="1" t="s">
        <v>89</v>
      </c>
      <c r="B1736" s="1" t="s">
        <v>16</v>
      </c>
      <c r="C1736" s="2">
        <v>45606</v>
      </c>
      <c r="D1736" s="1" t="s">
        <v>23</v>
      </c>
      <c r="E1736" s="1" t="s">
        <v>43</v>
      </c>
      <c r="F1736" s="1" t="s">
        <v>25</v>
      </c>
      <c r="G1736" s="1" t="s">
        <v>20</v>
      </c>
      <c r="H1736" s="1">
        <v>4</v>
      </c>
      <c r="I1736" s="1">
        <v>1403</v>
      </c>
      <c r="J1736" s="1">
        <v>2599</v>
      </c>
      <c r="K1736" s="1">
        <v>15</v>
      </c>
      <c r="L1736" s="1">
        <f>ROUNDDOWN(formatted_data[[#This Row],[Selling_Price]]*formatted_data[[#This Row],[Discount_%]]/100,0)</f>
        <v>389</v>
      </c>
      <c r="M1736" s="1">
        <f>(formatted_data[[#This Row],[Selling_Price]]-formatted_data[[#This Row],[Discount_Amount]])*formatted_data[[#This Row],[Units]]</f>
        <v>8840</v>
      </c>
      <c r="N1736" s="1">
        <f>formatted_data[[#This Row],[Total_Revenue]]-(formatted_data[[#This Row],[Cost_Price]]*formatted_data[[#This Row],[Units]])</f>
        <v>3228</v>
      </c>
      <c r="O1736" s="1" t="s">
        <v>21</v>
      </c>
      <c r="P1736"/>
    </row>
    <row r="1737" spans="1:16" x14ac:dyDescent="0.35">
      <c r="A1737" s="1" t="s">
        <v>49</v>
      </c>
      <c r="B1737" s="1" t="s">
        <v>27</v>
      </c>
      <c r="C1737" s="2">
        <v>45469</v>
      </c>
      <c r="D1737" s="1" t="s">
        <v>17</v>
      </c>
      <c r="E1737" s="1" t="s">
        <v>18</v>
      </c>
      <c r="F1737" s="1" t="s">
        <v>37</v>
      </c>
      <c r="G1737" s="1" t="s">
        <v>19</v>
      </c>
      <c r="H1737" s="1">
        <v>2</v>
      </c>
      <c r="I1737" s="1">
        <v>334</v>
      </c>
      <c r="J1737" s="1">
        <v>599</v>
      </c>
      <c r="K1737" s="1">
        <v>0</v>
      </c>
      <c r="L1737" s="1">
        <f>ROUNDDOWN(formatted_data[[#This Row],[Selling_Price]]*formatted_data[[#This Row],[Discount_%]]/100,0)</f>
        <v>0</v>
      </c>
      <c r="M1737" s="1">
        <f>(formatted_data[[#This Row],[Selling_Price]]-formatted_data[[#This Row],[Discount_Amount]])*formatted_data[[#This Row],[Units]]</f>
        <v>1198</v>
      </c>
      <c r="N1737" s="1">
        <f>formatted_data[[#This Row],[Total_Revenue]]-(formatted_data[[#This Row],[Cost_Price]]*formatted_data[[#This Row],[Units]])</f>
        <v>530</v>
      </c>
      <c r="O1737" s="1" t="s">
        <v>21</v>
      </c>
      <c r="P1737"/>
    </row>
    <row r="1738" spans="1:16" x14ac:dyDescent="0.35">
      <c r="A1738" s="1" t="s">
        <v>102</v>
      </c>
      <c r="B1738" s="1" t="s">
        <v>27</v>
      </c>
      <c r="C1738" s="2">
        <v>45468</v>
      </c>
      <c r="D1738" s="1" t="s">
        <v>23</v>
      </c>
      <c r="E1738" s="1" t="s">
        <v>43</v>
      </c>
      <c r="F1738" s="1" t="s">
        <v>37</v>
      </c>
      <c r="G1738" s="1" t="s">
        <v>20</v>
      </c>
      <c r="H1738" s="1">
        <v>2</v>
      </c>
      <c r="I1738" s="1">
        <v>1372</v>
      </c>
      <c r="J1738" s="1">
        <v>2499</v>
      </c>
      <c r="K1738" s="1">
        <v>20</v>
      </c>
      <c r="L1738" s="1">
        <f>ROUNDDOWN(formatted_data[[#This Row],[Selling_Price]]*formatted_data[[#This Row],[Discount_%]]/100,0)</f>
        <v>499</v>
      </c>
      <c r="M1738" s="1">
        <f>(formatted_data[[#This Row],[Selling_Price]]-formatted_data[[#This Row],[Discount_Amount]])*formatted_data[[#This Row],[Units]]</f>
        <v>4000</v>
      </c>
      <c r="N1738" s="1">
        <f>formatted_data[[#This Row],[Total_Revenue]]-(formatted_data[[#This Row],[Cost_Price]]*formatted_data[[#This Row],[Units]])</f>
        <v>1256</v>
      </c>
      <c r="O1738" s="1" t="s">
        <v>33</v>
      </c>
      <c r="P1738"/>
    </row>
    <row r="1739" spans="1:16" x14ac:dyDescent="0.35">
      <c r="A1739" s="1" t="s">
        <v>60</v>
      </c>
      <c r="B1739" s="1" t="s">
        <v>27</v>
      </c>
      <c r="C1739" s="2">
        <v>45578</v>
      </c>
      <c r="D1739" s="1" t="s">
        <v>23</v>
      </c>
      <c r="E1739" s="1" t="s">
        <v>43</v>
      </c>
      <c r="F1739" s="1" t="s">
        <v>25</v>
      </c>
      <c r="G1739" s="1" t="s">
        <v>20</v>
      </c>
      <c r="H1739" s="1">
        <v>1</v>
      </c>
      <c r="I1739" s="1">
        <v>2882</v>
      </c>
      <c r="J1739" s="1">
        <v>4799</v>
      </c>
      <c r="K1739" s="1">
        <v>15</v>
      </c>
      <c r="L1739" s="1">
        <f>ROUNDDOWN(formatted_data[[#This Row],[Selling_Price]]*formatted_data[[#This Row],[Discount_%]]/100,0)</f>
        <v>719</v>
      </c>
      <c r="M1739" s="1">
        <f>(formatted_data[[#This Row],[Selling_Price]]-formatted_data[[#This Row],[Discount_Amount]])*formatted_data[[#This Row],[Units]]</f>
        <v>4080</v>
      </c>
      <c r="N1739" s="1">
        <f>formatted_data[[#This Row],[Total_Revenue]]-(formatted_data[[#This Row],[Cost_Price]]*formatted_data[[#This Row],[Units]])</f>
        <v>1198</v>
      </c>
      <c r="O1739" s="1" t="s">
        <v>21</v>
      </c>
      <c r="P1739"/>
    </row>
    <row r="1740" spans="1:16" x14ac:dyDescent="0.35">
      <c r="A1740" s="1" t="s">
        <v>54</v>
      </c>
      <c r="B1740" s="1" t="s">
        <v>27</v>
      </c>
      <c r="C1740" s="2">
        <v>45547</v>
      </c>
      <c r="D1740" s="1" t="s">
        <v>28</v>
      </c>
      <c r="E1740" s="1" t="s">
        <v>29</v>
      </c>
      <c r="F1740" s="1" t="s">
        <v>25</v>
      </c>
      <c r="G1740" s="1" t="s">
        <v>20</v>
      </c>
      <c r="H1740" s="1">
        <v>1</v>
      </c>
      <c r="I1740" s="1">
        <v>254</v>
      </c>
      <c r="J1740" s="1">
        <v>499</v>
      </c>
      <c r="K1740" s="1">
        <v>10</v>
      </c>
      <c r="L1740" s="1">
        <f>ROUNDDOWN(formatted_data[[#This Row],[Selling_Price]]*formatted_data[[#This Row],[Discount_%]]/100,0)</f>
        <v>49</v>
      </c>
      <c r="M1740" s="1">
        <f>(formatted_data[[#This Row],[Selling_Price]]-formatted_data[[#This Row],[Discount_Amount]])*formatted_data[[#This Row],[Units]]</f>
        <v>450</v>
      </c>
      <c r="N1740" s="1">
        <f>formatted_data[[#This Row],[Total_Revenue]]-(formatted_data[[#This Row],[Cost_Price]]*formatted_data[[#This Row],[Units]])</f>
        <v>196</v>
      </c>
      <c r="O1740" s="1" t="s">
        <v>33</v>
      </c>
      <c r="P1740"/>
    </row>
    <row r="1741" spans="1:16" x14ac:dyDescent="0.35">
      <c r="A1741" s="1" t="s">
        <v>73</v>
      </c>
      <c r="B1741" s="1" t="s">
        <v>16</v>
      </c>
      <c r="C1741" s="2">
        <v>45653</v>
      </c>
      <c r="D1741" s="1" t="s">
        <v>28</v>
      </c>
      <c r="E1741" s="1" t="s">
        <v>45</v>
      </c>
      <c r="F1741" s="1" t="s">
        <v>25</v>
      </c>
      <c r="G1741" s="1" t="s">
        <v>20</v>
      </c>
      <c r="H1741" s="1">
        <v>4</v>
      </c>
      <c r="I1741" s="1">
        <v>733</v>
      </c>
      <c r="J1741" s="1">
        <v>999</v>
      </c>
      <c r="K1741" s="1">
        <v>20</v>
      </c>
      <c r="L1741" s="1">
        <f>ROUNDDOWN(formatted_data[[#This Row],[Selling_Price]]*formatted_data[[#This Row],[Discount_%]]/100,0)</f>
        <v>199</v>
      </c>
      <c r="M1741" s="1">
        <f>(formatted_data[[#This Row],[Selling_Price]]-formatted_data[[#This Row],[Discount_Amount]])*formatted_data[[#This Row],[Units]]</f>
        <v>3200</v>
      </c>
      <c r="N1741" s="1">
        <f>formatted_data[[#This Row],[Total_Revenue]]-(formatted_data[[#This Row],[Cost_Price]]*formatted_data[[#This Row],[Units]])</f>
        <v>268</v>
      </c>
      <c r="O1741" s="1" t="s">
        <v>21</v>
      </c>
      <c r="P1741"/>
    </row>
    <row r="1742" spans="1:16" x14ac:dyDescent="0.35">
      <c r="A1742" s="1" t="s">
        <v>46</v>
      </c>
      <c r="B1742" s="1" t="s">
        <v>16</v>
      </c>
      <c r="C1742" s="2">
        <v>45535</v>
      </c>
      <c r="D1742" s="1" t="s">
        <v>28</v>
      </c>
      <c r="E1742" s="1" t="s">
        <v>45</v>
      </c>
      <c r="F1742" s="1" t="s">
        <v>37</v>
      </c>
      <c r="G1742" s="1" t="s">
        <v>19</v>
      </c>
      <c r="H1742" s="1">
        <v>3</v>
      </c>
      <c r="I1742" s="1">
        <v>659</v>
      </c>
      <c r="J1742" s="1">
        <v>999</v>
      </c>
      <c r="K1742" s="1">
        <v>20</v>
      </c>
      <c r="L1742" s="1">
        <f>ROUNDDOWN(formatted_data[[#This Row],[Selling_Price]]*formatted_data[[#This Row],[Discount_%]]/100,0)</f>
        <v>199</v>
      </c>
      <c r="M1742" s="1">
        <f>(formatted_data[[#This Row],[Selling_Price]]-formatted_data[[#This Row],[Discount_Amount]])*formatted_data[[#This Row],[Units]]</f>
        <v>2400</v>
      </c>
      <c r="N1742" s="1">
        <f>formatted_data[[#This Row],[Total_Revenue]]-(formatted_data[[#This Row],[Cost_Price]]*formatted_data[[#This Row],[Units]])</f>
        <v>423</v>
      </c>
      <c r="O1742" s="1" t="s">
        <v>21</v>
      </c>
      <c r="P1742"/>
    </row>
    <row r="1743" spans="1:16" x14ac:dyDescent="0.35">
      <c r="A1743" s="1" t="s">
        <v>79</v>
      </c>
      <c r="B1743" s="1" t="s">
        <v>16</v>
      </c>
      <c r="C1743" s="2">
        <v>45482</v>
      </c>
      <c r="D1743" s="1" t="s">
        <v>31</v>
      </c>
      <c r="E1743" s="1" t="s">
        <v>32</v>
      </c>
      <c r="F1743" s="1" t="s">
        <v>19</v>
      </c>
      <c r="G1743" s="1" t="s">
        <v>19</v>
      </c>
      <c r="H1743" s="1">
        <v>2</v>
      </c>
      <c r="I1743" s="1">
        <v>996</v>
      </c>
      <c r="J1743" s="1">
        <v>1399</v>
      </c>
      <c r="K1743" s="1">
        <v>0</v>
      </c>
      <c r="L1743" s="1">
        <f>ROUNDDOWN(formatted_data[[#This Row],[Selling_Price]]*formatted_data[[#This Row],[Discount_%]]/100,0)</f>
        <v>0</v>
      </c>
      <c r="M1743" s="1">
        <f>(formatted_data[[#This Row],[Selling_Price]]-formatted_data[[#This Row],[Discount_Amount]])*formatted_data[[#This Row],[Units]]</f>
        <v>2798</v>
      </c>
      <c r="N1743" s="1">
        <f>formatted_data[[#This Row],[Total_Revenue]]-(formatted_data[[#This Row],[Cost_Price]]*formatted_data[[#This Row],[Units]])</f>
        <v>806</v>
      </c>
      <c r="O1743" s="1" t="s">
        <v>21</v>
      </c>
      <c r="P1743"/>
    </row>
    <row r="1744" spans="1:16" x14ac:dyDescent="0.35">
      <c r="A1744" s="1" t="s">
        <v>63</v>
      </c>
      <c r="B1744" s="1" t="s">
        <v>27</v>
      </c>
      <c r="C1744" s="2">
        <v>45646</v>
      </c>
      <c r="D1744" s="1" t="s">
        <v>31</v>
      </c>
      <c r="E1744" s="1" t="s">
        <v>76</v>
      </c>
      <c r="F1744" s="1" t="s">
        <v>25</v>
      </c>
      <c r="G1744" s="1" t="s">
        <v>19</v>
      </c>
      <c r="H1744" s="1">
        <v>1</v>
      </c>
      <c r="I1744" s="1">
        <v>445</v>
      </c>
      <c r="J1744" s="1">
        <v>699</v>
      </c>
      <c r="K1744" s="1">
        <v>0</v>
      </c>
      <c r="L1744" s="1">
        <f>ROUNDDOWN(formatted_data[[#This Row],[Selling_Price]]*formatted_data[[#This Row],[Discount_%]]/100,0)</f>
        <v>0</v>
      </c>
      <c r="M1744" s="1">
        <f>(formatted_data[[#This Row],[Selling_Price]]-formatted_data[[#This Row],[Discount_Amount]])*formatted_data[[#This Row],[Units]]</f>
        <v>699</v>
      </c>
      <c r="N1744" s="1">
        <f>formatted_data[[#This Row],[Total_Revenue]]-(formatted_data[[#This Row],[Cost_Price]]*formatted_data[[#This Row],[Units]])</f>
        <v>254</v>
      </c>
      <c r="O1744" s="1" t="s">
        <v>33</v>
      </c>
      <c r="P1744"/>
    </row>
    <row r="1745" spans="1:16" x14ac:dyDescent="0.35">
      <c r="A1745" s="1" t="s">
        <v>30</v>
      </c>
      <c r="B1745" s="1" t="s">
        <v>16</v>
      </c>
      <c r="C1745" s="2">
        <v>45652</v>
      </c>
      <c r="D1745" s="1" t="s">
        <v>23</v>
      </c>
      <c r="E1745" s="1" t="s">
        <v>24</v>
      </c>
      <c r="F1745" s="1" t="s">
        <v>25</v>
      </c>
      <c r="G1745" s="1" t="s">
        <v>20</v>
      </c>
      <c r="H1745" s="1">
        <v>1</v>
      </c>
      <c r="I1745" s="1">
        <v>513</v>
      </c>
      <c r="J1745" s="1">
        <v>999</v>
      </c>
      <c r="K1745" s="1">
        <v>20</v>
      </c>
      <c r="L1745" s="1">
        <f>ROUNDDOWN(formatted_data[[#This Row],[Selling_Price]]*formatted_data[[#This Row],[Discount_%]]/100,0)</f>
        <v>199</v>
      </c>
      <c r="M1745" s="1">
        <f>(formatted_data[[#This Row],[Selling_Price]]-formatted_data[[#This Row],[Discount_Amount]])*formatted_data[[#This Row],[Units]]</f>
        <v>800</v>
      </c>
      <c r="N1745" s="1">
        <f>formatted_data[[#This Row],[Total_Revenue]]-(formatted_data[[#This Row],[Cost_Price]]*formatted_data[[#This Row],[Units]])</f>
        <v>287</v>
      </c>
      <c r="O1745" s="1" t="s">
        <v>33</v>
      </c>
      <c r="P1745"/>
    </row>
    <row r="1746" spans="1:16" x14ac:dyDescent="0.35">
      <c r="A1746" s="1" t="s">
        <v>83</v>
      </c>
      <c r="B1746" s="1" t="s">
        <v>27</v>
      </c>
      <c r="C1746" s="2">
        <v>45474</v>
      </c>
      <c r="D1746" s="1" t="s">
        <v>35</v>
      </c>
      <c r="E1746" s="1" t="s">
        <v>50</v>
      </c>
      <c r="F1746" s="1" t="s">
        <v>37</v>
      </c>
      <c r="G1746" s="1" t="s">
        <v>19</v>
      </c>
      <c r="H1746" s="1">
        <v>2</v>
      </c>
      <c r="I1746" s="1">
        <v>738</v>
      </c>
      <c r="J1746" s="1">
        <v>999</v>
      </c>
      <c r="K1746" s="1">
        <v>15</v>
      </c>
      <c r="L1746" s="1">
        <f>ROUNDDOWN(formatted_data[[#This Row],[Selling_Price]]*formatted_data[[#This Row],[Discount_%]]/100,0)</f>
        <v>149</v>
      </c>
      <c r="M1746" s="1">
        <f>(formatted_data[[#This Row],[Selling_Price]]-formatted_data[[#This Row],[Discount_Amount]])*formatted_data[[#This Row],[Units]]</f>
        <v>1700</v>
      </c>
      <c r="N1746" s="1">
        <f>formatted_data[[#This Row],[Total_Revenue]]-(formatted_data[[#This Row],[Cost_Price]]*formatted_data[[#This Row],[Units]])</f>
        <v>224</v>
      </c>
      <c r="O1746" s="1" t="s">
        <v>21</v>
      </c>
      <c r="P1746"/>
    </row>
    <row r="1747" spans="1:16" x14ac:dyDescent="0.35">
      <c r="A1747" s="1" t="s">
        <v>88</v>
      </c>
      <c r="B1747" s="1" t="s">
        <v>27</v>
      </c>
      <c r="C1747" s="2">
        <v>45522</v>
      </c>
      <c r="D1747" s="1" t="s">
        <v>35</v>
      </c>
      <c r="E1747" s="1" t="s">
        <v>58</v>
      </c>
      <c r="F1747" s="1" t="s">
        <v>25</v>
      </c>
      <c r="G1747" s="1" t="s">
        <v>19</v>
      </c>
      <c r="H1747" s="1">
        <v>5</v>
      </c>
      <c r="I1747" s="1">
        <v>1353</v>
      </c>
      <c r="J1747" s="1">
        <v>2199</v>
      </c>
      <c r="K1747" s="1">
        <v>5</v>
      </c>
      <c r="L1747" s="1">
        <f>ROUNDDOWN(formatted_data[[#This Row],[Selling_Price]]*formatted_data[[#This Row],[Discount_%]]/100,0)</f>
        <v>109</v>
      </c>
      <c r="M1747" s="1">
        <f>(formatted_data[[#This Row],[Selling_Price]]-formatted_data[[#This Row],[Discount_Amount]])*formatted_data[[#This Row],[Units]]</f>
        <v>10450</v>
      </c>
      <c r="N1747" s="1">
        <f>formatted_data[[#This Row],[Total_Revenue]]-(formatted_data[[#This Row],[Cost_Price]]*formatted_data[[#This Row],[Units]])</f>
        <v>3685</v>
      </c>
      <c r="O1747" s="1" t="s">
        <v>33</v>
      </c>
      <c r="P1747"/>
    </row>
    <row r="1748" spans="1:16" x14ac:dyDescent="0.35">
      <c r="A1748" s="1" t="s">
        <v>101</v>
      </c>
      <c r="B1748" s="1" t="s">
        <v>16</v>
      </c>
      <c r="C1748" s="2">
        <v>45646</v>
      </c>
      <c r="D1748" s="1" t="s">
        <v>17</v>
      </c>
      <c r="E1748" s="1" t="s">
        <v>18</v>
      </c>
      <c r="F1748" s="1" t="s">
        <v>37</v>
      </c>
      <c r="G1748" s="1" t="s">
        <v>19</v>
      </c>
      <c r="H1748" s="1">
        <v>2</v>
      </c>
      <c r="I1748" s="1">
        <v>272</v>
      </c>
      <c r="J1748" s="1">
        <v>399</v>
      </c>
      <c r="K1748" s="1">
        <v>0</v>
      </c>
      <c r="L1748" s="1">
        <f>ROUNDDOWN(formatted_data[[#This Row],[Selling_Price]]*formatted_data[[#This Row],[Discount_%]]/100,0)</f>
        <v>0</v>
      </c>
      <c r="M1748" s="1">
        <f>(formatted_data[[#This Row],[Selling_Price]]-formatted_data[[#This Row],[Discount_Amount]])*formatted_data[[#This Row],[Units]]</f>
        <v>798</v>
      </c>
      <c r="N1748" s="1">
        <f>formatted_data[[#This Row],[Total_Revenue]]-(formatted_data[[#This Row],[Cost_Price]]*formatted_data[[#This Row],[Units]])</f>
        <v>254</v>
      </c>
      <c r="O1748" s="1" t="s">
        <v>21</v>
      </c>
      <c r="P1748"/>
    </row>
    <row r="1749" spans="1:16" x14ac:dyDescent="0.35">
      <c r="A1749" s="1" t="s">
        <v>102</v>
      </c>
      <c r="B1749" s="1" t="s">
        <v>27</v>
      </c>
      <c r="C1749" s="2">
        <v>45477</v>
      </c>
      <c r="D1749" s="1" t="s">
        <v>35</v>
      </c>
      <c r="E1749" s="1" t="s">
        <v>58</v>
      </c>
      <c r="F1749" s="1" t="s">
        <v>37</v>
      </c>
      <c r="G1749" s="1" t="s">
        <v>20</v>
      </c>
      <c r="H1749" s="1">
        <v>2</v>
      </c>
      <c r="I1749" s="1">
        <v>1816</v>
      </c>
      <c r="J1749" s="1">
        <v>2499</v>
      </c>
      <c r="K1749" s="1">
        <v>20</v>
      </c>
      <c r="L1749" s="1">
        <f>ROUNDDOWN(formatted_data[[#This Row],[Selling_Price]]*formatted_data[[#This Row],[Discount_%]]/100,0)</f>
        <v>499</v>
      </c>
      <c r="M1749" s="1">
        <f>(formatted_data[[#This Row],[Selling_Price]]-formatted_data[[#This Row],[Discount_Amount]])*formatted_data[[#This Row],[Units]]</f>
        <v>4000</v>
      </c>
      <c r="N1749" s="1">
        <f>formatted_data[[#This Row],[Total_Revenue]]-(formatted_data[[#This Row],[Cost_Price]]*formatted_data[[#This Row],[Units]])</f>
        <v>368</v>
      </c>
      <c r="O1749" s="1" t="s">
        <v>21</v>
      </c>
      <c r="P1749"/>
    </row>
    <row r="1750" spans="1:16" x14ac:dyDescent="0.35">
      <c r="A1750" s="1" t="s">
        <v>59</v>
      </c>
      <c r="B1750" s="1" t="s">
        <v>27</v>
      </c>
      <c r="C1750" s="2">
        <v>45590</v>
      </c>
      <c r="D1750" s="1" t="s">
        <v>31</v>
      </c>
      <c r="E1750" s="1" t="s">
        <v>32</v>
      </c>
      <c r="F1750" s="1" t="s">
        <v>25</v>
      </c>
      <c r="G1750" s="1" t="s">
        <v>19</v>
      </c>
      <c r="H1750" s="1">
        <v>1</v>
      </c>
      <c r="I1750" s="1">
        <v>776</v>
      </c>
      <c r="J1750" s="1">
        <v>1199</v>
      </c>
      <c r="K1750" s="1">
        <v>0</v>
      </c>
      <c r="L1750" s="1">
        <f>ROUNDDOWN(formatted_data[[#This Row],[Selling_Price]]*formatted_data[[#This Row],[Discount_%]]/100,0)</f>
        <v>0</v>
      </c>
      <c r="M1750" s="1">
        <f>(formatted_data[[#This Row],[Selling_Price]]-formatted_data[[#This Row],[Discount_Amount]])*formatted_data[[#This Row],[Units]]</f>
        <v>1199</v>
      </c>
      <c r="N1750" s="1">
        <f>formatted_data[[#This Row],[Total_Revenue]]-(formatted_data[[#This Row],[Cost_Price]]*formatted_data[[#This Row],[Units]])</f>
        <v>423</v>
      </c>
      <c r="O1750" s="1" t="s">
        <v>33</v>
      </c>
      <c r="P1750"/>
    </row>
    <row r="1751" spans="1:16" x14ac:dyDescent="0.35">
      <c r="A1751" s="1" t="s">
        <v>105</v>
      </c>
      <c r="B1751" s="1" t="s">
        <v>16</v>
      </c>
      <c r="C1751" s="2">
        <v>45531</v>
      </c>
      <c r="D1751" s="1" t="s">
        <v>31</v>
      </c>
      <c r="E1751" s="1" t="s">
        <v>32</v>
      </c>
      <c r="F1751" s="1" t="s">
        <v>25</v>
      </c>
      <c r="G1751" s="1" t="s">
        <v>19</v>
      </c>
      <c r="H1751" s="1">
        <v>2</v>
      </c>
      <c r="I1751" s="1">
        <v>575</v>
      </c>
      <c r="J1751" s="1">
        <v>899</v>
      </c>
      <c r="K1751" s="1">
        <v>0</v>
      </c>
      <c r="L1751" s="1">
        <f>ROUNDDOWN(formatted_data[[#This Row],[Selling_Price]]*formatted_data[[#This Row],[Discount_%]]/100,0)</f>
        <v>0</v>
      </c>
      <c r="M1751" s="1">
        <f>(formatted_data[[#This Row],[Selling_Price]]-formatted_data[[#This Row],[Discount_Amount]])*formatted_data[[#This Row],[Units]]</f>
        <v>1798</v>
      </c>
      <c r="N1751" s="1">
        <f>formatted_data[[#This Row],[Total_Revenue]]-(formatted_data[[#This Row],[Cost_Price]]*formatted_data[[#This Row],[Units]])</f>
        <v>648</v>
      </c>
      <c r="O1751" s="1" t="s">
        <v>21</v>
      </c>
      <c r="P1751"/>
    </row>
    <row r="1752" spans="1:16" x14ac:dyDescent="0.35">
      <c r="A1752" s="1" t="s">
        <v>105</v>
      </c>
      <c r="B1752" s="1" t="s">
        <v>16</v>
      </c>
      <c r="C1752" s="2">
        <v>45510</v>
      </c>
      <c r="D1752" s="1" t="s">
        <v>35</v>
      </c>
      <c r="E1752" s="1" t="s">
        <v>39</v>
      </c>
      <c r="F1752" s="1" t="s">
        <v>19</v>
      </c>
      <c r="G1752" s="1" t="s">
        <v>20</v>
      </c>
      <c r="H1752" s="1">
        <v>1</v>
      </c>
      <c r="I1752" s="1">
        <v>714</v>
      </c>
      <c r="J1752" s="1">
        <v>1199</v>
      </c>
      <c r="K1752" s="1">
        <v>15</v>
      </c>
      <c r="L1752" s="1">
        <f>ROUNDDOWN(formatted_data[[#This Row],[Selling_Price]]*formatted_data[[#This Row],[Discount_%]]/100,0)</f>
        <v>179</v>
      </c>
      <c r="M1752" s="1">
        <f>(formatted_data[[#This Row],[Selling_Price]]-formatted_data[[#This Row],[Discount_Amount]])*formatted_data[[#This Row],[Units]]</f>
        <v>1020</v>
      </c>
      <c r="N1752" s="1">
        <f>formatted_data[[#This Row],[Total_Revenue]]-(formatted_data[[#This Row],[Cost_Price]]*formatted_data[[#This Row],[Units]])</f>
        <v>306</v>
      </c>
      <c r="O1752" s="1" t="s">
        <v>21</v>
      </c>
      <c r="P1752"/>
    </row>
    <row r="1753" spans="1:16" x14ac:dyDescent="0.35">
      <c r="A1753" s="1" t="s">
        <v>107</v>
      </c>
      <c r="B1753" s="1" t="s">
        <v>27</v>
      </c>
      <c r="C1753" s="2">
        <v>45474</v>
      </c>
      <c r="D1753" s="1" t="s">
        <v>23</v>
      </c>
      <c r="E1753" s="1" t="s">
        <v>24</v>
      </c>
      <c r="F1753" s="1" t="s">
        <v>25</v>
      </c>
      <c r="G1753" s="1" t="s">
        <v>19</v>
      </c>
      <c r="H1753" s="1">
        <v>1</v>
      </c>
      <c r="I1753" s="1">
        <v>870</v>
      </c>
      <c r="J1753" s="1">
        <v>1199</v>
      </c>
      <c r="K1753" s="1">
        <v>15</v>
      </c>
      <c r="L1753" s="1">
        <f>ROUNDDOWN(formatted_data[[#This Row],[Selling_Price]]*formatted_data[[#This Row],[Discount_%]]/100,0)</f>
        <v>179</v>
      </c>
      <c r="M1753" s="1">
        <f>(formatted_data[[#This Row],[Selling_Price]]-formatted_data[[#This Row],[Discount_Amount]])*formatted_data[[#This Row],[Units]]</f>
        <v>1020</v>
      </c>
      <c r="N1753" s="1">
        <f>formatted_data[[#This Row],[Total_Revenue]]-(formatted_data[[#This Row],[Cost_Price]]*formatted_data[[#This Row],[Units]])</f>
        <v>150</v>
      </c>
      <c r="O1753" s="1" t="s">
        <v>21</v>
      </c>
      <c r="P1753"/>
    </row>
    <row r="1754" spans="1:16" x14ac:dyDescent="0.35">
      <c r="A1754" s="1" t="s">
        <v>46</v>
      </c>
      <c r="B1754" s="1" t="s">
        <v>16</v>
      </c>
      <c r="C1754" s="2">
        <v>45556</v>
      </c>
      <c r="D1754" s="1" t="s">
        <v>28</v>
      </c>
      <c r="E1754" s="1" t="s">
        <v>29</v>
      </c>
      <c r="F1754" s="1" t="s">
        <v>19</v>
      </c>
      <c r="G1754" s="1" t="s">
        <v>19</v>
      </c>
      <c r="H1754" s="1">
        <v>1</v>
      </c>
      <c r="I1754" s="1">
        <v>507</v>
      </c>
      <c r="J1754" s="1">
        <v>699</v>
      </c>
      <c r="K1754" s="1">
        <v>20</v>
      </c>
      <c r="L1754" s="1">
        <f>ROUNDDOWN(formatted_data[[#This Row],[Selling_Price]]*formatted_data[[#This Row],[Discount_%]]/100,0)</f>
        <v>139</v>
      </c>
      <c r="M1754" s="1">
        <f>(formatted_data[[#This Row],[Selling_Price]]-formatted_data[[#This Row],[Discount_Amount]])*formatted_data[[#This Row],[Units]]</f>
        <v>560</v>
      </c>
      <c r="N1754" s="1">
        <f>formatted_data[[#This Row],[Total_Revenue]]-(formatted_data[[#This Row],[Cost_Price]]*formatted_data[[#This Row],[Units]])</f>
        <v>53</v>
      </c>
      <c r="O1754" s="1" t="s">
        <v>33</v>
      </c>
      <c r="P1754"/>
    </row>
    <row r="1755" spans="1:16" x14ac:dyDescent="0.35">
      <c r="A1755" s="1" t="s">
        <v>66</v>
      </c>
      <c r="B1755" s="1" t="s">
        <v>27</v>
      </c>
      <c r="C1755" s="2">
        <v>45622</v>
      </c>
      <c r="D1755" s="1" t="s">
        <v>23</v>
      </c>
      <c r="E1755" s="1" t="s">
        <v>43</v>
      </c>
      <c r="F1755" s="1" t="s">
        <v>19</v>
      </c>
      <c r="G1755" s="1" t="s">
        <v>19</v>
      </c>
      <c r="H1755" s="1">
        <v>4</v>
      </c>
      <c r="I1755" s="1">
        <v>2097</v>
      </c>
      <c r="J1755" s="1">
        <v>3399</v>
      </c>
      <c r="K1755" s="1">
        <v>10</v>
      </c>
      <c r="L1755" s="1">
        <f>ROUNDDOWN(formatted_data[[#This Row],[Selling_Price]]*formatted_data[[#This Row],[Discount_%]]/100,0)</f>
        <v>339</v>
      </c>
      <c r="M1755" s="1">
        <f>(formatted_data[[#This Row],[Selling_Price]]-formatted_data[[#This Row],[Discount_Amount]])*formatted_data[[#This Row],[Units]]</f>
        <v>12240</v>
      </c>
      <c r="N1755" s="1">
        <f>formatted_data[[#This Row],[Total_Revenue]]-(formatted_data[[#This Row],[Cost_Price]]*formatted_data[[#This Row],[Units]])</f>
        <v>3852</v>
      </c>
      <c r="O1755" s="1" t="s">
        <v>33</v>
      </c>
      <c r="P1755"/>
    </row>
    <row r="1756" spans="1:16" x14ac:dyDescent="0.35">
      <c r="A1756" s="1" t="s">
        <v>60</v>
      </c>
      <c r="B1756" s="1" t="s">
        <v>27</v>
      </c>
      <c r="C1756" s="2">
        <v>45650</v>
      </c>
      <c r="D1756" s="1" t="s">
        <v>23</v>
      </c>
      <c r="E1756" s="1" t="s">
        <v>43</v>
      </c>
      <c r="F1756" s="1" t="s">
        <v>19</v>
      </c>
      <c r="G1756" s="1" t="s">
        <v>19</v>
      </c>
      <c r="H1756" s="1">
        <v>5</v>
      </c>
      <c r="I1756" s="1">
        <v>1845</v>
      </c>
      <c r="J1756" s="1">
        <v>3199</v>
      </c>
      <c r="K1756" s="1">
        <v>20</v>
      </c>
      <c r="L1756" s="1">
        <f>ROUNDDOWN(formatted_data[[#This Row],[Selling_Price]]*formatted_data[[#This Row],[Discount_%]]/100,0)</f>
        <v>639</v>
      </c>
      <c r="M1756" s="1">
        <f>(formatted_data[[#This Row],[Selling_Price]]-formatted_data[[#This Row],[Discount_Amount]])*formatted_data[[#This Row],[Units]]</f>
        <v>12800</v>
      </c>
      <c r="N1756" s="1">
        <f>formatted_data[[#This Row],[Total_Revenue]]-(formatted_data[[#This Row],[Cost_Price]]*formatted_data[[#This Row],[Units]])</f>
        <v>3575</v>
      </c>
      <c r="O1756" s="1" t="s">
        <v>21</v>
      </c>
      <c r="P1756"/>
    </row>
    <row r="1757" spans="1:16" x14ac:dyDescent="0.35">
      <c r="A1757" s="1" t="s">
        <v>88</v>
      </c>
      <c r="B1757" s="1" t="s">
        <v>27</v>
      </c>
      <c r="C1757" s="2">
        <v>45571</v>
      </c>
      <c r="D1757" s="1" t="s">
        <v>35</v>
      </c>
      <c r="E1757" s="1" t="s">
        <v>36</v>
      </c>
      <c r="F1757" s="1" t="s">
        <v>19</v>
      </c>
      <c r="G1757" s="1" t="s">
        <v>19</v>
      </c>
      <c r="H1757" s="1">
        <v>2</v>
      </c>
      <c r="I1757" s="1">
        <v>251</v>
      </c>
      <c r="J1757" s="1">
        <v>399</v>
      </c>
      <c r="K1757" s="1">
        <v>15</v>
      </c>
      <c r="L1757" s="1">
        <f>ROUNDDOWN(formatted_data[[#This Row],[Selling_Price]]*formatted_data[[#This Row],[Discount_%]]/100,0)</f>
        <v>59</v>
      </c>
      <c r="M1757" s="1">
        <f>(formatted_data[[#This Row],[Selling_Price]]-formatted_data[[#This Row],[Discount_Amount]])*formatted_data[[#This Row],[Units]]</f>
        <v>680</v>
      </c>
      <c r="N1757" s="1">
        <f>formatted_data[[#This Row],[Total_Revenue]]-(formatted_data[[#This Row],[Cost_Price]]*formatted_data[[#This Row],[Units]])</f>
        <v>178</v>
      </c>
      <c r="O1757" s="1" t="s">
        <v>21</v>
      </c>
      <c r="P1757"/>
    </row>
    <row r="1758" spans="1:16" x14ac:dyDescent="0.35">
      <c r="A1758" s="1" t="s">
        <v>88</v>
      </c>
      <c r="B1758" s="1" t="s">
        <v>27</v>
      </c>
      <c r="C1758" s="2">
        <v>45610</v>
      </c>
      <c r="D1758" s="1" t="s">
        <v>28</v>
      </c>
      <c r="E1758" s="1" t="s">
        <v>45</v>
      </c>
      <c r="F1758" s="1" t="s">
        <v>25</v>
      </c>
      <c r="G1758" s="1" t="s">
        <v>20</v>
      </c>
      <c r="H1758" s="1">
        <v>2</v>
      </c>
      <c r="I1758" s="1">
        <v>1338</v>
      </c>
      <c r="J1758" s="1">
        <v>2199</v>
      </c>
      <c r="K1758" s="1">
        <v>15</v>
      </c>
      <c r="L1758" s="1">
        <f>ROUNDDOWN(formatted_data[[#This Row],[Selling_Price]]*formatted_data[[#This Row],[Discount_%]]/100,0)</f>
        <v>329</v>
      </c>
      <c r="M1758" s="1">
        <f>(formatted_data[[#This Row],[Selling_Price]]-formatted_data[[#This Row],[Discount_Amount]])*formatted_data[[#This Row],[Units]]</f>
        <v>3740</v>
      </c>
      <c r="N1758" s="1">
        <f>formatted_data[[#This Row],[Total_Revenue]]-(formatted_data[[#This Row],[Cost_Price]]*formatted_data[[#This Row],[Units]])</f>
        <v>1064</v>
      </c>
      <c r="O1758" s="1" t="s">
        <v>21</v>
      </c>
      <c r="P1758"/>
    </row>
    <row r="1759" spans="1:16" x14ac:dyDescent="0.35">
      <c r="A1759" s="1" t="s">
        <v>95</v>
      </c>
      <c r="B1759" s="1" t="s">
        <v>27</v>
      </c>
      <c r="C1759" s="2">
        <v>45588</v>
      </c>
      <c r="D1759" s="1" t="s">
        <v>35</v>
      </c>
      <c r="E1759" s="1" t="s">
        <v>39</v>
      </c>
      <c r="F1759" s="1" t="s">
        <v>37</v>
      </c>
      <c r="G1759" s="1" t="s">
        <v>20</v>
      </c>
      <c r="H1759" s="1">
        <v>1</v>
      </c>
      <c r="I1759" s="1">
        <v>939</v>
      </c>
      <c r="J1759" s="1">
        <v>1299</v>
      </c>
      <c r="K1759" s="1">
        <v>20</v>
      </c>
      <c r="L1759" s="1">
        <f>ROUNDDOWN(formatted_data[[#This Row],[Selling_Price]]*formatted_data[[#This Row],[Discount_%]]/100,0)</f>
        <v>259</v>
      </c>
      <c r="M1759" s="1">
        <f>(formatted_data[[#This Row],[Selling_Price]]-formatted_data[[#This Row],[Discount_Amount]])*formatted_data[[#This Row],[Units]]</f>
        <v>1040</v>
      </c>
      <c r="N1759" s="1">
        <f>formatted_data[[#This Row],[Total_Revenue]]-(formatted_data[[#This Row],[Cost_Price]]*formatted_data[[#This Row],[Units]])</f>
        <v>101</v>
      </c>
      <c r="O1759" s="1" t="s">
        <v>21</v>
      </c>
      <c r="P1759"/>
    </row>
    <row r="1760" spans="1:16" x14ac:dyDescent="0.35">
      <c r="A1760" s="1" t="s">
        <v>52</v>
      </c>
      <c r="B1760" s="1" t="s">
        <v>27</v>
      </c>
      <c r="C1760" s="2">
        <v>45521</v>
      </c>
      <c r="D1760" s="1" t="s">
        <v>31</v>
      </c>
      <c r="E1760" s="1" t="s">
        <v>32</v>
      </c>
      <c r="F1760" s="1" t="s">
        <v>25</v>
      </c>
      <c r="G1760" s="1" t="s">
        <v>19</v>
      </c>
      <c r="H1760" s="1">
        <v>1</v>
      </c>
      <c r="I1760" s="1">
        <v>508</v>
      </c>
      <c r="J1760" s="1">
        <v>899</v>
      </c>
      <c r="K1760" s="1">
        <v>0</v>
      </c>
      <c r="L1760" s="1">
        <f>ROUNDDOWN(formatted_data[[#This Row],[Selling_Price]]*formatted_data[[#This Row],[Discount_%]]/100,0)</f>
        <v>0</v>
      </c>
      <c r="M1760" s="1">
        <f>(formatted_data[[#This Row],[Selling_Price]]-formatted_data[[#This Row],[Discount_Amount]])*formatted_data[[#This Row],[Units]]</f>
        <v>899</v>
      </c>
      <c r="N1760" s="1">
        <f>formatted_data[[#This Row],[Total_Revenue]]-(formatted_data[[#This Row],[Cost_Price]]*formatted_data[[#This Row],[Units]])</f>
        <v>391</v>
      </c>
      <c r="O1760" s="1" t="s">
        <v>21</v>
      </c>
      <c r="P1760"/>
    </row>
    <row r="1761" spans="1:16" x14ac:dyDescent="0.35">
      <c r="A1761" s="1" t="s">
        <v>73</v>
      </c>
      <c r="B1761" s="1" t="s">
        <v>16</v>
      </c>
      <c r="C1761" s="2">
        <v>45547</v>
      </c>
      <c r="D1761" s="1" t="s">
        <v>35</v>
      </c>
      <c r="E1761" s="1" t="s">
        <v>36</v>
      </c>
      <c r="F1761" s="1" t="s">
        <v>19</v>
      </c>
      <c r="G1761" s="1" t="s">
        <v>19</v>
      </c>
      <c r="H1761" s="1">
        <v>5</v>
      </c>
      <c r="I1761" s="1">
        <v>351</v>
      </c>
      <c r="J1761" s="1">
        <v>499</v>
      </c>
      <c r="K1761" s="1">
        <v>15</v>
      </c>
      <c r="L1761" s="1">
        <f>ROUNDDOWN(formatted_data[[#This Row],[Selling_Price]]*formatted_data[[#This Row],[Discount_%]]/100,0)</f>
        <v>74</v>
      </c>
      <c r="M1761" s="1">
        <f>(formatted_data[[#This Row],[Selling_Price]]-formatted_data[[#This Row],[Discount_Amount]])*formatted_data[[#This Row],[Units]]</f>
        <v>2125</v>
      </c>
      <c r="N1761" s="1">
        <f>formatted_data[[#This Row],[Total_Revenue]]-(formatted_data[[#This Row],[Cost_Price]]*formatted_data[[#This Row],[Units]])</f>
        <v>370</v>
      </c>
      <c r="O1761" s="1" t="s">
        <v>21</v>
      </c>
      <c r="P1761"/>
    </row>
    <row r="1762" spans="1:16" x14ac:dyDescent="0.35">
      <c r="A1762" s="1" t="s">
        <v>57</v>
      </c>
      <c r="B1762" s="1" t="s">
        <v>27</v>
      </c>
      <c r="C1762" s="2">
        <v>45484</v>
      </c>
      <c r="D1762" s="1" t="s">
        <v>31</v>
      </c>
      <c r="E1762" s="1" t="s">
        <v>76</v>
      </c>
      <c r="F1762" s="1" t="s">
        <v>37</v>
      </c>
      <c r="G1762" s="1" t="s">
        <v>19</v>
      </c>
      <c r="H1762" s="1">
        <v>3</v>
      </c>
      <c r="I1762" s="1">
        <v>616</v>
      </c>
      <c r="J1762" s="1">
        <v>999</v>
      </c>
      <c r="K1762" s="1">
        <v>0</v>
      </c>
      <c r="L1762" s="1">
        <f>ROUNDDOWN(formatted_data[[#This Row],[Selling_Price]]*formatted_data[[#This Row],[Discount_%]]/100,0)</f>
        <v>0</v>
      </c>
      <c r="M1762" s="1">
        <f>(formatted_data[[#This Row],[Selling_Price]]-formatted_data[[#This Row],[Discount_Amount]])*formatted_data[[#This Row],[Units]]</f>
        <v>2997</v>
      </c>
      <c r="N1762" s="1">
        <f>formatted_data[[#This Row],[Total_Revenue]]-(formatted_data[[#This Row],[Cost_Price]]*formatted_data[[#This Row],[Units]])</f>
        <v>1149</v>
      </c>
      <c r="O1762" s="1" t="s">
        <v>21</v>
      </c>
      <c r="P1762"/>
    </row>
    <row r="1763" spans="1:16" x14ac:dyDescent="0.35">
      <c r="A1763" s="1" t="s">
        <v>91</v>
      </c>
      <c r="B1763" s="1" t="s">
        <v>16</v>
      </c>
      <c r="C1763" s="2">
        <v>45479</v>
      </c>
      <c r="D1763" s="1" t="s">
        <v>23</v>
      </c>
      <c r="E1763" s="1" t="s">
        <v>24</v>
      </c>
      <c r="F1763" s="1" t="s">
        <v>25</v>
      </c>
      <c r="G1763" s="1" t="s">
        <v>19</v>
      </c>
      <c r="H1763" s="1">
        <v>1</v>
      </c>
      <c r="I1763" s="1">
        <v>1085</v>
      </c>
      <c r="J1763" s="1">
        <v>1899</v>
      </c>
      <c r="K1763" s="1">
        <v>20</v>
      </c>
      <c r="L1763" s="1">
        <f>ROUNDDOWN(formatted_data[[#This Row],[Selling_Price]]*formatted_data[[#This Row],[Discount_%]]/100,0)</f>
        <v>379</v>
      </c>
      <c r="M1763" s="1">
        <f>(formatted_data[[#This Row],[Selling_Price]]-formatted_data[[#This Row],[Discount_Amount]])*formatted_data[[#This Row],[Units]]</f>
        <v>1520</v>
      </c>
      <c r="N1763" s="1">
        <f>formatted_data[[#This Row],[Total_Revenue]]-(formatted_data[[#This Row],[Cost_Price]]*formatted_data[[#This Row],[Units]])</f>
        <v>435</v>
      </c>
      <c r="O1763" s="1" t="s">
        <v>33</v>
      </c>
      <c r="P1763"/>
    </row>
    <row r="1764" spans="1:16" x14ac:dyDescent="0.35">
      <c r="A1764" s="1" t="s">
        <v>73</v>
      </c>
      <c r="B1764" s="1" t="s">
        <v>16</v>
      </c>
      <c r="C1764" s="2">
        <v>45605</v>
      </c>
      <c r="D1764" s="1" t="s">
        <v>35</v>
      </c>
      <c r="E1764" s="1" t="s">
        <v>50</v>
      </c>
      <c r="F1764" s="1" t="s">
        <v>25</v>
      </c>
      <c r="G1764" s="1" t="s">
        <v>20</v>
      </c>
      <c r="H1764" s="1">
        <v>2</v>
      </c>
      <c r="I1764" s="1">
        <v>567</v>
      </c>
      <c r="J1764" s="1">
        <v>899</v>
      </c>
      <c r="K1764" s="1">
        <v>10</v>
      </c>
      <c r="L1764" s="1">
        <f>ROUNDDOWN(formatted_data[[#This Row],[Selling_Price]]*formatted_data[[#This Row],[Discount_%]]/100,0)</f>
        <v>89</v>
      </c>
      <c r="M1764" s="1">
        <f>(formatted_data[[#This Row],[Selling_Price]]-formatted_data[[#This Row],[Discount_Amount]])*formatted_data[[#This Row],[Units]]</f>
        <v>1620</v>
      </c>
      <c r="N1764" s="1">
        <f>formatted_data[[#This Row],[Total_Revenue]]-(formatted_data[[#This Row],[Cost_Price]]*formatted_data[[#This Row],[Units]])</f>
        <v>486</v>
      </c>
      <c r="O1764" s="1" t="s">
        <v>21</v>
      </c>
      <c r="P1764"/>
    </row>
    <row r="1765" spans="1:16" x14ac:dyDescent="0.35">
      <c r="A1765" s="1" t="s">
        <v>34</v>
      </c>
      <c r="B1765" s="1" t="s">
        <v>27</v>
      </c>
      <c r="C1765" s="2">
        <v>45507</v>
      </c>
      <c r="D1765" s="1" t="s">
        <v>31</v>
      </c>
      <c r="E1765" s="1" t="s">
        <v>76</v>
      </c>
      <c r="F1765" s="1" t="s">
        <v>19</v>
      </c>
      <c r="G1765" s="1" t="s">
        <v>19</v>
      </c>
      <c r="H1765" s="1">
        <v>1</v>
      </c>
      <c r="I1765" s="1">
        <v>1018</v>
      </c>
      <c r="J1765" s="1">
        <v>1499</v>
      </c>
      <c r="K1765" s="1">
        <v>0</v>
      </c>
      <c r="L1765" s="1">
        <f>ROUNDDOWN(formatted_data[[#This Row],[Selling_Price]]*formatted_data[[#This Row],[Discount_%]]/100,0)</f>
        <v>0</v>
      </c>
      <c r="M1765" s="1">
        <f>(formatted_data[[#This Row],[Selling_Price]]-formatted_data[[#This Row],[Discount_Amount]])*formatted_data[[#This Row],[Units]]</f>
        <v>1499</v>
      </c>
      <c r="N1765" s="1">
        <f>formatted_data[[#This Row],[Total_Revenue]]-(formatted_data[[#This Row],[Cost_Price]]*formatted_data[[#This Row],[Units]])</f>
        <v>481</v>
      </c>
      <c r="O1765" s="1" t="s">
        <v>21</v>
      </c>
      <c r="P1765"/>
    </row>
    <row r="1766" spans="1:16" x14ac:dyDescent="0.35">
      <c r="A1766" s="1" t="s">
        <v>44</v>
      </c>
      <c r="B1766" s="1" t="s">
        <v>16</v>
      </c>
      <c r="C1766" s="2">
        <v>45616</v>
      </c>
      <c r="D1766" s="1" t="s">
        <v>31</v>
      </c>
      <c r="E1766" s="1" t="s">
        <v>76</v>
      </c>
      <c r="F1766" s="1" t="s">
        <v>37</v>
      </c>
      <c r="G1766" s="1" t="s">
        <v>19</v>
      </c>
      <c r="H1766" s="1">
        <v>3</v>
      </c>
      <c r="I1766" s="1">
        <v>409</v>
      </c>
      <c r="J1766" s="1">
        <v>699</v>
      </c>
      <c r="K1766" s="1">
        <v>0</v>
      </c>
      <c r="L1766" s="1">
        <f>ROUNDDOWN(formatted_data[[#This Row],[Selling_Price]]*formatted_data[[#This Row],[Discount_%]]/100,0)</f>
        <v>0</v>
      </c>
      <c r="M1766" s="1">
        <f>(formatted_data[[#This Row],[Selling_Price]]-formatted_data[[#This Row],[Discount_Amount]])*formatted_data[[#This Row],[Units]]</f>
        <v>2097</v>
      </c>
      <c r="N1766" s="1">
        <f>formatted_data[[#This Row],[Total_Revenue]]-(formatted_data[[#This Row],[Cost_Price]]*formatted_data[[#This Row],[Units]])</f>
        <v>870</v>
      </c>
      <c r="O1766" s="1" t="s">
        <v>21</v>
      </c>
      <c r="P1766"/>
    </row>
    <row r="1767" spans="1:16" x14ac:dyDescent="0.35">
      <c r="A1767" s="1" t="s">
        <v>73</v>
      </c>
      <c r="B1767" s="1" t="s">
        <v>16</v>
      </c>
      <c r="C1767" s="2">
        <v>45588</v>
      </c>
      <c r="D1767" s="1" t="s">
        <v>23</v>
      </c>
      <c r="E1767" s="1" t="s">
        <v>43</v>
      </c>
      <c r="F1767" s="1" t="s">
        <v>25</v>
      </c>
      <c r="G1767" s="1" t="s">
        <v>20</v>
      </c>
      <c r="H1767" s="1">
        <v>4</v>
      </c>
      <c r="I1767" s="1">
        <v>3014</v>
      </c>
      <c r="J1767" s="1">
        <v>4799</v>
      </c>
      <c r="K1767" s="1">
        <v>15</v>
      </c>
      <c r="L1767" s="1">
        <f>ROUNDDOWN(formatted_data[[#This Row],[Selling_Price]]*formatted_data[[#This Row],[Discount_%]]/100,0)</f>
        <v>719</v>
      </c>
      <c r="M1767" s="1">
        <f>(formatted_data[[#This Row],[Selling_Price]]-formatted_data[[#This Row],[Discount_Amount]])*formatted_data[[#This Row],[Units]]</f>
        <v>16320</v>
      </c>
      <c r="N1767" s="1">
        <f>formatted_data[[#This Row],[Total_Revenue]]-(formatted_data[[#This Row],[Cost_Price]]*formatted_data[[#This Row],[Units]])</f>
        <v>4264</v>
      </c>
      <c r="O1767" s="1" t="s">
        <v>21</v>
      </c>
      <c r="P1767"/>
    </row>
    <row r="1768" spans="1:16" x14ac:dyDescent="0.35">
      <c r="A1768" s="1" t="s">
        <v>85</v>
      </c>
      <c r="B1768" s="1" t="s">
        <v>27</v>
      </c>
      <c r="C1768" s="2">
        <v>45502</v>
      </c>
      <c r="D1768" s="1" t="s">
        <v>35</v>
      </c>
      <c r="E1768" s="1" t="s">
        <v>50</v>
      </c>
      <c r="F1768" s="1" t="s">
        <v>19</v>
      </c>
      <c r="G1768" s="1" t="s">
        <v>19</v>
      </c>
      <c r="H1768" s="1">
        <v>1</v>
      </c>
      <c r="I1768" s="1">
        <v>453</v>
      </c>
      <c r="J1768" s="1">
        <v>899</v>
      </c>
      <c r="K1768" s="1">
        <v>5</v>
      </c>
      <c r="L1768" s="1">
        <f>ROUNDDOWN(formatted_data[[#This Row],[Selling_Price]]*formatted_data[[#This Row],[Discount_%]]/100,0)</f>
        <v>44</v>
      </c>
      <c r="M1768" s="1">
        <f>(formatted_data[[#This Row],[Selling_Price]]-formatted_data[[#This Row],[Discount_Amount]])*formatted_data[[#This Row],[Units]]</f>
        <v>855</v>
      </c>
      <c r="N1768" s="1">
        <f>formatted_data[[#This Row],[Total_Revenue]]-(formatted_data[[#This Row],[Cost_Price]]*formatted_data[[#This Row],[Units]])</f>
        <v>402</v>
      </c>
      <c r="O1768" s="1" t="s">
        <v>21</v>
      </c>
      <c r="P1768"/>
    </row>
    <row r="1769" spans="1:16" x14ac:dyDescent="0.35">
      <c r="A1769" s="1" t="s">
        <v>67</v>
      </c>
      <c r="B1769" s="1" t="s">
        <v>27</v>
      </c>
      <c r="C1769" s="2">
        <v>45587</v>
      </c>
      <c r="D1769" s="1" t="s">
        <v>31</v>
      </c>
      <c r="E1769" s="1" t="s">
        <v>76</v>
      </c>
      <c r="F1769" s="1" t="s">
        <v>37</v>
      </c>
      <c r="G1769" s="1" t="s">
        <v>19</v>
      </c>
      <c r="H1769" s="1">
        <v>5</v>
      </c>
      <c r="I1769" s="1">
        <v>799</v>
      </c>
      <c r="J1769" s="1">
        <v>1199</v>
      </c>
      <c r="K1769" s="1">
        <v>0</v>
      </c>
      <c r="L1769" s="1">
        <f>ROUNDDOWN(formatted_data[[#This Row],[Selling_Price]]*formatted_data[[#This Row],[Discount_%]]/100,0)</f>
        <v>0</v>
      </c>
      <c r="M1769" s="1">
        <f>(formatted_data[[#This Row],[Selling_Price]]-formatted_data[[#This Row],[Discount_Amount]])*formatted_data[[#This Row],[Units]]</f>
        <v>5995</v>
      </c>
      <c r="N1769" s="1">
        <f>formatted_data[[#This Row],[Total_Revenue]]-(formatted_data[[#This Row],[Cost_Price]]*formatted_data[[#This Row],[Units]])</f>
        <v>2000</v>
      </c>
      <c r="O1769" s="1" t="s">
        <v>21</v>
      </c>
      <c r="P1769"/>
    </row>
    <row r="1770" spans="1:16" x14ac:dyDescent="0.35">
      <c r="A1770" s="1" t="s">
        <v>65</v>
      </c>
      <c r="B1770" s="1" t="s">
        <v>16</v>
      </c>
      <c r="C1770" s="2">
        <v>45558</v>
      </c>
      <c r="D1770" s="1" t="s">
        <v>23</v>
      </c>
      <c r="E1770" s="1" t="s">
        <v>24</v>
      </c>
      <c r="F1770" s="1" t="s">
        <v>25</v>
      </c>
      <c r="G1770" s="1" t="s">
        <v>19</v>
      </c>
      <c r="H1770" s="1">
        <v>2</v>
      </c>
      <c r="I1770" s="1">
        <v>1029</v>
      </c>
      <c r="J1770" s="1">
        <v>1699</v>
      </c>
      <c r="K1770" s="1">
        <v>10</v>
      </c>
      <c r="L1770" s="1">
        <f>ROUNDDOWN(formatted_data[[#This Row],[Selling_Price]]*formatted_data[[#This Row],[Discount_%]]/100,0)</f>
        <v>169</v>
      </c>
      <c r="M1770" s="1">
        <f>(formatted_data[[#This Row],[Selling_Price]]-formatted_data[[#This Row],[Discount_Amount]])*formatted_data[[#This Row],[Units]]</f>
        <v>3060</v>
      </c>
      <c r="N1770" s="1">
        <f>formatted_data[[#This Row],[Total_Revenue]]-(formatted_data[[#This Row],[Cost_Price]]*formatted_data[[#This Row],[Units]])</f>
        <v>1002</v>
      </c>
      <c r="O1770" s="1" t="s">
        <v>21</v>
      </c>
      <c r="P1770"/>
    </row>
    <row r="1771" spans="1:16" x14ac:dyDescent="0.35">
      <c r="A1771" s="1" t="s">
        <v>52</v>
      </c>
      <c r="B1771" s="1" t="s">
        <v>27</v>
      </c>
      <c r="C1771" s="2">
        <v>45539</v>
      </c>
      <c r="D1771" s="1" t="s">
        <v>17</v>
      </c>
      <c r="E1771" s="1" t="s">
        <v>48</v>
      </c>
      <c r="F1771" s="1" t="s">
        <v>25</v>
      </c>
      <c r="G1771" s="1" t="s">
        <v>19</v>
      </c>
      <c r="H1771" s="1">
        <v>1</v>
      </c>
      <c r="I1771" s="1">
        <v>195</v>
      </c>
      <c r="J1771" s="1">
        <v>299</v>
      </c>
      <c r="K1771" s="1">
        <v>0</v>
      </c>
      <c r="L1771" s="1">
        <f>ROUNDDOWN(formatted_data[[#This Row],[Selling_Price]]*formatted_data[[#This Row],[Discount_%]]/100,0)</f>
        <v>0</v>
      </c>
      <c r="M1771" s="1">
        <f>(formatted_data[[#This Row],[Selling_Price]]-formatted_data[[#This Row],[Discount_Amount]])*formatted_data[[#This Row],[Units]]</f>
        <v>299</v>
      </c>
      <c r="N1771" s="1">
        <f>formatted_data[[#This Row],[Total_Revenue]]-(formatted_data[[#This Row],[Cost_Price]]*formatted_data[[#This Row],[Units]])</f>
        <v>104</v>
      </c>
      <c r="O1771" s="1" t="s">
        <v>33</v>
      </c>
      <c r="P1771"/>
    </row>
    <row r="1772" spans="1:16" x14ac:dyDescent="0.35">
      <c r="A1772" s="1" t="s">
        <v>105</v>
      </c>
      <c r="B1772" s="1" t="s">
        <v>16</v>
      </c>
      <c r="C1772" s="2">
        <v>45526</v>
      </c>
      <c r="D1772" s="1" t="s">
        <v>28</v>
      </c>
      <c r="E1772" s="1" t="s">
        <v>45</v>
      </c>
      <c r="F1772" s="1" t="s">
        <v>37</v>
      </c>
      <c r="G1772" s="1" t="s">
        <v>20</v>
      </c>
      <c r="H1772" s="1">
        <v>3</v>
      </c>
      <c r="I1772" s="1">
        <v>461</v>
      </c>
      <c r="J1772" s="1">
        <v>699</v>
      </c>
      <c r="K1772" s="1">
        <v>5</v>
      </c>
      <c r="L1772" s="1">
        <f>ROUNDDOWN(formatted_data[[#This Row],[Selling_Price]]*formatted_data[[#This Row],[Discount_%]]/100,0)</f>
        <v>34</v>
      </c>
      <c r="M1772" s="1">
        <f>(formatted_data[[#This Row],[Selling_Price]]-formatted_data[[#This Row],[Discount_Amount]])*formatted_data[[#This Row],[Units]]</f>
        <v>1995</v>
      </c>
      <c r="N1772" s="1">
        <f>formatted_data[[#This Row],[Total_Revenue]]-(formatted_data[[#This Row],[Cost_Price]]*formatted_data[[#This Row],[Units]])</f>
        <v>612</v>
      </c>
      <c r="O1772" s="1" t="s">
        <v>21</v>
      </c>
      <c r="P1772"/>
    </row>
    <row r="1773" spans="1:16" x14ac:dyDescent="0.35">
      <c r="A1773" s="1" t="s">
        <v>90</v>
      </c>
      <c r="B1773" s="1" t="s">
        <v>27</v>
      </c>
      <c r="C1773" s="2">
        <v>45501</v>
      </c>
      <c r="D1773" s="1" t="s">
        <v>35</v>
      </c>
      <c r="E1773" s="1" t="s">
        <v>36</v>
      </c>
      <c r="F1773" s="1" t="s">
        <v>19</v>
      </c>
      <c r="G1773" s="1" t="s">
        <v>20</v>
      </c>
      <c r="H1773" s="1">
        <v>1</v>
      </c>
      <c r="I1773" s="1">
        <v>303</v>
      </c>
      <c r="J1773" s="1">
        <v>599</v>
      </c>
      <c r="K1773" s="1">
        <v>5</v>
      </c>
      <c r="L1773" s="1">
        <f>ROUNDDOWN(formatted_data[[#This Row],[Selling_Price]]*formatted_data[[#This Row],[Discount_%]]/100,0)</f>
        <v>29</v>
      </c>
      <c r="M1773" s="1">
        <f>(formatted_data[[#This Row],[Selling_Price]]-formatted_data[[#This Row],[Discount_Amount]])*formatted_data[[#This Row],[Units]]</f>
        <v>570</v>
      </c>
      <c r="N1773" s="1">
        <f>formatted_data[[#This Row],[Total_Revenue]]-(formatted_data[[#This Row],[Cost_Price]]*formatted_data[[#This Row],[Units]])</f>
        <v>267</v>
      </c>
      <c r="O1773" s="1" t="s">
        <v>21</v>
      </c>
      <c r="P1773"/>
    </row>
    <row r="1774" spans="1:16" x14ac:dyDescent="0.35">
      <c r="A1774" s="1" t="s">
        <v>96</v>
      </c>
      <c r="B1774" s="1" t="s">
        <v>16</v>
      </c>
      <c r="C1774" s="2">
        <v>45626</v>
      </c>
      <c r="D1774" s="1" t="s">
        <v>31</v>
      </c>
      <c r="E1774" s="1" t="s">
        <v>76</v>
      </c>
      <c r="F1774" s="1" t="s">
        <v>25</v>
      </c>
      <c r="G1774" s="1" t="s">
        <v>20</v>
      </c>
      <c r="H1774" s="1">
        <v>5</v>
      </c>
      <c r="I1774" s="1">
        <v>753</v>
      </c>
      <c r="J1774" s="1">
        <v>1199</v>
      </c>
      <c r="K1774" s="1">
        <v>0</v>
      </c>
      <c r="L1774" s="1">
        <f>ROUNDDOWN(formatted_data[[#This Row],[Selling_Price]]*formatted_data[[#This Row],[Discount_%]]/100,0)</f>
        <v>0</v>
      </c>
      <c r="M1774" s="1">
        <f>(formatted_data[[#This Row],[Selling_Price]]-formatted_data[[#This Row],[Discount_Amount]])*formatted_data[[#This Row],[Units]]</f>
        <v>5995</v>
      </c>
      <c r="N1774" s="1">
        <f>formatted_data[[#This Row],[Total_Revenue]]-(formatted_data[[#This Row],[Cost_Price]]*formatted_data[[#This Row],[Units]])</f>
        <v>2230</v>
      </c>
      <c r="O1774" s="1" t="s">
        <v>21</v>
      </c>
      <c r="P1774"/>
    </row>
    <row r="1775" spans="1:16" x14ac:dyDescent="0.35">
      <c r="A1775" s="1" t="s">
        <v>67</v>
      </c>
      <c r="B1775" s="1" t="s">
        <v>27</v>
      </c>
      <c r="C1775" s="2">
        <v>45577</v>
      </c>
      <c r="D1775" s="1" t="s">
        <v>23</v>
      </c>
      <c r="E1775" s="1" t="s">
        <v>43</v>
      </c>
      <c r="F1775" s="1" t="s">
        <v>19</v>
      </c>
      <c r="G1775" s="1" t="s">
        <v>20</v>
      </c>
      <c r="H1775" s="1">
        <v>4</v>
      </c>
      <c r="I1775" s="1">
        <v>1219</v>
      </c>
      <c r="J1775" s="1">
        <v>1999</v>
      </c>
      <c r="K1775" s="1">
        <v>5</v>
      </c>
      <c r="L1775" s="1">
        <f>ROUNDDOWN(formatted_data[[#This Row],[Selling_Price]]*formatted_data[[#This Row],[Discount_%]]/100,0)</f>
        <v>99</v>
      </c>
      <c r="M1775" s="1">
        <f>(formatted_data[[#This Row],[Selling_Price]]-formatted_data[[#This Row],[Discount_Amount]])*formatted_data[[#This Row],[Units]]</f>
        <v>7600</v>
      </c>
      <c r="N1775" s="1">
        <f>formatted_data[[#This Row],[Total_Revenue]]-(formatted_data[[#This Row],[Cost_Price]]*formatted_data[[#This Row],[Units]])</f>
        <v>2724</v>
      </c>
      <c r="O1775" s="1" t="s">
        <v>21</v>
      </c>
      <c r="P1775"/>
    </row>
    <row r="1776" spans="1:16" x14ac:dyDescent="0.35">
      <c r="A1776" s="1" t="s">
        <v>67</v>
      </c>
      <c r="B1776" s="1" t="s">
        <v>27</v>
      </c>
      <c r="C1776" s="2">
        <v>45642</v>
      </c>
      <c r="D1776" s="1" t="s">
        <v>17</v>
      </c>
      <c r="E1776" s="1" t="s">
        <v>48</v>
      </c>
      <c r="F1776" s="1" t="s">
        <v>37</v>
      </c>
      <c r="G1776" s="1" t="s">
        <v>20</v>
      </c>
      <c r="H1776" s="1">
        <v>1</v>
      </c>
      <c r="I1776" s="1">
        <v>306</v>
      </c>
      <c r="J1776" s="1">
        <v>599</v>
      </c>
      <c r="K1776" s="1">
        <v>0</v>
      </c>
      <c r="L1776" s="1">
        <f>ROUNDDOWN(formatted_data[[#This Row],[Selling_Price]]*formatted_data[[#This Row],[Discount_%]]/100,0)</f>
        <v>0</v>
      </c>
      <c r="M1776" s="1">
        <f>(formatted_data[[#This Row],[Selling_Price]]-formatted_data[[#This Row],[Discount_Amount]])*formatted_data[[#This Row],[Units]]</f>
        <v>599</v>
      </c>
      <c r="N1776" s="1">
        <f>formatted_data[[#This Row],[Total_Revenue]]-(formatted_data[[#This Row],[Cost_Price]]*formatted_data[[#This Row],[Units]])</f>
        <v>293</v>
      </c>
      <c r="O1776" s="1" t="s">
        <v>21</v>
      </c>
      <c r="P1776"/>
    </row>
    <row r="1777" spans="1:16" x14ac:dyDescent="0.35">
      <c r="A1777" s="1" t="s">
        <v>79</v>
      </c>
      <c r="B1777" s="1" t="s">
        <v>16</v>
      </c>
      <c r="C1777" s="2">
        <v>45646</v>
      </c>
      <c r="D1777" s="1" t="s">
        <v>23</v>
      </c>
      <c r="E1777" s="1" t="s">
        <v>43</v>
      </c>
      <c r="F1777" s="1" t="s">
        <v>37</v>
      </c>
      <c r="G1777" s="1" t="s">
        <v>20</v>
      </c>
      <c r="H1777" s="1">
        <v>1</v>
      </c>
      <c r="I1777" s="1">
        <v>1668</v>
      </c>
      <c r="J1777" s="1">
        <v>2299</v>
      </c>
      <c r="K1777" s="1">
        <v>10</v>
      </c>
      <c r="L1777" s="1">
        <f>ROUNDDOWN(formatted_data[[#This Row],[Selling_Price]]*formatted_data[[#This Row],[Discount_%]]/100,0)</f>
        <v>229</v>
      </c>
      <c r="M1777" s="1">
        <f>(formatted_data[[#This Row],[Selling_Price]]-formatted_data[[#This Row],[Discount_Amount]])*formatted_data[[#This Row],[Units]]</f>
        <v>2070</v>
      </c>
      <c r="N1777" s="1">
        <f>formatted_data[[#This Row],[Total_Revenue]]-(formatted_data[[#This Row],[Cost_Price]]*formatted_data[[#This Row],[Units]])</f>
        <v>402</v>
      </c>
      <c r="O1777" s="1" t="s">
        <v>21</v>
      </c>
      <c r="P1777"/>
    </row>
    <row r="1778" spans="1:16" x14ac:dyDescent="0.35">
      <c r="A1778" s="1" t="s">
        <v>26</v>
      </c>
      <c r="B1778" s="1" t="s">
        <v>27</v>
      </c>
      <c r="C1778" s="2">
        <v>45584</v>
      </c>
      <c r="D1778" s="1" t="s">
        <v>23</v>
      </c>
      <c r="E1778" s="1" t="s">
        <v>43</v>
      </c>
      <c r="F1778" s="1" t="s">
        <v>25</v>
      </c>
      <c r="G1778" s="1" t="s">
        <v>19</v>
      </c>
      <c r="H1778" s="1">
        <v>3</v>
      </c>
      <c r="I1778" s="1">
        <v>2109</v>
      </c>
      <c r="J1778" s="1">
        <v>3799</v>
      </c>
      <c r="K1778" s="1">
        <v>20</v>
      </c>
      <c r="L1778" s="1">
        <f>ROUNDDOWN(formatted_data[[#This Row],[Selling_Price]]*formatted_data[[#This Row],[Discount_%]]/100,0)</f>
        <v>759</v>
      </c>
      <c r="M1778" s="1">
        <f>(formatted_data[[#This Row],[Selling_Price]]-formatted_data[[#This Row],[Discount_Amount]])*formatted_data[[#This Row],[Units]]</f>
        <v>9120</v>
      </c>
      <c r="N1778" s="1">
        <f>formatted_data[[#This Row],[Total_Revenue]]-(formatted_data[[#This Row],[Cost_Price]]*formatted_data[[#This Row],[Units]])</f>
        <v>2793</v>
      </c>
      <c r="O1778" s="1" t="s">
        <v>33</v>
      </c>
      <c r="P1778"/>
    </row>
    <row r="1779" spans="1:16" x14ac:dyDescent="0.35">
      <c r="A1779" s="1" t="s">
        <v>82</v>
      </c>
      <c r="B1779" s="1" t="s">
        <v>27</v>
      </c>
      <c r="C1779" s="2">
        <v>45627</v>
      </c>
      <c r="D1779" s="1" t="s">
        <v>28</v>
      </c>
      <c r="E1779" s="1" t="s">
        <v>45</v>
      </c>
      <c r="F1779" s="1" t="s">
        <v>25</v>
      </c>
      <c r="G1779" s="1" t="s">
        <v>19</v>
      </c>
      <c r="H1779" s="1">
        <v>1</v>
      </c>
      <c r="I1779" s="1">
        <v>1380</v>
      </c>
      <c r="J1779" s="1">
        <v>1899</v>
      </c>
      <c r="K1779" s="1">
        <v>5</v>
      </c>
      <c r="L1779" s="1">
        <f>ROUNDDOWN(formatted_data[[#This Row],[Selling_Price]]*formatted_data[[#This Row],[Discount_%]]/100,0)</f>
        <v>94</v>
      </c>
      <c r="M1779" s="1">
        <f>(formatted_data[[#This Row],[Selling_Price]]-formatted_data[[#This Row],[Discount_Amount]])*formatted_data[[#This Row],[Units]]</f>
        <v>1805</v>
      </c>
      <c r="N1779" s="1">
        <f>formatted_data[[#This Row],[Total_Revenue]]-(formatted_data[[#This Row],[Cost_Price]]*formatted_data[[#This Row],[Units]])</f>
        <v>425</v>
      </c>
      <c r="O1779" s="1" t="s">
        <v>33</v>
      </c>
      <c r="P1779"/>
    </row>
    <row r="1780" spans="1:16" x14ac:dyDescent="0.35">
      <c r="A1780" s="1" t="s">
        <v>38</v>
      </c>
      <c r="B1780" s="1" t="s">
        <v>27</v>
      </c>
      <c r="C1780" s="2">
        <v>45507</v>
      </c>
      <c r="D1780" s="1" t="s">
        <v>31</v>
      </c>
      <c r="E1780" s="1" t="s">
        <v>76</v>
      </c>
      <c r="F1780" s="1" t="s">
        <v>37</v>
      </c>
      <c r="G1780" s="1" t="s">
        <v>19</v>
      </c>
      <c r="H1780" s="1">
        <v>3</v>
      </c>
      <c r="I1780" s="1">
        <v>577</v>
      </c>
      <c r="J1780" s="1">
        <v>999</v>
      </c>
      <c r="K1780" s="1">
        <v>0</v>
      </c>
      <c r="L1780" s="1">
        <f>ROUNDDOWN(formatted_data[[#This Row],[Selling_Price]]*formatted_data[[#This Row],[Discount_%]]/100,0)</f>
        <v>0</v>
      </c>
      <c r="M1780" s="1">
        <f>(formatted_data[[#This Row],[Selling_Price]]-formatted_data[[#This Row],[Discount_Amount]])*formatted_data[[#This Row],[Units]]</f>
        <v>2997</v>
      </c>
      <c r="N1780" s="1">
        <f>formatted_data[[#This Row],[Total_Revenue]]-(formatted_data[[#This Row],[Cost_Price]]*formatted_data[[#This Row],[Units]])</f>
        <v>1266</v>
      </c>
      <c r="O1780" s="1" t="s">
        <v>21</v>
      </c>
      <c r="P1780"/>
    </row>
    <row r="1781" spans="1:16" x14ac:dyDescent="0.35">
      <c r="A1781" s="1" t="s">
        <v>81</v>
      </c>
      <c r="B1781" s="1" t="s">
        <v>27</v>
      </c>
      <c r="C1781" s="2">
        <v>45654</v>
      </c>
      <c r="D1781" s="1" t="s">
        <v>28</v>
      </c>
      <c r="E1781" s="1" t="s">
        <v>29</v>
      </c>
      <c r="F1781" s="1" t="s">
        <v>37</v>
      </c>
      <c r="G1781" s="1" t="s">
        <v>20</v>
      </c>
      <c r="H1781" s="1">
        <v>2</v>
      </c>
      <c r="I1781" s="1">
        <v>590</v>
      </c>
      <c r="J1781" s="1">
        <v>799</v>
      </c>
      <c r="K1781" s="1">
        <v>20</v>
      </c>
      <c r="L1781" s="1">
        <f>ROUNDDOWN(formatted_data[[#This Row],[Selling_Price]]*formatted_data[[#This Row],[Discount_%]]/100,0)</f>
        <v>159</v>
      </c>
      <c r="M1781" s="1">
        <f>(formatted_data[[#This Row],[Selling_Price]]-formatted_data[[#This Row],[Discount_Amount]])*formatted_data[[#This Row],[Units]]</f>
        <v>1280</v>
      </c>
      <c r="N1781" s="1">
        <f>formatted_data[[#This Row],[Total_Revenue]]-(formatted_data[[#This Row],[Cost_Price]]*formatted_data[[#This Row],[Units]])</f>
        <v>100</v>
      </c>
      <c r="O1781" s="1" t="s">
        <v>33</v>
      </c>
      <c r="P1781"/>
    </row>
    <row r="1782" spans="1:16" x14ac:dyDescent="0.35">
      <c r="A1782" s="1" t="s">
        <v>54</v>
      </c>
      <c r="B1782" s="1" t="s">
        <v>27</v>
      </c>
      <c r="C1782" s="2">
        <v>45499</v>
      </c>
      <c r="D1782" s="1" t="s">
        <v>23</v>
      </c>
      <c r="E1782" s="1" t="s">
        <v>24</v>
      </c>
      <c r="F1782" s="1" t="s">
        <v>37</v>
      </c>
      <c r="G1782" s="1" t="s">
        <v>20</v>
      </c>
      <c r="H1782" s="1">
        <v>2</v>
      </c>
      <c r="I1782" s="1">
        <v>1527</v>
      </c>
      <c r="J1782" s="1">
        <v>2199</v>
      </c>
      <c r="K1782" s="1">
        <v>5</v>
      </c>
      <c r="L1782" s="1">
        <f>ROUNDDOWN(formatted_data[[#This Row],[Selling_Price]]*formatted_data[[#This Row],[Discount_%]]/100,0)</f>
        <v>109</v>
      </c>
      <c r="M1782" s="1">
        <f>(formatted_data[[#This Row],[Selling_Price]]-formatted_data[[#This Row],[Discount_Amount]])*formatted_data[[#This Row],[Units]]</f>
        <v>4180</v>
      </c>
      <c r="N1782" s="1">
        <f>formatted_data[[#This Row],[Total_Revenue]]-(formatted_data[[#This Row],[Cost_Price]]*formatted_data[[#This Row],[Units]])</f>
        <v>1126</v>
      </c>
      <c r="O1782" s="1" t="s">
        <v>21</v>
      </c>
      <c r="P1782"/>
    </row>
    <row r="1783" spans="1:16" x14ac:dyDescent="0.35">
      <c r="A1783" s="1" t="s">
        <v>63</v>
      </c>
      <c r="B1783" s="1" t="s">
        <v>27</v>
      </c>
      <c r="C1783" s="2">
        <v>45563</v>
      </c>
      <c r="D1783" s="1" t="s">
        <v>23</v>
      </c>
      <c r="E1783" s="1" t="s">
        <v>43</v>
      </c>
      <c r="F1783" s="1" t="s">
        <v>37</v>
      </c>
      <c r="G1783" s="1" t="s">
        <v>20</v>
      </c>
      <c r="H1783" s="1">
        <v>1</v>
      </c>
      <c r="I1783" s="1">
        <v>1344</v>
      </c>
      <c r="J1783" s="1">
        <v>2399</v>
      </c>
      <c r="K1783" s="1">
        <v>20</v>
      </c>
      <c r="L1783" s="1">
        <f>ROUNDDOWN(formatted_data[[#This Row],[Selling_Price]]*formatted_data[[#This Row],[Discount_%]]/100,0)</f>
        <v>479</v>
      </c>
      <c r="M1783" s="1">
        <f>(formatted_data[[#This Row],[Selling_Price]]-formatted_data[[#This Row],[Discount_Amount]])*formatted_data[[#This Row],[Units]]</f>
        <v>1920</v>
      </c>
      <c r="N1783" s="1">
        <f>formatted_data[[#This Row],[Total_Revenue]]-(formatted_data[[#This Row],[Cost_Price]]*formatted_data[[#This Row],[Units]])</f>
        <v>576</v>
      </c>
      <c r="O1783" s="1" t="s">
        <v>21</v>
      </c>
      <c r="P1783"/>
    </row>
    <row r="1784" spans="1:16" x14ac:dyDescent="0.35">
      <c r="A1784" s="1" t="s">
        <v>62</v>
      </c>
      <c r="B1784" s="1" t="s">
        <v>16</v>
      </c>
      <c r="C1784" s="2">
        <v>45447</v>
      </c>
      <c r="D1784" s="1" t="s">
        <v>28</v>
      </c>
      <c r="E1784" s="1" t="s">
        <v>29</v>
      </c>
      <c r="F1784" s="1" t="s">
        <v>37</v>
      </c>
      <c r="G1784" s="1" t="s">
        <v>20</v>
      </c>
      <c r="H1784" s="1">
        <v>2</v>
      </c>
      <c r="I1784" s="1">
        <v>328</v>
      </c>
      <c r="J1784" s="1">
        <v>599</v>
      </c>
      <c r="K1784" s="1">
        <v>5</v>
      </c>
      <c r="L1784" s="1">
        <f>ROUNDDOWN(formatted_data[[#This Row],[Selling_Price]]*formatted_data[[#This Row],[Discount_%]]/100,0)</f>
        <v>29</v>
      </c>
      <c r="M1784" s="1">
        <f>(formatted_data[[#This Row],[Selling_Price]]-formatted_data[[#This Row],[Discount_Amount]])*formatted_data[[#This Row],[Units]]</f>
        <v>1140</v>
      </c>
      <c r="N1784" s="1">
        <f>formatted_data[[#This Row],[Total_Revenue]]-(formatted_data[[#This Row],[Cost_Price]]*formatted_data[[#This Row],[Units]])</f>
        <v>484</v>
      </c>
      <c r="O1784" s="1" t="s">
        <v>21</v>
      </c>
      <c r="P1784"/>
    </row>
    <row r="1785" spans="1:16" x14ac:dyDescent="0.35">
      <c r="A1785" s="1" t="s">
        <v>46</v>
      </c>
      <c r="B1785" s="1" t="s">
        <v>16</v>
      </c>
      <c r="C1785" s="2">
        <v>45515</v>
      </c>
      <c r="D1785" s="1" t="s">
        <v>17</v>
      </c>
      <c r="E1785" s="1" t="s">
        <v>48</v>
      </c>
      <c r="F1785" s="1" t="s">
        <v>19</v>
      </c>
      <c r="G1785" s="1" t="s">
        <v>20</v>
      </c>
      <c r="H1785" s="1">
        <v>2</v>
      </c>
      <c r="I1785" s="1">
        <v>272</v>
      </c>
      <c r="J1785" s="1">
        <v>399</v>
      </c>
      <c r="K1785" s="1">
        <v>0</v>
      </c>
      <c r="L1785" s="1">
        <f>ROUNDDOWN(formatted_data[[#This Row],[Selling_Price]]*formatted_data[[#This Row],[Discount_%]]/100,0)</f>
        <v>0</v>
      </c>
      <c r="M1785" s="1">
        <f>(formatted_data[[#This Row],[Selling_Price]]-formatted_data[[#This Row],[Discount_Amount]])*formatted_data[[#This Row],[Units]]</f>
        <v>798</v>
      </c>
      <c r="N1785" s="1">
        <f>formatted_data[[#This Row],[Total_Revenue]]-(formatted_data[[#This Row],[Cost_Price]]*formatted_data[[#This Row],[Units]])</f>
        <v>254</v>
      </c>
      <c r="O1785" s="1" t="s">
        <v>21</v>
      </c>
      <c r="P1785"/>
    </row>
    <row r="1786" spans="1:16" x14ac:dyDescent="0.35">
      <c r="A1786" s="1" t="s">
        <v>57</v>
      </c>
      <c r="B1786" s="1" t="s">
        <v>27</v>
      </c>
      <c r="C1786" s="2">
        <v>45554</v>
      </c>
      <c r="D1786" s="1" t="s">
        <v>35</v>
      </c>
      <c r="E1786" s="1" t="s">
        <v>58</v>
      </c>
      <c r="F1786" s="1" t="s">
        <v>37</v>
      </c>
      <c r="G1786" s="1" t="s">
        <v>20</v>
      </c>
      <c r="H1786" s="1">
        <v>1</v>
      </c>
      <c r="I1786" s="1">
        <v>812</v>
      </c>
      <c r="J1786" s="1">
        <v>1199</v>
      </c>
      <c r="K1786" s="1">
        <v>15</v>
      </c>
      <c r="L1786" s="1">
        <f>ROUNDDOWN(formatted_data[[#This Row],[Selling_Price]]*formatted_data[[#This Row],[Discount_%]]/100,0)</f>
        <v>179</v>
      </c>
      <c r="M1786" s="1">
        <f>(formatted_data[[#This Row],[Selling_Price]]-formatted_data[[#This Row],[Discount_Amount]])*formatted_data[[#This Row],[Units]]</f>
        <v>1020</v>
      </c>
      <c r="N1786" s="1">
        <f>formatted_data[[#This Row],[Total_Revenue]]-(formatted_data[[#This Row],[Cost_Price]]*formatted_data[[#This Row],[Units]])</f>
        <v>208</v>
      </c>
      <c r="O1786" s="1" t="s">
        <v>21</v>
      </c>
      <c r="P1786"/>
    </row>
    <row r="1787" spans="1:16" x14ac:dyDescent="0.35">
      <c r="A1787" s="1" t="s">
        <v>104</v>
      </c>
      <c r="B1787" s="1" t="s">
        <v>27</v>
      </c>
      <c r="C1787" s="2">
        <v>45635</v>
      </c>
      <c r="D1787" s="1" t="s">
        <v>28</v>
      </c>
      <c r="E1787" s="1" t="s">
        <v>29</v>
      </c>
      <c r="F1787" s="1" t="s">
        <v>25</v>
      </c>
      <c r="G1787" s="1" t="s">
        <v>20</v>
      </c>
      <c r="H1787" s="1">
        <v>1</v>
      </c>
      <c r="I1787" s="1">
        <v>445</v>
      </c>
      <c r="J1787" s="1">
        <v>599</v>
      </c>
      <c r="K1787" s="1">
        <v>10</v>
      </c>
      <c r="L1787" s="1">
        <f>ROUNDDOWN(formatted_data[[#This Row],[Selling_Price]]*formatted_data[[#This Row],[Discount_%]]/100,0)</f>
        <v>59</v>
      </c>
      <c r="M1787" s="1">
        <f>(formatted_data[[#This Row],[Selling_Price]]-formatted_data[[#This Row],[Discount_Amount]])*formatted_data[[#This Row],[Units]]</f>
        <v>540</v>
      </c>
      <c r="N1787" s="1">
        <f>formatted_data[[#This Row],[Total_Revenue]]-(formatted_data[[#This Row],[Cost_Price]]*formatted_data[[#This Row],[Units]])</f>
        <v>95</v>
      </c>
      <c r="O1787" s="1" t="s">
        <v>21</v>
      </c>
      <c r="P1787"/>
    </row>
    <row r="1788" spans="1:16" x14ac:dyDescent="0.35">
      <c r="A1788" s="1" t="s">
        <v>79</v>
      </c>
      <c r="B1788" s="1" t="s">
        <v>16</v>
      </c>
      <c r="C1788" s="2">
        <v>45596</v>
      </c>
      <c r="D1788" s="1" t="s">
        <v>35</v>
      </c>
      <c r="E1788" s="1" t="s">
        <v>39</v>
      </c>
      <c r="F1788" s="1" t="s">
        <v>25</v>
      </c>
      <c r="G1788" s="1" t="s">
        <v>19</v>
      </c>
      <c r="H1788" s="1">
        <v>3</v>
      </c>
      <c r="I1788" s="1">
        <v>774</v>
      </c>
      <c r="J1788" s="1">
        <v>1199</v>
      </c>
      <c r="K1788" s="1">
        <v>15</v>
      </c>
      <c r="L1788" s="1">
        <f>ROUNDDOWN(formatted_data[[#This Row],[Selling_Price]]*formatted_data[[#This Row],[Discount_%]]/100,0)</f>
        <v>179</v>
      </c>
      <c r="M1788" s="1">
        <f>(formatted_data[[#This Row],[Selling_Price]]-formatted_data[[#This Row],[Discount_Amount]])*formatted_data[[#This Row],[Units]]</f>
        <v>3060</v>
      </c>
      <c r="N1788" s="1">
        <f>formatted_data[[#This Row],[Total_Revenue]]-(formatted_data[[#This Row],[Cost_Price]]*formatted_data[[#This Row],[Units]])</f>
        <v>738</v>
      </c>
      <c r="O1788" s="1" t="s">
        <v>21</v>
      </c>
      <c r="P1788"/>
    </row>
    <row r="1789" spans="1:16" x14ac:dyDescent="0.35">
      <c r="A1789" s="1" t="s">
        <v>98</v>
      </c>
      <c r="B1789" s="1" t="s">
        <v>16</v>
      </c>
      <c r="C1789" s="2">
        <v>45604</v>
      </c>
      <c r="D1789" s="1" t="s">
        <v>28</v>
      </c>
      <c r="E1789" s="1" t="s">
        <v>29</v>
      </c>
      <c r="F1789" s="1" t="s">
        <v>37</v>
      </c>
      <c r="G1789" s="1" t="s">
        <v>20</v>
      </c>
      <c r="H1789" s="1">
        <v>2</v>
      </c>
      <c r="I1789" s="1">
        <v>327</v>
      </c>
      <c r="J1789" s="1">
        <v>599</v>
      </c>
      <c r="K1789" s="1">
        <v>10</v>
      </c>
      <c r="L1789" s="1">
        <f>ROUNDDOWN(formatted_data[[#This Row],[Selling_Price]]*formatted_data[[#This Row],[Discount_%]]/100,0)</f>
        <v>59</v>
      </c>
      <c r="M1789" s="1">
        <f>(formatted_data[[#This Row],[Selling_Price]]-formatted_data[[#This Row],[Discount_Amount]])*formatted_data[[#This Row],[Units]]</f>
        <v>1080</v>
      </c>
      <c r="N1789" s="1">
        <f>formatted_data[[#This Row],[Total_Revenue]]-(formatted_data[[#This Row],[Cost_Price]]*formatted_data[[#This Row],[Units]])</f>
        <v>426</v>
      </c>
      <c r="O1789" s="1" t="s">
        <v>33</v>
      </c>
      <c r="P1789"/>
    </row>
    <row r="1790" spans="1:16" x14ac:dyDescent="0.35">
      <c r="A1790" s="1" t="s">
        <v>77</v>
      </c>
      <c r="B1790" s="1" t="s">
        <v>27</v>
      </c>
      <c r="C1790" s="2">
        <v>45586</v>
      </c>
      <c r="D1790" s="1" t="s">
        <v>17</v>
      </c>
      <c r="E1790" s="1" t="s">
        <v>48</v>
      </c>
      <c r="F1790" s="1" t="s">
        <v>37</v>
      </c>
      <c r="G1790" s="1" t="s">
        <v>20</v>
      </c>
      <c r="H1790" s="1">
        <v>2</v>
      </c>
      <c r="I1790" s="1">
        <v>382</v>
      </c>
      <c r="J1790" s="1">
        <v>599</v>
      </c>
      <c r="K1790" s="1">
        <v>0</v>
      </c>
      <c r="L1790" s="1">
        <f>ROUNDDOWN(formatted_data[[#This Row],[Selling_Price]]*formatted_data[[#This Row],[Discount_%]]/100,0)</f>
        <v>0</v>
      </c>
      <c r="M1790" s="1">
        <f>(formatted_data[[#This Row],[Selling_Price]]-formatted_data[[#This Row],[Discount_Amount]])*formatted_data[[#This Row],[Units]]</f>
        <v>1198</v>
      </c>
      <c r="N1790" s="1">
        <f>formatted_data[[#This Row],[Total_Revenue]]-(formatted_data[[#This Row],[Cost_Price]]*formatted_data[[#This Row],[Units]])</f>
        <v>434</v>
      </c>
      <c r="O1790" s="1" t="s">
        <v>33</v>
      </c>
      <c r="P1790"/>
    </row>
    <row r="1791" spans="1:16" x14ac:dyDescent="0.35">
      <c r="A1791" s="1" t="s">
        <v>105</v>
      </c>
      <c r="B1791" s="1" t="s">
        <v>16</v>
      </c>
      <c r="C1791" s="2">
        <v>45463</v>
      </c>
      <c r="D1791" s="1" t="s">
        <v>31</v>
      </c>
      <c r="E1791" s="1" t="s">
        <v>76</v>
      </c>
      <c r="F1791" s="1" t="s">
        <v>25</v>
      </c>
      <c r="G1791" s="1" t="s">
        <v>19</v>
      </c>
      <c r="H1791" s="1">
        <v>1</v>
      </c>
      <c r="I1791" s="1">
        <v>354</v>
      </c>
      <c r="J1791" s="1">
        <v>699</v>
      </c>
      <c r="K1791" s="1">
        <v>0</v>
      </c>
      <c r="L1791" s="1">
        <f>ROUNDDOWN(formatted_data[[#This Row],[Selling_Price]]*formatted_data[[#This Row],[Discount_%]]/100,0)</f>
        <v>0</v>
      </c>
      <c r="M1791" s="1">
        <f>(formatted_data[[#This Row],[Selling_Price]]-formatted_data[[#This Row],[Discount_Amount]])*formatted_data[[#This Row],[Units]]</f>
        <v>699</v>
      </c>
      <c r="N1791" s="1">
        <f>formatted_data[[#This Row],[Total_Revenue]]-(formatted_data[[#This Row],[Cost_Price]]*formatted_data[[#This Row],[Units]])</f>
        <v>345</v>
      </c>
      <c r="O1791" s="1" t="s">
        <v>33</v>
      </c>
      <c r="P1791"/>
    </row>
    <row r="1792" spans="1:16" x14ac:dyDescent="0.35">
      <c r="A1792" s="1" t="s">
        <v>42</v>
      </c>
      <c r="B1792" s="1" t="s">
        <v>27</v>
      </c>
      <c r="C1792" s="2">
        <v>45633</v>
      </c>
      <c r="D1792" s="1" t="s">
        <v>17</v>
      </c>
      <c r="E1792" s="1" t="s">
        <v>48</v>
      </c>
      <c r="F1792" s="1" t="s">
        <v>37</v>
      </c>
      <c r="G1792" s="1" t="s">
        <v>20</v>
      </c>
      <c r="H1792" s="1">
        <v>1</v>
      </c>
      <c r="I1792" s="1">
        <v>280</v>
      </c>
      <c r="J1792" s="1">
        <v>399</v>
      </c>
      <c r="K1792" s="1">
        <v>0</v>
      </c>
      <c r="L1792" s="1">
        <f>ROUNDDOWN(formatted_data[[#This Row],[Selling_Price]]*formatted_data[[#This Row],[Discount_%]]/100,0)</f>
        <v>0</v>
      </c>
      <c r="M1792" s="1">
        <f>(formatted_data[[#This Row],[Selling_Price]]-formatted_data[[#This Row],[Discount_Amount]])*formatted_data[[#This Row],[Units]]</f>
        <v>399</v>
      </c>
      <c r="N1792" s="1">
        <f>formatted_data[[#This Row],[Total_Revenue]]-(formatted_data[[#This Row],[Cost_Price]]*formatted_data[[#This Row],[Units]])</f>
        <v>119</v>
      </c>
      <c r="O1792" s="1" t="s">
        <v>33</v>
      </c>
      <c r="P1792"/>
    </row>
    <row r="1793" spans="1:16" x14ac:dyDescent="0.35">
      <c r="A1793" s="1" t="s">
        <v>60</v>
      </c>
      <c r="B1793" s="1" t="s">
        <v>27</v>
      </c>
      <c r="C1793" s="2">
        <v>45456</v>
      </c>
      <c r="D1793" s="1" t="s">
        <v>28</v>
      </c>
      <c r="E1793" s="1" t="s">
        <v>45</v>
      </c>
      <c r="F1793" s="1" t="s">
        <v>19</v>
      </c>
      <c r="G1793" s="1" t="s">
        <v>19</v>
      </c>
      <c r="H1793" s="1">
        <v>3</v>
      </c>
      <c r="I1793" s="1">
        <v>1081</v>
      </c>
      <c r="J1793" s="1">
        <v>1899</v>
      </c>
      <c r="K1793" s="1">
        <v>5</v>
      </c>
      <c r="L1793" s="1">
        <f>ROUNDDOWN(formatted_data[[#This Row],[Selling_Price]]*formatted_data[[#This Row],[Discount_%]]/100,0)</f>
        <v>94</v>
      </c>
      <c r="M1793" s="1">
        <f>(formatted_data[[#This Row],[Selling_Price]]-formatted_data[[#This Row],[Discount_Amount]])*formatted_data[[#This Row],[Units]]</f>
        <v>5415</v>
      </c>
      <c r="N1793" s="1">
        <f>formatted_data[[#This Row],[Total_Revenue]]-(formatted_data[[#This Row],[Cost_Price]]*formatted_data[[#This Row],[Units]])</f>
        <v>2172</v>
      </c>
      <c r="O1793" s="1" t="s">
        <v>21</v>
      </c>
      <c r="P1793"/>
    </row>
    <row r="1794" spans="1:16" x14ac:dyDescent="0.35">
      <c r="A1794" s="1" t="s">
        <v>106</v>
      </c>
      <c r="B1794" s="1" t="s">
        <v>27</v>
      </c>
      <c r="C1794" s="2">
        <v>45640</v>
      </c>
      <c r="D1794" s="1" t="s">
        <v>35</v>
      </c>
      <c r="E1794" s="1" t="s">
        <v>50</v>
      </c>
      <c r="F1794" s="1" t="s">
        <v>25</v>
      </c>
      <c r="G1794" s="1" t="s">
        <v>20</v>
      </c>
      <c r="H1794" s="1">
        <v>2</v>
      </c>
      <c r="I1794" s="1">
        <v>676</v>
      </c>
      <c r="J1794" s="1">
        <v>999</v>
      </c>
      <c r="K1794" s="1">
        <v>15</v>
      </c>
      <c r="L1794" s="1">
        <f>ROUNDDOWN(formatted_data[[#This Row],[Selling_Price]]*formatted_data[[#This Row],[Discount_%]]/100,0)</f>
        <v>149</v>
      </c>
      <c r="M1794" s="1">
        <f>(formatted_data[[#This Row],[Selling_Price]]-formatted_data[[#This Row],[Discount_Amount]])*formatted_data[[#This Row],[Units]]</f>
        <v>1700</v>
      </c>
      <c r="N1794" s="1">
        <f>formatted_data[[#This Row],[Total_Revenue]]-(formatted_data[[#This Row],[Cost_Price]]*formatted_data[[#This Row],[Units]])</f>
        <v>348</v>
      </c>
      <c r="O1794" s="1" t="s">
        <v>33</v>
      </c>
      <c r="P1794"/>
    </row>
    <row r="1795" spans="1:16" x14ac:dyDescent="0.35">
      <c r="A1795" s="1" t="s">
        <v>109</v>
      </c>
      <c r="B1795" s="1" t="s">
        <v>16</v>
      </c>
      <c r="C1795" s="2">
        <v>45636</v>
      </c>
      <c r="D1795" s="1" t="s">
        <v>23</v>
      </c>
      <c r="E1795" s="1" t="s">
        <v>24</v>
      </c>
      <c r="F1795" s="1" t="s">
        <v>19</v>
      </c>
      <c r="G1795" s="1" t="s">
        <v>20</v>
      </c>
      <c r="H1795" s="1">
        <v>5</v>
      </c>
      <c r="I1795" s="1">
        <v>1139</v>
      </c>
      <c r="J1795" s="1">
        <v>1799</v>
      </c>
      <c r="K1795" s="1">
        <v>15</v>
      </c>
      <c r="L1795" s="1">
        <f>ROUNDDOWN(formatted_data[[#This Row],[Selling_Price]]*formatted_data[[#This Row],[Discount_%]]/100,0)</f>
        <v>269</v>
      </c>
      <c r="M1795" s="1">
        <f>(formatted_data[[#This Row],[Selling_Price]]-formatted_data[[#This Row],[Discount_Amount]])*formatted_data[[#This Row],[Units]]</f>
        <v>7650</v>
      </c>
      <c r="N1795" s="1">
        <f>formatted_data[[#This Row],[Total_Revenue]]-(formatted_data[[#This Row],[Cost_Price]]*formatted_data[[#This Row],[Units]])</f>
        <v>1955</v>
      </c>
      <c r="O1795" s="1" t="s">
        <v>33</v>
      </c>
      <c r="P1795"/>
    </row>
    <row r="1796" spans="1:16" x14ac:dyDescent="0.35">
      <c r="A1796" s="1" t="s">
        <v>54</v>
      </c>
      <c r="B1796" s="1" t="s">
        <v>27</v>
      </c>
      <c r="C1796" s="2">
        <v>45531</v>
      </c>
      <c r="D1796" s="1" t="s">
        <v>28</v>
      </c>
      <c r="E1796" s="1" t="s">
        <v>45</v>
      </c>
      <c r="F1796" s="1" t="s">
        <v>37</v>
      </c>
      <c r="G1796" s="1" t="s">
        <v>20</v>
      </c>
      <c r="H1796" s="1">
        <v>1</v>
      </c>
      <c r="I1796" s="1">
        <v>1201</v>
      </c>
      <c r="J1796" s="1">
        <v>1899</v>
      </c>
      <c r="K1796" s="1">
        <v>5</v>
      </c>
      <c r="L1796" s="1">
        <f>ROUNDDOWN(formatted_data[[#This Row],[Selling_Price]]*formatted_data[[#This Row],[Discount_%]]/100,0)</f>
        <v>94</v>
      </c>
      <c r="M1796" s="1">
        <f>(formatted_data[[#This Row],[Selling_Price]]-formatted_data[[#This Row],[Discount_Amount]])*formatted_data[[#This Row],[Units]]</f>
        <v>1805</v>
      </c>
      <c r="N1796" s="1">
        <f>formatted_data[[#This Row],[Total_Revenue]]-(formatted_data[[#This Row],[Cost_Price]]*formatted_data[[#This Row],[Units]])</f>
        <v>604</v>
      </c>
      <c r="O1796" s="1" t="s">
        <v>21</v>
      </c>
      <c r="P1796"/>
    </row>
    <row r="1797" spans="1:16" x14ac:dyDescent="0.35">
      <c r="A1797" s="1" t="s">
        <v>107</v>
      </c>
      <c r="B1797" s="1" t="s">
        <v>27</v>
      </c>
      <c r="C1797" s="2">
        <v>45501</v>
      </c>
      <c r="D1797" s="1" t="s">
        <v>31</v>
      </c>
      <c r="E1797" s="1" t="s">
        <v>76</v>
      </c>
      <c r="F1797" s="1" t="s">
        <v>37</v>
      </c>
      <c r="G1797" s="1" t="s">
        <v>20</v>
      </c>
      <c r="H1797" s="1">
        <v>1</v>
      </c>
      <c r="I1797" s="1">
        <v>1008</v>
      </c>
      <c r="J1797" s="1">
        <v>1499</v>
      </c>
      <c r="K1797" s="1">
        <v>0</v>
      </c>
      <c r="L1797" s="1">
        <f>ROUNDDOWN(formatted_data[[#This Row],[Selling_Price]]*formatted_data[[#This Row],[Discount_%]]/100,0)</f>
        <v>0</v>
      </c>
      <c r="M1797" s="1">
        <f>(formatted_data[[#This Row],[Selling_Price]]-formatted_data[[#This Row],[Discount_Amount]])*formatted_data[[#This Row],[Units]]</f>
        <v>1499</v>
      </c>
      <c r="N1797" s="1">
        <f>formatted_data[[#This Row],[Total_Revenue]]-(formatted_data[[#This Row],[Cost_Price]]*formatted_data[[#This Row],[Units]])</f>
        <v>491</v>
      </c>
      <c r="O1797" s="1" t="s">
        <v>21</v>
      </c>
      <c r="P1797"/>
    </row>
    <row r="1798" spans="1:16" x14ac:dyDescent="0.35">
      <c r="A1798" s="1" t="s">
        <v>47</v>
      </c>
      <c r="B1798" s="1" t="s">
        <v>16</v>
      </c>
      <c r="C1798" s="2">
        <v>45452</v>
      </c>
      <c r="D1798" s="1" t="s">
        <v>31</v>
      </c>
      <c r="E1798" s="1" t="s">
        <v>32</v>
      </c>
      <c r="F1798" s="1" t="s">
        <v>37</v>
      </c>
      <c r="G1798" s="1" t="s">
        <v>19</v>
      </c>
      <c r="H1798" s="1">
        <v>1</v>
      </c>
      <c r="I1798" s="1">
        <v>757</v>
      </c>
      <c r="J1798" s="1">
        <v>1499</v>
      </c>
      <c r="K1798" s="1">
        <v>0</v>
      </c>
      <c r="L1798" s="1">
        <f>ROUNDDOWN(formatted_data[[#This Row],[Selling_Price]]*formatted_data[[#This Row],[Discount_%]]/100,0)</f>
        <v>0</v>
      </c>
      <c r="M1798" s="1">
        <f>(formatted_data[[#This Row],[Selling_Price]]-formatted_data[[#This Row],[Discount_Amount]])*formatted_data[[#This Row],[Units]]</f>
        <v>1499</v>
      </c>
      <c r="N1798" s="1">
        <f>formatted_data[[#This Row],[Total_Revenue]]-(formatted_data[[#This Row],[Cost_Price]]*formatted_data[[#This Row],[Units]])</f>
        <v>742</v>
      </c>
      <c r="O1798" s="1" t="s">
        <v>21</v>
      </c>
      <c r="P1798"/>
    </row>
    <row r="1799" spans="1:16" x14ac:dyDescent="0.35">
      <c r="A1799" s="1" t="s">
        <v>52</v>
      </c>
      <c r="B1799" s="1" t="s">
        <v>27</v>
      </c>
      <c r="C1799" s="2">
        <v>45622</v>
      </c>
      <c r="D1799" s="1" t="s">
        <v>23</v>
      </c>
      <c r="E1799" s="1" t="s">
        <v>43</v>
      </c>
      <c r="F1799" s="1" t="s">
        <v>19</v>
      </c>
      <c r="G1799" s="1" t="s">
        <v>19</v>
      </c>
      <c r="H1799" s="1">
        <v>1</v>
      </c>
      <c r="I1799" s="1">
        <v>1802</v>
      </c>
      <c r="J1799" s="1">
        <v>3199</v>
      </c>
      <c r="K1799" s="1">
        <v>5</v>
      </c>
      <c r="L1799" s="1">
        <f>ROUNDDOWN(formatted_data[[#This Row],[Selling_Price]]*formatted_data[[#This Row],[Discount_%]]/100,0)</f>
        <v>159</v>
      </c>
      <c r="M1799" s="1">
        <f>(formatted_data[[#This Row],[Selling_Price]]-formatted_data[[#This Row],[Discount_Amount]])*formatted_data[[#This Row],[Units]]</f>
        <v>3040</v>
      </c>
      <c r="N1799" s="1">
        <f>formatted_data[[#This Row],[Total_Revenue]]-(formatted_data[[#This Row],[Cost_Price]]*formatted_data[[#This Row],[Units]])</f>
        <v>1238</v>
      </c>
      <c r="O1799" s="1" t="s">
        <v>33</v>
      </c>
      <c r="P1799"/>
    </row>
    <row r="1800" spans="1:16" x14ac:dyDescent="0.35">
      <c r="A1800" s="1" t="s">
        <v>66</v>
      </c>
      <c r="B1800" s="1" t="s">
        <v>27</v>
      </c>
      <c r="C1800" s="2">
        <v>45571</v>
      </c>
      <c r="D1800" s="1" t="s">
        <v>23</v>
      </c>
      <c r="E1800" s="1" t="s">
        <v>24</v>
      </c>
      <c r="F1800" s="1" t="s">
        <v>37</v>
      </c>
      <c r="G1800" s="1" t="s">
        <v>20</v>
      </c>
      <c r="H1800" s="1">
        <v>4</v>
      </c>
      <c r="I1800" s="1">
        <v>1466</v>
      </c>
      <c r="J1800" s="1">
        <v>2299</v>
      </c>
      <c r="K1800" s="1">
        <v>10</v>
      </c>
      <c r="L1800" s="1">
        <f>ROUNDDOWN(formatted_data[[#This Row],[Selling_Price]]*formatted_data[[#This Row],[Discount_%]]/100,0)</f>
        <v>229</v>
      </c>
      <c r="M1800" s="1">
        <f>(formatted_data[[#This Row],[Selling_Price]]-formatted_data[[#This Row],[Discount_Amount]])*formatted_data[[#This Row],[Units]]</f>
        <v>8280</v>
      </c>
      <c r="N1800" s="1">
        <f>formatted_data[[#This Row],[Total_Revenue]]-(formatted_data[[#This Row],[Cost_Price]]*formatted_data[[#This Row],[Units]])</f>
        <v>2416</v>
      </c>
      <c r="O1800" s="1" t="s">
        <v>33</v>
      </c>
      <c r="P1800"/>
    </row>
    <row r="1801" spans="1:16" x14ac:dyDescent="0.35">
      <c r="A1801" s="1" t="s">
        <v>66</v>
      </c>
      <c r="B1801" s="1" t="s">
        <v>27</v>
      </c>
      <c r="C1801" s="2">
        <v>45620</v>
      </c>
      <c r="D1801" s="1" t="s">
        <v>28</v>
      </c>
      <c r="E1801" s="1" t="s">
        <v>45</v>
      </c>
      <c r="F1801" s="1" t="s">
        <v>25</v>
      </c>
      <c r="G1801" s="1" t="s">
        <v>19</v>
      </c>
      <c r="H1801" s="1">
        <v>5</v>
      </c>
      <c r="I1801" s="1">
        <v>1578</v>
      </c>
      <c r="J1801" s="1">
        <v>2299</v>
      </c>
      <c r="K1801" s="1">
        <v>20</v>
      </c>
      <c r="L1801" s="1">
        <f>ROUNDDOWN(formatted_data[[#This Row],[Selling_Price]]*formatted_data[[#This Row],[Discount_%]]/100,0)</f>
        <v>459</v>
      </c>
      <c r="M1801" s="1">
        <f>(formatted_data[[#This Row],[Selling_Price]]-formatted_data[[#This Row],[Discount_Amount]])*formatted_data[[#This Row],[Units]]</f>
        <v>9200</v>
      </c>
      <c r="N1801" s="1">
        <f>formatted_data[[#This Row],[Total_Revenue]]-(formatted_data[[#This Row],[Cost_Price]]*formatted_data[[#This Row],[Units]])</f>
        <v>1310</v>
      </c>
      <c r="O1801" s="1" t="s">
        <v>21</v>
      </c>
      <c r="P1801"/>
    </row>
    <row r="1802" spans="1:16" x14ac:dyDescent="0.35">
      <c r="A1802" s="1" t="s">
        <v>84</v>
      </c>
      <c r="B1802" s="1" t="s">
        <v>27</v>
      </c>
      <c r="C1802" s="2">
        <v>45577</v>
      </c>
      <c r="D1802" s="1" t="s">
        <v>17</v>
      </c>
      <c r="E1802" s="1" t="s">
        <v>72</v>
      </c>
      <c r="F1802" s="1" t="s">
        <v>19</v>
      </c>
      <c r="G1802" s="1" t="s">
        <v>19</v>
      </c>
      <c r="H1802" s="1">
        <v>1</v>
      </c>
      <c r="I1802" s="1">
        <v>201</v>
      </c>
      <c r="J1802" s="1">
        <v>399</v>
      </c>
      <c r="K1802" s="1">
        <v>0</v>
      </c>
      <c r="L1802" s="1">
        <f>ROUNDDOWN(formatted_data[[#This Row],[Selling_Price]]*formatted_data[[#This Row],[Discount_%]]/100,0)</f>
        <v>0</v>
      </c>
      <c r="M1802" s="1">
        <f>(formatted_data[[#This Row],[Selling_Price]]-formatted_data[[#This Row],[Discount_Amount]])*formatted_data[[#This Row],[Units]]</f>
        <v>399</v>
      </c>
      <c r="N1802" s="1">
        <f>formatted_data[[#This Row],[Total_Revenue]]-(formatted_data[[#This Row],[Cost_Price]]*formatted_data[[#This Row],[Units]])</f>
        <v>198</v>
      </c>
      <c r="O1802" s="1" t="s">
        <v>21</v>
      </c>
      <c r="P1802"/>
    </row>
    <row r="1803" spans="1:16" x14ac:dyDescent="0.35">
      <c r="A1803" s="1" t="s">
        <v>66</v>
      </c>
      <c r="B1803" s="1" t="s">
        <v>27</v>
      </c>
      <c r="C1803" s="2">
        <v>45616</v>
      </c>
      <c r="D1803" s="1" t="s">
        <v>28</v>
      </c>
      <c r="E1803" s="1" t="s">
        <v>29</v>
      </c>
      <c r="F1803" s="1" t="s">
        <v>37</v>
      </c>
      <c r="G1803" s="1" t="s">
        <v>20</v>
      </c>
      <c r="H1803" s="1">
        <v>1</v>
      </c>
      <c r="I1803" s="1">
        <v>308</v>
      </c>
      <c r="J1803" s="1">
        <v>499</v>
      </c>
      <c r="K1803" s="1">
        <v>10</v>
      </c>
      <c r="L1803" s="1">
        <f>ROUNDDOWN(formatted_data[[#This Row],[Selling_Price]]*formatted_data[[#This Row],[Discount_%]]/100,0)</f>
        <v>49</v>
      </c>
      <c r="M1803" s="1">
        <f>(formatted_data[[#This Row],[Selling_Price]]-formatted_data[[#This Row],[Discount_Amount]])*formatted_data[[#This Row],[Units]]</f>
        <v>450</v>
      </c>
      <c r="N1803" s="1">
        <f>formatted_data[[#This Row],[Total_Revenue]]-(formatted_data[[#This Row],[Cost_Price]]*formatted_data[[#This Row],[Units]])</f>
        <v>142</v>
      </c>
      <c r="O1803" s="1" t="s">
        <v>21</v>
      </c>
      <c r="P1803"/>
    </row>
    <row r="1804" spans="1:16" x14ac:dyDescent="0.35">
      <c r="A1804" s="1" t="s">
        <v>66</v>
      </c>
      <c r="B1804" s="1" t="s">
        <v>27</v>
      </c>
      <c r="C1804" s="2">
        <v>45468</v>
      </c>
      <c r="D1804" s="1" t="s">
        <v>35</v>
      </c>
      <c r="E1804" s="1" t="s">
        <v>50</v>
      </c>
      <c r="F1804" s="1" t="s">
        <v>25</v>
      </c>
      <c r="G1804" s="1" t="s">
        <v>19</v>
      </c>
      <c r="H1804" s="1">
        <v>2</v>
      </c>
      <c r="I1804" s="1">
        <v>566</v>
      </c>
      <c r="J1804" s="1">
        <v>999</v>
      </c>
      <c r="K1804" s="1">
        <v>20</v>
      </c>
      <c r="L1804" s="1">
        <f>ROUNDDOWN(formatted_data[[#This Row],[Selling_Price]]*formatted_data[[#This Row],[Discount_%]]/100,0)</f>
        <v>199</v>
      </c>
      <c r="M1804" s="1">
        <f>(formatted_data[[#This Row],[Selling_Price]]-formatted_data[[#This Row],[Discount_Amount]])*formatted_data[[#This Row],[Units]]</f>
        <v>1600</v>
      </c>
      <c r="N1804" s="1">
        <f>formatted_data[[#This Row],[Total_Revenue]]-(formatted_data[[#This Row],[Cost_Price]]*formatted_data[[#This Row],[Units]])</f>
        <v>468</v>
      </c>
      <c r="O1804" s="1" t="s">
        <v>21</v>
      </c>
      <c r="P1804"/>
    </row>
    <row r="1805" spans="1:16" x14ac:dyDescent="0.35">
      <c r="A1805" s="1" t="s">
        <v>22</v>
      </c>
      <c r="B1805" s="1" t="s">
        <v>16</v>
      </c>
      <c r="C1805" s="2">
        <v>45528</v>
      </c>
      <c r="D1805" s="1" t="s">
        <v>35</v>
      </c>
      <c r="E1805" s="1" t="s">
        <v>58</v>
      </c>
      <c r="F1805" s="1" t="s">
        <v>37</v>
      </c>
      <c r="G1805" s="1" t="s">
        <v>19</v>
      </c>
      <c r="H1805" s="1">
        <v>1</v>
      </c>
      <c r="I1805" s="1">
        <v>864</v>
      </c>
      <c r="J1805" s="1">
        <v>1599</v>
      </c>
      <c r="K1805" s="1">
        <v>5</v>
      </c>
      <c r="L1805" s="1">
        <f>ROUNDDOWN(formatted_data[[#This Row],[Selling_Price]]*formatted_data[[#This Row],[Discount_%]]/100,0)</f>
        <v>79</v>
      </c>
      <c r="M1805" s="1">
        <f>(formatted_data[[#This Row],[Selling_Price]]-formatted_data[[#This Row],[Discount_Amount]])*formatted_data[[#This Row],[Units]]</f>
        <v>1520</v>
      </c>
      <c r="N1805" s="1">
        <f>formatted_data[[#This Row],[Total_Revenue]]-(formatted_data[[#This Row],[Cost_Price]]*formatted_data[[#This Row],[Units]])</f>
        <v>656</v>
      </c>
      <c r="O1805" s="1" t="s">
        <v>21</v>
      </c>
      <c r="P1805"/>
    </row>
    <row r="1806" spans="1:16" x14ac:dyDescent="0.35">
      <c r="A1806" s="1" t="s">
        <v>88</v>
      </c>
      <c r="B1806" s="1" t="s">
        <v>27</v>
      </c>
      <c r="C1806" s="2">
        <v>45455</v>
      </c>
      <c r="D1806" s="1" t="s">
        <v>17</v>
      </c>
      <c r="E1806" s="1" t="s">
        <v>72</v>
      </c>
      <c r="F1806" s="1" t="s">
        <v>25</v>
      </c>
      <c r="G1806" s="1" t="s">
        <v>20</v>
      </c>
      <c r="H1806" s="1">
        <v>1</v>
      </c>
      <c r="I1806" s="1">
        <v>287</v>
      </c>
      <c r="J1806" s="1">
        <v>499</v>
      </c>
      <c r="K1806" s="1">
        <v>0</v>
      </c>
      <c r="L1806" s="1">
        <f>ROUNDDOWN(formatted_data[[#This Row],[Selling_Price]]*formatted_data[[#This Row],[Discount_%]]/100,0)</f>
        <v>0</v>
      </c>
      <c r="M1806" s="1">
        <f>(formatted_data[[#This Row],[Selling_Price]]-formatted_data[[#This Row],[Discount_Amount]])*formatted_data[[#This Row],[Units]]</f>
        <v>499</v>
      </c>
      <c r="N1806" s="1">
        <f>formatted_data[[#This Row],[Total_Revenue]]-(formatted_data[[#This Row],[Cost_Price]]*formatted_data[[#This Row],[Units]])</f>
        <v>212</v>
      </c>
      <c r="O1806" s="1" t="s">
        <v>33</v>
      </c>
      <c r="P1806"/>
    </row>
    <row r="1807" spans="1:16" x14ac:dyDescent="0.35">
      <c r="A1807" s="1" t="s">
        <v>93</v>
      </c>
      <c r="B1807" s="1" t="s">
        <v>16</v>
      </c>
      <c r="C1807" s="2">
        <v>45598</v>
      </c>
      <c r="D1807" s="1" t="s">
        <v>17</v>
      </c>
      <c r="E1807" s="1" t="s">
        <v>18</v>
      </c>
      <c r="F1807" s="1" t="s">
        <v>37</v>
      </c>
      <c r="G1807" s="1" t="s">
        <v>20</v>
      </c>
      <c r="H1807" s="1">
        <v>1</v>
      </c>
      <c r="I1807" s="1">
        <v>277</v>
      </c>
      <c r="J1807" s="1">
        <v>399</v>
      </c>
      <c r="K1807" s="1">
        <v>0</v>
      </c>
      <c r="L1807" s="1">
        <f>ROUNDDOWN(formatted_data[[#This Row],[Selling_Price]]*formatted_data[[#This Row],[Discount_%]]/100,0)</f>
        <v>0</v>
      </c>
      <c r="M1807" s="1">
        <f>(formatted_data[[#This Row],[Selling_Price]]-formatted_data[[#This Row],[Discount_Amount]])*formatted_data[[#This Row],[Units]]</f>
        <v>399</v>
      </c>
      <c r="N1807" s="1">
        <f>formatted_data[[#This Row],[Total_Revenue]]-(formatted_data[[#This Row],[Cost_Price]]*formatted_data[[#This Row],[Units]])</f>
        <v>122</v>
      </c>
      <c r="O1807" s="1" t="s">
        <v>21</v>
      </c>
      <c r="P1807"/>
    </row>
    <row r="1808" spans="1:16" x14ac:dyDescent="0.35">
      <c r="A1808" s="1" t="s">
        <v>22</v>
      </c>
      <c r="B1808" s="1" t="s">
        <v>16</v>
      </c>
      <c r="C1808" s="2">
        <v>45534</v>
      </c>
      <c r="D1808" s="1" t="s">
        <v>31</v>
      </c>
      <c r="E1808" s="1" t="s">
        <v>32</v>
      </c>
      <c r="F1808" s="1" t="s">
        <v>37</v>
      </c>
      <c r="G1808" s="1" t="s">
        <v>19</v>
      </c>
      <c r="H1808" s="1">
        <v>2</v>
      </c>
      <c r="I1808" s="1">
        <v>519</v>
      </c>
      <c r="J1808" s="1">
        <v>999</v>
      </c>
      <c r="K1808" s="1">
        <v>0</v>
      </c>
      <c r="L1808" s="1">
        <f>ROUNDDOWN(formatted_data[[#This Row],[Selling_Price]]*formatted_data[[#This Row],[Discount_%]]/100,0)</f>
        <v>0</v>
      </c>
      <c r="M1808" s="1">
        <f>(formatted_data[[#This Row],[Selling_Price]]-formatted_data[[#This Row],[Discount_Amount]])*formatted_data[[#This Row],[Units]]</f>
        <v>1998</v>
      </c>
      <c r="N1808" s="1">
        <f>formatted_data[[#This Row],[Total_Revenue]]-(formatted_data[[#This Row],[Cost_Price]]*formatted_data[[#This Row],[Units]])</f>
        <v>960</v>
      </c>
      <c r="O1808" s="1" t="s">
        <v>21</v>
      </c>
      <c r="P1808"/>
    </row>
    <row r="1809" spans="1:16" x14ac:dyDescent="0.35">
      <c r="A1809" s="1" t="s">
        <v>54</v>
      </c>
      <c r="B1809" s="1" t="s">
        <v>27</v>
      </c>
      <c r="C1809" s="2">
        <v>45480</v>
      </c>
      <c r="D1809" s="1" t="s">
        <v>35</v>
      </c>
      <c r="E1809" s="1" t="s">
        <v>39</v>
      </c>
      <c r="F1809" s="1" t="s">
        <v>25</v>
      </c>
      <c r="G1809" s="1" t="s">
        <v>19</v>
      </c>
      <c r="H1809" s="1">
        <v>2</v>
      </c>
      <c r="I1809" s="1">
        <v>598</v>
      </c>
      <c r="J1809" s="1">
        <v>799</v>
      </c>
      <c r="K1809" s="1">
        <v>5</v>
      </c>
      <c r="L1809" s="1">
        <f>ROUNDDOWN(formatted_data[[#This Row],[Selling_Price]]*formatted_data[[#This Row],[Discount_%]]/100,0)</f>
        <v>39</v>
      </c>
      <c r="M1809" s="1">
        <f>(formatted_data[[#This Row],[Selling_Price]]-formatted_data[[#This Row],[Discount_Amount]])*formatted_data[[#This Row],[Units]]</f>
        <v>1520</v>
      </c>
      <c r="N1809" s="1">
        <f>formatted_data[[#This Row],[Total_Revenue]]-(formatted_data[[#This Row],[Cost_Price]]*formatted_data[[#This Row],[Units]])</f>
        <v>324</v>
      </c>
      <c r="O1809" s="1" t="s">
        <v>21</v>
      </c>
      <c r="P1809"/>
    </row>
    <row r="1810" spans="1:16" x14ac:dyDescent="0.35">
      <c r="A1810" s="1" t="s">
        <v>47</v>
      </c>
      <c r="B1810" s="1" t="s">
        <v>16</v>
      </c>
      <c r="C1810" s="2">
        <v>45628</v>
      </c>
      <c r="D1810" s="1" t="s">
        <v>23</v>
      </c>
      <c r="E1810" s="1" t="s">
        <v>24</v>
      </c>
      <c r="F1810" s="1" t="s">
        <v>37</v>
      </c>
      <c r="G1810" s="1" t="s">
        <v>19</v>
      </c>
      <c r="H1810" s="1">
        <v>3</v>
      </c>
      <c r="I1810" s="1">
        <v>795</v>
      </c>
      <c r="J1810" s="1">
        <v>1199</v>
      </c>
      <c r="K1810" s="1">
        <v>15</v>
      </c>
      <c r="L1810" s="1">
        <f>ROUNDDOWN(formatted_data[[#This Row],[Selling_Price]]*formatted_data[[#This Row],[Discount_%]]/100,0)</f>
        <v>179</v>
      </c>
      <c r="M1810" s="1">
        <f>(formatted_data[[#This Row],[Selling_Price]]-formatted_data[[#This Row],[Discount_Amount]])*formatted_data[[#This Row],[Units]]</f>
        <v>3060</v>
      </c>
      <c r="N1810" s="1">
        <f>formatted_data[[#This Row],[Total_Revenue]]-(formatted_data[[#This Row],[Cost_Price]]*formatted_data[[#This Row],[Units]])</f>
        <v>675</v>
      </c>
      <c r="O1810" s="1" t="s">
        <v>21</v>
      </c>
      <c r="P1810"/>
    </row>
    <row r="1811" spans="1:16" x14ac:dyDescent="0.35">
      <c r="A1811" s="1" t="s">
        <v>96</v>
      </c>
      <c r="B1811" s="1" t="s">
        <v>16</v>
      </c>
      <c r="C1811" s="2">
        <v>45619</v>
      </c>
      <c r="D1811" s="1" t="s">
        <v>17</v>
      </c>
      <c r="E1811" s="1" t="s">
        <v>48</v>
      </c>
      <c r="F1811" s="1" t="s">
        <v>37</v>
      </c>
      <c r="G1811" s="1" t="s">
        <v>20</v>
      </c>
      <c r="H1811" s="1">
        <v>2</v>
      </c>
      <c r="I1811" s="1">
        <v>319</v>
      </c>
      <c r="J1811" s="1">
        <v>599</v>
      </c>
      <c r="K1811" s="1">
        <v>0</v>
      </c>
      <c r="L1811" s="1">
        <f>ROUNDDOWN(formatted_data[[#This Row],[Selling_Price]]*formatted_data[[#This Row],[Discount_%]]/100,0)</f>
        <v>0</v>
      </c>
      <c r="M1811" s="1">
        <f>(formatted_data[[#This Row],[Selling_Price]]-formatted_data[[#This Row],[Discount_Amount]])*formatted_data[[#This Row],[Units]]</f>
        <v>1198</v>
      </c>
      <c r="N1811" s="1">
        <f>formatted_data[[#This Row],[Total_Revenue]]-(formatted_data[[#This Row],[Cost_Price]]*formatted_data[[#This Row],[Units]])</f>
        <v>560</v>
      </c>
      <c r="O1811" s="1" t="s">
        <v>21</v>
      </c>
      <c r="P1811"/>
    </row>
    <row r="1812" spans="1:16" x14ac:dyDescent="0.35">
      <c r="A1812" s="1" t="s">
        <v>44</v>
      </c>
      <c r="B1812" s="1" t="s">
        <v>16</v>
      </c>
      <c r="C1812" s="2">
        <v>45469</v>
      </c>
      <c r="D1812" s="1" t="s">
        <v>35</v>
      </c>
      <c r="E1812" s="1" t="s">
        <v>58</v>
      </c>
      <c r="F1812" s="1" t="s">
        <v>37</v>
      </c>
      <c r="G1812" s="1" t="s">
        <v>20</v>
      </c>
      <c r="H1812" s="1">
        <v>1</v>
      </c>
      <c r="I1812" s="1">
        <v>1731</v>
      </c>
      <c r="J1812" s="1">
        <v>2499</v>
      </c>
      <c r="K1812" s="1">
        <v>20</v>
      </c>
      <c r="L1812" s="1">
        <f>ROUNDDOWN(formatted_data[[#This Row],[Selling_Price]]*formatted_data[[#This Row],[Discount_%]]/100,0)</f>
        <v>499</v>
      </c>
      <c r="M1812" s="1">
        <f>(formatted_data[[#This Row],[Selling_Price]]-formatted_data[[#This Row],[Discount_Amount]])*formatted_data[[#This Row],[Units]]</f>
        <v>2000</v>
      </c>
      <c r="N1812" s="1">
        <f>formatted_data[[#This Row],[Total_Revenue]]-(formatted_data[[#This Row],[Cost_Price]]*formatted_data[[#This Row],[Units]])</f>
        <v>269</v>
      </c>
      <c r="O1812" s="1" t="s">
        <v>21</v>
      </c>
      <c r="P1812"/>
    </row>
    <row r="1813" spans="1:16" x14ac:dyDescent="0.35">
      <c r="A1813" s="1" t="s">
        <v>53</v>
      </c>
      <c r="B1813" s="1" t="s">
        <v>27</v>
      </c>
      <c r="C1813" s="2">
        <v>45502</v>
      </c>
      <c r="D1813" s="1" t="s">
        <v>23</v>
      </c>
      <c r="E1813" s="1" t="s">
        <v>43</v>
      </c>
      <c r="F1813" s="1" t="s">
        <v>37</v>
      </c>
      <c r="G1813" s="1" t="s">
        <v>19</v>
      </c>
      <c r="H1813" s="1">
        <v>4</v>
      </c>
      <c r="I1813" s="1">
        <v>3149</v>
      </c>
      <c r="J1813" s="1">
        <v>4299</v>
      </c>
      <c r="K1813" s="1">
        <v>5</v>
      </c>
      <c r="L1813" s="1">
        <f>ROUNDDOWN(formatted_data[[#This Row],[Selling_Price]]*formatted_data[[#This Row],[Discount_%]]/100,0)</f>
        <v>214</v>
      </c>
      <c r="M1813" s="1">
        <f>(formatted_data[[#This Row],[Selling_Price]]-formatted_data[[#This Row],[Discount_Amount]])*formatted_data[[#This Row],[Units]]</f>
        <v>16340</v>
      </c>
      <c r="N1813" s="1">
        <f>formatted_data[[#This Row],[Total_Revenue]]-(formatted_data[[#This Row],[Cost_Price]]*formatted_data[[#This Row],[Units]])</f>
        <v>3744</v>
      </c>
      <c r="O1813" s="1" t="s">
        <v>21</v>
      </c>
      <c r="P1813"/>
    </row>
    <row r="1814" spans="1:16" x14ac:dyDescent="0.35">
      <c r="A1814" s="1" t="s">
        <v>57</v>
      </c>
      <c r="B1814" s="1" t="s">
        <v>27</v>
      </c>
      <c r="C1814" s="2">
        <v>45533</v>
      </c>
      <c r="D1814" s="1" t="s">
        <v>35</v>
      </c>
      <c r="E1814" s="1" t="s">
        <v>50</v>
      </c>
      <c r="F1814" s="1" t="s">
        <v>19</v>
      </c>
      <c r="G1814" s="1" t="s">
        <v>19</v>
      </c>
      <c r="H1814" s="1">
        <v>3</v>
      </c>
      <c r="I1814" s="1">
        <v>935</v>
      </c>
      <c r="J1814" s="1">
        <v>1799</v>
      </c>
      <c r="K1814" s="1">
        <v>15</v>
      </c>
      <c r="L1814" s="1">
        <f>ROUNDDOWN(formatted_data[[#This Row],[Selling_Price]]*formatted_data[[#This Row],[Discount_%]]/100,0)</f>
        <v>269</v>
      </c>
      <c r="M1814" s="1">
        <f>(formatted_data[[#This Row],[Selling_Price]]-formatted_data[[#This Row],[Discount_Amount]])*formatted_data[[#This Row],[Units]]</f>
        <v>4590</v>
      </c>
      <c r="N1814" s="1">
        <f>formatted_data[[#This Row],[Total_Revenue]]-(formatted_data[[#This Row],[Cost_Price]]*formatted_data[[#This Row],[Units]])</f>
        <v>1785</v>
      </c>
      <c r="O1814" s="1" t="s">
        <v>21</v>
      </c>
      <c r="P1814"/>
    </row>
    <row r="1815" spans="1:16" x14ac:dyDescent="0.35">
      <c r="A1815" s="1" t="s">
        <v>59</v>
      </c>
      <c r="B1815" s="1" t="s">
        <v>27</v>
      </c>
      <c r="C1815" s="2">
        <v>45523</v>
      </c>
      <c r="D1815" s="1" t="s">
        <v>28</v>
      </c>
      <c r="E1815" s="1" t="s">
        <v>45</v>
      </c>
      <c r="F1815" s="1" t="s">
        <v>25</v>
      </c>
      <c r="G1815" s="1" t="s">
        <v>20</v>
      </c>
      <c r="H1815" s="1">
        <v>1</v>
      </c>
      <c r="I1815" s="1">
        <v>871</v>
      </c>
      <c r="J1815" s="1">
        <v>1399</v>
      </c>
      <c r="K1815" s="1">
        <v>10</v>
      </c>
      <c r="L1815" s="1">
        <f>ROUNDDOWN(formatted_data[[#This Row],[Selling_Price]]*formatted_data[[#This Row],[Discount_%]]/100,0)</f>
        <v>139</v>
      </c>
      <c r="M1815" s="1">
        <f>(formatted_data[[#This Row],[Selling_Price]]-formatted_data[[#This Row],[Discount_Amount]])*formatted_data[[#This Row],[Units]]</f>
        <v>1260</v>
      </c>
      <c r="N1815" s="1">
        <f>formatted_data[[#This Row],[Total_Revenue]]-(formatted_data[[#This Row],[Cost_Price]]*formatted_data[[#This Row],[Units]])</f>
        <v>389</v>
      </c>
      <c r="O1815" s="1" t="s">
        <v>21</v>
      </c>
      <c r="P1815"/>
    </row>
    <row r="1816" spans="1:16" x14ac:dyDescent="0.35">
      <c r="A1816" s="1" t="s">
        <v>34</v>
      </c>
      <c r="B1816" s="1" t="s">
        <v>27</v>
      </c>
      <c r="C1816" s="2">
        <v>45540</v>
      </c>
      <c r="D1816" s="1" t="s">
        <v>28</v>
      </c>
      <c r="E1816" s="1" t="s">
        <v>29</v>
      </c>
      <c r="F1816" s="1" t="s">
        <v>25</v>
      </c>
      <c r="G1816" s="1" t="s">
        <v>20</v>
      </c>
      <c r="H1816" s="1">
        <v>1</v>
      </c>
      <c r="I1816" s="1">
        <v>291</v>
      </c>
      <c r="J1816" s="1">
        <v>499</v>
      </c>
      <c r="K1816" s="1">
        <v>20</v>
      </c>
      <c r="L1816" s="1">
        <f>ROUNDDOWN(formatted_data[[#This Row],[Selling_Price]]*formatted_data[[#This Row],[Discount_%]]/100,0)</f>
        <v>99</v>
      </c>
      <c r="M1816" s="1">
        <f>(formatted_data[[#This Row],[Selling_Price]]-formatted_data[[#This Row],[Discount_Amount]])*formatted_data[[#This Row],[Units]]</f>
        <v>400</v>
      </c>
      <c r="N1816" s="1">
        <f>formatted_data[[#This Row],[Total_Revenue]]-(formatted_data[[#This Row],[Cost_Price]]*formatted_data[[#This Row],[Units]])</f>
        <v>109</v>
      </c>
      <c r="O1816" s="1" t="s">
        <v>21</v>
      </c>
      <c r="P1816"/>
    </row>
    <row r="1817" spans="1:16" x14ac:dyDescent="0.35">
      <c r="A1817" s="1" t="s">
        <v>88</v>
      </c>
      <c r="B1817" s="1" t="s">
        <v>27</v>
      </c>
      <c r="C1817" s="2">
        <v>45569</v>
      </c>
      <c r="D1817" s="1" t="s">
        <v>23</v>
      </c>
      <c r="E1817" s="1" t="s">
        <v>43</v>
      </c>
      <c r="F1817" s="1" t="s">
        <v>25</v>
      </c>
      <c r="G1817" s="1" t="s">
        <v>19</v>
      </c>
      <c r="H1817" s="1">
        <v>2</v>
      </c>
      <c r="I1817" s="1">
        <v>1125</v>
      </c>
      <c r="J1817" s="1">
        <v>2199</v>
      </c>
      <c r="K1817" s="1">
        <v>10</v>
      </c>
      <c r="L1817" s="1">
        <f>ROUNDDOWN(formatted_data[[#This Row],[Selling_Price]]*formatted_data[[#This Row],[Discount_%]]/100,0)</f>
        <v>219</v>
      </c>
      <c r="M1817" s="1">
        <f>(formatted_data[[#This Row],[Selling_Price]]-formatted_data[[#This Row],[Discount_Amount]])*formatted_data[[#This Row],[Units]]</f>
        <v>3960</v>
      </c>
      <c r="N1817" s="1">
        <f>formatted_data[[#This Row],[Total_Revenue]]-(formatted_data[[#This Row],[Cost_Price]]*formatted_data[[#This Row],[Units]])</f>
        <v>1710</v>
      </c>
      <c r="O1817" s="1" t="s">
        <v>33</v>
      </c>
      <c r="P1817"/>
    </row>
    <row r="1818" spans="1:16" x14ac:dyDescent="0.35">
      <c r="A1818" s="1" t="s">
        <v>81</v>
      </c>
      <c r="B1818" s="1" t="s">
        <v>27</v>
      </c>
      <c r="C1818" s="2">
        <v>45472</v>
      </c>
      <c r="D1818" s="1" t="s">
        <v>31</v>
      </c>
      <c r="E1818" s="1" t="s">
        <v>76</v>
      </c>
      <c r="F1818" s="1" t="s">
        <v>25</v>
      </c>
      <c r="G1818" s="1" t="s">
        <v>19</v>
      </c>
      <c r="H1818" s="1">
        <v>3</v>
      </c>
      <c r="I1818" s="1">
        <v>398</v>
      </c>
      <c r="J1818" s="1">
        <v>699</v>
      </c>
      <c r="K1818" s="1">
        <v>0</v>
      </c>
      <c r="L1818" s="1">
        <f>ROUNDDOWN(formatted_data[[#This Row],[Selling_Price]]*formatted_data[[#This Row],[Discount_%]]/100,0)</f>
        <v>0</v>
      </c>
      <c r="M1818" s="1">
        <f>(formatted_data[[#This Row],[Selling_Price]]-formatted_data[[#This Row],[Discount_Amount]])*formatted_data[[#This Row],[Units]]</f>
        <v>2097</v>
      </c>
      <c r="N1818" s="1">
        <f>formatted_data[[#This Row],[Total_Revenue]]-(formatted_data[[#This Row],[Cost_Price]]*formatted_data[[#This Row],[Units]])</f>
        <v>903</v>
      </c>
      <c r="O1818" s="1" t="s">
        <v>21</v>
      </c>
      <c r="P1818"/>
    </row>
    <row r="1819" spans="1:16" x14ac:dyDescent="0.35">
      <c r="A1819" s="1" t="s">
        <v>44</v>
      </c>
      <c r="B1819" s="1" t="s">
        <v>16</v>
      </c>
      <c r="C1819" s="2">
        <v>45585</v>
      </c>
      <c r="D1819" s="1" t="s">
        <v>17</v>
      </c>
      <c r="E1819" s="1" t="s">
        <v>72</v>
      </c>
      <c r="F1819" s="1" t="s">
        <v>37</v>
      </c>
      <c r="G1819" s="1" t="s">
        <v>19</v>
      </c>
      <c r="H1819" s="1">
        <v>4</v>
      </c>
      <c r="I1819" s="1">
        <v>239</v>
      </c>
      <c r="J1819" s="1">
        <v>399</v>
      </c>
      <c r="K1819" s="1">
        <v>0</v>
      </c>
      <c r="L1819" s="1">
        <f>ROUNDDOWN(formatted_data[[#This Row],[Selling_Price]]*formatted_data[[#This Row],[Discount_%]]/100,0)</f>
        <v>0</v>
      </c>
      <c r="M1819" s="1">
        <f>(formatted_data[[#This Row],[Selling_Price]]-formatted_data[[#This Row],[Discount_Amount]])*formatted_data[[#This Row],[Units]]</f>
        <v>1596</v>
      </c>
      <c r="N1819" s="1">
        <f>formatted_data[[#This Row],[Total_Revenue]]-(formatted_data[[#This Row],[Cost_Price]]*formatted_data[[#This Row],[Units]])</f>
        <v>640</v>
      </c>
      <c r="O1819" s="1" t="s">
        <v>21</v>
      </c>
      <c r="P1819"/>
    </row>
    <row r="1820" spans="1:16" x14ac:dyDescent="0.35">
      <c r="A1820" s="1" t="s">
        <v>88</v>
      </c>
      <c r="B1820" s="1" t="s">
        <v>27</v>
      </c>
      <c r="C1820" s="2">
        <v>45577</v>
      </c>
      <c r="D1820" s="1" t="s">
        <v>17</v>
      </c>
      <c r="E1820" s="1" t="s">
        <v>72</v>
      </c>
      <c r="F1820" s="1" t="s">
        <v>25</v>
      </c>
      <c r="G1820" s="1" t="s">
        <v>20</v>
      </c>
      <c r="H1820" s="1">
        <v>2</v>
      </c>
      <c r="I1820" s="1">
        <v>347</v>
      </c>
      <c r="J1820" s="1">
        <v>499</v>
      </c>
      <c r="K1820" s="1">
        <v>0</v>
      </c>
      <c r="L1820" s="1">
        <f>ROUNDDOWN(formatted_data[[#This Row],[Selling_Price]]*formatted_data[[#This Row],[Discount_%]]/100,0)</f>
        <v>0</v>
      </c>
      <c r="M1820" s="1">
        <f>(formatted_data[[#This Row],[Selling_Price]]-formatted_data[[#This Row],[Discount_Amount]])*formatted_data[[#This Row],[Units]]</f>
        <v>998</v>
      </c>
      <c r="N1820" s="1">
        <f>formatted_data[[#This Row],[Total_Revenue]]-(formatted_data[[#This Row],[Cost_Price]]*formatted_data[[#This Row],[Units]])</f>
        <v>304</v>
      </c>
      <c r="O1820" s="1" t="s">
        <v>21</v>
      </c>
      <c r="P1820"/>
    </row>
    <row r="1821" spans="1:16" x14ac:dyDescent="0.35">
      <c r="A1821" s="1" t="s">
        <v>22</v>
      </c>
      <c r="B1821" s="1" t="s">
        <v>16</v>
      </c>
      <c r="C1821" s="2">
        <v>45623</v>
      </c>
      <c r="D1821" s="1" t="s">
        <v>28</v>
      </c>
      <c r="E1821" s="1" t="s">
        <v>45</v>
      </c>
      <c r="F1821" s="1" t="s">
        <v>19</v>
      </c>
      <c r="G1821" s="1" t="s">
        <v>19</v>
      </c>
      <c r="H1821" s="1">
        <v>2</v>
      </c>
      <c r="I1821" s="1">
        <v>1248</v>
      </c>
      <c r="J1821" s="1">
        <v>1999</v>
      </c>
      <c r="K1821" s="1">
        <v>10</v>
      </c>
      <c r="L1821" s="1">
        <f>ROUNDDOWN(formatted_data[[#This Row],[Selling_Price]]*formatted_data[[#This Row],[Discount_%]]/100,0)</f>
        <v>199</v>
      </c>
      <c r="M1821" s="1">
        <f>(formatted_data[[#This Row],[Selling_Price]]-formatted_data[[#This Row],[Discount_Amount]])*formatted_data[[#This Row],[Units]]</f>
        <v>3600</v>
      </c>
      <c r="N1821" s="1">
        <f>formatted_data[[#This Row],[Total_Revenue]]-(formatted_data[[#This Row],[Cost_Price]]*formatted_data[[#This Row],[Units]])</f>
        <v>1104</v>
      </c>
      <c r="O1821" s="1" t="s">
        <v>21</v>
      </c>
      <c r="P1821"/>
    </row>
    <row r="1822" spans="1:16" x14ac:dyDescent="0.35">
      <c r="A1822" s="1" t="s">
        <v>109</v>
      </c>
      <c r="B1822" s="1" t="s">
        <v>16</v>
      </c>
      <c r="C1822" s="2">
        <v>45524</v>
      </c>
      <c r="D1822" s="1" t="s">
        <v>31</v>
      </c>
      <c r="E1822" s="1" t="s">
        <v>32</v>
      </c>
      <c r="F1822" s="1" t="s">
        <v>25</v>
      </c>
      <c r="G1822" s="1" t="s">
        <v>20</v>
      </c>
      <c r="H1822" s="1">
        <v>2</v>
      </c>
      <c r="I1822" s="1">
        <v>854</v>
      </c>
      <c r="J1822" s="1">
        <v>1499</v>
      </c>
      <c r="K1822" s="1">
        <v>0</v>
      </c>
      <c r="L1822" s="1">
        <f>ROUNDDOWN(formatted_data[[#This Row],[Selling_Price]]*formatted_data[[#This Row],[Discount_%]]/100,0)</f>
        <v>0</v>
      </c>
      <c r="M1822" s="1">
        <f>(formatted_data[[#This Row],[Selling_Price]]-formatted_data[[#This Row],[Discount_Amount]])*formatted_data[[#This Row],[Units]]</f>
        <v>2998</v>
      </c>
      <c r="N1822" s="1">
        <f>formatted_data[[#This Row],[Total_Revenue]]-(formatted_data[[#This Row],[Cost_Price]]*formatted_data[[#This Row],[Units]])</f>
        <v>1290</v>
      </c>
      <c r="O1822" s="1" t="s">
        <v>21</v>
      </c>
      <c r="P1822"/>
    </row>
    <row r="1823" spans="1:16" x14ac:dyDescent="0.35">
      <c r="A1823" s="1" t="s">
        <v>68</v>
      </c>
      <c r="B1823" s="1" t="s">
        <v>16</v>
      </c>
      <c r="C1823" s="2">
        <v>45612</v>
      </c>
      <c r="D1823" s="1" t="s">
        <v>35</v>
      </c>
      <c r="E1823" s="1" t="s">
        <v>87</v>
      </c>
      <c r="F1823" s="1" t="s">
        <v>25</v>
      </c>
      <c r="G1823" s="1" t="s">
        <v>20</v>
      </c>
      <c r="H1823" s="1">
        <v>1</v>
      </c>
      <c r="I1823" s="1">
        <v>2124</v>
      </c>
      <c r="J1823" s="1">
        <v>3199</v>
      </c>
      <c r="K1823" s="1">
        <v>20</v>
      </c>
      <c r="L1823" s="1">
        <f>ROUNDDOWN(formatted_data[[#This Row],[Selling_Price]]*formatted_data[[#This Row],[Discount_%]]/100,0)</f>
        <v>639</v>
      </c>
      <c r="M1823" s="1">
        <f>(formatted_data[[#This Row],[Selling_Price]]-formatted_data[[#This Row],[Discount_Amount]])*formatted_data[[#This Row],[Units]]</f>
        <v>2560</v>
      </c>
      <c r="N1823" s="1">
        <f>formatted_data[[#This Row],[Total_Revenue]]-(formatted_data[[#This Row],[Cost_Price]]*formatted_data[[#This Row],[Units]])</f>
        <v>436</v>
      </c>
      <c r="O1823" s="1" t="s">
        <v>33</v>
      </c>
      <c r="P1823"/>
    </row>
    <row r="1824" spans="1:16" x14ac:dyDescent="0.35">
      <c r="A1824" s="1" t="s">
        <v>26</v>
      </c>
      <c r="B1824" s="1" t="s">
        <v>27</v>
      </c>
      <c r="C1824" s="2">
        <v>45491</v>
      </c>
      <c r="D1824" s="1" t="s">
        <v>35</v>
      </c>
      <c r="E1824" s="1" t="s">
        <v>100</v>
      </c>
      <c r="F1824" s="1" t="s">
        <v>19</v>
      </c>
      <c r="G1824" s="1" t="s">
        <v>20</v>
      </c>
      <c r="H1824" s="1">
        <v>2</v>
      </c>
      <c r="I1824" s="1">
        <v>1249</v>
      </c>
      <c r="J1824" s="1">
        <v>2399</v>
      </c>
      <c r="K1824" s="1">
        <v>15</v>
      </c>
      <c r="L1824" s="1">
        <f>ROUNDDOWN(formatted_data[[#This Row],[Selling_Price]]*formatted_data[[#This Row],[Discount_%]]/100,0)</f>
        <v>359</v>
      </c>
      <c r="M1824" s="1">
        <f>(formatted_data[[#This Row],[Selling_Price]]-formatted_data[[#This Row],[Discount_Amount]])*formatted_data[[#This Row],[Units]]</f>
        <v>4080</v>
      </c>
      <c r="N1824" s="1">
        <f>formatted_data[[#This Row],[Total_Revenue]]-(formatted_data[[#This Row],[Cost_Price]]*formatted_data[[#This Row],[Units]])</f>
        <v>1582</v>
      </c>
      <c r="O1824" s="1" t="s">
        <v>33</v>
      </c>
      <c r="P1824"/>
    </row>
    <row r="1825" spans="1:16" x14ac:dyDescent="0.35">
      <c r="A1825" s="1" t="s">
        <v>107</v>
      </c>
      <c r="B1825" s="1" t="s">
        <v>27</v>
      </c>
      <c r="C1825" s="2">
        <v>45477</v>
      </c>
      <c r="D1825" s="1" t="s">
        <v>35</v>
      </c>
      <c r="E1825" s="1" t="s">
        <v>100</v>
      </c>
      <c r="F1825" s="1" t="s">
        <v>37</v>
      </c>
      <c r="G1825" s="1" t="s">
        <v>19</v>
      </c>
      <c r="H1825" s="1">
        <v>1</v>
      </c>
      <c r="I1825" s="1">
        <v>659</v>
      </c>
      <c r="J1825" s="1">
        <v>1199</v>
      </c>
      <c r="K1825" s="1">
        <v>15</v>
      </c>
      <c r="L1825" s="1">
        <f>ROUNDDOWN(formatted_data[[#This Row],[Selling_Price]]*formatted_data[[#This Row],[Discount_%]]/100,0)</f>
        <v>179</v>
      </c>
      <c r="M1825" s="1">
        <f>(formatted_data[[#This Row],[Selling_Price]]-formatted_data[[#This Row],[Discount_Amount]])*formatted_data[[#This Row],[Units]]</f>
        <v>1020</v>
      </c>
      <c r="N1825" s="1">
        <f>formatted_data[[#This Row],[Total_Revenue]]-(formatted_data[[#This Row],[Cost_Price]]*formatted_data[[#This Row],[Units]])</f>
        <v>361</v>
      </c>
      <c r="O1825" s="1" t="s">
        <v>21</v>
      </c>
      <c r="P1825"/>
    </row>
    <row r="1826" spans="1:16" x14ac:dyDescent="0.35">
      <c r="A1826" s="1" t="s">
        <v>79</v>
      </c>
      <c r="B1826" s="1" t="s">
        <v>16</v>
      </c>
      <c r="C1826" s="2">
        <v>45535</v>
      </c>
      <c r="D1826" s="1" t="s">
        <v>17</v>
      </c>
      <c r="E1826" s="1" t="s">
        <v>48</v>
      </c>
      <c r="F1826" s="1" t="s">
        <v>19</v>
      </c>
      <c r="G1826" s="1" t="s">
        <v>19</v>
      </c>
      <c r="H1826" s="1">
        <v>1</v>
      </c>
      <c r="I1826" s="1">
        <v>389</v>
      </c>
      <c r="J1826" s="1">
        <v>599</v>
      </c>
      <c r="K1826" s="1">
        <v>0</v>
      </c>
      <c r="L1826" s="1">
        <f>ROUNDDOWN(formatted_data[[#This Row],[Selling_Price]]*formatted_data[[#This Row],[Discount_%]]/100,0)</f>
        <v>0</v>
      </c>
      <c r="M1826" s="1">
        <f>(formatted_data[[#This Row],[Selling_Price]]-formatted_data[[#This Row],[Discount_Amount]])*formatted_data[[#This Row],[Units]]</f>
        <v>599</v>
      </c>
      <c r="N1826" s="1">
        <f>formatted_data[[#This Row],[Total_Revenue]]-(formatted_data[[#This Row],[Cost_Price]]*formatted_data[[#This Row],[Units]])</f>
        <v>210</v>
      </c>
      <c r="O1826" s="1" t="s">
        <v>33</v>
      </c>
      <c r="P1826"/>
    </row>
    <row r="1827" spans="1:16" x14ac:dyDescent="0.35">
      <c r="A1827" s="1" t="s">
        <v>90</v>
      </c>
      <c r="B1827" s="1" t="s">
        <v>27</v>
      </c>
      <c r="C1827" s="2">
        <v>45451</v>
      </c>
      <c r="D1827" s="1" t="s">
        <v>31</v>
      </c>
      <c r="E1827" s="1" t="s">
        <v>32</v>
      </c>
      <c r="F1827" s="1" t="s">
        <v>25</v>
      </c>
      <c r="G1827" s="1" t="s">
        <v>19</v>
      </c>
      <c r="H1827" s="1">
        <v>3</v>
      </c>
      <c r="I1827" s="1">
        <v>502</v>
      </c>
      <c r="J1827" s="1">
        <v>999</v>
      </c>
      <c r="K1827" s="1">
        <v>0</v>
      </c>
      <c r="L1827" s="1">
        <f>ROUNDDOWN(formatted_data[[#This Row],[Selling_Price]]*formatted_data[[#This Row],[Discount_%]]/100,0)</f>
        <v>0</v>
      </c>
      <c r="M1827" s="1">
        <f>(formatted_data[[#This Row],[Selling_Price]]-formatted_data[[#This Row],[Discount_Amount]])*formatted_data[[#This Row],[Units]]</f>
        <v>2997</v>
      </c>
      <c r="N1827" s="1">
        <f>formatted_data[[#This Row],[Total_Revenue]]-(formatted_data[[#This Row],[Cost_Price]]*formatted_data[[#This Row],[Units]])</f>
        <v>1491</v>
      </c>
      <c r="O1827" s="1" t="s">
        <v>21</v>
      </c>
      <c r="P1827"/>
    </row>
    <row r="1828" spans="1:16" x14ac:dyDescent="0.35">
      <c r="A1828" s="1" t="s">
        <v>71</v>
      </c>
      <c r="B1828" s="1" t="s">
        <v>16</v>
      </c>
      <c r="C1828" s="2">
        <v>45463</v>
      </c>
      <c r="D1828" s="1" t="s">
        <v>23</v>
      </c>
      <c r="E1828" s="1" t="s">
        <v>43</v>
      </c>
      <c r="F1828" s="1" t="s">
        <v>19</v>
      </c>
      <c r="G1828" s="1" t="s">
        <v>19</v>
      </c>
      <c r="H1828" s="1">
        <v>1</v>
      </c>
      <c r="I1828" s="1">
        <v>2355</v>
      </c>
      <c r="J1828" s="1">
        <v>4199</v>
      </c>
      <c r="K1828" s="1">
        <v>15</v>
      </c>
      <c r="L1828" s="1">
        <f>ROUNDDOWN(formatted_data[[#This Row],[Selling_Price]]*formatted_data[[#This Row],[Discount_%]]/100,0)</f>
        <v>629</v>
      </c>
      <c r="M1828" s="1">
        <f>(formatted_data[[#This Row],[Selling_Price]]-formatted_data[[#This Row],[Discount_Amount]])*formatted_data[[#This Row],[Units]]</f>
        <v>3570</v>
      </c>
      <c r="N1828" s="1">
        <f>formatted_data[[#This Row],[Total_Revenue]]-(formatted_data[[#This Row],[Cost_Price]]*formatted_data[[#This Row],[Units]])</f>
        <v>1215</v>
      </c>
      <c r="O1828" s="1" t="s">
        <v>21</v>
      </c>
      <c r="P1828"/>
    </row>
    <row r="1829" spans="1:16" x14ac:dyDescent="0.35">
      <c r="A1829" s="1" t="s">
        <v>90</v>
      </c>
      <c r="B1829" s="1" t="s">
        <v>27</v>
      </c>
      <c r="C1829" s="2">
        <v>45614</v>
      </c>
      <c r="D1829" s="1" t="s">
        <v>31</v>
      </c>
      <c r="E1829" s="1" t="s">
        <v>32</v>
      </c>
      <c r="F1829" s="1" t="s">
        <v>19</v>
      </c>
      <c r="G1829" s="1" t="s">
        <v>20</v>
      </c>
      <c r="H1829" s="1">
        <v>1</v>
      </c>
      <c r="I1829" s="1">
        <v>502</v>
      </c>
      <c r="J1829" s="1">
        <v>899</v>
      </c>
      <c r="K1829" s="1">
        <v>0</v>
      </c>
      <c r="L1829" s="1">
        <f>ROUNDDOWN(formatted_data[[#This Row],[Selling_Price]]*formatted_data[[#This Row],[Discount_%]]/100,0)</f>
        <v>0</v>
      </c>
      <c r="M1829" s="1">
        <f>(formatted_data[[#This Row],[Selling_Price]]-formatted_data[[#This Row],[Discount_Amount]])*formatted_data[[#This Row],[Units]]</f>
        <v>899</v>
      </c>
      <c r="N1829" s="1">
        <f>formatted_data[[#This Row],[Total_Revenue]]-(formatted_data[[#This Row],[Cost_Price]]*formatted_data[[#This Row],[Units]])</f>
        <v>397</v>
      </c>
      <c r="O1829" s="1" t="s">
        <v>21</v>
      </c>
      <c r="P1829"/>
    </row>
    <row r="1830" spans="1:16" x14ac:dyDescent="0.35">
      <c r="A1830" s="1" t="s">
        <v>59</v>
      </c>
      <c r="B1830" s="1" t="s">
        <v>27</v>
      </c>
      <c r="C1830" s="2">
        <v>45480</v>
      </c>
      <c r="D1830" s="1" t="s">
        <v>31</v>
      </c>
      <c r="E1830" s="1" t="s">
        <v>32</v>
      </c>
      <c r="F1830" s="1" t="s">
        <v>19</v>
      </c>
      <c r="G1830" s="1" t="s">
        <v>19</v>
      </c>
      <c r="H1830" s="1">
        <v>2</v>
      </c>
      <c r="I1830" s="1">
        <v>1003</v>
      </c>
      <c r="J1830" s="1">
        <v>1399</v>
      </c>
      <c r="K1830" s="1">
        <v>0</v>
      </c>
      <c r="L1830" s="1">
        <f>ROUNDDOWN(formatted_data[[#This Row],[Selling_Price]]*formatted_data[[#This Row],[Discount_%]]/100,0)</f>
        <v>0</v>
      </c>
      <c r="M1830" s="1">
        <f>(formatted_data[[#This Row],[Selling_Price]]-formatted_data[[#This Row],[Discount_Amount]])*formatted_data[[#This Row],[Units]]</f>
        <v>2798</v>
      </c>
      <c r="N1830" s="1">
        <f>formatted_data[[#This Row],[Total_Revenue]]-(formatted_data[[#This Row],[Cost_Price]]*formatted_data[[#This Row],[Units]])</f>
        <v>792</v>
      </c>
      <c r="O1830" s="1" t="s">
        <v>21</v>
      </c>
      <c r="P1830"/>
    </row>
    <row r="1831" spans="1:16" x14ac:dyDescent="0.35">
      <c r="A1831" s="1" t="s">
        <v>86</v>
      </c>
      <c r="B1831" s="1" t="s">
        <v>27</v>
      </c>
      <c r="C1831" s="2">
        <v>45564</v>
      </c>
      <c r="D1831" s="1" t="s">
        <v>28</v>
      </c>
      <c r="E1831" s="1" t="s">
        <v>29</v>
      </c>
      <c r="F1831" s="1" t="s">
        <v>25</v>
      </c>
      <c r="G1831" s="1" t="s">
        <v>19</v>
      </c>
      <c r="H1831" s="1">
        <v>1</v>
      </c>
      <c r="I1831" s="1">
        <v>499</v>
      </c>
      <c r="J1831" s="1">
        <v>699</v>
      </c>
      <c r="K1831" s="1">
        <v>10</v>
      </c>
      <c r="L1831" s="1">
        <f>ROUNDDOWN(formatted_data[[#This Row],[Selling_Price]]*formatted_data[[#This Row],[Discount_%]]/100,0)</f>
        <v>69</v>
      </c>
      <c r="M1831" s="1">
        <f>(formatted_data[[#This Row],[Selling_Price]]-formatted_data[[#This Row],[Discount_Amount]])*formatted_data[[#This Row],[Units]]</f>
        <v>630</v>
      </c>
      <c r="N1831" s="1">
        <f>formatted_data[[#This Row],[Total_Revenue]]-(formatted_data[[#This Row],[Cost_Price]]*formatted_data[[#This Row],[Units]])</f>
        <v>131</v>
      </c>
      <c r="O1831" s="1" t="s">
        <v>21</v>
      </c>
      <c r="P1831"/>
    </row>
    <row r="1832" spans="1:16" x14ac:dyDescent="0.35">
      <c r="A1832" s="1" t="s">
        <v>46</v>
      </c>
      <c r="B1832" s="1" t="s">
        <v>16</v>
      </c>
      <c r="C1832" s="2">
        <v>45465</v>
      </c>
      <c r="D1832" s="1" t="s">
        <v>35</v>
      </c>
      <c r="E1832" s="1" t="s">
        <v>41</v>
      </c>
      <c r="F1832" s="1" t="s">
        <v>37</v>
      </c>
      <c r="G1832" s="1" t="s">
        <v>19</v>
      </c>
      <c r="H1832" s="1">
        <v>1</v>
      </c>
      <c r="I1832" s="1">
        <v>303</v>
      </c>
      <c r="J1832" s="1">
        <v>599</v>
      </c>
      <c r="K1832" s="1">
        <v>10</v>
      </c>
      <c r="L1832" s="1">
        <f>ROUNDDOWN(formatted_data[[#This Row],[Selling_Price]]*formatted_data[[#This Row],[Discount_%]]/100,0)</f>
        <v>59</v>
      </c>
      <c r="M1832" s="1">
        <f>(formatted_data[[#This Row],[Selling_Price]]-formatted_data[[#This Row],[Discount_Amount]])*formatted_data[[#This Row],[Units]]</f>
        <v>540</v>
      </c>
      <c r="N1832" s="1">
        <f>formatted_data[[#This Row],[Total_Revenue]]-(formatted_data[[#This Row],[Cost_Price]]*formatted_data[[#This Row],[Units]])</f>
        <v>237</v>
      </c>
      <c r="O1832" s="1" t="s">
        <v>21</v>
      </c>
      <c r="P1832"/>
    </row>
    <row r="1833" spans="1:16" x14ac:dyDescent="0.35">
      <c r="A1833" s="1" t="s">
        <v>95</v>
      </c>
      <c r="B1833" s="1" t="s">
        <v>27</v>
      </c>
      <c r="C1833" s="2">
        <v>45513</v>
      </c>
      <c r="D1833" s="1" t="s">
        <v>23</v>
      </c>
      <c r="E1833" s="1" t="s">
        <v>43</v>
      </c>
      <c r="F1833" s="1" t="s">
        <v>37</v>
      </c>
      <c r="G1833" s="1" t="s">
        <v>20</v>
      </c>
      <c r="H1833" s="1">
        <v>1</v>
      </c>
      <c r="I1833" s="1">
        <v>3610</v>
      </c>
      <c r="J1833" s="1">
        <v>4999</v>
      </c>
      <c r="K1833" s="1">
        <v>20</v>
      </c>
      <c r="L1833" s="1">
        <f>ROUNDDOWN(formatted_data[[#This Row],[Selling_Price]]*formatted_data[[#This Row],[Discount_%]]/100,0)</f>
        <v>999</v>
      </c>
      <c r="M1833" s="1">
        <f>(formatted_data[[#This Row],[Selling_Price]]-formatted_data[[#This Row],[Discount_Amount]])*formatted_data[[#This Row],[Units]]</f>
        <v>4000</v>
      </c>
      <c r="N1833" s="1">
        <f>formatted_data[[#This Row],[Total_Revenue]]-(formatted_data[[#This Row],[Cost_Price]]*formatted_data[[#This Row],[Units]])</f>
        <v>390</v>
      </c>
      <c r="O1833" s="1" t="s">
        <v>21</v>
      </c>
      <c r="P1833"/>
    </row>
    <row r="1834" spans="1:16" x14ac:dyDescent="0.35">
      <c r="A1834" s="1" t="s">
        <v>105</v>
      </c>
      <c r="B1834" s="1" t="s">
        <v>16</v>
      </c>
      <c r="C1834" s="2">
        <v>45606</v>
      </c>
      <c r="D1834" s="1" t="s">
        <v>35</v>
      </c>
      <c r="E1834" s="1" t="s">
        <v>100</v>
      </c>
      <c r="F1834" s="1" t="s">
        <v>37</v>
      </c>
      <c r="G1834" s="1" t="s">
        <v>19</v>
      </c>
      <c r="H1834" s="1">
        <v>5</v>
      </c>
      <c r="I1834" s="1">
        <v>1216</v>
      </c>
      <c r="J1834" s="1">
        <v>1699</v>
      </c>
      <c r="K1834" s="1">
        <v>10</v>
      </c>
      <c r="L1834" s="1">
        <f>ROUNDDOWN(formatted_data[[#This Row],[Selling_Price]]*formatted_data[[#This Row],[Discount_%]]/100,0)</f>
        <v>169</v>
      </c>
      <c r="M1834" s="1">
        <f>(formatted_data[[#This Row],[Selling_Price]]-formatted_data[[#This Row],[Discount_Amount]])*formatted_data[[#This Row],[Units]]</f>
        <v>7650</v>
      </c>
      <c r="N1834" s="1">
        <f>formatted_data[[#This Row],[Total_Revenue]]-(formatted_data[[#This Row],[Cost_Price]]*formatted_data[[#This Row],[Units]])</f>
        <v>1570</v>
      </c>
      <c r="O1834" s="1" t="s">
        <v>21</v>
      </c>
      <c r="P1834"/>
    </row>
    <row r="1835" spans="1:16" x14ac:dyDescent="0.35">
      <c r="A1835" s="1" t="s">
        <v>84</v>
      </c>
      <c r="B1835" s="1" t="s">
        <v>27</v>
      </c>
      <c r="C1835" s="2">
        <v>45607</v>
      </c>
      <c r="D1835" s="1" t="s">
        <v>28</v>
      </c>
      <c r="E1835" s="1" t="s">
        <v>45</v>
      </c>
      <c r="F1835" s="1" t="s">
        <v>37</v>
      </c>
      <c r="G1835" s="1" t="s">
        <v>19</v>
      </c>
      <c r="H1835" s="1">
        <v>1</v>
      </c>
      <c r="I1835" s="1">
        <v>882</v>
      </c>
      <c r="J1835" s="1">
        <v>1499</v>
      </c>
      <c r="K1835" s="1">
        <v>20</v>
      </c>
      <c r="L1835" s="1">
        <f>ROUNDDOWN(formatted_data[[#This Row],[Selling_Price]]*formatted_data[[#This Row],[Discount_%]]/100,0)</f>
        <v>299</v>
      </c>
      <c r="M1835" s="1">
        <f>(formatted_data[[#This Row],[Selling_Price]]-formatted_data[[#This Row],[Discount_Amount]])*formatted_data[[#This Row],[Units]]</f>
        <v>1200</v>
      </c>
      <c r="N1835" s="1">
        <f>formatted_data[[#This Row],[Total_Revenue]]-(formatted_data[[#This Row],[Cost_Price]]*formatted_data[[#This Row],[Units]])</f>
        <v>318</v>
      </c>
      <c r="O1835" s="1" t="s">
        <v>33</v>
      </c>
      <c r="P1835"/>
    </row>
    <row r="1836" spans="1:16" x14ac:dyDescent="0.35">
      <c r="A1836" s="1" t="s">
        <v>67</v>
      </c>
      <c r="B1836" s="1" t="s">
        <v>27</v>
      </c>
      <c r="C1836" s="2">
        <v>45624</v>
      </c>
      <c r="D1836" s="1" t="s">
        <v>17</v>
      </c>
      <c r="E1836" s="1" t="s">
        <v>48</v>
      </c>
      <c r="F1836" s="1" t="s">
        <v>19</v>
      </c>
      <c r="G1836" s="1" t="s">
        <v>20</v>
      </c>
      <c r="H1836" s="1">
        <v>1</v>
      </c>
      <c r="I1836" s="1">
        <v>251</v>
      </c>
      <c r="J1836" s="1">
        <v>499</v>
      </c>
      <c r="K1836" s="1">
        <v>0</v>
      </c>
      <c r="L1836" s="1">
        <f>ROUNDDOWN(formatted_data[[#This Row],[Selling_Price]]*formatted_data[[#This Row],[Discount_%]]/100,0)</f>
        <v>0</v>
      </c>
      <c r="M1836" s="1">
        <f>(formatted_data[[#This Row],[Selling_Price]]-formatted_data[[#This Row],[Discount_Amount]])*formatted_data[[#This Row],[Units]]</f>
        <v>499</v>
      </c>
      <c r="N1836" s="1">
        <f>formatted_data[[#This Row],[Total_Revenue]]-(formatted_data[[#This Row],[Cost_Price]]*formatted_data[[#This Row],[Units]])</f>
        <v>248</v>
      </c>
      <c r="O1836" s="1" t="s">
        <v>21</v>
      </c>
      <c r="P1836"/>
    </row>
    <row r="1837" spans="1:16" x14ac:dyDescent="0.35">
      <c r="A1837" s="1" t="s">
        <v>91</v>
      </c>
      <c r="B1837" s="1" t="s">
        <v>16</v>
      </c>
      <c r="C1837" s="2">
        <v>45530</v>
      </c>
      <c r="D1837" s="1" t="s">
        <v>17</v>
      </c>
      <c r="E1837" s="1" t="s">
        <v>72</v>
      </c>
      <c r="F1837" s="1" t="s">
        <v>19</v>
      </c>
      <c r="G1837" s="1" t="s">
        <v>20</v>
      </c>
      <c r="H1837" s="1">
        <v>1</v>
      </c>
      <c r="I1837" s="1">
        <v>311</v>
      </c>
      <c r="J1837" s="1">
        <v>499</v>
      </c>
      <c r="K1837" s="1">
        <v>0</v>
      </c>
      <c r="L1837" s="1">
        <f>ROUNDDOWN(formatted_data[[#This Row],[Selling_Price]]*formatted_data[[#This Row],[Discount_%]]/100,0)</f>
        <v>0</v>
      </c>
      <c r="M1837" s="1">
        <f>(formatted_data[[#This Row],[Selling_Price]]-formatted_data[[#This Row],[Discount_Amount]])*formatted_data[[#This Row],[Units]]</f>
        <v>499</v>
      </c>
      <c r="N1837" s="1">
        <f>formatted_data[[#This Row],[Total_Revenue]]-(formatted_data[[#This Row],[Cost_Price]]*formatted_data[[#This Row],[Units]])</f>
        <v>188</v>
      </c>
      <c r="O1837" s="1" t="s">
        <v>33</v>
      </c>
      <c r="P1837"/>
    </row>
    <row r="1838" spans="1:16" x14ac:dyDescent="0.35">
      <c r="A1838" s="1" t="s">
        <v>38</v>
      </c>
      <c r="B1838" s="1" t="s">
        <v>27</v>
      </c>
      <c r="C1838" s="2">
        <v>45479</v>
      </c>
      <c r="D1838" s="1" t="s">
        <v>17</v>
      </c>
      <c r="E1838" s="1" t="s">
        <v>55</v>
      </c>
      <c r="F1838" s="1" t="s">
        <v>19</v>
      </c>
      <c r="G1838" s="1" t="s">
        <v>19</v>
      </c>
      <c r="H1838" s="1">
        <v>1</v>
      </c>
      <c r="I1838" s="1">
        <v>187</v>
      </c>
      <c r="J1838" s="1">
        <v>299</v>
      </c>
      <c r="K1838" s="1">
        <v>0</v>
      </c>
      <c r="L1838" s="1">
        <f>ROUNDDOWN(formatted_data[[#This Row],[Selling_Price]]*formatted_data[[#This Row],[Discount_%]]/100,0)</f>
        <v>0</v>
      </c>
      <c r="M1838" s="1">
        <f>(formatted_data[[#This Row],[Selling_Price]]-formatted_data[[#This Row],[Discount_Amount]])*formatted_data[[#This Row],[Units]]</f>
        <v>299</v>
      </c>
      <c r="N1838" s="1">
        <f>formatted_data[[#This Row],[Total_Revenue]]-(formatted_data[[#This Row],[Cost_Price]]*formatted_data[[#This Row],[Units]])</f>
        <v>112</v>
      </c>
      <c r="O1838" s="1" t="s">
        <v>21</v>
      </c>
      <c r="P1838"/>
    </row>
    <row r="1839" spans="1:16" x14ac:dyDescent="0.35">
      <c r="A1839" s="1" t="s">
        <v>85</v>
      </c>
      <c r="B1839" s="1" t="s">
        <v>27</v>
      </c>
      <c r="C1839" s="2">
        <v>45513</v>
      </c>
      <c r="D1839" s="1" t="s">
        <v>35</v>
      </c>
      <c r="E1839" s="1" t="s">
        <v>100</v>
      </c>
      <c r="F1839" s="1" t="s">
        <v>37</v>
      </c>
      <c r="G1839" s="1" t="s">
        <v>20</v>
      </c>
      <c r="H1839" s="1">
        <v>1</v>
      </c>
      <c r="I1839" s="1">
        <v>813</v>
      </c>
      <c r="J1839" s="1">
        <v>1199</v>
      </c>
      <c r="K1839" s="1">
        <v>10</v>
      </c>
      <c r="L1839" s="1">
        <f>ROUNDDOWN(formatted_data[[#This Row],[Selling_Price]]*formatted_data[[#This Row],[Discount_%]]/100,0)</f>
        <v>119</v>
      </c>
      <c r="M1839" s="1">
        <f>(formatted_data[[#This Row],[Selling_Price]]-formatted_data[[#This Row],[Discount_Amount]])*formatted_data[[#This Row],[Units]]</f>
        <v>1080</v>
      </c>
      <c r="N1839" s="1">
        <f>formatted_data[[#This Row],[Total_Revenue]]-(formatted_data[[#This Row],[Cost_Price]]*formatted_data[[#This Row],[Units]])</f>
        <v>267</v>
      </c>
      <c r="O1839" s="1" t="s">
        <v>33</v>
      </c>
      <c r="P1839"/>
    </row>
    <row r="1840" spans="1:16" x14ac:dyDescent="0.35">
      <c r="A1840" s="1" t="s">
        <v>69</v>
      </c>
      <c r="B1840" s="1" t="s">
        <v>16</v>
      </c>
      <c r="C1840" s="2">
        <v>45492</v>
      </c>
      <c r="D1840" s="1" t="s">
        <v>28</v>
      </c>
      <c r="E1840" s="1" t="s">
        <v>45</v>
      </c>
      <c r="F1840" s="1" t="s">
        <v>19</v>
      </c>
      <c r="G1840" s="1" t="s">
        <v>19</v>
      </c>
      <c r="H1840" s="1">
        <v>1</v>
      </c>
      <c r="I1840" s="1">
        <v>587</v>
      </c>
      <c r="J1840" s="1">
        <v>999</v>
      </c>
      <c r="K1840" s="1">
        <v>20</v>
      </c>
      <c r="L1840" s="1">
        <f>ROUNDDOWN(formatted_data[[#This Row],[Selling_Price]]*formatted_data[[#This Row],[Discount_%]]/100,0)</f>
        <v>199</v>
      </c>
      <c r="M1840" s="1">
        <f>(formatted_data[[#This Row],[Selling_Price]]-formatted_data[[#This Row],[Discount_Amount]])*formatted_data[[#This Row],[Units]]</f>
        <v>800</v>
      </c>
      <c r="N1840" s="1">
        <f>formatted_data[[#This Row],[Total_Revenue]]-(formatted_data[[#This Row],[Cost_Price]]*formatted_data[[#This Row],[Units]])</f>
        <v>213</v>
      </c>
      <c r="O1840" s="1" t="s">
        <v>21</v>
      </c>
      <c r="P1840"/>
    </row>
    <row r="1841" spans="1:16" x14ac:dyDescent="0.35">
      <c r="A1841" s="1" t="s">
        <v>106</v>
      </c>
      <c r="B1841" s="1" t="s">
        <v>27</v>
      </c>
      <c r="C1841" s="2">
        <v>45573</v>
      </c>
      <c r="D1841" s="1" t="s">
        <v>28</v>
      </c>
      <c r="E1841" s="1" t="s">
        <v>45</v>
      </c>
      <c r="F1841" s="1" t="s">
        <v>37</v>
      </c>
      <c r="G1841" s="1" t="s">
        <v>19</v>
      </c>
      <c r="H1841" s="1">
        <v>1</v>
      </c>
      <c r="I1841" s="1">
        <v>1331</v>
      </c>
      <c r="J1841" s="1">
        <v>1899</v>
      </c>
      <c r="K1841" s="1">
        <v>5</v>
      </c>
      <c r="L1841" s="1">
        <f>ROUNDDOWN(formatted_data[[#This Row],[Selling_Price]]*formatted_data[[#This Row],[Discount_%]]/100,0)</f>
        <v>94</v>
      </c>
      <c r="M1841" s="1">
        <f>(formatted_data[[#This Row],[Selling_Price]]-formatted_data[[#This Row],[Discount_Amount]])*formatted_data[[#This Row],[Units]]</f>
        <v>1805</v>
      </c>
      <c r="N1841" s="1">
        <f>formatted_data[[#This Row],[Total_Revenue]]-(formatted_data[[#This Row],[Cost_Price]]*formatted_data[[#This Row],[Units]])</f>
        <v>474</v>
      </c>
      <c r="O1841" s="1" t="s">
        <v>21</v>
      </c>
      <c r="P1841"/>
    </row>
    <row r="1842" spans="1:16" x14ac:dyDescent="0.35">
      <c r="A1842" s="1" t="s">
        <v>69</v>
      </c>
      <c r="B1842" s="1" t="s">
        <v>16</v>
      </c>
      <c r="C1842" s="2">
        <v>45592</v>
      </c>
      <c r="D1842" s="1" t="s">
        <v>28</v>
      </c>
      <c r="E1842" s="1" t="s">
        <v>45</v>
      </c>
      <c r="F1842" s="1" t="s">
        <v>37</v>
      </c>
      <c r="G1842" s="1" t="s">
        <v>19</v>
      </c>
      <c r="H1842" s="1">
        <v>1</v>
      </c>
      <c r="I1842" s="1">
        <v>1403</v>
      </c>
      <c r="J1842" s="1">
        <v>1999</v>
      </c>
      <c r="K1842" s="1">
        <v>10</v>
      </c>
      <c r="L1842" s="1">
        <f>ROUNDDOWN(formatted_data[[#This Row],[Selling_Price]]*formatted_data[[#This Row],[Discount_%]]/100,0)</f>
        <v>199</v>
      </c>
      <c r="M1842" s="1">
        <f>(formatted_data[[#This Row],[Selling_Price]]-formatted_data[[#This Row],[Discount_Amount]])*formatted_data[[#This Row],[Units]]</f>
        <v>1800</v>
      </c>
      <c r="N1842" s="1">
        <f>formatted_data[[#This Row],[Total_Revenue]]-(formatted_data[[#This Row],[Cost_Price]]*formatted_data[[#This Row],[Units]])</f>
        <v>397</v>
      </c>
      <c r="O1842" s="1" t="s">
        <v>21</v>
      </c>
      <c r="P1842"/>
    </row>
    <row r="1843" spans="1:16" x14ac:dyDescent="0.35">
      <c r="A1843" s="1" t="s">
        <v>38</v>
      </c>
      <c r="B1843" s="1" t="s">
        <v>27</v>
      </c>
      <c r="C1843" s="2">
        <v>45622</v>
      </c>
      <c r="D1843" s="1" t="s">
        <v>35</v>
      </c>
      <c r="E1843" s="1" t="s">
        <v>87</v>
      </c>
      <c r="F1843" s="1" t="s">
        <v>19</v>
      </c>
      <c r="G1843" s="1" t="s">
        <v>19</v>
      </c>
      <c r="H1843" s="1">
        <v>1</v>
      </c>
      <c r="I1843" s="1">
        <v>1843</v>
      </c>
      <c r="J1843" s="1">
        <v>3199</v>
      </c>
      <c r="K1843" s="1">
        <v>20</v>
      </c>
      <c r="L1843" s="1">
        <f>ROUNDDOWN(formatted_data[[#This Row],[Selling_Price]]*formatted_data[[#This Row],[Discount_%]]/100,0)</f>
        <v>639</v>
      </c>
      <c r="M1843" s="1">
        <f>(formatted_data[[#This Row],[Selling_Price]]-formatted_data[[#This Row],[Discount_Amount]])*formatted_data[[#This Row],[Units]]</f>
        <v>2560</v>
      </c>
      <c r="N1843" s="1">
        <f>formatted_data[[#This Row],[Total_Revenue]]-(formatted_data[[#This Row],[Cost_Price]]*formatted_data[[#This Row],[Units]])</f>
        <v>717</v>
      </c>
      <c r="O1843" s="1" t="s">
        <v>21</v>
      </c>
      <c r="P1843"/>
    </row>
    <row r="1844" spans="1:16" x14ac:dyDescent="0.35">
      <c r="A1844" s="1" t="s">
        <v>70</v>
      </c>
      <c r="B1844" s="1" t="s">
        <v>27</v>
      </c>
      <c r="C1844" s="2">
        <v>45582</v>
      </c>
      <c r="D1844" s="1" t="s">
        <v>28</v>
      </c>
      <c r="E1844" s="1" t="s">
        <v>29</v>
      </c>
      <c r="F1844" s="1" t="s">
        <v>25</v>
      </c>
      <c r="G1844" s="1" t="s">
        <v>20</v>
      </c>
      <c r="H1844" s="1">
        <v>1</v>
      </c>
      <c r="I1844" s="1">
        <v>437</v>
      </c>
      <c r="J1844" s="1">
        <v>799</v>
      </c>
      <c r="K1844" s="1">
        <v>20</v>
      </c>
      <c r="L1844" s="1">
        <f>ROUNDDOWN(formatted_data[[#This Row],[Selling_Price]]*formatted_data[[#This Row],[Discount_%]]/100,0)</f>
        <v>159</v>
      </c>
      <c r="M1844" s="1">
        <f>(formatted_data[[#This Row],[Selling_Price]]-formatted_data[[#This Row],[Discount_Amount]])*formatted_data[[#This Row],[Units]]</f>
        <v>640</v>
      </c>
      <c r="N1844" s="1">
        <f>formatted_data[[#This Row],[Total_Revenue]]-(formatted_data[[#This Row],[Cost_Price]]*formatted_data[[#This Row],[Units]])</f>
        <v>203</v>
      </c>
      <c r="O1844" s="1" t="s">
        <v>33</v>
      </c>
      <c r="P1844"/>
    </row>
    <row r="1845" spans="1:16" x14ac:dyDescent="0.35">
      <c r="A1845" s="1" t="s">
        <v>93</v>
      </c>
      <c r="B1845" s="1" t="s">
        <v>16</v>
      </c>
      <c r="C1845" s="2">
        <v>45557</v>
      </c>
      <c r="D1845" s="1" t="s">
        <v>17</v>
      </c>
      <c r="E1845" s="1" t="s">
        <v>55</v>
      </c>
      <c r="F1845" s="1" t="s">
        <v>37</v>
      </c>
      <c r="G1845" s="1" t="s">
        <v>20</v>
      </c>
      <c r="H1845" s="1">
        <v>2</v>
      </c>
      <c r="I1845" s="1">
        <v>289</v>
      </c>
      <c r="J1845" s="1">
        <v>399</v>
      </c>
      <c r="K1845" s="1">
        <v>0</v>
      </c>
      <c r="L1845" s="1">
        <f>ROUNDDOWN(formatted_data[[#This Row],[Selling_Price]]*formatted_data[[#This Row],[Discount_%]]/100,0)</f>
        <v>0</v>
      </c>
      <c r="M1845" s="1">
        <f>(formatted_data[[#This Row],[Selling_Price]]-formatted_data[[#This Row],[Discount_Amount]])*formatted_data[[#This Row],[Units]]</f>
        <v>798</v>
      </c>
      <c r="N1845" s="1">
        <f>formatted_data[[#This Row],[Total_Revenue]]-(formatted_data[[#This Row],[Cost_Price]]*formatted_data[[#This Row],[Units]])</f>
        <v>220</v>
      </c>
      <c r="O1845" s="1" t="s">
        <v>21</v>
      </c>
      <c r="P1845"/>
    </row>
    <row r="1846" spans="1:16" x14ac:dyDescent="0.35">
      <c r="A1846" s="1" t="s">
        <v>44</v>
      </c>
      <c r="B1846" s="1" t="s">
        <v>16</v>
      </c>
      <c r="C1846" s="2">
        <v>45486</v>
      </c>
      <c r="D1846" s="1" t="s">
        <v>35</v>
      </c>
      <c r="E1846" s="1" t="s">
        <v>58</v>
      </c>
      <c r="F1846" s="1" t="s">
        <v>25</v>
      </c>
      <c r="G1846" s="1" t="s">
        <v>20</v>
      </c>
      <c r="H1846" s="1">
        <v>1</v>
      </c>
      <c r="I1846" s="1">
        <v>946</v>
      </c>
      <c r="J1846" s="1">
        <v>1599</v>
      </c>
      <c r="K1846" s="1">
        <v>5</v>
      </c>
      <c r="L1846" s="1">
        <f>ROUNDDOWN(formatted_data[[#This Row],[Selling_Price]]*formatted_data[[#This Row],[Discount_%]]/100,0)</f>
        <v>79</v>
      </c>
      <c r="M1846" s="1">
        <f>(formatted_data[[#This Row],[Selling_Price]]-formatted_data[[#This Row],[Discount_Amount]])*formatted_data[[#This Row],[Units]]</f>
        <v>1520</v>
      </c>
      <c r="N1846" s="1">
        <f>formatted_data[[#This Row],[Total_Revenue]]-(formatted_data[[#This Row],[Cost_Price]]*formatted_data[[#This Row],[Units]])</f>
        <v>574</v>
      </c>
      <c r="O1846" s="1" t="s">
        <v>21</v>
      </c>
      <c r="P1846"/>
    </row>
    <row r="1847" spans="1:16" x14ac:dyDescent="0.35">
      <c r="A1847" s="1" t="s">
        <v>108</v>
      </c>
      <c r="B1847" s="1" t="s">
        <v>27</v>
      </c>
      <c r="C1847" s="2">
        <v>45494</v>
      </c>
      <c r="D1847" s="1" t="s">
        <v>23</v>
      </c>
      <c r="E1847" s="1" t="s">
        <v>43</v>
      </c>
      <c r="F1847" s="1" t="s">
        <v>19</v>
      </c>
      <c r="G1847" s="1" t="s">
        <v>20</v>
      </c>
      <c r="H1847" s="1">
        <v>2</v>
      </c>
      <c r="I1847" s="1">
        <v>1534</v>
      </c>
      <c r="J1847" s="1">
        <v>2199</v>
      </c>
      <c r="K1847" s="1">
        <v>10</v>
      </c>
      <c r="L1847" s="1">
        <f>ROUNDDOWN(formatted_data[[#This Row],[Selling_Price]]*formatted_data[[#This Row],[Discount_%]]/100,0)</f>
        <v>219</v>
      </c>
      <c r="M1847" s="1">
        <f>(formatted_data[[#This Row],[Selling_Price]]-formatted_data[[#This Row],[Discount_Amount]])*formatted_data[[#This Row],[Units]]</f>
        <v>3960</v>
      </c>
      <c r="N1847" s="1">
        <f>formatted_data[[#This Row],[Total_Revenue]]-(formatted_data[[#This Row],[Cost_Price]]*formatted_data[[#This Row],[Units]])</f>
        <v>892</v>
      </c>
      <c r="O1847" s="1" t="s">
        <v>33</v>
      </c>
      <c r="P1847"/>
    </row>
    <row r="1848" spans="1:16" x14ac:dyDescent="0.35">
      <c r="A1848" s="1" t="s">
        <v>30</v>
      </c>
      <c r="B1848" s="1" t="s">
        <v>16</v>
      </c>
      <c r="C1848" s="2">
        <v>45480</v>
      </c>
      <c r="D1848" s="1" t="s">
        <v>23</v>
      </c>
      <c r="E1848" s="1" t="s">
        <v>43</v>
      </c>
      <c r="F1848" s="1" t="s">
        <v>25</v>
      </c>
      <c r="G1848" s="1" t="s">
        <v>20</v>
      </c>
      <c r="H1848" s="1">
        <v>2</v>
      </c>
      <c r="I1848" s="1">
        <v>1933</v>
      </c>
      <c r="J1848" s="1">
        <v>3599</v>
      </c>
      <c r="K1848" s="1">
        <v>15</v>
      </c>
      <c r="L1848" s="1">
        <f>ROUNDDOWN(formatted_data[[#This Row],[Selling_Price]]*formatted_data[[#This Row],[Discount_%]]/100,0)</f>
        <v>539</v>
      </c>
      <c r="M1848" s="1">
        <f>(formatted_data[[#This Row],[Selling_Price]]-formatted_data[[#This Row],[Discount_Amount]])*formatted_data[[#This Row],[Units]]</f>
        <v>6120</v>
      </c>
      <c r="N1848" s="1">
        <f>formatted_data[[#This Row],[Total_Revenue]]-(formatted_data[[#This Row],[Cost_Price]]*formatted_data[[#This Row],[Units]])</f>
        <v>2254</v>
      </c>
      <c r="O1848" s="1" t="s">
        <v>33</v>
      </c>
      <c r="P1848"/>
    </row>
    <row r="1849" spans="1:16" x14ac:dyDescent="0.35">
      <c r="A1849" s="1" t="s">
        <v>38</v>
      </c>
      <c r="B1849" s="1" t="s">
        <v>27</v>
      </c>
      <c r="C1849" s="2">
        <v>45633</v>
      </c>
      <c r="D1849" s="1" t="s">
        <v>17</v>
      </c>
      <c r="E1849" s="1" t="s">
        <v>72</v>
      </c>
      <c r="F1849" s="1" t="s">
        <v>37</v>
      </c>
      <c r="G1849" s="1" t="s">
        <v>19</v>
      </c>
      <c r="H1849" s="1">
        <v>2</v>
      </c>
      <c r="I1849" s="1">
        <v>235</v>
      </c>
      <c r="J1849" s="1">
        <v>399</v>
      </c>
      <c r="K1849" s="1">
        <v>0</v>
      </c>
      <c r="L1849" s="1">
        <f>ROUNDDOWN(formatted_data[[#This Row],[Selling_Price]]*formatted_data[[#This Row],[Discount_%]]/100,0)</f>
        <v>0</v>
      </c>
      <c r="M1849" s="1">
        <f>(formatted_data[[#This Row],[Selling_Price]]-formatted_data[[#This Row],[Discount_Amount]])*formatted_data[[#This Row],[Units]]</f>
        <v>798</v>
      </c>
      <c r="N1849" s="1">
        <f>formatted_data[[#This Row],[Total_Revenue]]-(formatted_data[[#This Row],[Cost_Price]]*formatted_data[[#This Row],[Units]])</f>
        <v>328</v>
      </c>
      <c r="O1849" s="1" t="s">
        <v>21</v>
      </c>
      <c r="P1849"/>
    </row>
    <row r="1850" spans="1:16" x14ac:dyDescent="0.35">
      <c r="A1850" s="1" t="s">
        <v>102</v>
      </c>
      <c r="B1850" s="1" t="s">
        <v>27</v>
      </c>
      <c r="C1850" s="2">
        <v>45618</v>
      </c>
      <c r="D1850" s="1" t="s">
        <v>35</v>
      </c>
      <c r="E1850" s="1" t="s">
        <v>39</v>
      </c>
      <c r="F1850" s="1" t="s">
        <v>19</v>
      </c>
      <c r="G1850" s="1" t="s">
        <v>19</v>
      </c>
      <c r="H1850" s="1">
        <v>1</v>
      </c>
      <c r="I1850" s="1">
        <v>801</v>
      </c>
      <c r="J1850" s="1">
        <v>1199</v>
      </c>
      <c r="K1850" s="1">
        <v>10</v>
      </c>
      <c r="L1850" s="1">
        <f>ROUNDDOWN(formatted_data[[#This Row],[Selling_Price]]*formatted_data[[#This Row],[Discount_%]]/100,0)</f>
        <v>119</v>
      </c>
      <c r="M1850" s="1">
        <f>(formatted_data[[#This Row],[Selling_Price]]-formatted_data[[#This Row],[Discount_Amount]])*formatted_data[[#This Row],[Units]]</f>
        <v>1080</v>
      </c>
      <c r="N1850" s="1">
        <f>formatted_data[[#This Row],[Total_Revenue]]-(formatted_data[[#This Row],[Cost_Price]]*formatted_data[[#This Row],[Units]])</f>
        <v>279</v>
      </c>
      <c r="O1850" s="1" t="s">
        <v>21</v>
      </c>
      <c r="P1850"/>
    </row>
    <row r="1851" spans="1:16" x14ac:dyDescent="0.35">
      <c r="A1851" s="1" t="s">
        <v>47</v>
      </c>
      <c r="B1851" s="1" t="s">
        <v>16</v>
      </c>
      <c r="C1851" s="2">
        <v>45655</v>
      </c>
      <c r="D1851" s="1" t="s">
        <v>28</v>
      </c>
      <c r="E1851" s="1" t="s">
        <v>29</v>
      </c>
      <c r="F1851" s="1" t="s">
        <v>37</v>
      </c>
      <c r="G1851" s="1" t="s">
        <v>20</v>
      </c>
      <c r="H1851" s="1">
        <v>3</v>
      </c>
      <c r="I1851" s="1">
        <v>410</v>
      </c>
      <c r="J1851" s="1">
        <v>799</v>
      </c>
      <c r="K1851" s="1">
        <v>20</v>
      </c>
      <c r="L1851" s="1">
        <f>ROUNDDOWN(formatted_data[[#This Row],[Selling_Price]]*formatted_data[[#This Row],[Discount_%]]/100,0)</f>
        <v>159</v>
      </c>
      <c r="M1851" s="1">
        <f>(formatted_data[[#This Row],[Selling_Price]]-formatted_data[[#This Row],[Discount_Amount]])*formatted_data[[#This Row],[Units]]</f>
        <v>1920</v>
      </c>
      <c r="N1851" s="1">
        <f>formatted_data[[#This Row],[Total_Revenue]]-(formatted_data[[#This Row],[Cost_Price]]*formatted_data[[#This Row],[Units]])</f>
        <v>690</v>
      </c>
      <c r="O1851" s="1" t="s">
        <v>21</v>
      </c>
      <c r="P1851"/>
    </row>
    <row r="1852" spans="1:16" x14ac:dyDescent="0.35">
      <c r="A1852" s="1" t="s">
        <v>102</v>
      </c>
      <c r="B1852" s="1" t="s">
        <v>27</v>
      </c>
      <c r="C1852" s="2">
        <v>45614</v>
      </c>
      <c r="D1852" s="1" t="s">
        <v>28</v>
      </c>
      <c r="E1852" s="1" t="s">
        <v>29</v>
      </c>
      <c r="F1852" s="1" t="s">
        <v>25</v>
      </c>
      <c r="G1852" s="1" t="s">
        <v>20</v>
      </c>
      <c r="H1852" s="1">
        <v>1</v>
      </c>
      <c r="I1852" s="1">
        <v>302</v>
      </c>
      <c r="J1852" s="1">
        <v>499</v>
      </c>
      <c r="K1852" s="1">
        <v>5</v>
      </c>
      <c r="L1852" s="1">
        <f>ROUNDDOWN(formatted_data[[#This Row],[Selling_Price]]*formatted_data[[#This Row],[Discount_%]]/100,0)</f>
        <v>24</v>
      </c>
      <c r="M1852" s="1">
        <f>(formatted_data[[#This Row],[Selling_Price]]-formatted_data[[#This Row],[Discount_Amount]])*formatted_data[[#This Row],[Units]]</f>
        <v>475</v>
      </c>
      <c r="N1852" s="1">
        <f>formatted_data[[#This Row],[Total_Revenue]]-(formatted_data[[#This Row],[Cost_Price]]*formatted_data[[#This Row],[Units]])</f>
        <v>173</v>
      </c>
      <c r="O1852" s="1" t="s">
        <v>21</v>
      </c>
      <c r="P1852"/>
    </row>
    <row r="1853" spans="1:16" x14ac:dyDescent="0.35">
      <c r="A1853" s="1" t="s">
        <v>95</v>
      </c>
      <c r="B1853" s="1" t="s">
        <v>27</v>
      </c>
      <c r="C1853" s="2">
        <v>45646</v>
      </c>
      <c r="D1853" s="1" t="s">
        <v>35</v>
      </c>
      <c r="E1853" s="1" t="s">
        <v>41</v>
      </c>
      <c r="F1853" s="1" t="s">
        <v>37</v>
      </c>
      <c r="G1853" s="1" t="s">
        <v>19</v>
      </c>
      <c r="H1853" s="1">
        <v>5</v>
      </c>
      <c r="I1853" s="1">
        <v>596</v>
      </c>
      <c r="J1853" s="1">
        <v>899</v>
      </c>
      <c r="K1853" s="1">
        <v>10</v>
      </c>
      <c r="L1853" s="1">
        <f>ROUNDDOWN(formatted_data[[#This Row],[Selling_Price]]*formatted_data[[#This Row],[Discount_%]]/100,0)</f>
        <v>89</v>
      </c>
      <c r="M1853" s="1">
        <f>(formatted_data[[#This Row],[Selling_Price]]-formatted_data[[#This Row],[Discount_Amount]])*formatted_data[[#This Row],[Units]]</f>
        <v>4050</v>
      </c>
      <c r="N1853" s="1">
        <f>formatted_data[[#This Row],[Total_Revenue]]-(formatted_data[[#This Row],[Cost_Price]]*formatted_data[[#This Row],[Units]])</f>
        <v>1070</v>
      </c>
      <c r="O1853" s="1" t="s">
        <v>21</v>
      </c>
      <c r="P1853"/>
    </row>
    <row r="1854" spans="1:16" x14ac:dyDescent="0.35">
      <c r="A1854" s="1" t="s">
        <v>92</v>
      </c>
      <c r="B1854" s="1" t="s">
        <v>27</v>
      </c>
      <c r="C1854" s="2">
        <v>45480</v>
      </c>
      <c r="D1854" s="1" t="s">
        <v>23</v>
      </c>
      <c r="E1854" s="1" t="s">
        <v>43</v>
      </c>
      <c r="F1854" s="1" t="s">
        <v>19</v>
      </c>
      <c r="G1854" s="1" t="s">
        <v>19</v>
      </c>
      <c r="H1854" s="1">
        <v>5</v>
      </c>
      <c r="I1854" s="1">
        <v>3077</v>
      </c>
      <c r="J1854" s="1">
        <v>4799</v>
      </c>
      <c r="K1854" s="1">
        <v>15</v>
      </c>
      <c r="L1854" s="1">
        <f>ROUNDDOWN(formatted_data[[#This Row],[Selling_Price]]*formatted_data[[#This Row],[Discount_%]]/100,0)</f>
        <v>719</v>
      </c>
      <c r="M1854" s="1">
        <f>(formatted_data[[#This Row],[Selling_Price]]-formatted_data[[#This Row],[Discount_Amount]])*formatted_data[[#This Row],[Units]]</f>
        <v>20400</v>
      </c>
      <c r="N1854" s="1">
        <f>formatted_data[[#This Row],[Total_Revenue]]-(formatted_data[[#This Row],[Cost_Price]]*formatted_data[[#This Row],[Units]])</f>
        <v>5015</v>
      </c>
      <c r="O1854" s="1" t="s">
        <v>21</v>
      </c>
      <c r="P1854"/>
    </row>
    <row r="1855" spans="1:16" x14ac:dyDescent="0.35">
      <c r="A1855" s="1" t="s">
        <v>51</v>
      </c>
      <c r="B1855" s="1" t="s">
        <v>16</v>
      </c>
      <c r="C1855" s="2">
        <v>45608</v>
      </c>
      <c r="D1855" s="1" t="s">
        <v>17</v>
      </c>
      <c r="E1855" s="1" t="s">
        <v>18</v>
      </c>
      <c r="F1855" s="1" t="s">
        <v>19</v>
      </c>
      <c r="G1855" s="1" t="s">
        <v>20</v>
      </c>
      <c r="H1855" s="1">
        <v>2</v>
      </c>
      <c r="I1855" s="1">
        <v>363</v>
      </c>
      <c r="J1855" s="1">
        <v>499</v>
      </c>
      <c r="K1855" s="1">
        <v>0</v>
      </c>
      <c r="L1855" s="1">
        <f>ROUNDDOWN(formatted_data[[#This Row],[Selling_Price]]*formatted_data[[#This Row],[Discount_%]]/100,0)</f>
        <v>0</v>
      </c>
      <c r="M1855" s="1">
        <f>(formatted_data[[#This Row],[Selling_Price]]-formatted_data[[#This Row],[Discount_Amount]])*formatted_data[[#This Row],[Units]]</f>
        <v>998</v>
      </c>
      <c r="N1855" s="1">
        <f>formatted_data[[#This Row],[Total_Revenue]]-(formatted_data[[#This Row],[Cost_Price]]*formatted_data[[#This Row],[Units]])</f>
        <v>272</v>
      </c>
      <c r="O1855" s="1" t="s">
        <v>21</v>
      </c>
      <c r="P1855"/>
    </row>
    <row r="1856" spans="1:16" x14ac:dyDescent="0.35">
      <c r="A1856" s="1" t="s">
        <v>57</v>
      </c>
      <c r="B1856" s="1" t="s">
        <v>27</v>
      </c>
      <c r="C1856" s="2">
        <v>45555</v>
      </c>
      <c r="D1856" s="1" t="s">
        <v>35</v>
      </c>
      <c r="E1856" s="1" t="s">
        <v>36</v>
      </c>
      <c r="F1856" s="1" t="s">
        <v>37</v>
      </c>
      <c r="G1856" s="1" t="s">
        <v>19</v>
      </c>
      <c r="H1856" s="1">
        <v>2</v>
      </c>
      <c r="I1856" s="1">
        <v>322</v>
      </c>
      <c r="J1856" s="1">
        <v>499</v>
      </c>
      <c r="K1856" s="1">
        <v>5</v>
      </c>
      <c r="L1856" s="1">
        <f>ROUNDDOWN(formatted_data[[#This Row],[Selling_Price]]*formatted_data[[#This Row],[Discount_%]]/100,0)</f>
        <v>24</v>
      </c>
      <c r="M1856" s="1">
        <f>(formatted_data[[#This Row],[Selling_Price]]-formatted_data[[#This Row],[Discount_Amount]])*formatted_data[[#This Row],[Units]]</f>
        <v>950</v>
      </c>
      <c r="N1856" s="1">
        <f>formatted_data[[#This Row],[Total_Revenue]]-(formatted_data[[#This Row],[Cost_Price]]*formatted_data[[#This Row],[Units]])</f>
        <v>306</v>
      </c>
      <c r="O1856" s="1" t="s">
        <v>21</v>
      </c>
      <c r="P1856"/>
    </row>
    <row r="1857" spans="1:16" x14ac:dyDescent="0.35">
      <c r="A1857" s="1" t="s">
        <v>99</v>
      </c>
      <c r="B1857" s="1" t="s">
        <v>27</v>
      </c>
      <c r="C1857" s="2">
        <v>45652</v>
      </c>
      <c r="D1857" s="1" t="s">
        <v>35</v>
      </c>
      <c r="E1857" s="1" t="s">
        <v>100</v>
      </c>
      <c r="F1857" s="1" t="s">
        <v>25</v>
      </c>
      <c r="G1857" s="1" t="s">
        <v>20</v>
      </c>
      <c r="H1857" s="1">
        <v>1</v>
      </c>
      <c r="I1857" s="1">
        <v>739</v>
      </c>
      <c r="J1857" s="1">
        <v>1199</v>
      </c>
      <c r="K1857" s="1">
        <v>10</v>
      </c>
      <c r="L1857" s="1">
        <f>ROUNDDOWN(formatted_data[[#This Row],[Selling_Price]]*formatted_data[[#This Row],[Discount_%]]/100,0)</f>
        <v>119</v>
      </c>
      <c r="M1857" s="1">
        <f>(formatted_data[[#This Row],[Selling_Price]]-formatted_data[[#This Row],[Discount_Amount]])*formatted_data[[#This Row],[Units]]</f>
        <v>1080</v>
      </c>
      <c r="N1857" s="1">
        <f>formatted_data[[#This Row],[Total_Revenue]]-(formatted_data[[#This Row],[Cost_Price]]*formatted_data[[#This Row],[Units]])</f>
        <v>341</v>
      </c>
      <c r="O1857" s="1" t="s">
        <v>21</v>
      </c>
      <c r="P1857"/>
    </row>
    <row r="1858" spans="1:16" x14ac:dyDescent="0.35">
      <c r="A1858" s="1" t="s">
        <v>56</v>
      </c>
      <c r="B1858" s="1" t="s">
        <v>27</v>
      </c>
      <c r="C1858" s="2">
        <v>45605</v>
      </c>
      <c r="D1858" s="1" t="s">
        <v>31</v>
      </c>
      <c r="E1858" s="1" t="s">
        <v>76</v>
      </c>
      <c r="F1858" s="1" t="s">
        <v>19</v>
      </c>
      <c r="G1858" s="1" t="s">
        <v>20</v>
      </c>
      <c r="H1858" s="1">
        <v>4</v>
      </c>
      <c r="I1858" s="1">
        <v>507</v>
      </c>
      <c r="J1858" s="1">
        <v>699</v>
      </c>
      <c r="K1858" s="1">
        <v>0</v>
      </c>
      <c r="L1858" s="1">
        <f>ROUNDDOWN(formatted_data[[#This Row],[Selling_Price]]*formatted_data[[#This Row],[Discount_%]]/100,0)</f>
        <v>0</v>
      </c>
      <c r="M1858" s="1">
        <f>(formatted_data[[#This Row],[Selling_Price]]-formatted_data[[#This Row],[Discount_Amount]])*formatted_data[[#This Row],[Units]]</f>
        <v>2796</v>
      </c>
      <c r="N1858" s="1">
        <f>formatted_data[[#This Row],[Total_Revenue]]-(formatted_data[[#This Row],[Cost_Price]]*formatted_data[[#This Row],[Units]])</f>
        <v>768</v>
      </c>
      <c r="O1858" s="1" t="s">
        <v>21</v>
      </c>
      <c r="P1858"/>
    </row>
    <row r="1859" spans="1:16" x14ac:dyDescent="0.35">
      <c r="A1859" s="1" t="s">
        <v>107</v>
      </c>
      <c r="B1859" s="1" t="s">
        <v>27</v>
      </c>
      <c r="C1859" s="2">
        <v>45635</v>
      </c>
      <c r="D1859" s="1" t="s">
        <v>28</v>
      </c>
      <c r="E1859" s="1" t="s">
        <v>29</v>
      </c>
      <c r="F1859" s="1" t="s">
        <v>25</v>
      </c>
      <c r="G1859" s="1" t="s">
        <v>19</v>
      </c>
      <c r="H1859" s="1">
        <v>1</v>
      </c>
      <c r="I1859" s="1">
        <v>387</v>
      </c>
      <c r="J1859" s="1">
        <v>599</v>
      </c>
      <c r="K1859" s="1">
        <v>5</v>
      </c>
      <c r="L1859" s="1">
        <f>ROUNDDOWN(formatted_data[[#This Row],[Selling_Price]]*formatted_data[[#This Row],[Discount_%]]/100,0)</f>
        <v>29</v>
      </c>
      <c r="M1859" s="1">
        <f>(formatted_data[[#This Row],[Selling_Price]]-formatted_data[[#This Row],[Discount_Amount]])*formatted_data[[#This Row],[Units]]</f>
        <v>570</v>
      </c>
      <c r="N1859" s="1">
        <f>formatted_data[[#This Row],[Total_Revenue]]-(formatted_data[[#This Row],[Cost_Price]]*formatted_data[[#This Row],[Units]])</f>
        <v>183</v>
      </c>
      <c r="O1859" s="1" t="s">
        <v>33</v>
      </c>
      <c r="P1859"/>
    </row>
    <row r="1860" spans="1:16" x14ac:dyDescent="0.35">
      <c r="A1860" s="1" t="s">
        <v>44</v>
      </c>
      <c r="B1860" s="1" t="s">
        <v>16</v>
      </c>
      <c r="C1860" s="2">
        <v>45488</v>
      </c>
      <c r="D1860" s="1" t="s">
        <v>35</v>
      </c>
      <c r="E1860" s="1" t="s">
        <v>100</v>
      </c>
      <c r="F1860" s="1" t="s">
        <v>25</v>
      </c>
      <c r="G1860" s="1" t="s">
        <v>19</v>
      </c>
      <c r="H1860" s="1">
        <v>3</v>
      </c>
      <c r="I1860" s="1">
        <v>1215</v>
      </c>
      <c r="J1860" s="1">
        <v>2299</v>
      </c>
      <c r="K1860" s="1">
        <v>10</v>
      </c>
      <c r="L1860" s="1">
        <f>ROUNDDOWN(formatted_data[[#This Row],[Selling_Price]]*formatted_data[[#This Row],[Discount_%]]/100,0)</f>
        <v>229</v>
      </c>
      <c r="M1860" s="1">
        <f>(formatted_data[[#This Row],[Selling_Price]]-formatted_data[[#This Row],[Discount_Amount]])*formatted_data[[#This Row],[Units]]</f>
        <v>6210</v>
      </c>
      <c r="N1860" s="1">
        <f>formatted_data[[#This Row],[Total_Revenue]]-(formatted_data[[#This Row],[Cost_Price]]*formatted_data[[#This Row],[Units]])</f>
        <v>2565</v>
      </c>
      <c r="O1860" s="1" t="s">
        <v>21</v>
      </c>
      <c r="P1860"/>
    </row>
    <row r="1861" spans="1:16" x14ac:dyDescent="0.35">
      <c r="A1861" s="1" t="s">
        <v>66</v>
      </c>
      <c r="B1861" s="1" t="s">
        <v>27</v>
      </c>
      <c r="C1861" s="2">
        <v>45470</v>
      </c>
      <c r="D1861" s="1" t="s">
        <v>17</v>
      </c>
      <c r="E1861" s="1" t="s">
        <v>18</v>
      </c>
      <c r="F1861" s="1" t="s">
        <v>25</v>
      </c>
      <c r="G1861" s="1" t="s">
        <v>20</v>
      </c>
      <c r="H1861" s="1">
        <v>1</v>
      </c>
      <c r="I1861" s="1">
        <v>346</v>
      </c>
      <c r="J1861" s="1">
        <v>499</v>
      </c>
      <c r="K1861" s="1">
        <v>0</v>
      </c>
      <c r="L1861" s="1">
        <f>ROUNDDOWN(formatted_data[[#This Row],[Selling_Price]]*formatted_data[[#This Row],[Discount_%]]/100,0)</f>
        <v>0</v>
      </c>
      <c r="M1861" s="1">
        <f>(formatted_data[[#This Row],[Selling_Price]]-formatted_data[[#This Row],[Discount_Amount]])*formatted_data[[#This Row],[Units]]</f>
        <v>499</v>
      </c>
      <c r="N1861" s="1">
        <f>formatted_data[[#This Row],[Total_Revenue]]-(formatted_data[[#This Row],[Cost_Price]]*formatted_data[[#This Row],[Units]])</f>
        <v>153</v>
      </c>
      <c r="O1861" s="1" t="s">
        <v>21</v>
      </c>
      <c r="P1861"/>
    </row>
    <row r="1862" spans="1:16" x14ac:dyDescent="0.35">
      <c r="A1862" s="1" t="s">
        <v>65</v>
      </c>
      <c r="B1862" s="1" t="s">
        <v>16</v>
      </c>
      <c r="C1862" s="2">
        <v>45612</v>
      </c>
      <c r="D1862" s="1" t="s">
        <v>23</v>
      </c>
      <c r="E1862" s="1" t="s">
        <v>43</v>
      </c>
      <c r="F1862" s="1" t="s">
        <v>19</v>
      </c>
      <c r="G1862" s="1" t="s">
        <v>19</v>
      </c>
      <c r="H1862" s="1">
        <v>1</v>
      </c>
      <c r="I1862" s="1">
        <v>3096</v>
      </c>
      <c r="J1862" s="1">
        <v>4799</v>
      </c>
      <c r="K1862" s="1">
        <v>15</v>
      </c>
      <c r="L1862" s="1">
        <f>ROUNDDOWN(formatted_data[[#This Row],[Selling_Price]]*formatted_data[[#This Row],[Discount_%]]/100,0)</f>
        <v>719</v>
      </c>
      <c r="M1862" s="1">
        <f>(formatted_data[[#This Row],[Selling_Price]]-formatted_data[[#This Row],[Discount_Amount]])*formatted_data[[#This Row],[Units]]</f>
        <v>4080</v>
      </c>
      <c r="N1862" s="1">
        <f>formatted_data[[#This Row],[Total_Revenue]]-(formatted_data[[#This Row],[Cost_Price]]*formatted_data[[#This Row],[Units]])</f>
        <v>984</v>
      </c>
      <c r="O1862" s="1" t="s">
        <v>21</v>
      </c>
      <c r="P1862"/>
    </row>
    <row r="1863" spans="1:16" x14ac:dyDescent="0.35">
      <c r="A1863" s="1" t="s">
        <v>74</v>
      </c>
      <c r="B1863" s="1" t="s">
        <v>16</v>
      </c>
      <c r="C1863" s="2">
        <v>45534</v>
      </c>
      <c r="D1863" s="1" t="s">
        <v>35</v>
      </c>
      <c r="E1863" s="1" t="s">
        <v>39</v>
      </c>
      <c r="F1863" s="1" t="s">
        <v>37</v>
      </c>
      <c r="G1863" s="1" t="s">
        <v>20</v>
      </c>
      <c r="H1863" s="1">
        <v>1</v>
      </c>
      <c r="I1863" s="1">
        <v>761</v>
      </c>
      <c r="J1863" s="1">
        <v>1299</v>
      </c>
      <c r="K1863" s="1">
        <v>20</v>
      </c>
      <c r="L1863" s="1">
        <f>ROUNDDOWN(formatted_data[[#This Row],[Selling_Price]]*formatted_data[[#This Row],[Discount_%]]/100,0)</f>
        <v>259</v>
      </c>
      <c r="M1863" s="1">
        <f>(formatted_data[[#This Row],[Selling_Price]]-formatted_data[[#This Row],[Discount_Amount]])*formatted_data[[#This Row],[Units]]</f>
        <v>1040</v>
      </c>
      <c r="N1863" s="1">
        <f>formatted_data[[#This Row],[Total_Revenue]]-(formatted_data[[#This Row],[Cost_Price]]*formatted_data[[#This Row],[Units]])</f>
        <v>279</v>
      </c>
      <c r="O1863" s="1" t="s">
        <v>33</v>
      </c>
      <c r="P1863"/>
    </row>
    <row r="1864" spans="1:16" x14ac:dyDescent="0.35">
      <c r="A1864" s="1" t="s">
        <v>92</v>
      </c>
      <c r="B1864" s="1" t="s">
        <v>27</v>
      </c>
      <c r="C1864" s="2">
        <v>45556</v>
      </c>
      <c r="D1864" s="1" t="s">
        <v>17</v>
      </c>
      <c r="E1864" s="1" t="s">
        <v>18</v>
      </c>
      <c r="F1864" s="1" t="s">
        <v>37</v>
      </c>
      <c r="G1864" s="1" t="s">
        <v>19</v>
      </c>
      <c r="H1864" s="1">
        <v>1</v>
      </c>
      <c r="I1864" s="1">
        <v>234</v>
      </c>
      <c r="J1864" s="1">
        <v>399</v>
      </c>
      <c r="K1864" s="1">
        <v>0</v>
      </c>
      <c r="L1864" s="1">
        <f>ROUNDDOWN(formatted_data[[#This Row],[Selling_Price]]*formatted_data[[#This Row],[Discount_%]]/100,0)</f>
        <v>0</v>
      </c>
      <c r="M1864" s="1">
        <f>(formatted_data[[#This Row],[Selling_Price]]-formatted_data[[#This Row],[Discount_Amount]])*formatted_data[[#This Row],[Units]]</f>
        <v>399</v>
      </c>
      <c r="N1864" s="1">
        <f>formatted_data[[#This Row],[Total_Revenue]]-(formatted_data[[#This Row],[Cost_Price]]*formatted_data[[#This Row],[Units]])</f>
        <v>165</v>
      </c>
      <c r="O1864" s="1" t="s">
        <v>21</v>
      </c>
      <c r="P1864"/>
    </row>
    <row r="1865" spans="1:16" x14ac:dyDescent="0.35">
      <c r="A1865" s="1" t="s">
        <v>103</v>
      </c>
      <c r="B1865" s="1" t="s">
        <v>16</v>
      </c>
      <c r="C1865" s="2">
        <v>45451</v>
      </c>
      <c r="D1865" s="1" t="s">
        <v>28</v>
      </c>
      <c r="E1865" s="1" t="s">
        <v>29</v>
      </c>
      <c r="F1865" s="1" t="s">
        <v>19</v>
      </c>
      <c r="G1865" s="1" t="s">
        <v>20</v>
      </c>
      <c r="H1865" s="1">
        <v>3</v>
      </c>
      <c r="I1865" s="1">
        <v>495</v>
      </c>
      <c r="J1865" s="1">
        <v>699</v>
      </c>
      <c r="K1865" s="1">
        <v>20</v>
      </c>
      <c r="L1865" s="1">
        <f>ROUNDDOWN(formatted_data[[#This Row],[Selling_Price]]*formatted_data[[#This Row],[Discount_%]]/100,0)</f>
        <v>139</v>
      </c>
      <c r="M1865" s="1">
        <f>(formatted_data[[#This Row],[Selling_Price]]-formatted_data[[#This Row],[Discount_Amount]])*formatted_data[[#This Row],[Units]]</f>
        <v>1680</v>
      </c>
      <c r="N1865" s="1">
        <f>formatted_data[[#This Row],[Total_Revenue]]-(formatted_data[[#This Row],[Cost_Price]]*formatted_data[[#This Row],[Units]])</f>
        <v>195</v>
      </c>
      <c r="O1865" s="1" t="s">
        <v>33</v>
      </c>
      <c r="P1865"/>
    </row>
    <row r="1866" spans="1:16" x14ac:dyDescent="0.35">
      <c r="A1866" s="1" t="s">
        <v>64</v>
      </c>
      <c r="B1866" s="1" t="s">
        <v>16</v>
      </c>
      <c r="C1866" s="2">
        <v>45650</v>
      </c>
      <c r="D1866" s="1" t="s">
        <v>28</v>
      </c>
      <c r="E1866" s="1" t="s">
        <v>29</v>
      </c>
      <c r="F1866" s="1" t="s">
        <v>19</v>
      </c>
      <c r="G1866" s="1" t="s">
        <v>19</v>
      </c>
      <c r="H1866" s="1">
        <v>2</v>
      </c>
      <c r="I1866" s="1">
        <v>419</v>
      </c>
      <c r="J1866" s="1">
        <v>699</v>
      </c>
      <c r="K1866" s="1">
        <v>20</v>
      </c>
      <c r="L1866" s="1">
        <f>ROUNDDOWN(formatted_data[[#This Row],[Selling_Price]]*formatted_data[[#This Row],[Discount_%]]/100,0)</f>
        <v>139</v>
      </c>
      <c r="M1866" s="1">
        <f>(formatted_data[[#This Row],[Selling_Price]]-formatted_data[[#This Row],[Discount_Amount]])*formatted_data[[#This Row],[Units]]</f>
        <v>1120</v>
      </c>
      <c r="N1866" s="1">
        <f>formatted_data[[#This Row],[Total_Revenue]]-(formatted_data[[#This Row],[Cost_Price]]*formatted_data[[#This Row],[Units]])</f>
        <v>282</v>
      </c>
      <c r="O1866" s="1" t="s">
        <v>21</v>
      </c>
      <c r="P1866"/>
    </row>
    <row r="1867" spans="1:16" x14ac:dyDescent="0.35">
      <c r="A1867" s="1" t="s">
        <v>109</v>
      </c>
      <c r="B1867" s="1" t="s">
        <v>16</v>
      </c>
      <c r="C1867" s="2">
        <v>45446</v>
      </c>
      <c r="D1867" s="1" t="s">
        <v>28</v>
      </c>
      <c r="E1867" s="1" t="s">
        <v>45</v>
      </c>
      <c r="F1867" s="1" t="s">
        <v>37</v>
      </c>
      <c r="G1867" s="1" t="s">
        <v>20</v>
      </c>
      <c r="H1867" s="1">
        <v>1</v>
      </c>
      <c r="I1867" s="1">
        <v>589</v>
      </c>
      <c r="J1867" s="1">
        <v>1099</v>
      </c>
      <c r="K1867" s="1">
        <v>5</v>
      </c>
      <c r="L1867" s="1">
        <f>ROUNDDOWN(formatted_data[[#This Row],[Selling_Price]]*formatted_data[[#This Row],[Discount_%]]/100,0)</f>
        <v>54</v>
      </c>
      <c r="M1867" s="1">
        <f>(formatted_data[[#This Row],[Selling_Price]]-formatted_data[[#This Row],[Discount_Amount]])*formatted_data[[#This Row],[Units]]</f>
        <v>1045</v>
      </c>
      <c r="N1867" s="1">
        <f>formatted_data[[#This Row],[Total_Revenue]]-(formatted_data[[#This Row],[Cost_Price]]*formatted_data[[#This Row],[Units]])</f>
        <v>456</v>
      </c>
      <c r="O1867" s="1" t="s">
        <v>33</v>
      </c>
      <c r="P1867"/>
    </row>
    <row r="1868" spans="1:16" x14ac:dyDescent="0.35">
      <c r="A1868" s="1" t="s">
        <v>47</v>
      </c>
      <c r="B1868" s="1" t="s">
        <v>16</v>
      </c>
      <c r="C1868" s="2">
        <v>45535</v>
      </c>
      <c r="D1868" s="1" t="s">
        <v>28</v>
      </c>
      <c r="E1868" s="1" t="s">
        <v>45</v>
      </c>
      <c r="F1868" s="1" t="s">
        <v>25</v>
      </c>
      <c r="G1868" s="1" t="s">
        <v>20</v>
      </c>
      <c r="H1868" s="1">
        <v>4</v>
      </c>
      <c r="I1868" s="1">
        <v>1561</v>
      </c>
      <c r="J1868" s="1">
        <v>2299</v>
      </c>
      <c r="K1868" s="1">
        <v>20</v>
      </c>
      <c r="L1868" s="1">
        <f>ROUNDDOWN(formatted_data[[#This Row],[Selling_Price]]*formatted_data[[#This Row],[Discount_%]]/100,0)</f>
        <v>459</v>
      </c>
      <c r="M1868" s="1">
        <f>(formatted_data[[#This Row],[Selling_Price]]-formatted_data[[#This Row],[Discount_Amount]])*formatted_data[[#This Row],[Units]]</f>
        <v>7360</v>
      </c>
      <c r="N1868" s="1">
        <f>formatted_data[[#This Row],[Total_Revenue]]-(formatted_data[[#This Row],[Cost_Price]]*formatted_data[[#This Row],[Units]])</f>
        <v>1116</v>
      </c>
      <c r="O1868" s="1" t="s">
        <v>21</v>
      </c>
      <c r="P1868"/>
    </row>
    <row r="1869" spans="1:16" x14ac:dyDescent="0.35">
      <c r="A1869" s="1" t="s">
        <v>71</v>
      </c>
      <c r="B1869" s="1" t="s">
        <v>16</v>
      </c>
      <c r="C1869" s="2">
        <v>45555</v>
      </c>
      <c r="D1869" s="1" t="s">
        <v>35</v>
      </c>
      <c r="E1869" s="1" t="s">
        <v>36</v>
      </c>
      <c r="F1869" s="1" t="s">
        <v>37</v>
      </c>
      <c r="G1869" s="1" t="s">
        <v>19</v>
      </c>
      <c r="H1869" s="1">
        <v>3</v>
      </c>
      <c r="I1869" s="1">
        <v>367</v>
      </c>
      <c r="J1869" s="1">
        <v>499</v>
      </c>
      <c r="K1869" s="1">
        <v>10</v>
      </c>
      <c r="L1869" s="1">
        <f>ROUNDDOWN(formatted_data[[#This Row],[Selling_Price]]*formatted_data[[#This Row],[Discount_%]]/100,0)</f>
        <v>49</v>
      </c>
      <c r="M1869" s="1">
        <f>(formatted_data[[#This Row],[Selling_Price]]-formatted_data[[#This Row],[Discount_Amount]])*formatted_data[[#This Row],[Units]]</f>
        <v>1350</v>
      </c>
      <c r="N1869" s="1">
        <f>formatted_data[[#This Row],[Total_Revenue]]-(formatted_data[[#This Row],[Cost_Price]]*formatted_data[[#This Row],[Units]])</f>
        <v>249</v>
      </c>
      <c r="O1869" s="1" t="s">
        <v>21</v>
      </c>
      <c r="P1869"/>
    </row>
    <row r="1870" spans="1:16" x14ac:dyDescent="0.35">
      <c r="A1870" s="1" t="s">
        <v>108</v>
      </c>
      <c r="B1870" s="1" t="s">
        <v>27</v>
      </c>
      <c r="C1870" s="2">
        <v>45538</v>
      </c>
      <c r="D1870" s="1" t="s">
        <v>28</v>
      </c>
      <c r="E1870" s="1" t="s">
        <v>45</v>
      </c>
      <c r="F1870" s="1" t="s">
        <v>25</v>
      </c>
      <c r="G1870" s="1" t="s">
        <v>20</v>
      </c>
      <c r="H1870" s="1">
        <v>1</v>
      </c>
      <c r="I1870" s="1">
        <v>1106</v>
      </c>
      <c r="J1870" s="1">
        <v>1899</v>
      </c>
      <c r="K1870" s="1">
        <v>5</v>
      </c>
      <c r="L1870" s="1">
        <f>ROUNDDOWN(formatted_data[[#This Row],[Selling_Price]]*formatted_data[[#This Row],[Discount_%]]/100,0)</f>
        <v>94</v>
      </c>
      <c r="M1870" s="1">
        <f>(formatted_data[[#This Row],[Selling_Price]]-formatted_data[[#This Row],[Discount_Amount]])*formatted_data[[#This Row],[Units]]</f>
        <v>1805</v>
      </c>
      <c r="N1870" s="1">
        <f>formatted_data[[#This Row],[Total_Revenue]]-(formatted_data[[#This Row],[Cost_Price]]*formatted_data[[#This Row],[Units]])</f>
        <v>699</v>
      </c>
      <c r="O1870" s="1" t="s">
        <v>21</v>
      </c>
      <c r="P1870"/>
    </row>
    <row r="1871" spans="1:16" x14ac:dyDescent="0.35">
      <c r="A1871" s="1" t="s">
        <v>65</v>
      </c>
      <c r="B1871" s="1" t="s">
        <v>16</v>
      </c>
      <c r="C1871" s="2">
        <v>45476</v>
      </c>
      <c r="D1871" s="1" t="s">
        <v>23</v>
      </c>
      <c r="E1871" s="1" t="s">
        <v>43</v>
      </c>
      <c r="F1871" s="1" t="s">
        <v>25</v>
      </c>
      <c r="G1871" s="1" t="s">
        <v>19</v>
      </c>
      <c r="H1871" s="1">
        <v>1</v>
      </c>
      <c r="I1871" s="1">
        <v>1725</v>
      </c>
      <c r="J1871" s="1">
        <v>2499</v>
      </c>
      <c r="K1871" s="1">
        <v>10</v>
      </c>
      <c r="L1871" s="1">
        <f>ROUNDDOWN(formatted_data[[#This Row],[Selling_Price]]*formatted_data[[#This Row],[Discount_%]]/100,0)</f>
        <v>249</v>
      </c>
      <c r="M1871" s="1">
        <f>(formatted_data[[#This Row],[Selling_Price]]-formatted_data[[#This Row],[Discount_Amount]])*formatted_data[[#This Row],[Units]]</f>
        <v>2250</v>
      </c>
      <c r="N1871" s="1">
        <f>formatted_data[[#This Row],[Total_Revenue]]-(formatted_data[[#This Row],[Cost_Price]]*formatted_data[[#This Row],[Units]])</f>
        <v>525</v>
      </c>
      <c r="O1871" s="1" t="s">
        <v>33</v>
      </c>
      <c r="P1871"/>
    </row>
    <row r="1872" spans="1:16" x14ac:dyDescent="0.35">
      <c r="A1872" s="1" t="s">
        <v>80</v>
      </c>
      <c r="B1872" s="1" t="s">
        <v>27</v>
      </c>
      <c r="C1872" s="2">
        <v>45512</v>
      </c>
      <c r="D1872" s="1" t="s">
        <v>35</v>
      </c>
      <c r="E1872" s="1" t="s">
        <v>58</v>
      </c>
      <c r="F1872" s="1" t="s">
        <v>37</v>
      </c>
      <c r="G1872" s="1" t="s">
        <v>19</v>
      </c>
      <c r="H1872" s="1">
        <v>5</v>
      </c>
      <c r="I1872" s="1">
        <v>1222</v>
      </c>
      <c r="J1872" s="1">
        <v>2199</v>
      </c>
      <c r="K1872" s="1">
        <v>5</v>
      </c>
      <c r="L1872" s="1">
        <f>ROUNDDOWN(formatted_data[[#This Row],[Selling_Price]]*formatted_data[[#This Row],[Discount_%]]/100,0)</f>
        <v>109</v>
      </c>
      <c r="M1872" s="1">
        <f>(formatted_data[[#This Row],[Selling_Price]]-formatted_data[[#This Row],[Discount_Amount]])*formatted_data[[#This Row],[Units]]</f>
        <v>10450</v>
      </c>
      <c r="N1872" s="1">
        <f>formatted_data[[#This Row],[Total_Revenue]]-(formatted_data[[#This Row],[Cost_Price]]*formatted_data[[#This Row],[Units]])</f>
        <v>4340</v>
      </c>
      <c r="O1872" s="1" t="s">
        <v>33</v>
      </c>
      <c r="P1872"/>
    </row>
    <row r="1873" spans="1:16" x14ac:dyDescent="0.35">
      <c r="A1873" s="1" t="s">
        <v>71</v>
      </c>
      <c r="B1873" s="1" t="s">
        <v>16</v>
      </c>
      <c r="C1873" s="2">
        <v>45599</v>
      </c>
      <c r="D1873" s="1" t="s">
        <v>28</v>
      </c>
      <c r="E1873" s="1" t="s">
        <v>45</v>
      </c>
      <c r="F1873" s="1" t="s">
        <v>19</v>
      </c>
      <c r="G1873" s="1" t="s">
        <v>19</v>
      </c>
      <c r="H1873" s="1">
        <v>1</v>
      </c>
      <c r="I1873" s="1">
        <v>572</v>
      </c>
      <c r="J1873" s="1">
        <v>999</v>
      </c>
      <c r="K1873" s="1">
        <v>15</v>
      </c>
      <c r="L1873" s="1">
        <f>ROUNDDOWN(formatted_data[[#This Row],[Selling_Price]]*formatted_data[[#This Row],[Discount_%]]/100,0)</f>
        <v>149</v>
      </c>
      <c r="M1873" s="1">
        <f>(formatted_data[[#This Row],[Selling_Price]]-formatted_data[[#This Row],[Discount_Amount]])*formatted_data[[#This Row],[Units]]</f>
        <v>850</v>
      </c>
      <c r="N1873" s="1">
        <f>formatted_data[[#This Row],[Total_Revenue]]-(formatted_data[[#This Row],[Cost_Price]]*formatted_data[[#This Row],[Units]])</f>
        <v>278</v>
      </c>
      <c r="O1873" s="1" t="s">
        <v>21</v>
      </c>
      <c r="P1873"/>
    </row>
    <row r="1874" spans="1:16" x14ac:dyDescent="0.35">
      <c r="A1874" s="1" t="s">
        <v>103</v>
      </c>
      <c r="B1874" s="1" t="s">
        <v>16</v>
      </c>
      <c r="C1874" s="2">
        <v>45489</v>
      </c>
      <c r="D1874" s="1" t="s">
        <v>35</v>
      </c>
      <c r="E1874" s="1" t="s">
        <v>87</v>
      </c>
      <c r="F1874" s="1" t="s">
        <v>25</v>
      </c>
      <c r="G1874" s="1" t="s">
        <v>19</v>
      </c>
      <c r="H1874" s="1">
        <v>1</v>
      </c>
      <c r="I1874" s="1">
        <v>2125</v>
      </c>
      <c r="J1874" s="1">
        <v>2999</v>
      </c>
      <c r="K1874" s="1">
        <v>15</v>
      </c>
      <c r="L1874" s="1">
        <f>ROUNDDOWN(formatted_data[[#This Row],[Selling_Price]]*formatted_data[[#This Row],[Discount_%]]/100,0)</f>
        <v>449</v>
      </c>
      <c r="M1874" s="1">
        <f>(formatted_data[[#This Row],[Selling_Price]]-formatted_data[[#This Row],[Discount_Amount]])*formatted_data[[#This Row],[Units]]</f>
        <v>2550</v>
      </c>
      <c r="N1874" s="1">
        <f>formatted_data[[#This Row],[Total_Revenue]]-(formatted_data[[#This Row],[Cost_Price]]*formatted_data[[#This Row],[Units]])</f>
        <v>425</v>
      </c>
      <c r="O1874" s="1" t="s">
        <v>21</v>
      </c>
      <c r="P1874"/>
    </row>
    <row r="1875" spans="1:16" x14ac:dyDescent="0.35">
      <c r="A1875" s="1" t="s">
        <v>40</v>
      </c>
      <c r="B1875" s="1" t="s">
        <v>27</v>
      </c>
      <c r="C1875" s="2">
        <v>45649</v>
      </c>
      <c r="D1875" s="1" t="s">
        <v>17</v>
      </c>
      <c r="E1875" s="1" t="s">
        <v>18</v>
      </c>
      <c r="F1875" s="1" t="s">
        <v>19</v>
      </c>
      <c r="G1875" s="1" t="s">
        <v>20</v>
      </c>
      <c r="H1875" s="1">
        <v>4</v>
      </c>
      <c r="I1875" s="1">
        <v>372</v>
      </c>
      <c r="J1875" s="1">
        <v>599</v>
      </c>
      <c r="K1875" s="1">
        <v>0</v>
      </c>
      <c r="L1875" s="1">
        <f>ROUNDDOWN(formatted_data[[#This Row],[Selling_Price]]*formatted_data[[#This Row],[Discount_%]]/100,0)</f>
        <v>0</v>
      </c>
      <c r="M1875" s="1">
        <f>(formatted_data[[#This Row],[Selling_Price]]-formatted_data[[#This Row],[Discount_Amount]])*formatted_data[[#This Row],[Units]]</f>
        <v>2396</v>
      </c>
      <c r="N1875" s="1">
        <f>formatted_data[[#This Row],[Total_Revenue]]-(formatted_data[[#This Row],[Cost_Price]]*formatted_data[[#This Row],[Units]])</f>
        <v>908</v>
      </c>
      <c r="O1875" s="1" t="s">
        <v>21</v>
      </c>
      <c r="P1875"/>
    </row>
    <row r="1876" spans="1:16" x14ac:dyDescent="0.35">
      <c r="A1876" s="1" t="s">
        <v>102</v>
      </c>
      <c r="B1876" s="1" t="s">
        <v>27</v>
      </c>
      <c r="C1876" s="2">
        <v>45461</v>
      </c>
      <c r="D1876" s="1" t="s">
        <v>23</v>
      </c>
      <c r="E1876" s="1" t="s">
        <v>43</v>
      </c>
      <c r="F1876" s="1" t="s">
        <v>37</v>
      </c>
      <c r="G1876" s="1" t="s">
        <v>20</v>
      </c>
      <c r="H1876" s="1">
        <v>1</v>
      </c>
      <c r="I1876" s="1">
        <v>1987</v>
      </c>
      <c r="J1876" s="1">
        <v>3199</v>
      </c>
      <c r="K1876" s="1">
        <v>5</v>
      </c>
      <c r="L1876" s="1">
        <f>ROUNDDOWN(formatted_data[[#This Row],[Selling_Price]]*formatted_data[[#This Row],[Discount_%]]/100,0)</f>
        <v>159</v>
      </c>
      <c r="M1876" s="1">
        <f>(formatted_data[[#This Row],[Selling_Price]]-formatted_data[[#This Row],[Discount_Amount]])*formatted_data[[#This Row],[Units]]</f>
        <v>3040</v>
      </c>
      <c r="N1876" s="1">
        <f>formatted_data[[#This Row],[Total_Revenue]]-(formatted_data[[#This Row],[Cost_Price]]*formatted_data[[#This Row],[Units]])</f>
        <v>1053</v>
      </c>
      <c r="O1876" s="1" t="s">
        <v>21</v>
      </c>
      <c r="P1876"/>
    </row>
    <row r="1877" spans="1:16" x14ac:dyDescent="0.35">
      <c r="A1877" s="1" t="s">
        <v>65</v>
      </c>
      <c r="B1877" s="1" t="s">
        <v>16</v>
      </c>
      <c r="C1877" s="2">
        <v>45489</v>
      </c>
      <c r="D1877" s="1" t="s">
        <v>23</v>
      </c>
      <c r="E1877" s="1" t="s">
        <v>43</v>
      </c>
      <c r="F1877" s="1" t="s">
        <v>25</v>
      </c>
      <c r="G1877" s="1" t="s">
        <v>20</v>
      </c>
      <c r="H1877" s="1">
        <v>2</v>
      </c>
      <c r="I1877" s="1">
        <v>1882</v>
      </c>
      <c r="J1877" s="1">
        <v>2999</v>
      </c>
      <c r="K1877" s="1">
        <v>15</v>
      </c>
      <c r="L1877" s="1">
        <f>ROUNDDOWN(formatted_data[[#This Row],[Selling_Price]]*formatted_data[[#This Row],[Discount_%]]/100,0)</f>
        <v>449</v>
      </c>
      <c r="M1877" s="1">
        <f>(formatted_data[[#This Row],[Selling_Price]]-formatted_data[[#This Row],[Discount_Amount]])*formatted_data[[#This Row],[Units]]</f>
        <v>5100</v>
      </c>
      <c r="N1877" s="1">
        <f>formatted_data[[#This Row],[Total_Revenue]]-(formatted_data[[#This Row],[Cost_Price]]*formatted_data[[#This Row],[Units]])</f>
        <v>1336</v>
      </c>
      <c r="O1877" s="1" t="s">
        <v>21</v>
      </c>
      <c r="P1877"/>
    </row>
    <row r="1878" spans="1:16" x14ac:dyDescent="0.35">
      <c r="A1878" s="1" t="s">
        <v>79</v>
      </c>
      <c r="B1878" s="1" t="s">
        <v>16</v>
      </c>
      <c r="C1878" s="2">
        <v>45572</v>
      </c>
      <c r="D1878" s="1" t="s">
        <v>17</v>
      </c>
      <c r="E1878" s="1" t="s">
        <v>55</v>
      </c>
      <c r="F1878" s="1" t="s">
        <v>37</v>
      </c>
      <c r="G1878" s="1" t="s">
        <v>19</v>
      </c>
      <c r="H1878" s="1">
        <v>1</v>
      </c>
      <c r="I1878" s="1">
        <v>244</v>
      </c>
      <c r="J1878" s="1">
        <v>399</v>
      </c>
      <c r="K1878" s="1">
        <v>0</v>
      </c>
      <c r="L1878" s="1">
        <f>ROUNDDOWN(formatted_data[[#This Row],[Selling_Price]]*formatted_data[[#This Row],[Discount_%]]/100,0)</f>
        <v>0</v>
      </c>
      <c r="M1878" s="1">
        <f>(formatted_data[[#This Row],[Selling_Price]]-formatted_data[[#This Row],[Discount_Amount]])*formatted_data[[#This Row],[Units]]</f>
        <v>399</v>
      </c>
      <c r="N1878" s="1">
        <f>formatted_data[[#This Row],[Total_Revenue]]-(formatted_data[[#This Row],[Cost_Price]]*formatted_data[[#This Row],[Units]])</f>
        <v>155</v>
      </c>
      <c r="O1878" s="1" t="s">
        <v>21</v>
      </c>
      <c r="P1878"/>
    </row>
    <row r="1879" spans="1:16" x14ac:dyDescent="0.35">
      <c r="A1879" s="1" t="s">
        <v>63</v>
      </c>
      <c r="B1879" s="1" t="s">
        <v>27</v>
      </c>
      <c r="C1879" s="2">
        <v>45491</v>
      </c>
      <c r="D1879" s="1" t="s">
        <v>28</v>
      </c>
      <c r="E1879" s="1" t="s">
        <v>29</v>
      </c>
      <c r="F1879" s="1" t="s">
        <v>25</v>
      </c>
      <c r="G1879" s="1" t="s">
        <v>20</v>
      </c>
      <c r="H1879" s="1">
        <v>1</v>
      </c>
      <c r="I1879" s="1">
        <v>301</v>
      </c>
      <c r="J1879" s="1">
        <v>499</v>
      </c>
      <c r="K1879" s="1">
        <v>20</v>
      </c>
      <c r="L1879" s="1">
        <f>ROUNDDOWN(formatted_data[[#This Row],[Selling_Price]]*formatted_data[[#This Row],[Discount_%]]/100,0)</f>
        <v>99</v>
      </c>
      <c r="M1879" s="1">
        <f>(formatted_data[[#This Row],[Selling_Price]]-formatted_data[[#This Row],[Discount_Amount]])*formatted_data[[#This Row],[Units]]</f>
        <v>400</v>
      </c>
      <c r="N1879" s="1">
        <f>formatted_data[[#This Row],[Total_Revenue]]-(formatted_data[[#This Row],[Cost_Price]]*formatted_data[[#This Row],[Units]])</f>
        <v>99</v>
      </c>
      <c r="O1879" s="1" t="s">
        <v>21</v>
      </c>
      <c r="P1879"/>
    </row>
    <row r="1880" spans="1:16" x14ac:dyDescent="0.35">
      <c r="A1880" s="1" t="s">
        <v>69</v>
      </c>
      <c r="B1880" s="1" t="s">
        <v>16</v>
      </c>
      <c r="C1880" s="2">
        <v>45624</v>
      </c>
      <c r="D1880" s="1" t="s">
        <v>31</v>
      </c>
      <c r="E1880" s="1" t="s">
        <v>76</v>
      </c>
      <c r="F1880" s="1" t="s">
        <v>25</v>
      </c>
      <c r="G1880" s="1" t="s">
        <v>19</v>
      </c>
      <c r="H1880" s="1">
        <v>2</v>
      </c>
      <c r="I1880" s="1">
        <v>1005</v>
      </c>
      <c r="J1880" s="1">
        <v>1499</v>
      </c>
      <c r="K1880" s="1">
        <v>0</v>
      </c>
      <c r="L1880" s="1">
        <f>ROUNDDOWN(formatted_data[[#This Row],[Selling_Price]]*formatted_data[[#This Row],[Discount_%]]/100,0)</f>
        <v>0</v>
      </c>
      <c r="M1880" s="1">
        <f>(formatted_data[[#This Row],[Selling_Price]]-formatted_data[[#This Row],[Discount_Amount]])*formatted_data[[#This Row],[Units]]</f>
        <v>2998</v>
      </c>
      <c r="N1880" s="1">
        <f>formatted_data[[#This Row],[Total_Revenue]]-(formatted_data[[#This Row],[Cost_Price]]*formatted_data[[#This Row],[Units]])</f>
        <v>988</v>
      </c>
      <c r="O1880" s="1" t="s">
        <v>21</v>
      </c>
      <c r="P1880"/>
    </row>
    <row r="1881" spans="1:16" x14ac:dyDescent="0.35">
      <c r="A1881" s="1" t="s">
        <v>59</v>
      </c>
      <c r="B1881" s="1" t="s">
        <v>27</v>
      </c>
      <c r="C1881" s="2">
        <v>45591</v>
      </c>
      <c r="D1881" s="1" t="s">
        <v>31</v>
      </c>
      <c r="E1881" s="1" t="s">
        <v>32</v>
      </c>
      <c r="F1881" s="1" t="s">
        <v>19</v>
      </c>
      <c r="G1881" s="1" t="s">
        <v>20</v>
      </c>
      <c r="H1881" s="1">
        <v>3</v>
      </c>
      <c r="I1881" s="1">
        <v>643</v>
      </c>
      <c r="J1881" s="1">
        <v>1199</v>
      </c>
      <c r="K1881" s="1">
        <v>0</v>
      </c>
      <c r="L1881" s="1">
        <f>ROUNDDOWN(formatted_data[[#This Row],[Selling_Price]]*formatted_data[[#This Row],[Discount_%]]/100,0)</f>
        <v>0</v>
      </c>
      <c r="M1881" s="1">
        <f>(formatted_data[[#This Row],[Selling_Price]]-formatted_data[[#This Row],[Discount_Amount]])*formatted_data[[#This Row],[Units]]</f>
        <v>3597</v>
      </c>
      <c r="N1881" s="1">
        <f>formatted_data[[#This Row],[Total_Revenue]]-(formatted_data[[#This Row],[Cost_Price]]*formatted_data[[#This Row],[Units]])</f>
        <v>1668</v>
      </c>
      <c r="O1881" s="1" t="s">
        <v>21</v>
      </c>
      <c r="P1881"/>
    </row>
    <row r="1882" spans="1:16" x14ac:dyDescent="0.35">
      <c r="A1882" s="1" t="s">
        <v>54</v>
      </c>
      <c r="B1882" s="1" t="s">
        <v>27</v>
      </c>
      <c r="C1882" s="2">
        <v>45645</v>
      </c>
      <c r="D1882" s="1" t="s">
        <v>31</v>
      </c>
      <c r="E1882" s="1" t="s">
        <v>32</v>
      </c>
      <c r="F1882" s="1" t="s">
        <v>37</v>
      </c>
      <c r="G1882" s="1" t="s">
        <v>19</v>
      </c>
      <c r="H1882" s="1">
        <v>1</v>
      </c>
      <c r="I1882" s="1">
        <v>650</v>
      </c>
      <c r="J1882" s="1">
        <v>899</v>
      </c>
      <c r="K1882" s="1">
        <v>0</v>
      </c>
      <c r="L1882" s="1">
        <f>ROUNDDOWN(formatted_data[[#This Row],[Selling_Price]]*formatted_data[[#This Row],[Discount_%]]/100,0)</f>
        <v>0</v>
      </c>
      <c r="M1882" s="1">
        <f>(formatted_data[[#This Row],[Selling_Price]]-formatted_data[[#This Row],[Discount_Amount]])*formatted_data[[#This Row],[Units]]</f>
        <v>899</v>
      </c>
      <c r="N1882" s="1">
        <f>formatted_data[[#This Row],[Total_Revenue]]-(formatted_data[[#This Row],[Cost_Price]]*formatted_data[[#This Row],[Units]])</f>
        <v>249</v>
      </c>
      <c r="O1882" s="1" t="s">
        <v>21</v>
      </c>
      <c r="P1882"/>
    </row>
    <row r="1883" spans="1:16" x14ac:dyDescent="0.35">
      <c r="A1883" s="1" t="s">
        <v>106</v>
      </c>
      <c r="B1883" s="1" t="s">
        <v>27</v>
      </c>
      <c r="C1883" s="2">
        <v>45501</v>
      </c>
      <c r="D1883" s="1" t="s">
        <v>35</v>
      </c>
      <c r="E1883" s="1" t="s">
        <v>58</v>
      </c>
      <c r="F1883" s="1" t="s">
        <v>37</v>
      </c>
      <c r="G1883" s="1" t="s">
        <v>20</v>
      </c>
      <c r="H1883" s="1">
        <v>1</v>
      </c>
      <c r="I1883" s="1">
        <v>1028</v>
      </c>
      <c r="J1883" s="1">
        <v>1899</v>
      </c>
      <c r="K1883" s="1">
        <v>20</v>
      </c>
      <c r="L1883" s="1">
        <f>ROUNDDOWN(formatted_data[[#This Row],[Selling_Price]]*formatted_data[[#This Row],[Discount_%]]/100,0)</f>
        <v>379</v>
      </c>
      <c r="M1883" s="1">
        <f>(formatted_data[[#This Row],[Selling_Price]]-formatted_data[[#This Row],[Discount_Amount]])*formatted_data[[#This Row],[Units]]</f>
        <v>1520</v>
      </c>
      <c r="N1883" s="1">
        <f>formatted_data[[#This Row],[Total_Revenue]]-(formatted_data[[#This Row],[Cost_Price]]*formatted_data[[#This Row],[Units]])</f>
        <v>492</v>
      </c>
      <c r="O1883" s="1" t="s">
        <v>21</v>
      </c>
      <c r="P1883"/>
    </row>
    <row r="1884" spans="1:16" x14ac:dyDescent="0.35">
      <c r="A1884" s="1" t="s">
        <v>40</v>
      </c>
      <c r="B1884" s="1" t="s">
        <v>27</v>
      </c>
      <c r="C1884" s="2">
        <v>45462</v>
      </c>
      <c r="D1884" s="1" t="s">
        <v>35</v>
      </c>
      <c r="E1884" s="1" t="s">
        <v>39</v>
      </c>
      <c r="F1884" s="1" t="s">
        <v>25</v>
      </c>
      <c r="G1884" s="1" t="s">
        <v>19</v>
      </c>
      <c r="H1884" s="1">
        <v>2</v>
      </c>
      <c r="I1884" s="1">
        <v>852</v>
      </c>
      <c r="J1884" s="1">
        <v>1199</v>
      </c>
      <c r="K1884" s="1">
        <v>15</v>
      </c>
      <c r="L1884" s="1">
        <f>ROUNDDOWN(formatted_data[[#This Row],[Selling_Price]]*formatted_data[[#This Row],[Discount_%]]/100,0)</f>
        <v>179</v>
      </c>
      <c r="M1884" s="1">
        <f>(formatted_data[[#This Row],[Selling_Price]]-formatted_data[[#This Row],[Discount_Amount]])*formatted_data[[#This Row],[Units]]</f>
        <v>2040</v>
      </c>
      <c r="N1884" s="1">
        <f>formatted_data[[#This Row],[Total_Revenue]]-(formatted_data[[#This Row],[Cost_Price]]*formatted_data[[#This Row],[Units]])</f>
        <v>336</v>
      </c>
      <c r="O1884" s="1" t="s">
        <v>21</v>
      </c>
      <c r="P1884"/>
    </row>
    <row r="1885" spans="1:16" x14ac:dyDescent="0.35">
      <c r="A1885" s="1" t="s">
        <v>34</v>
      </c>
      <c r="B1885" s="1" t="s">
        <v>27</v>
      </c>
      <c r="C1885" s="2">
        <v>45545</v>
      </c>
      <c r="D1885" s="1" t="s">
        <v>23</v>
      </c>
      <c r="E1885" s="1" t="s">
        <v>24</v>
      </c>
      <c r="F1885" s="1" t="s">
        <v>37</v>
      </c>
      <c r="G1885" s="1" t="s">
        <v>19</v>
      </c>
      <c r="H1885" s="1">
        <v>1</v>
      </c>
      <c r="I1885" s="1">
        <v>917</v>
      </c>
      <c r="J1885" s="1">
        <v>1299</v>
      </c>
      <c r="K1885" s="1">
        <v>20</v>
      </c>
      <c r="L1885" s="1">
        <f>ROUNDDOWN(formatted_data[[#This Row],[Selling_Price]]*formatted_data[[#This Row],[Discount_%]]/100,0)</f>
        <v>259</v>
      </c>
      <c r="M1885" s="1">
        <f>(formatted_data[[#This Row],[Selling_Price]]-formatted_data[[#This Row],[Discount_Amount]])*formatted_data[[#This Row],[Units]]</f>
        <v>1040</v>
      </c>
      <c r="N1885" s="1">
        <f>formatted_data[[#This Row],[Total_Revenue]]-(formatted_data[[#This Row],[Cost_Price]]*formatted_data[[#This Row],[Units]])</f>
        <v>123</v>
      </c>
      <c r="O1885" s="1" t="s">
        <v>21</v>
      </c>
      <c r="P1885"/>
    </row>
    <row r="1886" spans="1:16" x14ac:dyDescent="0.35">
      <c r="A1886" s="1" t="s">
        <v>104</v>
      </c>
      <c r="B1886" s="1" t="s">
        <v>27</v>
      </c>
      <c r="C1886" s="2">
        <v>45448</v>
      </c>
      <c r="D1886" s="1" t="s">
        <v>35</v>
      </c>
      <c r="E1886" s="1" t="s">
        <v>58</v>
      </c>
      <c r="F1886" s="1" t="s">
        <v>19</v>
      </c>
      <c r="G1886" s="1" t="s">
        <v>20</v>
      </c>
      <c r="H1886" s="1">
        <v>1</v>
      </c>
      <c r="I1886" s="1">
        <v>569</v>
      </c>
      <c r="J1886" s="1">
        <v>1099</v>
      </c>
      <c r="K1886" s="1">
        <v>5</v>
      </c>
      <c r="L1886" s="1">
        <f>ROUNDDOWN(formatted_data[[#This Row],[Selling_Price]]*formatted_data[[#This Row],[Discount_%]]/100,0)</f>
        <v>54</v>
      </c>
      <c r="M1886" s="1">
        <f>(formatted_data[[#This Row],[Selling_Price]]-formatted_data[[#This Row],[Discount_Amount]])*formatted_data[[#This Row],[Units]]</f>
        <v>1045</v>
      </c>
      <c r="N1886" s="1">
        <f>formatted_data[[#This Row],[Total_Revenue]]-(formatted_data[[#This Row],[Cost_Price]]*formatted_data[[#This Row],[Units]])</f>
        <v>476</v>
      </c>
      <c r="O1886" s="1" t="s">
        <v>21</v>
      </c>
      <c r="P1886"/>
    </row>
    <row r="1887" spans="1:16" x14ac:dyDescent="0.35">
      <c r="A1887" s="1" t="s">
        <v>52</v>
      </c>
      <c r="B1887" s="1" t="s">
        <v>27</v>
      </c>
      <c r="C1887" s="2">
        <v>45455</v>
      </c>
      <c r="D1887" s="1" t="s">
        <v>28</v>
      </c>
      <c r="E1887" s="1" t="s">
        <v>45</v>
      </c>
      <c r="F1887" s="1" t="s">
        <v>25</v>
      </c>
      <c r="G1887" s="1" t="s">
        <v>19</v>
      </c>
      <c r="H1887" s="1">
        <v>2</v>
      </c>
      <c r="I1887" s="1">
        <v>1095</v>
      </c>
      <c r="J1887" s="1">
        <v>1499</v>
      </c>
      <c r="K1887" s="1">
        <v>15</v>
      </c>
      <c r="L1887" s="1">
        <f>ROUNDDOWN(formatted_data[[#This Row],[Selling_Price]]*formatted_data[[#This Row],[Discount_%]]/100,0)</f>
        <v>224</v>
      </c>
      <c r="M1887" s="1">
        <f>(formatted_data[[#This Row],[Selling_Price]]-formatted_data[[#This Row],[Discount_Amount]])*formatted_data[[#This Row],[Units]]</f>
        <v>2550</v>
      </c>
      <c r="N1887" s="1">
        <f>formatted_data[[#This Row],[Total_Revenue]]-(formatted_data[[#This Row],[Cost_Price]]*formatted_data[[#This Row],[Units]])</f>
        <v>360</v>
      </c>
      <c r="O1887" s="1" t="s">
        <v>21</v>
      </c>
      <c r="P1887"/>
    </row>
    <row r="1888" spans="1:16" x14ac:dyDescent="0.35">
      <c r="A1888" s="1" t="s">
        <v>85</v>
      </c>
      <c r="B1888" s="1" t="s">
        <v>27</v>
      </c>
      <c r="C1888" s="2">
        <v>45562</v>
      </c>
      <c r="D1888" s="1" t="s">
        <v>28</v>
      </c>
      <c r="E1888" s="1" t="s">
        <v>29</v>
      </c>
      <c r="F1888" s="1" t="s">
        <v>19</v>
      </c>
      <c r="G1888" s="1" t="s">
        <v>19</v>
      </c>
      <c r="H1888" s="1">
        <v>2</v>
      </c>
      <c r="I1888" s="1">
        <v>401</v>
      </c>
      <c r="J1888" s="1">
        <v>599</v>
      </c>
      <c r="K1888" s="1">
        <v>5</v>
      </c>
      <c r="L1888" s="1">
        <f>ROUNDDOWN(formatted_data[[#This Row],[Selling_Price]]*formatted_data[[#This Row],[Discount_%]]/100,0)</f>
        <v>29</v>
      </c>
      <c r="M1888" s="1">
        <f>(formatted_data[[#This Row],[Selling_Price]]-formatted_data[[#This Row],[Discount_Amount]])*formatted_data[[#This Row],[Units]]</f>
        <v>1140</v>
      </c>
      <c r="N1888" s="1">
        <f>formatted_data[[#This Row],[Total_Revenue]]-(formatted_data[[#This Row],[Cost_Price]]*formatted_data[[#This Row],[Units]])</f>
        <v>338</v>
      </c>
      <c r="O1888" s="1" t="s">
        <v>21</v>
      </c>
      <c r="P1888"/>
    </row>
    <row r="1889" spans="1:16" x14ac:dyDescent="0.35">
      <c r="A1889" s="1" t="s">
        <v>62</v>
      </c>
      <c r="B1889" s="1" t="s">
        <v>16</v>
      </c>
      <c r="C1889" s="2">
        <v>45542</v>
      </c>
      <c r="D1889" s="1" t="s">
        <v>35</v>
      </c>
      <c r="E1889" s="1" t="s">
        <v>39</v>
      </c>
      <c r="F1889" s="1" t="s">
        <v>25</v>
      </c>
      <c r="G1889" s="1" t="s">
        <v>19</v>
      </c>
      <c r="H1889" s="1">
        <v>1</v>
      </c>
      <c r="I1889" s="1">
        <v>628</v>
      </c>
      <c r="J1889" s="1">
        <v>1199</v>
      </c>
      <c r="K1889" s="1">
        <v>15</v>
      </c>
      <c r="L1889" s="1">
        <f>ROUNDDOWN(formatted_data[[#This Row],[Selling_Price]]*formatted_data[[#This Row],[Discount_%]]/100,0)</f>
        <v>179</v>
      </c>
      <c r="M1889" s="1">
        <f>(formatted_data[[#This Row],[Selling_Price]]-formatted_data[[#This Row],[Discount_Amount]])*formatted_data[[#This Row],[Units]]</f>
        <v>1020</v>
      </c>
      <c r="N1889" s="1">
        <f>formatted_data[[#This Row],[Total_Revenue]]-(formatted_data[[#This Row],[Cost_Price]]*formatted_data[[#This Row],[Units]])</f>
        <v>392</v>
      </c>
      <c r="O1889" s="1" t="s">
        <v>21</v>
      </c>
      <c r="P1889"/>
    </row>
    <row r="1890" spans="1:16" x14ac:dyDescent="0.35">
      <c r="A1890" s="1" t="s">
        <v>99</v>
      </c>
      <c r="B1890" s="1" t="s">
        <v>27</v>
      </c>
      <c r="C1890" s="2">
        <v>45616</v>
      </c>
      <c r="D1890" s="1" t="s">
        <v>35</v>
      </c>
      <c r="E1890" s="1" t="s">
        <v>50</v>
      </c>
      <c r="F1890" s="1" t="s">
        <v>25</v>
      </c>
      <c r="G1890" s="1" t="s">
        <v>20</v>
      </c>
      <c r="H1890" s="1">
        <v>4</v>
      </c>
      <c r="I1890" s="1">
        <v>962</v>
      </c>
      <c r="J1890" s="1">
        <v>1299</v>
      </c>
      <c r="K1890" s="1">
        <v>20</v>
      </c>
      <c r="L1890" s="1">
        <f>ROUNDDOWN(formatted_data[[#This Row],[Selling_Price]]*formatted_data[[#This Row],[Discount_%]]/100,0)</f>
        <v>259</v>
      </c>
      <c r="M1890" s="1">
        <f>(formatted_data[[#This Row],[Selling_Price]]-formatted_data[[#This Row],[Discount_Amount]])*formatted_data[[#This Row],[Units]]</f>
        <v>4160</v>
      </c>
      <c r="N1890" s="1">
        <f>formatted_data[[#This Row],[Total_Revenue]]-(formatted_data[[#This Row],[Cost_Price]]*formatted_data[[#This Row],[Units]])</f>
        <v>312</v>
      </c>
      <c r="O1890" s="1" t="s">
        <v>21</v>
      </c>
      <c r="P1890"/>
    </row>
    <row r="1891" spans="1:16" x14ac:dyDescent="0.35">
      <c r="A1891" s="1" t="s">
        <v>64</v>
      </c>
      <c r="B1891" s="1" t="s">
        <v>16</v>
      </c>
      <c r="C1891" s="2">
        <v>45612</v>
      </c>
      <c r="D1891" s="1" t="s">
        <v>28</v>
      </c>
      <c r="E1891" s="1" t="s">
        <v>29</v>
      </c>
      <c r="F1891" s="1" t="s">
        <v>19</v>
      </c>
      <c r="G1891" s="1" t="s">
        <v>19</v>
      </c>
      <c r="H1891" s="1">
        <v>4</v>
      </c>
      <c r="I1891" s="1">
        <v>443</v>
      </c>
      <c r="J1891" s="1">
        <v>599</v>
      </c>
      <c r="K1891" s="1">
        <v>10</v>
      </c>
      <c r="L1891" s="1">
        <f>ROUNDDOWN(formatted_data[[#This Row],[Selling_Price]]*formatted_data[[#This Row],[Discount_%]]/100,0)</f>
        <v>59</v>
      </c>
      <c r="M1891" s="1">
        <f>(formatted_data[[#This Row],[Selling_Price]]-formatted_data[[#This Row],[Discount_Amount]])*formatted_data[[#This Row],[Units]]</f>
        <v>2160</v>
      </c>
      <c r="N1891" s="1">
        <f>formatted_data[[#This Row],[Total_Revenue]]-(formatted_data[[#This Row],[Cost_Price]]*formatted_data[[#This Row],[Units]])</f>
        <v>388</v>
      </c>
      <c r="O1891" s="1" t="s">
        <v>33</v>
      </c>
      <c r="P1891"/>
    </row>
    <row r="1892" spans="1:16" x14ac:dyDescent="0.35">
      <c r="A1892" s="1" t="s">
        <v>77</v>
      </c>
      <c r="B1892" s="1" t="s">
        <v>27</v>
      </c>
      <c r="C1892" s="2">
        <v>45460</v>
      </c>
      <c r="D1892" s="1" t="s">
        <v>28</v>
      </c>
      <c r="E1892" s="1" t="s">
        <v>45</v>
      </c>
      <c r="F1892" s="1" t="s">
        <v>25</v>
      </c>
      <c r="G1892" s="1" t="s">
        <v>20</v>
      </c>
      <c r="H1892" s="1">
        <v>1</v>
      </c>
      <c r="I1892" s="1">
        <v>433</v>
      </c>
      <c r="J1892" s="1">
        <v>699</v>
      </c>
      <c r="K1892" s="1">
        <v>10</v>
      </c>
      <c r="L1892" s="1">
        <f>ROUNDDOWN(formatted_data[[#This Row],[Selling_Price]]*formatted_data[[#This Row],[Discount_%]]/100,0)</f>
        <v>69</v>
      </c>
      <c r="M1892" s="1">
        <f>(formatted_data[[#This Row],[Selling_Price]]-formatted_data[[#This Row],[Discount_Amount]])*formatted_data[[#This Row],[Units]]</f>
        <v>630</v>
      </c>
      <c r="N1892" s="1">
        <f>formatted_data[[#This Row],[Total_Revenue]]-(formatted_data[[#This Row],[Cost_Price]]*formatted_data[[#This Row],[Units]])</f>
        <v>197</v>
      </c>
      <c r="O1892" s="1" t="s">
        <v>21</v>
      </c>
      <c r="P1892"/>
    </row>
    <row r="1893" spans="1:16" x14ac:dyDescent="0.35">
      <c r="A1893" s="1" t="s">
        <v>40</v>
      </c>
      <c r="B1893" s="1" t="s">
        <v>27</v>
      </c>
      <c r="C1893" s="2">
        <v>45487</v>
      </c>
      <c r="D1893" s="1" t="s">
        <v>35</v>
      </c>
      <c r="E1893" s="1" t="s">
        <v>41</v>
      </c>
      <c r="F1893" s="1" t="s">
        <v>37</v>
      </c>
      <c r="G1893" s="1" t="s">
        <v>19</v>
      </c>
      <c r="H1893" s="1">
        <v>1</v>
      </c>
      <c r="I1893" s="1">
        <v>698</v>
      </c>
      <c r="J1893" s="1">
        <v>1099</v>
      </c>
      <c r="K1893" s="1">
        <v>5</v>
      </c>
      <c r="L1893" s="1">
        <f>ROUNDDOWN(formatted_data[[#This Row],[Selling_Price]]*formatted_data[[#This Row],[Discount_%]]/100,0)</f>
        <v>54</v>
      </c>
      <c r="M1893" s="1">
        <f>(formatted_data[[#This Row],[Selling_Price]]-formatted_data[[#This Row],[Discount_Amount]])*formatted_data[[#This Row],[Units]]</f>
        <v>1045</v>
      </c>
      <c r="N1893" s="1">
        <f>formatted_data[[#This Row],[Total_Revenue]]-(formatted_data[[#This Row],[Cost_Price]]*formatted_data[[#This Row],[Units]])</f>
        <v>347</v>
      </c>
      <c r="O1893" s="1" t="s">
        <v>21</v>
      </c>
      <c r="P1893"/>
    </row>
    <row r="1894" spans="1:16" x14ac:dyDescent="0.35">
      <c r="A1894" s="1" t="s">
        <v>107</v>
      </c>
      <c r="B1894" s="1" t="s">
        <v>27</v>
      </c>
      <c r="C1894" s="2">
        <v>45550</v>
      </c>
      <c r="D1894" s="1" t="s">
        <v>35</v>
      </c>
      <c r="E1894" s="1" t="s">
        <v>58</v>
      </c>
      <c r="F1894" s="1" t="s">
        <v>25</v>
      </c>
      <c r="G1894" s="1" t="s">
        <v>19</v>
      </c>
      <c r="H1894" s="1">
        <v>2</v>
      </c>
      <c r="I1894" s="1">
        <v>1336</v>
      </c>
      <c r="J1894" s="1">
        <v>2399</v>
      </c>
      <c r="K1894" s="1">
        <v>15</v>
      </c>
      <c r="L1894" s="1">
        <f>ROUNDDOWN(formatted_data[[#This Row],[Selling_Price]]*formatted_data[[#This Row],[Discount_%]]/100,0)</f>
        <v>359</v>
      </c>
      <c r="M1894" s="1">
        <f>(formatted_data[[#This Row],[Selling_Price]]-formatted_data[[#This Row],[Discount_Amount]])*formatted_data[[#This Row],[Units]]</f>
        <v>4080</v>
      </c>
      <c r="N1894" s="1">
        <f>formatted_data[[#This Row],[Total_Revenue]]-(formatted_data[[#This Row],[Cost_Price]]*formatted_data[[#This Row],[Units]])</f>
        <v>1408</v>
      </c>
      <c r="O1894" s="1" t="s">
        <v>21</v>
      </c>
      <c r="P1894"/>
    </row>
    <row r="1895" spans="1:16" x14ac:dyDescent="0.35">
      <c r="A1895" s="1" t="s">
        <v>38</v>
      </c>
      <c r="B1895" s="1" t="s">
        <v>27</v>
      </c>
      <c r="C1895" s="2">
        <v>45512</v>
      </c>
      <c r="D1895" s="1" t="s">
        <v>23</v>
      </c>
      <c r="E1895" s="1" t="s">
        <v>43</v>
      </c>
      <c r="F1895" s="1" t="s">
        <v>37</v>
      </c>
      <c r="G1895" s="1" t="s">
        <v>19</v>
      </c>
      <c r="H1895" s="1">
        <v>1</v>
      </c>
      <c r="I1895" s="1">
        <v>2393</v>
      </c>
      <c r="J1895" s="1">
        <v>3199</v>
      </c>
      <c r="K1895" s="1">
        <v>5</v>
      </c>
      <c r="L1895" s="1">
        <f>ROUNDDOWN(formatted_data[[#This Row],[Selling_Price]]*formatted_data[[#This Row],[Discount_%]]/100,0)</f>
        <v>159</v>
      </c>
      <c r="M1895" s="1">
        <f>(formatted_data[[#This Row],[Selling_Price]]-formatted_data[[#This Row],[Discount_Amount]])*formatted_data[[#This Row],[Units]]</f>
        <v>3040</v>
      </c>
      <c r="N1895" s="1">
        <f>formatted_data[[#This Row],[Total_Revenue]]-(formatted_data[[#This Row],[Cost_Price]]*formatted_data[[#This Row],[Units]])</f>
        <v>647</v>
      </c>
      <c r="O1895" s="1" t="s">
        <v>21</v>
      </c>
      <c r="P1895"/>
    </row>
    <row r="1896" spans="1:16" x14ac:dyDescent="0.35">
      <c r="A1896" s="1" t="s">
        <v>74</v>
      </c>
      <c r="B1896" s="1" t="s">
        <v>16</v>
      </c>
      <c r="C1896" s="2">
        <v>45467</v>
      </c>
      <c r="D1896" s="1" t="s">
        <v>17</v>
      </c>
      <c r="E1896" s="1" t="s">
        <v>48</v>
      </c>
      <c r="F1896" s="1" t="s">
        <v>37</v>
      </c>
      <c r="G1896" s="1" t="s">
        <v>20</v>
      </c>
      <c r="H1896" s="1">
        <v>5</v>
      </c>
      <c r="I1896" s="1">
        <v>208</v>
      </c>
      <c r="J1896" s="1">
        <v>299</v>
      </c>
      <c r="K1896" s="1">
        <v>0</v>
      </c>
      <c r="L1896" s="1">
        <f>ROUNDDOWN(formatted_data[[#This Row],[Selling_Price]]*formatted_data[[#This Row],[Discount_%]]/100,0)</f>
        <v>0</v>
      </c>
      <c r="M1896" s="1">
        <f>(formatted_data[[#This Row],[Selling_Price]]-formatted_data[[#This Row],[Discount_Amount]])*formatted_data[[#This Row],[Units]]</f>
        <v>1495</v>
      </c>
      <c r="N1896" s="1">
        <f>formatted_data[[#This Row],[Total_Revenue]]-(formatted_data[[#This Row],[Cost_Price]]*formatted_data[[#This Row],[Units]])</f>
        <v>455</v>
      </c>
      <c r="O1896" s="1" t="s">
        <v>33</v>
      </c>
      <c r="P1896"/>
    </row>
    <row r="1897" spans="1:16" x14ac:dyDescent="0.35">
      <c r="A1897" s="1" t="s">
        <v>98</v>
      </c>
      <c r="B1897" s="1" t="s">
        <v>16</v>
      </c>
      <c r="C1897" s="2">
        <v>45649</v>
      </c>
      <c r="D1897" s="1" t="s">
        <v>17</v>
      </c>
      <c r="E1897" s="1" t="s">
        <v>72</v>
      </c>
      <c r="F1897" s="1" t="s">
        <v>37</v>
      </c>
      <c r="G1897" s="1" t="s">
        <v>20</v>
      </c>
      <c r="H1897" s="1">
        <v>1</v>
      </c>
      <c r="I1897" s="1">
        <v>206</v>
      </c>
      <c r="J1897" s="1">
        <v>399</v>
      </c>
      <c r="K1897" s="1">
        <v>0</v>
      </c>
      <c r="L1897" s="1">
        <f>ROUNDDOWN(formatted_data[[#This Row],[Selling_Price]]*formatted_data[[#This Row],[Discount_%]]/100,0)</f>
        <v>0</v>
      </c>
      <c r="M1897" s="1">
        <f>(formatted_data[[#This Row],[Selling_Price]]-formatted_data[[#This Row],[Discount_Amount]])*formatted_data[[#This Row],[Units]]</f>
        <v>399</v>
      </c>
      <c r="N1897" s="1">
        <f>formatted_data[[#This Row],[Total_Revenue]]-(formatted_data[[#This Row],[Cost_Price]]*formatted_data[[#This Row],[Units]])</f>
        <v>193</v>
      </c>
      <c r="O1897" s="1" t="s">
        <v>21</v>
      </c>
      <c r="P1897"/>
    </row>
    <row r="1898" spans="1:16" x14ac:dyDescent="0.35">
      <c r="A1898" s="1" t="s">
        <v>108</v>
      </c>
      <c r="B1898" s="1" t="s">
        <v>27</v>
      </c>
      <c r="C1898" s="2">
        <v>45518</v>
      </c>
      <c r="D1898" s="1" t="s">
        <v>17</v>
      </c>
      <c r="E1898" s="1" t="s">
        <v>18</v>
      </c>
      <c r="F1898" s="1" t="s">
        <v>37</v>
      </c>
      <c r="G1898" s="1" t="s">
        <v>20</v>
      </c>
      <c r="H1898" s="1">
        <v>5</v>
      </c>
      <c r="I1898" s="1">
        <v>196</v>
      </c>
      <c r="J1898" s="1">
        <v>299</v>
      </c>
      <c r="K1898" s="1">
        <v>0</v>
      </c>
      <c r="L1898" s="1">
        <f>ROUNDDOWN(formatted_data[[#This Row],[Selling_Price]]*formatted_data[[#This Row],[Discount_%]]/100,0)</f>
        <v>0</v>
      </c>
      <c r="M1898" s="1">
        <f>(formatted_data[[#This Row],[Selling_Price]]-formatted_data[[#This Row],[Discount_Amount]])*formatted_data[[#This Row],[Units]]</f>
        <v>1495</v>
      </c>
      <c r="N1898" s="1">
        <f>formatted_data[[#This Row],[Total_Revenue]]-(formatted_data[[#This Row],[Cost_Price]]*formatted_data[[#This Row],[Units]])</f>
        <v>515</v>
      </c>
      <c r="O1898" s="1" t="s">
        <v>33</v>
      </c>
      <c r="P1898"/>
    </row>
    <row r="1899" spans="1:16" x14ac:dyDescent="0.35">
      <c r="A1899" s="1" t="s">
        <v>107</v>
      </c>
      <c r="B1899" s="1" t="s">
        <v>27</v>
      </c>
      <c r="C1899" s="2">
        <v>45527</v>
      </c>
      <c r="D1899" s="1" t="s">
        <v>23</v>
      </c>
      <c r="E1899" s="1" t="s">
        <v>43</v>
      </c>
      <c r="F1899" s="1" t="s">
        <v>19</v>
      </c>
      <c r="G1899" s="1" t="s">
        <v>20</v>
      </c>
      <c r="H1899" s="1">
        <v>1</v>
      </c>
      <c r="I1899" s="1">
        <v>2787</v>
      </c>
      <c r="J1899" s="1">
        <v>4799</v>
      </c>
      <c r="K1899" s="1">
        <v>15</v>
      </c>
      <c r="L1899" s="1">
        <f>ROUNDDOWN(formatted_data[[#This Row],[Selling_Price]]*formatted_data[[#This Row],[Discount_%]]/100,0)</f>
        <v>719</v>
      </c>
      <c r="M1899" s="1">
        <f>(formatted_data[[#This Row],[Selling_Price]]-formatted_data[[#This Row],[Discount_Amount]])*formatted_data[[#This Row],[Units]]</f>
        <v>4080</v>
      </c>
      <c r="N1899" s="1">
        <f>formatted_data[[#This Row],[Total_Revenue]]-(formatted_data[[#This Row],[Cost_Price]]*formatted_data[[#This Row],[Units]])</f>
        <v>1293</v>
      </c>
      <c r="O1899" s="1" t="s">
        <v>21</v>
      </c>
      <c r="P1899"/>
    </row>
    <row r="1900" spans="1:16" x14ac:dyDescent="0.35">
      <c r="A1900" s="1" t="s">
        <v>86</v>
      </c>
      <c r="B1900" s="1" t="s">
        <v>27</v>
      </c>
      <c r="C1900" s="2">
        <v>45586</v>
      </c>
      <c r="D1900" s="1" t="s">
        <v>31</v>
      </c>
      <c r="E1900" s="1" t="s">
        <v>32</v>
      </c>
      <c r="F1900" s="1" t="s">
        <v>25</v>
      </c>
      <c r="G1900" s="1" t="s">
        <v>19</v>
      </c>
      <c r="H1900" s="1">
        <v>4</v>
      </c>
      <c r="I1900" s="1">
        <v>722</v>
      </c>
      <c r="J1900" s="1">
        <v>999</v>
      </c>
      <c r="K1900" s="1">
        <v>0</v>
      </c>
      <c r="L1900" s="1">
        <f>ROUNDDOWN(formatted_data[[#This Row],[Selling_Price]]*formatted_data[[#This Row],[Discount_%]]/100,0)</f>
        <v>0</v>
      </c>
      <c r="M1900" s="1">
        <f>(formatted_data[[#This Row],[Selling_Price]]-formatted_data[[#This Row],[Discount_Amount]])*formatted_data[[#This Row],[Units]]</f>
        <v>3996</v>
      </c>
      <c r="N1900" s="1">
        <f>formatted_data[[#This Row],[Total_Revenue]]-(formatted_data[[#This Row],[Cost_Price]]*formatted_data[[#This Row],[Units]])</f>
        <v>1108</v>
      </c>
      <c r="O1900" s="1" t="s">
        <v>21</v>
      </c>
      <c r="P1900"/>
    </row>
    <row r="1901" spans="1:16" x14ac:dyDescent="0.35">
      <c r="A1901" s="1" t="s">
        <v>99</v>
      </c>
      <c r="B1901" s="1" t="s">
        <v>27</v>
      </c>
      <c r="C1901" s="2">
        <v>45586</v>
      </c>
      <c r="D1901" s="1" t="s">
        <v>31</v>
      </c>
      <c r="E1901" s="1" t="s">
        <v>32</v>
      </c>
      <c r="F1901" s="1" t="s">
        <v>37</v>
      </c>
      <c r="G1901" s="1" t="s">
        <v>20</v>
      </c>
      <c r="H1901" s="1">
        <v>3</v>
      </c>
      <c r="I1901" s="1">
        <v>603</v>
      </c>
      <c r="J1901" s="1">
        <v>899</v>
      </c>
      <c r="K1901" s="1">
        <v>0</v>
      </c>
      <c r="L1901" s="1">
        <f>ROUNDDOWN(formatted_data[[#This Row],[Selling_Price]]*formatted_data[[#This Row],[Discount_%]]/100,0)</f>
        <v>0</v>
      </c>
      <c r="M1901" s="1">
        <f>(formatted_data[[#This Row],[Selling_Price]]-formatted_data[[#This Row],[Discount_Amount]])*formatted_data[[#This Row],[Units]]</f>
        <v>2697</v>
      </c>
      <c r="N1901" s="1">
        <f>formatted_data[[#This Row],[Total_Revenue]]-(formatted_data[[#This Row],[Cost_Price]]*formatted_data[[#This Row],[Units]])</f>
        <v>888</v>
      </c>
      <c r="O1901" s="1" t="s">
        <v>21</v>
      </c>
      <c r="P1901"/>
    </row>
    <row r="1902" spans="1:16" x14ac:dyDescent="0.35">
      <c r="A1902" s="1" t="s">
        <v>97</v>
      </c>
      <c r="B1902" s="1" t="s">
        <v>16</v>
      </c>
      <c r="C1902" s="2">
        <v>45626</v>
      </c>
      <c r="D1902" s="1" t="s">
        <v>28</v>
      </c>
      <c r="E1902" s="1" t="s">
        <v>29</v>
      </c>
      <c r="F1902" s="1" t="s">
        <v>25</v>
      </c>
      <c r="G1902" s="1" t="s">
        <v>20</v>
      </c>
      <c r="H1902" s="1">
        <v>1</v>
      </c>
      <c r="I1902" s="1">
        <v>337</v>
      </c>
      <c r="J1902" s="1">
        <v>499</v>
      </c>
      <c r="K1902" s="1">
        <v>10</v>
      </c>
      <c r="L1902" s="1">
        <f>ROUNDDOWN(formatted_data[[#This Row],[Selling_Price]]*formatted_data[[#This Row],[Discount_%]]/100,0)</f>
        <v>49</v>
      </c>
      <c r="M1902" s="1">
        <f>(formatted_data[[#This Row],[Selling_Price]]-formatted_data[[#This Row],[Discount_Amount]])*formatted_data[[#This Row],[Units]]</f>
        <v>450</v>
      </c>
      <c r="N1902" s="1">
        <f>formatted_data[[#This Row],[Total_Revenue]]-(formatted_data[[#This Row],[Cost_Price]]*formatted_data[[#This Row],[Units]])</f>
        <v>113</v>
      </c>
      <c r="O1902" s="1" t="s">
        <v>21</v>
      </c>
      <c r="P1902"/>
    </row>
    <row r="1903" spans="1:16" x14ac:dyDescent="0.35">
      <c r="A1903" s="1" t="s">
        <v>97</v>
      </c>
      <c r="B1903" s="1" t="s">
        <v>16</v>
      </c>
      <c r="C1903" s="2">
        <v>45528</v>
      </c>
      <c r="D1903" s="1" t="s">
        <v>35</v>
      </c>
      <c r="E1903" s="1" t="s">
        <v>41</v>
      </c>
      <c r="F1903" s="1" t="s">
        <v>25</v>
      </c>
      <c r="G1903" s="1" t="s">
        <v>19</v>
      </c>
      <c r="H1903" s="1">
        <v>5</v>
      </c>
      <c r="I1903" s="1">
        <v>639</v>
      </c>
      <c r="J1903" s="1">
        <v>899</v>
      </c>
      <c r="K1903" s="1">
        <v>10</v>
      </c>
      <c r="L1903" s="1">
        <f>ROUNDDOWN(formatted_data[[#This Row],[Selling_Price]]*formatted_data[[#This Row],[Discount_%]]/100,0)</f>
        <v>89</v>
      </c>
      <c r="M1903" s="1">
        <f>(formatted_data[[#This Row],[Selling_Price]]-formatted_data[[#This Row],[Discount_Amount]])*formatted_data[[#This Row],[Units]]</f>
        <v>4050</v>
      </c>
      <c r="N1903" s="1">
        <f>formatted_data[[#This Row],[Total_Revenue]]-(formatted_data[[#This Row],[Cost_Price]]*formatted_data[[#This Row],[Units]])</f>
        <v>855</v>
      </c>
      <c r="O1903" s="1" t="s">
        <v>21</v>
      </c>
      <c r="P1903"/>
    </row>
    <row r="1904" spans="1:16" x14ac:dyDescent="0.35">
      <c r="A1904" s="1" t="s">
        <v>60</v>
      </c>
      <c r="B1904" s="1" t="s">
        <v>27</v>
      </c>
      <c r="C1904" s="2">
        <v>45502</v>
      </c>
      <c r="D1904" s="1" t="s">
        <v>28</v>
      </c>
      <c r="E1904" s="1" t="s">
        <v>45</v>
      </c>
      <c r="F1904" s="1" t="s">
        <v>19</v>
      </c>
      <c r="G1904" s="1" t="s">
        <v>19</v>
      </c>
      <c r="H1904" s="1">
        <v>1</v>
      </c>
      <c r="I1904" s="1">
        <v>559</v>
      </c>
      <c r="J1904" s="1">
        <v>1099</v>
      </c>
      <c r="K1904" s="1">
        <v>5</v>
      </c>
      <c r="L1904" s="1">
        <f>ROUNDDOWN(formatted_data[[#This Row],[Selling_Price]]*formatted_data[[#This Row],[Discount_%]]/100,0)</f>
        <v>54</v>
      </c>
      <c r="M1904" s="1">
        <f>(formatted_data[[#This Row],[Selling_Price]]-formatted_data[[#This Row],[Discount_Amount]])*formatted_data[[#This Row],[Units]]</f>
        <v>1045</v>
      </c>
      <c r="N1904" s="1">
        <f>formatted_data[[#This Row],[Total_Revenue]]-(formatted_data[[#This Row],[Cost_Price]]*formatted_data[[#This Row],[Units]])</f>
        <v>486</v>
      </c>
      <c r="O1904" s="1" t="s">
        <v>21</v>
      </c>
      <c r="P1904"/>
    </row>
    <row r="1905" spans="1:16" x14ac:dyDescent="0.35">
      <c r="A1905" s="1" t="s">
        <v>77</v>
      </c>
      <c r="B1905" s="1" t="s">
        <v>27</v>
      </c>
      <c r="C1905" s="2">
        <v>45524</v>
      </c>
      <c r="D1905" s="1" t="s">
        <v>35</v>
      </c>
      <c r="E1905" s="1" t="s">
        <v>58</v>
      </c>
      <c r="F1905" s="1" t="s">
        <v>19</v>
      </c>
      <c r="G1905" s="1" t="s">
        <v>19</v>
      </c>
      <c r="H1905" s="1">
        <v>2</v>
      </c>
      <c r="I1905" s="1">
        <v>925</v>
      </c>
      <c r="J1905" s="1">
        <v>1299</v>
      </c>
      <c r="K1905" s="1">
        <v>20</v>
      </c>
      <c r="L1905" s="1">
        <f>ROUNDDOWN(formatted_data[[#This Row],[Selling_Price]]*formatted_data[[#This Row],[Discount_%]]/100,0)</f>
        <v>259</v>
      </c>
      <c r="M1905" s="1">
        <f>(formatted_data[[#This Row],[Selling_Price]]-formatted_data[[#This Row],[Discount_Amount]])*formatted_data[[#This Row],[Units]]</f>
        <v>2080</v>
      </c>
      <c r="N1905" s="1">
        <f>formatted_data[[#This Row],[Total_Revenue]]-(formatted_data[[#This Row],[Cost_Price]]*formatted_data[[#This Row],[Units]])</f>
        <v>230</v>
      </c>
      <c r="O1905" s="1" t="s">
        <v>21</v>
      </c>
      <c r="P1905"/>
    </row>
    <row r="1906" spans="1:16" x14ac:dyDescent="0.35">
      <c r="A1906" s="1" t="s">
        <v>85</v>
      </c>
      <c r="B1906" s="1" t="s">
        <v>27</v>
      </c>
      <c r="C1906" s="2">
        <v>45469</v>
      </c>
      <c r="D1906" s="1" t="s">
        <v>17</v>
      </c>
      <c r="E1906" s="1" t="s">
        <v>55</v>
      </c>
      <c r="F1906" s="1" t="s">
        <v>37</v>
      </c>
      <c r="G1906" s="1" t="s">
        <v>19</v>
      </c>
      <c r="H1906" s="1">
        <v>1</v>
      </c>
      <c r="I1906" s="1">
        <v>233</v>
      </c>
      <c r="J1906" s="1">
        <v>399</v>
      </c>
      <c r="K1906" s="1">
        <v>0</v>
      </c>
      <c r="L1906" s="1">
        <f>ROUNDDOWN(formatted_data[[#This Row],[Selling_Price]]*formatted_data[[#This Row],[Discount_%]]/100,0)</f>
        <v>0</v>
      </c>
      <c r="M1906" s="1">
        <f>(formatted_data[[#This Row],[Selling_Price]]-formatted_data[[#This Row],[Discount_Amount]])*formatted_data[[#This Row],[Units]]</f>
        <v>399</v>
      </c>
      <c r="N1906" s="1">
        <f>formatted_data[[#This Row],[Total_Revenue]]-(formatted_data[[#This Row],[Cost_Price]]*formatted_data[[#This Row],[Units]])</f>
        <v>166</v>
      </c>
      <c r="O1906" s="1" t="s">
        <v>33</v>
      </c>
      <c r="P1906"/>
    </row>
    <row r="1907" spans="1:16" x14ac:dyDescent="0.35">
      <c r="A1907" s="1" t="s">
        <v>49</v>
      </c>
      <c r="B1907" s="1" t="s">
        <v>27</v>
      </c>
      <c r="C1907" s="2">
        <v>45446</v>
      </c>
      <c r="D1907" s="1" t="s">
        <v>35</v>
      </c>
      <c r="E1907" s="1" t="s">
        <v>50</v>
      </c>
      <c r="F1907" s="1" t="s">
        <v>19</v>
      </c>
      <c r="G1907" s="1" t="s">
        <v>20</v>
      </c>
      <c r="H1907" s="1">
        <v>2</v>
      </c>
      <c r="I1907" s="1">
        <v>770</v>
      </c>
      <c r="J1907" s="1">
        <v>1199</v>
      </c>
      <c r="K1907" s="1">
        <v>10</v>
      </c>
      <c r="L1907" s="1">
        <f>ROUNDDOWN(formatted_data[[#This Row],[Selling_Price]]*formatted_data[[#This Row],[Discount_%]]/100,0)</f>
        <v>119</v>
      </c>
      <c r="M1907" s="1">
        <f>(formatted_data[[#This Row],[Selling_Price]]-formatted_data[[#This Row],[Discount_Amount]])*formatted_data[[#This Row],[Units]]</f>
        <v>2160</v>
      </c>
      <c r="N1907" s="1">
        <f>formatted_data[[#This Row],[Total_Revenue]]-(formatted_data[[#This Row],[Cost_Price]]*formatted_data[[#This Row],[Units]])</f>
        <v>620</v>
      </c>
      <c r="O1907" s="1" t="s">
        <v>21</v>
      </c>
      <c r="P1907"/>
    </row>
    <row r="1908" spans="1:16" x14ac:dyDescent="0.35">
      <c r="A1908" s="1" t="s">
        <v>54</v>
      </c>
      <c r="B1908" s="1" t="s">
        <v>27</v>
      </c>
      <c r="C1908" s="2">
        <v>45461</v>
      </c>
      <c r="D1908" s="1" t="s">
        <v>28</v>
      </c>
      <c r="E1908" s="1" t="s">
        <v>45</v>
      </c>
      <c r="F1908" s="1" t="s">
        <v>19</v>
      </c>
      <c r="G1908" s="1" t="s">
        <v>20</v>
      </c>
      <c r="H1908" s="1">
        <v>5</v>
      </c>
      <c r="I1908" s="1">
        <v>915</v>
      </c>
      <c r="J1908" s="1">
        <v>1399</v>
      </c>
      <c r="K1908" s="1">
        <v>10</v>
      </c>
      <c r="L1908" s="1">
        <f>ROUNDDOWN(formatted_data[[#This Row],[Selling_Price]]*formatted_data[[#This Row],[Discount_%]]/100,0)</f>
        <v>139</v>
      </c>
      <c r="M1908" s="1">
        <f>(formatted_data[[#This Row],[Selling_Price]]-formatted_data[[#This Row],[Discount_Amount]])*formatted_data[[#This Row],[Units]]</f>
        <v>6300</v>
      </c>
      <c r="N1908" s="1">
        <f>formatted_data[[#This Row],[Total_Revenue]]-(formatted_data[[#This Row],[Cost_Price]]*formatted_data[[#This Row],[Units]])</f>
        <v>1725</v>
      </c>
      <c r="O1908" s="1" t="s">
        <v>21</v>
      </c>
      <c r="P1908"/>
    </row>
    <row r="1909" spans="1:16" x14ac:dyDescent="0.35">
      <c r="A1909" s="1" t="s">
        <v>73</v>
      </c>
      <c r="B1909" s="1" t="s">
        <v>16</v>
      </c>
      <c r="C1909" s="2">
        <v>45597</v>
      </c>
      <c r="D1909" s="1" t="s">
        <v>17</v>
      </c>
      <c r="E1909" s="1" t="s">
        <v>55</v>
      </c>
      <c r="F1909" s="1" t="s">
        <v>19</v>
      </c>
      <c r="G1909" s="1" t="s">
        <v>20</v>
      </c>
      <c r="H1909" s="1">
        <v>4</v>
      </c>
      <c r="I1909" s="1">
        <v>215</v>
      </c>
      <c r="J1909" s="1">
        <v>299</v>
      </c>
      <c r="K1909" s="1">
        <v>0</v>
      </c>
      <c r="L1909" s="1">
        <f>ROUNDDOWN(formatted_data[[#This Row],[Selling_Price]]*formatted_data[[#This Row],[Discount_%]]/100,0)</f>
        <v>0</v>
      </c>
      <c r="M1909" s="1">
        <f>(formatted_data[[#This Row],[Selling_Price]]-formatted_data[[#This Row],[Discount_Amount]])*formatted_data[[#This Row],[Units]]</f>
        <v>1196</v>
      </c>
      <c r="N1909" s="1">
        <f>formatted_data[[#This Row],[Total_Revenue]]-(formatted_data[[#This Row],[Cost_Price]]*formatted_data[[#This Row],[Units]])</f>
        <v>336</v>
      </c>
      <c r="O1909" s="1" t="s">
        <v>33</v>
      </c>
      <c r="P1909"/>
    </row>
    <row r="1910" spans="1:16" x14ac:dyDescent="0.35">
      <c r="A1910" s="1" t="s">
        <v>57</v>
      </c>
      <c r="B1910" s="1" t="s">
        <v>27</v>
      </c>
      <c r="C1910" s="2">
        <v>45457</v>
      </c>
      <c r="D1910" s="1" t="s">
        <v>17</v>
      </c>
      <c r="E1910" s="1" t="s">
        <v>18</v>
      </c>
      <c r="F1910" s="1" t="s">
        <v>19</v>
      </c>
      <c r="G1910" s="1" t="s">
        <v>20</v>
      </c>
      <c r="H1910" s="1">
        <v>4</v>
      </c>
      <c r="I1910" s="1">
        <v>219</v>
      </c>
      <c r="J1910" s="1">
        <v>399</v>
      </c>
      <c r="K1910" s="1">
        <v>0</v>
      </c>
      <c r="L1910" s="1">
        <f>ROUNDDOWN(formatted_data[[#This Row],[Selling_Price]]*formatted_data[[#This Row],[Discount_%]]/100,0)</f>
        <v>0</v>
      </c>
      <c r="M1910" s="1">
        <f>(formatted_data[[#This Row],[Selling_Price]]-formatted_data[[#This Row],[Discount_Amount]])*formatted_data[[#This Row],[Units]]</f>
        <v>1596</v>
      </c>
      <c r="N1910" s="1">
        <f>formatted_data[[#This Row],[Total_Revenue]]-(formatted_data[[#This Row],[Cost_Price]]*formatted_data[[#This Row],[Units]])</f>
        <v>720</v>
      </c>
      <c r="O1910" s="1" t="s">
        <v>21</v>
      </c>
      <c r="P1910"/>
    </row>
    <row r="1911" spans="1:16" x14ac:dyDescent="0.35">
      <c r="A1911" s="1" t="s">
        <v>54</v>
      </c>
      <c r="B1911" s="1" t="s">
        <v>27</v>
      </c>
      <c r="C1911" s="2">
        <v>45495</v>
      </c>
      <c r="D1911" s="1" t="s">
        <v>17</v>
      </c>
      <c r="E1911" s="1" t="s">
        <v>55</v>
      </c>
      <c r="F1911" s="1" t="s">
        <v>37</v>
      </c>
      <c r="G1911" s="1" t="s">
        <v>19</v>
      </c>
      <c r="H1911" s="1">
        <v>1</v>
      </c>
      <c r="I1911" s="1">
        <v>552</v>
      </c>
      <c r="J1911" s="1">
        <v>799</v>
      </c>
      <c r="K1911" s="1">
        <v>0</v>
      </c>
      <c r="L1911" s="1">
        <f>ROUNDDOWN(formatted_data[[#This Row],[Selling_Price]]*formatted_data[[#This Row],[Discount_%]]/100,0)</f>
        <v>0</v>
      </c>
      <c r="M1911" s="1">
        <f>(formatted_data[[#This Row],[Selling_Price]]-formatted_data[[#This Row],[Discount_Amount]])*formatted_data[[#This Row],[Units]]</f>
        <v>799</v>
      </c>
      <c r="N1911" s="1">
        <f>formatted_data[[#This Row],[Total_Revenue]]-(formatted_data[[#This Row],[Cost_Price]]*formatted_data[[#This Row],[Units]])</f>
        <v>247</v>
      </c>
      <c r="O1911" s="1" t="s">
        <v>33</v>
      </c>
      <c r="P1911"/>
    </row>
    <row r="1912" spans="1:16" x14ac:dyDescent="0.35">
      <c r="A1912" s="1" t="s">
        <v>49</v>
      </c>
      <c r="B1912" s="1" t="s">
        <v>27</v>
      </c>
      <c r="C1912" s="2">
        <v>45445</v>
      </c>
      <c r="D1912" s="1" t="s">
        <v>28</v>
      </c>
      <c r="E1912" s="1" t="s">
        <v>45</v>
      </c>
      <c r="F1912" s="1" t="s">
        <v>37</v>
      </c>
      <c r="G1912" s="1" t="s">
        <v>19</v>
      </c>
      <c r="H1912" s="1">
        <v>3</v>
      </c>
      <c r="I1912" s="1">
        <v>1347</v>
      </c>
      <c r="J1912" s="1">
        <v>2199</v>
      </c>
      <c r="K1912" s="1">
        <v>15</v>
      </c>
      <c r="L1912" s="1">
        <f>ROUNDDOWN(formatted_data[[#This Row],[Selling_Price]]*formatted_data[[#This Row],[Discount_%]]/100,0)</f>
        <v>329</v>
      </c>
      <c r="M1912" s="1">
        <f>(formatted_data[[#This Row],[Selling_Price]]-formatted_data[[#This Row],[Discount_Amount]])*formatted_data[[#This Row],[Units]]</f>
        <v>5610</v>
      </c>
      <c r="N1912" s="1">
        <f>formatted_data[[#This Row],[Total_Revenue]]-(formatted_data[[#This Row],[Cost_Price]]*formatted_data[[#This Row],[Units]])</f>
        <v>1569</v>
      </c>
      <c r="O1912" s="1" t="s">
        <v>33</v>
      </c>
      <c r="P1912"/>
    </row>
    <row r="1913" spans="1:16" x14ac:dyDescent="0.35">
      <c r="A1913" s="1" t="s">
        <v>44</v>
      </c>
      <c r="B1913" s="1" t="s">
        <v>16</v>
      </c>
      <c r="C1913" s="2">
        <v>45602</v>
      </c>
      <c r="D1913" s="1" t="s">
        <v>28</v>
      </c>
      <c r="E1913" s="1" t="s">
        <v>29</v>
      </c>
      <c r="F1913" s="1" t="s">
        <v>25</v>
      </c>
      <c r="G1913" s="1" t="s">
        <v>19</v>
      </c>
      <c r="H1913" s="1">
        <v>1</v>
      </c>
      <c r="I1913" s="1">
        <v>298</v>
      </c>
      <c r="J1913" s="1">
        <v>499</v>
      </c>
      <c r="K1913" s="1">
        <v>5</v>
      </c>
      <c r="L1913" s="1">
        <f>ROUNDDOWN(formatted_data[[#This Row],[Selling_Price]]*formatted_data[[#This Row],[Discount_%]]/100,0)</f>
        <v>24</v>
      </c>
      <c r="M1913" s="1">
        <f>(formatted_data[[#This Row],[Selling_Price]]-formatted_data[[#This Row],[Discount_Amount]])*formatted_data[[#This Row],[Units]]</f>
        <v>475</v>
      </c>
      <c r="N1913" s="1">
        <f>formatted_data[[#This Row],[Total_Revenue]]-(formatted_data[[#This Row],[Cost_Price]]*formatted_data[[#This Row],[Units]])</f>
        <v>177</v>
      </c>
      <c r="O1913" s="1" t="s">
        <v>33</v>
      </c>
      <c r="P1913"/>
    </row>
    <row r="1914" spans="1:16" x14ac:dyDescent="0.35">
      <c r="A1914" s="1" t="s">
        <v>65</v>
      </c>
      <c r="B1914" s="1" t="s">
        <v>16</v>
      </c>
      <c r="C1914" s="2">
        <v>45487</v>
      </c>
      <c r="D1914" s="1" t="s">
        <v>17</v>
      </c>
      <c r="E1914" s="1" t="s">
        <v>72</v>
      </c>
      <c r="F1914" s="1" t="s">
        <v>25</v>
      </c>
      <c r="G1914" s="1" t="s">
        <v>20</v>
      </c>
      <c r="H1914" s="1">
        <v>1</v>
      </c>
      <c r="I1914" s="1">
        <v>273</v>
      </c>
      <c r="J1914" s="1">
        <v>499</v>
      </c>
      <c r="K1914" s="1">
        <v>0</v>
      </c>
      <c r="L1914" s="1">
        <f>ROUNDDOWN(formatted_data[[#This Row],[Selling_Price]]*formatted_data[[#This Row],[Discount_%]]/100,0)</f>
        <v>0</v>
      </c>
      <c r="M1914" s="1">
        <f>(formatted_data[[#This Row],[Selling_Price]]-formatted_data[[#This Row],[Discount_Amount]])*formatted_data[[#This Row],[Units]]</f>
        <v>499</v>
      </c>
      <c r="N1914" s="1">
        <f>formatted_data[[#This Row],[Total_Revenue]]-(formatted_data[[#This Row],[Cost_Price]]*formatted_data[[#This Row],[Units]])</f>
        <v>226</v>
      </c>
      <c r="O1914" s="1" t="s">
        <v>21</v>
      </c>
      <c r="P1914"/>
    </row>
    <row r="1915" spans="1:16" x14ac:dyDescent="0.35">
      <c r="A1915" s="1" t="s">
        <v>47</v>
      </c>
      <c r="B1915" s="1" t="s">
        <v>16</v>
      </c>
      <c r="C1915" s="2">
        <v>45490</v>
      </c>
      <c r="D1915" s="1" t="s">
        <v>31</v>
      </c>
      <c r="E1915" s="1" t="s">
        <v>32</v>
      </c>
      <c r="F1915" s="1" t="s">
        <v>37</v>
      </c>
      <c r="G1915" s="1" t="s">
        <v>19</v>
      </c>
      <c r="H1915" s="1">
        <v>2</v>
      </c>
      <c r="I1915" s="1">
        <v>582</v>
      </c>
      <c r="J1915" s="1">
        <v>899</v>
      </c>
      <c r="K1915" s="1">
        <v>0</v>
      </c>
      <c r="L1915" s="1">
        <f>ROUNDDOWN(formatted_data[[#This Row],[Selling_Price]]*formatted_data[[#This Row],[Discount_%]]/100,0)</f>
        <v>0</v>
      </c>
      <c r="M1915" s="1">
        <f>(formatted_data[[#This Row],[Selling_Price]]-formatted_data[[#This Row],[Discount_Amount]])*formatted_data[[#This Row],[Units]]</f>
        <v>1798</v>
      </c>
      <c r="N1915" s="1">
        <f>formatted_data[[#This Row],[Total_Revenue]]-(formatted_data[[#This Row],[Cost_Price]]*formatted_data[[#This Row],[Units]])</f>
        <v>634</v>
      </c>
      <c r="O1915" s="1" t="s">
        <v>21</v>
      </c>
      <c r="P1915"/>
    </row>
    <row r="1916" spans="1:16" x14ac:dyDescent="0.35">
      <c r="A1916" s="1" t="s">
        <v>89</v>
      </c>
      <c r="B1916" s="1" t="s">
        <v>16</v>
      </c>
      <c r="C1916" s="2">
        <v>45517</v>
      </c>
      <c r="D1916" s="1" t="s">
        <v>35</v>
      </c>
      <c r="E1916" s="1" t="s">
        <v>58</v>
      </c>
      <c r="F1916" s="1" t="s">
        <v>37</v>
      </c>
      <c r="G1916" s="1" t="s">
        <v>20</v>
      </c>
      <c r="H1916" s="1">
        <v>1</v>
      </c>
      <c r="I1916" s="1">
        <v>1150</v>
      </c>
      <c r="J1916" s="1">
        <v>1899</v>
      </c>
      <c r="K1916" s="1">
        <v>20</v>
      </c>
      <c r="L1916" s="1">
        <f>ROUNDDOWN(formatted_data[[#This Row],[Selling_Price]]*formatted_data[[#This Row],[Discount_%]]/100,0)</f>
        <v>379</v>
      </c>
      <c r="M1916" s="1">
        <f>(formatted_data[[#This Row],[Selling_Price]]-formatted_data[[#This Row],[Discount_Amount]])*formatted_data[[#This Row],[Units]]</f>
        <v>1520</v>
      </c>
      <c r="N1916" s="1">
        <f>formatted_data[[#This Row],[Total_Revenue]]-(formatted_data[[#This Row],[Cost_Price]]*formatted_data[[#This Row],[Units]])</f>
        <v>370</v>
      </c>
      <c r="O1916" s="1" t="s">
        <v>33</v>
      </c>
      <c r="P1916"/>
    </row>
    <row r="1917" spans="1:16" x14ac:dyDescent="0.35">
      <c r="A1917" s="1" t="s">
        <v>70</v>
      </c>
      <c r="B1917" s="1" t="s">
        <v>27</v>
      </c>
      <c r="C1917" s="2">
        <v>45553</v>
      </c>
      <c r="D1917" s="1" t="s">
        <v>23</v>
      </c>
      <c r="E1917" s="1" t="s">
        <v>43</v>
      </c>
      <c r="F1917" s="1" t="s">
        <v>37</v>
      </c>
      <c r="G1917" s="1" t="s">
        <v>20</v>
      </c>
      <c r="H1917" s="1">
        <v>4</v>
      </c>
      <c r="I1917" s="1">
        <v>2637</v>
      </c>
      <c r="J1917" s="1">
        <v>3599</v>
      </c>
      <c r="K1917" s="1">
        <v>15</v>
      </c>
      <c r="L1917" s="1">
        <f>ROUNDDOWN(formatted_data[[#This Row],[Selling_Price]]*formatted_data[[#This Row],[Discount_%]]/100,0)</f>
        <v>539</v>
      </c>
      <c r="M1917" s="1">
        <f>(formatted_data[[#This Row],[Selling_Price]]-formatted_data[[#This Row],[Discount_Amount]])*formatted_data[[#This Row],[Units]]</f>
        <v>12240</v>
      </c>
      <c r="N1917" s="1">
        <f>formatted_data[[#This Row],[Total_Revenue]]-(formatted_data[[#This Row],[Cost_Price]]*formatted_data[[#This Row],[Units]])</f>
        <v>1692</v>
      </c>
      <c r="O1917" s="1" t="s">
        <v>21</v>
      </c>
      <c r="P1917"/>
    </row>
    <row r="1918" spans="1:16" x14ac:dyDescent="0.35">
      <c r="A1918" s="1" t="s">
        <v>103</v>
      </c>
      <c r="B1918" s="1" t="s">
        <v>16</v>
      </c>
      <c r="C1918" s="2">
        <v>45550</v>
      </c>
      <c r="D1918" s="1" t="s">
        <v>17</v>
      </c>
      <c r="E1918" s="1" t="s">
        <v>72</v>
      </c>
      <c r="F1918" s="1" t="s">
        <v>19</v>
      </c>
      <c r="G1918" s="1" t="s">
        <v>19</v>
      </c>
      <c r="H1918" s="1">
        <v>2</v>
      </c>
      <c r="I1918" s="1">
        <v>260</v>
      </c>
      <c r="J1918" s="1">
        <v>399</v>
      </c>
      <c r="K1918" s="1">
        <v>0</v>
      </c>
      <c r="L1918" s="1">
        <f>ROUNDDOWN(formatted_data[[#This Row],[Selling_Price]]*formatted_data[[#This Row],[Discount_%]]/100,0)</f>
        <v>0</v>
      </c>
      <c r="M1918" s="1">
        <f>(formatted_data[[#This Row],[Selling_Price]]-formatted_data[[#This Row],[Discount_Amount]])*formatted_data[[#This Row],[Units]]</f>
        <v>798</v>
      </c>
      <c r="N1918" s="1">
        <f>formatted_data[[#This Row],[Total_Revenue]]-(formatted_data[[#This Row],[Cost_Price]]*formatted_data[[#This Row],[Units]])</f>
        <v>278</v>
      </c>
      <c r="O1918" s="1" t="s">
        <v>21</v>
      </c>
      <c r="P1918"/>
    </row>
    <row r="1919" spans="1:16" x14ac:dyDescent="0.35">
      <c r="A1919" s="1" t="s">
        <v>101</v>
      </c>
      <c r="B1919" s="1" t="s">
        <v>16</v>
      </c>
      <c r="C1919" s="2">
        <v>45633</v>
      </c>
      <c r="D1919" s="1" t="s">
        <v>28</v>
      </c>
      <c r="E1919" s="1" t="s">
        <v>29</v>
      </c>
      <c r="F1919" s="1" t="s">
        <v>25</v>
      </c>
      <c r="G1919" s="1" t="s">
        <v>19</v>
      </c>
      <c r="H1919" s="1">
        <v>1</v>
      </c>
      <c r="I1919" s="1">
        <v>420</v>
      </c>
      <c r="J1919" s="1">
        <v>699</v>
      </c>
      <c r="K1919" s="1">
        <v>10</v>
      </c>
      <c r="L1919" s="1">
        <f>ROUNDDOWN(formatted_data[[#This Row],[Selling_Price]]*formatted_data[[#This Row],[Discount_%]]/100,0)</f>
        <v>69</v>
      </c>
      <c r="M1919" s="1">
        <f>(formatted_data[[#This Row],[Selling_Price]]-formatted_data[[#This Row],[Discount_Amount]])*formatted_data[[#This Row],[Units]]</f>
        <v>630</v>
      </c>
      <c r="N1919" s="1">
        <f>formatted_data[[#This Row],[Total_Revenue]]-(formatted_data[[#This Row],[Cost_Price]]*formatted_data[[#This Row],[Units]])</f>
        <v>210</v>
      </c>
      <c r="O1919" s="1" t="s">
        <v>21</v>
      </c>
      <c r="P1919"/>
    </row>
    <row r="1920" spans="1:16" x14ac:dyDescent="0.35">
      <c r="A1920" s="1" t="s">
        <v>15</v>
      </c>
      <c r="B1920" s="1" t="s">
        <v>16</v>
      </c>
      <c r="C1920" s="2">
        <v>45574</v>
      </c>
      <c r="D1920" s="1" t="s">
        <v>35</v>
      </c>
      <c r="E1920" s="1" t="s">
        <v>58</v>
      </c>
      <c r="F1920" s="1" t="s">
        <v>37</v>
      </c>
      <c r="G1920" s="1" t="s">
        <v>19</v>
      </c>
      <c r="H1920" s="1">
        <v>1</v>
      </c>
      <c r="I1920" s="1">
        <v>900</v>
      </c>
      <c r="J1920" s="1">
        <v>1599</v>
      </c>
      <c r="K1920" s="1">
        <v>5</v>
      </c>
      <c r="L1920" s="1">
        <f>ROUNDDOWN(formatted_data[[#This Row],[Selling_Price]]*formatted_data[[#This Row],[Discount_%]]/100,0)</f>
        <v>79</v>
      </c>
      <c r="M1920" s="1">
        <f>(formatted_data[[#This Row],[Selling_Price]]-formatted_data[[#This Row],[Discount_Amount]])*formatted_data[[#This Row],[Units]]</f>
        <v>1520</v>
      </c>
      <c r="N1920" s="1">
        <f>formatted_data[[#This Row],[Total_Revenue]]-(formatted_data[[#This Row],[Cost_Price]]*formatted_data[[#This Row],[Units]])</f>
        <v>620</v>
      </c>
      <c r="O1920" s="1" t="s">
        <v>21</v>
      </c>
      <c r="P1920"/>
    </row>
    <row r="1921" spans="1:16" x14ac:dyDescent="0.35">
      <c r="A1921" s="1" t="s">
        <v>52</v>
      </c>
      <c r="B1921" s="1" t="s">
        <v>27</v>
      </c>
      <c r="C1921" s="2">
        <v>45648</v>
      </c>
      <c r="D1921" s="1" t="s">
        <v>17</v>
      </c>
      <c r="E1921" s="1" t="s">
        <v>55</v>
      </c>
      <c r="F1921" s="1" t="s">
        <v>19</v>
      </c>
      <c r="G1921" s="1" t="s">
        <v>20</v>
      </c>
      <c r="H1921" s="1">
        <v>1</v>
      </c>
      <c r="I1921" s="1">
        <v>284</v>
      </c>
      <c r="J1921" s="1">
        <v>399</v>
      </c>
      <c r="K1921" s="1">
        <v>0</v>
      </c>
      <c r="L1921" s="1">
        <f>ROUNDDOWN(formatted_data[[#This Row],[Selling_Price]]*formatted_data[[#This Row],[Discount_%]]/100,0)</f>
        <v>0</v>
      </c>
      <c r="M1921" s="1">
        <f>(formatted_data[[#This Row],[Selling_Price]]-formatted_data[[#This Row],[Discount_Amount]])*formatted_data[[#This Row],[Units]]</f>
        <v>399</v>
      </c>
      <c r="N1921" s="1">
        <f>formatted_data[[#This Row],[Total_Revenue]]-(formatted_data[[#This Row],[Cost_Price]]*formatted_data[[#This Row],[Units]])</f>
        <v>115</v>
      </c>
      <c r="O1921" s="1" t="s">
        <v>33</v>
      </c>
      <c r="P1921"/>
    </row>
    <row r="1922" spans="1:16" x14ac:dyDescent="0.35">
      <c r="A1922" s="1" t="s">
        <v>52</v>
      </c>
      <c r="B1922" s="1" t="s">
        <v>27</v>
      </c>
      <c r="C1922" s="2">
        <v>45597</v>
      </c>
      <c r="D1922" s="1" t="s">
        <v>17</v>
      </c>
      <c r="E1922" s="1" t="s">
        <v>18</v>
      </c>
      <c r="F1922" s="1" t="s">
        <v>25</v>
      </c>
      <c r="G1922" s="1" t="s">
        <v>20</v>
      </c>
      <c r="H1922" s="1">
        <v>4</v>
      </c>
      <c r="I1922" s="1">
        <v>222</v>
      </c>
      <c r="J1922" s="1">
        <v>299</v>
      </c>
      <c r="K1922" s="1">
        <v>0</v>
      </c>
      <c r="L1922" s="1">
        <f>ROUNDDOWN(formatted_data[[#This Row],[Selling_Price]]*formatted_data[[#This Row],[Discount_%]]/100,0)</f>
        <v>0</v>
      </c>
      <c r="M1922" s="1">
        <f>(formatted_data[[#This Row],[Selling_Price]]-formatted_data[[#This Row],[Discount_Amount]])*formatted_data[[#This Row],[Units]]</f>
        <v>1196</v>
      </c>
      <c r="N1922" s="1">
        <f>formatted_data[[#This Row],[Total_Revenue]]-(formatted_data[[#This Row],[Cost_Price]]*formatted_data[[#This Row],[Units]])</f>
        <v>308</v>
      </c>
      <c r="O1922" s="1" t="s">
        <v>21</v>
      </c>
      <c r="P1922"/>
    </row>
    <row r="1923" spans="1:16" x14ac:dyDescent="0.35">
      <c r="A1923" s="1" t="s">
        <v>82</v>
      </c>
      <c r="B1923" s="1" t="s">
        <v>27</v>
      </c>
      <c r="C1923" s="2">
        <v>45596</v>
      </c>
      <c r="D1923" s="1" t="s">
        <v>35</v>
      </c>
      <c r="E1923" s="1" t="s">
        <v>50</v>
      </c>
      <c r="F1923" s="1" t="s">
        <v>19</v>
      </c>
      <c r="G1923" s="1" t="s">
        <v>19</v>
      </c>
      <c r="H1923" s="1">
        <v>1</v>
      </c>
      <c r="I1923" s="1">
        <v>1215</v>
      </c>
      <c r="J1923" s="1">
        <v>1899</v>
      </c>
      <c r="K1923" s="1">
        <v>20</v>
      </c>
      <c r="L1923" s="1">
        <f>ROUNDDOWN(formatted_data[[#This Row],[Selling_Price]]*formatted_data[[#This Row],[Discount_%]]/100,0)</f>
        <v>379</v>
      </c>
      <c r="M1923" s="1">
        <f>(formatted_data[[#This Row],[Selling_Price]]-formatted_data[[#This Row],[Discount_Amount]])*formatted_data[[#This Row],[Units]]</f>
        <v>1520</v>
      </c>
      <c r="N1923" s="1">
        <f>formatted_data[[#This Row],[Total_Revenue]]-(formatted_data[[#This Row],[Cost_Price]]*formatted_data[[#This Row],[Units]])</f>
        <v>305</v>
      </c>
      <c r="O1923" s="1" t="s">
        <v>21</v>
      </c>
      <c r="P1923"/>
    </row>
    <row r="1924" spans="1:16" x14ac:dyDescent="0.35">
      <c r="A1924" s="1" t="s">
        <v>44</v>
      </c>
      <c r="B1924" s="1" t="s">
        <v>16</v>
      </c>
      <c r="C1924" s="2">
        <v>45541</v>
      </c>
      <c r="D1924" s="1" t="s">
        <v>23</v>
      </c>
      <c r="E1924" s="1" t="s">
        <v>43</v>
      </c>
      <c r="F1924" s="1" t="s">
        <v>37</v>
      </c>
      <c r="G1924" s="1" t="s">
        <v>19</v>
      </c>
      <c r="H1924" s="1">
        <v>2</v>
      </c>
      <c r="I1924" s="1">
        <v>2291</v>
      </c>
      <c r="J1924" s="1">
        <v>4299</v>
      </c>
      <c r="K1924" s="1">
        <v>5</v>
      </c>
      <c r="L1924" s="1">
        <f>ROUNDDOWN(formatted_data[[#This Row],[Selling_Price]]*formatted_data[[#This Row],[Discount_%]]/100,0)</f>
        <v>214</v>
      </c>
      <c r="M1924" s="1">
        <f>(formatted_data[[#This Row],[Selling_Price]]-formatted_data[[#This Row],[Discount_Amount]])*formatted_data[[#This Row],[Units]]</f>
        <v>8170</v>
      </c>
      <c r="N1924" s="1">
        <f>formatted_data[[#This Row],[Total_Revenue]]-(formatted_data[[#This Row],[Cost_Price]]*formatted_data[[#This Row],[Units]])</f>
        <v>3588</v>
      </c>
      <c r="O1924" s="1" t="s">
        <v>33</v>
      </c>
      <c r="P1924"/>
    </row>
    <row r="1925" spans="1:16" x14ac:dyDescent="0.35">
      <c r="A1925" s="1" t="s">
        <v>54</v>
      </c>
      <c r="B1925" s="1" t="s">
        <v>27</v>
      </c>
      <c r="C1925" s="2">
        <v>45526</v>
      </c>
      <c r="D1925" s="1" t="s">
        <v>17</v>
      </c>
      <c r="E1925" s="1" t="s">
        <v>48</v>
      </c>
      <c r="F1925" s="1" t="s">
        <v>19</v>
      </c>
      <c r="G1925" s="1" t="s">
        <v>20</v>
      </c>
      <c r="H1925" s="1">
        <v>1</v>
      </c>
      <c r="I1925" s="1">
        <v>160</v>
      </c>
      <c r="J1925" s="1">
        <v>299</v>
      </c>
      <c r="K1925" s="1">
        <v>0</v>
      </c>
      <c r="L1925" s="1">
        <f>ROUNDDOWN(formatted_data[[#This Row],[Selling_Price]]*formatted_data[[#This Row],[Discount_%]]/100,0)</f>
        <v>0</v>
      </c>
      <c r="M1925" s="1">
        <f>(formatted_data[[#This Row],[Selling_Price]]-formatted_data[[#This Row],[Discount_Amount]])*formatted_data[[#This Row],[Units]]</f>
        <v>299</v>
      </c>
      <c r="N1925" s="1">
        <f>formatted_data[[#This Row],[Total_Revenue]]-(formatted_data[[#This Row],[Cost_Price]]*formatted_data[[#This Row],[Units]])</f>
        <v>139</v>
      </c>
      <c r="O1925" s="1" t="s">
        <v>21</v>
      </c>
      <c r="P1925"/>
    </row>
    <row r="1926" spans="1:16" x14ac:dyDescent="0.35">
      <c r="A1926" s="1" t="s">
        <v>94</v>
      </c>
      <c r="B1926" s="1" t="s">
        <v>16</v>
      </c>
      <c r="C1926" s="2">
        <v>45646</v>
      </c>
      <c r="D1926" s="1" t="s">
        <v>23</v>
      </c>
      <c r="E1926" s="1" t="s">
        <v>43</v>
      </c>
      <c r="F1926" s="1" t="s">
        <v>37</v>
      </c>
      <c r="G1926" s="1" t="s">
        <v>19</v>
      </c>
      <c r="H1926" s="1">
        <v>1</v>
      </c>
      <c r="I1926" s="1">
        <v>1336</v>
      </c>
      <c r="J1926" s="1">
        <v>2299</v>
      </c>
      <c r="K1926" s="1">
        <v>15</v>
      </c>
      <c r="L1926" s="1">
        <f>ROUNDDOWN(formatted_data[[#This Row],[Selling_Price]]*formatted_data[[#This Row],[Discount_%]]/100,0)</f>
        <v>344</v>
      </c>
      <c r="M1926" s="1">
        <f>(formatted_data[[#This Row],[Selling_Price]]-formatted_data[[#This Row],[Discount_Amount]])*formatted_data[[#This Row],[Units]]</f>
        <v>1955</v>
      </c>
      <c r="N1926" s="1">
        <f>formatted_data[[#This Row],[Total_Revenue]]-(formatted_data[[#This Row],[Cost_Price]]*formatted_data[[#This Row],[Units]])</f>
        <v>619</v>
      </c>
      <c r="O1926" s="1" t="s">
        <v>33</v>
      </c>
      <c r="P1926"/>
    </row>
    <row r="1927" spans="1:16" x14ac:dyDescent="0.35">
      <c r="A1927" s="1" t="s">
        <v>98</v>
      </c>
      <c r="B1927" s="1" t="s">
        <v>16</v>
      </c>
      <c r="C1927" s="2">
        <v>45484</v>
      </c>
      <c r="D1927" s="1" t="s">
        <v>35</v>
      </c>
      <c r="E1927" s="1" t="s">
        <v>87</v>
      </c>
      <c r="F1927" s="1" t="s">
        <v>19</v>
      </c>
      <c r="G1927" s="1" t="s">
        <v>19</v>
      </c>
      <c r="H1927" s="1">
        <v>1</v>
      </c>
      <c r="I1927" s="1">
        <v>1925</v>
      </c>
      <c r="J1927" s="1">
        <v>3399</v>
      </c>
      <c r="K1927" s="1">
        <v>10</v>
      </c>
      <c r="L1927" s="1">
        <f>ROUNDDOWN(formatted_data[[#This Row],[Selling_Price]]*formatted_data[[#This Row],[Discount_%]]/100,0)</f>
        <v>339</v>
      </c>
      <c r="M1927" s="1">
        <f>(formatted_data[[#This Row],[Selling_Price]]-formatted_data[[#This Row],[Discount_Amount]])*formatted_data[[#This Row],[Units]]</f>
        <v>3060</v>
      </c>
      <c r="N1927" s="1">
        <f>formatted_data[[#This Row],[Total_Revenue]]-(formatted_data[[#This Row],[Cost_Price]]*formatted_data[[#This Row],[Units]])</f>
        <v>1135</v>
      </c>
      <c r="O1927" s="1" t="s">
        <v>33</v>
      </c>
      <c r="P1927"/>
    </row>
    <row r="1928" spans="1:16" x14ac:dyDescent="0.35">
      <c r="A1928" s="1" t="s">
        <v>78</v>
      </c>
      <c r="B1928" s="1" t="s">
        <v>16</v>
      </c>
      <c r="C1928" s="2">
        <v>45559</v>
      </c>
      <c r="D1928" s="1" t="s">
        <v>28</v>
      </c>
      <c r="E1928" s="1" t="s">
        <v>29</v>
      </c>
      <c r="F1928" s="1" t="s">
        <v>37</v>
      </c>
      <c r="G1928" s="1" t="s">
        <v>19</v>
      </c>
      <c r="H1928" s="1">
        <v>1</v>
      </c>
      <c r="I1928" s="1">
        <v>254</v>
      </c>
      <c r="J1928" s="1">
        <v>499</v>
      </c>
      <c r="K1928" s="1">
        <v>15</v>
      </c>
      <c r="L1928" s="1">
        <f>ROUNDDOWN(formatted_data[[#This Row],[Selling_Price]]*formatted_data[[#This Row],[Discount_%]]/100,0)</f>
        <v>74</v>
      </c>
      <c r="M1928" s="1">
        <f>(formatted_data[[#This Row],[Selling_Price]]-formatted_data[[#This Row],[Discount_Amount]])*formatted_data[[#This Row],[Units]]</f>
        <v>425</v>
      </c>
      <c r="N1928" s="1">
        <f>formatted_data[[#This Row],[Total_Revenue]]-(formatted_data[[#This Row],[Cost_Price]]*formatted_data[[#This Row],[Units]])</f>
        <v>171</v>
      </c>
      <c r="O1928" s="1" t="s">
        <v>21</v>
      </c>
      <c r="P1928"/>
    </row>
    <row r="1929" spans="1:16" x14ac:dyDescent="0.35">
      <c r="A1929" s="1" t="s">
        <v>95</v>
      </c>
      <c r="B1929" s="1" t="s">
        <v>27</v>
      </c>
      <c r="C1929" s="2">
        <v>45465</v>
      </c>
      <c r="D1929" s="1" t="s">
        <v>23</v>
      </c>
      <c r="E1929" s="1" t="s">
        <v>43</v>
      </c>
      <c r="F1929" s="1" t="s">
        <v>25</v>
      </c>
      <c r="G1929" s="1" t="s">
        <v>20</v>
      </c>
      <c r="H1929" s="1">
        <v>3</v>
      </c>
      <c r="I1929" s="1">
        <v>1474</v>
      </c>
      <c r="J1929" s="1">
        <v>2399</v>
      </c>
      <c r="K1929" s="1">
        <v>20</v>
      </c>
      <c r="L1929" s="1">
        <f>ROUNDDOWN(formatted_data[[#This Row],[Selling_Price]]*formatted_data[[#This Row],[Discount_%]]/100,0)</f>
        <v>479</v>
      </c>
      <c r="M1929" s="1">
        <f>(formatted_data[[#This Row],[Selling_Price]]-formatted_data[[#This Row],[Discount_Amount]])*formatted_data[[#This Row],[Units]]</f>
        <v>5760</v>
      </c>
      <c r="N1929" s="1">
        <f>formatted_data[[#This Row],[Total_Revenue]]-(formatted_data[[#This Row],[Cost_Price]]*formatted_data[[#This Row],[Units]])</f>
        <v>1338</v>
      </c>
      <c r="O1929" s="1" t="s">
        <v>21</v>
      </c>
      <c r="P1929"/>
    </row>
    <row r="1930" spans="1:16" x14ac:dyDescent="0.35">
      <c r="A1930" s="1" t="s">
        <v>63</v>
      </c>
      <c r="B1930" s="1" t="s">
        <v>27</v>
      </c>
      <c r="C1930" s="2">
        <v>45569</v>
      </c>
      <c r="D1930" s="1" t="s">
        <v>28</v>
      </c>
      <c r="E1930" s="1" t="s">
        <v>29</v>
      </c>
      <c r="F1930" s="1" t="s">
        <v>19</v>
      </c>
      <c r="G1930" s="1" t="s">
        <v>19</v>
      </c>
      <c r="H1930" s="1">
        <v>1</v>
      </c>
      <c r="I1930" s="1">
        <v>348</v>
      </c>
      <c r="J1930" s="1">
        <v>499</v>
      </c>
      <c r="K1930" s="1">
        <v>10</v>
      </c>
      <c r="L1930" s="1">
        <f>ROUNDDOWN(formatted_data[[#This Row],[Selling_Price]]*formatted_data[[#This Row],[Discount_%]]/100,0)</f>
        <v>49</v>
      </c>
      <c r="M1930" s="1">
        <f>(formatted_data[[#This Row],[Selling_Price]]-formatted_data[[#This Row],[Discount_Amount]])*formatted_data[[#This Row],[Units]]</f>
        <v>450</v>
      </c>
      <c r="N1930" s="1">
        <f>formatted_data[[#This Row],[Total_Revenue]]-(formatted_data[[#This Row],[Cost_Price]]*formatted_data[[#This Row],[Units]])</f>
        <v>102</v>
      </c>
      <c r="O1930" s="1" t="s">
        <v>21</v>
      </c>
      <c r="P1930"/>
    </row>
    <row r="1931" spans="1:16" x14ac:dyDescent="0.35">
      <c r="A1931" s="1" t="s">
        <v>88</v>
      </c>
      <c r="B1931" s="1" t="s">
        <v>27</v>
      </c>
      <c r="C1931" s="2">
        <v>45589</v>
      </c>
      <c r="D1931" s="1" t="s">
        <v>35</v>
      </c>
      <c r="E1931" s="1" t="s">
        <v>41</v>
      </c>
      <c r="F1931" s="1" t="s">
        <v>37</v>
      </c>
      <c r="G1931" s="1" t="s">
        <v>20</v>
      </c>
      <c r="H1931" s="1">
        <v>2</v>
      </c>
      <c r="I1931" s="1">
        <v>374</v>
      </c>
      <c r="J1931" s="1">
        <v>699</v>
      </c>
      <c r="K1931" s="1">
        <v>20</v>
      </c>
      <c r="L1931" s="1">
        <f>ROUNDDOWN(formatted_data[[#This Row],[Selling_Price]]*formatted_data[[#This Row],[Discount_%]]/100,0)</f>
        <v>139</v>
      </c>
      <c r="M1931" s="1">
        <f>(formatted_data[[#This Row],[Selling_Price]]-formatted_data[[#This Row],[Discount_Amount]])*formatted_data[[#This Row],[Units]]</f>
        <v>1120</v>
      </c>
      <c r="N1931" s="1">
        <f>formatted_data[[#This Row],[Total_Revenue]]-(formatted_data[[#This Row],[Cost_Price]]*formatted_data[[#This Row],[Units]])</f>
        <v>372</v>
      </c>
      <c r="O1931" s="1" t="s">
        <v>33</v>
      </c>
      <c r="P1931"/>
    </row>
    <row r="1932" spans="1:16" x14ac:dyDescent="0.35">
      <c r="A1932" s="1" t="s">
        <v>91</v>
      </c>
      <c r="B1932" s="1" t="s">
        <v>16</v>
      </c>
      <c r="C1932" s="2">
        <v>45606</v>
      </c>
      <c r="D1932" s="1" t="s">
        <v>31</v>
      </c>
      <c r="E1932" s="1" t="s">
        <v>76</v>
      </c>
      <c r="F1932" s="1" t="s">
        <v>37</v>
      </c>
      <c r="G1932" s="1" t="s">
        <v>19</v>
      </c>
      <c r="H1932" s="1">
        <v>1</v>
      </c>
      <c r="I1932" s="1">
        <v>873</v>
      </c>
      <c r="J1932" s="1">
        <v>1499</v>
      </c>
      <c r="K1932" s="1">
        <v>0</v>
      </c>
      <c r="L1932" s="1">
        <f>ROUNDDOWN(formatted_data[[#This Row],[Selling_Price]]*formatted_data[[#This Row],[Discount_%]]/100,0)</f>
        <v>0</v>
      </c>
      <c r="M1932" s="1">
        <f>(formatted_data[[#This Row],[Selling_Price]]-formatted_data[[#This Row],[Discount_Amount]])*formatted_data[[#This Row],[Units]]</f>
        <v>1499</v>
      </c>
      <c r="N1932" s="1">
        <f>formatted_data[[#This Row],[Total_Revenue]]-(formatted_data[[#This Row],[Cost_Price]]*formatted_data[[#This Row],[Units]])</f>
        <v>626</v>
      </c>
      <c r="O1932" s="1" t="s">
        <v>33</v>
      </c>
      <c r="P1932"/>
    </row>
    <row r="1933" spans="1:16" x14ac:dyDescent="0.35">
      <c r="A1933" s="1" t="s">
        <v>44</v>
      </c>
      <c r="B1933" s="1" t="s">
        <v>16</v>
      </c>
      <c r="C1933" s="2">
        <v>45632</v>
      </c>
      <c r="D1933" s="1" t="s">
        <v>31</v>
      </c>
      <c r="E1933" s="1" t="s">
        <v>32</v>
      </c>
      <c r="F1933" s="1" t="s">
        <v>37</v>
      </c>
      <c r="G1933" s="1" t="s">
        <v>20</v>
      </c>
      <c r="H1933" s="1">
        <v>5</v>
      </c>
      <c r="I1933" s="1">
        <v>868</v>
      </c>
      <c r="J1933" s="1">
        <v>1399</v>
      </c>
      <c r="K1933" s="1">
        <v>0</v>
      </c>
      <c r="L1933" s="1">
        <f>ROUNDDOWN(formatted_data[[#This Row],[Selling_Price]]*formatted_data[[#This Row],[Discount_%]]/100,0)</f>
        <v>0</v>
      </c>
      <c r="M1933" s="1">
        <f>(formatted_data[[#This Row],[Selling_Price]]-formatted_data[[#This Row],[Discount_Amount]])*formatted_data[[#This Row],[Units]]</f>
        <v>6995</v>
      </c>
      <c r="N1933" s="1">
        <f>formatted_data[[#This Row],[Total_Revenue]]-(formatted_data[[#This Row],[Cost_Price]]*formatted_data[[#This Row],[Units]])</f>
        <v>2655</v>
      </c>
      <c r="O1933" s="1" t="s">
        <v>21</v>
      </c>
      <c r="P1933"/>
    </row>
    <row r="1934" spans="1:16" x14ac:dyDescent="0.35">
      <c r="A1934" s="1" t="s">
        <v>65</v>
      </c>
      <c r="B1934" s="1" t="s">
        <v>16</v>
      </c>
      <c r="C1934" s="2">
        <v>45465</v>
      </c>
      <c r="D1934" s="1" t="s">
        <v>31</v>
      </c>
      <c r="E1934" s="1" t="s">
        <v>32</v>
      </c>
      <c r="F1934" s="1" t="s">
        <v>19</v>
      </c>
      <c r="G1934" s="1" t="s">
        <v>20</v>
      </c>
      <c r="H1934" s="1">
        <v>1</v>
      </c>
      <c r="I1934" s="1">
        <v>768</v>
      </c>
      <c r="J1934" s="1">
        <v>1499</v>
      </c>
      <c r="K1934" s="1">
        <v>0</v>
      </c>
      <c r="L1934" s="1">
        <f>ROUNDDOWN(formatted_data[[#This Row],[Selling_Price]]*formatted_data[[#This Row],[Discount_%]]/100,0)</f>
        <v>0</v>
      </c>
      <c r="M1934" s="1">
        <f>(formatted_data[[#This Row],[Selling_Price]]-formatted_data[[#This Row],[Discount_Amount]])*formatted_data[[#This Row],[Units]]</f>
        <v>1499</v>
      </c>
      <c r="N1934" s="1">
        <f>formatted_data[[#This Row],[Total_Revenue]]-(formatted_data[[#This Row],[Cost_Price]]*formatted_data[[#This Row],[Units]])</f>
        <v>731</v>
      </c>
      <c r="O1934" s="1" t="s">
        <v>33</v>
      </c>
      <c r="P1934"/>
    </row>
    <row r="1935" spans="1:16" x14ac:dyDescent="0.35">
      <c r="A1935" s="1" t="s">
        <v>74</v>
      </c>
      <c r="B1935" s="1" t="s">
        <v>16</v>
      </c>
      <c r="C1935" s="2">
        <v>45469</v>
      </c>
      <c r="D1935" s="1" t="s">
        <v>17</v>
      </c>
      <c r="E1935" s="1" t="s">
        <v>55</v>
      </c>
      <c r="F1935" s="1" t="s">
        <v>37</v>
      </c>
      <c r="G1935" s="1" t="s">
        <v>19</v>
      </c>
      <c r="H1935" s="1">
        <v>2</v>
      </c>
      <c r="I1935" s="1">
        <v>176</v>
      </c>
      <c r="J1935" s="1">
        <v>299</v>
      </c>
      <c r="K1935" s="1">
        <v>0</v>
      </c>
      <c r="L1935" s="1">
        <f>ROUNDDOWN(formatted_data[[#This Row],[Selling_Price]]*formatted_data[[#This Row],[Discount_%]]/100,0)</f>
        <v>0</v>
      </c>
      <c r="M1935" s="1">
        <f>(formatted_data[[#This Row],[Selling_Price]]-formatted_data[[#This Row],[Discount_Amount]])*formatted_data[[#This Row],[Units]]</f>
        <v>598</v>
      </c>
      <c r="N1935" s="1">
        <f>formatted_data[[#This Row],[Total_Revenue]]-(formatted_data[[#This Row],[Cost_Price]]*formatted_data[[#This Row],[Units]])</f>
        <v>246</v>
      </c>
      <c r="O1935" s="1" t="s">
        <v>21</v>
      </c>
      <c r="P1935"/>
    </row>
    <row r="1936" spans="1:16" x14ac:dyDescent="0.35">
      <c r="A1936" s="1" t="s">
        <v>60</v>
      </c>
      <c r="B1936" s="1" t="s">
        <v>27</v>
      </c>
      <c r="C1936" s="2">
        <v>45640</v>
      </c>
      <c r="D1936" s="1" t="s">
        <v>23</v>
      </c>
      <c r="E1936" s="1" t="s">
        <v>43</v>
      </c>
      <c r="F1936" s="1" t="s">
        <v>19</v>
      </c>
      <c r="G1936" s="1" t="s">
        <v>20</v>
      </c>
      <c r="H1936" s="1">
        <v>2</v>
      </c>
      <c r="I1936" s="1">
        <v>2499</v>
      </c>
      <c r="J1936" s="1">
        <v>4799</v>
      </c>
      <c r="K1936" s="1">
        <v>15</v>
      </c>
      <c r="L1936" s="1">
        <f>ROUNDDOWN(formatted_data[[#This Row],[Selling_Price]]*formatted_data[[#This Row],[Discount_%]]/100,0)</f>
        <v>719</v>
      </c>
      <c r="M1936" s="1">
        <f>(formatted_data[[#This Row],[Selling_Price]]-formatted_data[[#This Row],[Discount_Amount]])*formatted_data[[#This Row],[Units]]</f>
        <v>8160</v>
      </c>
      <c r="N1936" s="1">
        <f>formatted_data[[#This Row],[Total_Revenue]]-(formatted_data[[#This Row],[Cost_Price]]*formatted_data[[#This Row],[Units]])</f>
        <v>3162</v>
      </c>
      <c r="O1936" s="1" t="s">
        <v>21</v>
      </c>
      <c r="P1936"/>
    </row>
    <row r="1937" spans="1:16" x14ac:dyDescent="0.35">
      <c r="A1937" s="1" t="s">
        <v>105</v>
      </c>
      <c r="B1937" s="1" t="s">
        <v>16</v>
      </c>
      <c r="C1937" s="2">
        <v>45471</v>
      </c>
      <c r="D1937" s="1" t="s">
        <v>23</v>
      </c>
      <c r="E1937" s="1" t="s">
        <v>43</v>
      </c>
      <c r="F1937" s="1" t="s">
        <v>37</v>
      </c>
      <c r="G1937" s="1" t="s">
        <v>19</v>
      </c>
      <c r="H1937" s="1">
        <v>1</v>
      </c>
      <c r="I1937" s="1">
        <v>3378</v>
      </c>
      <c r="J1937" s="1">
        <v>4799</v>
      </c>
      <c r="K1937" s="1">
        <v>15</v>
      </c>
      <c r="L1937" s="1">
        <f>ROUNDDOWN(formatted_data[[#This Row],[Selling_Price]]*formatted_data[[#This Row],[Discount_%]]/100,0)</f>
        <v>719</v>
      </c>
      <c r="M1937" s="1">
        <f>(formatted_data[[#This Row],[Selling_Price]]-formatted_data[[#This Row],[Discount_Amount]])*formatted_data[[#This Row],[Units]]</f>
        <v>4080</v>
      </c>
      <c r="N1937" s="1">
        <f>formatted_data[[#This Row],[Total_Revenue]]-(formatted_data[[#This Row],[Cost_Price]]*formatted_data[[#This Row],[Units]])</f>
        <v>702</v>
      </c>
      <c r="O1937" s="1" t="s">
        <v>21</v>
      </c>
      <c r="P1937"/>
    </row>
    <row r="1938" spans="1:16" x14ac:dyDescent="0.35">
      <c r="A1938" s="1" t="s">
        <v>40</v>
      </c>
      <c r="B1938" s="1" t="s">
        <v>27</v>
      </c>
      <c r="C1938" s="2">
        <v>45458</v>
      </c>
      <c r="D1938" s="1" t="s">
        <v>23</v>
      </c>
      <c r="E1938" s="1" t="s">
        <v>24</v>
      </c>
      <c r="F1938" s="1" t="s">
        <v>19</v>
      </c>
      <c r="G1938" s="1" t="s">
        <v>19</v>
      </c>
      <c r="H1938" s="1">
        <v>2</v>
      </c>
      <c r="I1938" s="1">
        <v>798</v>
      </c>
      <c r="J1938" s="1">
        <v>1399</v>
      </c>
      <c r="K1938" s="1">
        <v>10</v>
      </c>
      <c r="L1938" s="1">
        <f>ROUNDDOWN(formatted_data[[#This Row],[Selling_Price]]*formatted_data[[#This Row],[Discount_%]]/100,0)</f>
        <v>139</v>
      </c>
      <c r="M1938" s="1">
        <f>(formatted_data[[#This Row],[Selling_Price]]-formatted_data[[#This Row],[Discount_Amount]])*formatted_data[[#This Row],[Units]]</f>
        <v>2520</v>
      </c>
      <c r="N1938" s="1">
        <f>formatted_data[[#This Row],[Total_Revenue]]-(formatted_data[[#This Row],[Cost_Price]]*formatted_data[[#This Row],[Units]])</f>
        <v>924</v>
      </c>
      <c r="O1938" s="1" t="s">
        <v>21</v>
      </c>
      <c r="P1938"/>
    </row>
    <row r="1939" spans="1:16" x14ac:dyDescent="0.35">
      <c r="A1939" s="1" t="s">
        <v>82</v>
      </c>
      <c r="B1939" s="1" t="s">
        <v>27</v>
      </c>
      <c r="C1939" s="2">
        <v>45515</v>
      </c>
      <c r="D1939" s="1" t="s">
        <v>23</v>
      </c>
      <c r="E1939" s="1" t="s">
        <v>24</v>
      </c>
      <c r="F1939" s="1" t="s">
        <v>19</v>
      </c>
      <c r="G1939" s="1" t="s">
        <v>19</v>
      </c>
      <c r="H1939" s="1">
        <v>2</v>
      </c>
      <c r="I1939" s="1">
        <v>1653</v>
      </c>
      <c r="J1939" s="1">
        <v>2299</v>
      </c>
      <c r="K1939" s="1">
        <v>10</v>
      </c>
      <c r="L1939" s="1">
        <f>ROUNDDOWN(formatted_data[[#This Row],[Selling_Price]]*formatted_data[[#This Row],[Discount_%]]/100,0)</f>
        <v>229</v>
      </c>
      <c r="M1939" s="1">
        <f>(formatted_data[[#This Row],[Selling_Price]]-formatted_data[[#This Row],[Discount_Amount]])*formatted_data[[#This Row],[Units]]</f>
        <v>4140</v>
      </c>
      <c r="N1939" s="1">
        <f>formatted_data[[#This Row],[Total_Revenue]]-(formatted_data[[#This Row],[Cost_Price]]*formatted_data[[#This Row],[Units]])</f>
        <v>834</v>
      </c>
      <c r="O1939" s="1" t="s">
        <v>21</v>
      </c>
      <c r="P1939"/>
    </row>
    <row r="1940" spans="1:16" x14ac:dyDescent="0.35">
      <c r="A1940" s="1" t="s">
        <v>44</v>
      </c>
      <c r="B1940" s="1" t="s">
        <v>16</v>
      </c>
      <c r="C1940" s="2">
        <v>45533</v>
      </c>
      <c r="D1940" s="1" t="s">
        <v>35</v>
      </c>
      <c r="E1940" s="1" t="s">
        <v>100</v>
      </c>
      <c r="F1940" s="1" t="s">
        <v>19</v>
      </c>
      <c r="G1940" s="1" t="s">
        <v>20</v>
      </c>
      <c r="H1940" s="1">
        <v>1</v>
      </c>
      <c r="I1940" s="1">
        <v>1572</v>
      </c>
      <c r="J1940" s="1">
        <v>2199</v>
      </c>
      <c r="K1940" s="1">
        <v>5</v>
      </c>
      <c r="L1940" s="1">
        <f>ROUNDDOWN(formatted_data[[#This Row],[Selling_Price]]*formatted_data[[#This Row],[Discount_%]]/100,0)</f>
        <v>109</v>
      </c>
      <c r="M1940" s="1">
        <f>(formatted_data[[#This Row],[Selling_Price]]-formatted_data[[#This Row],[Discount_Amount]])*formatted_data[[#This Row],[Units]]</f>
        <v>2090</v>
      </c>
      <c r="N1940" s="1">
        <f>formatted_data[[#This Row],[Total_Revenue]]-(formatted_data[[#This Row],[Cost_Price]]*formatted_data[[#This Row],[Units]])</f>
        <v>518</v>
      </c>
      <c r="O1940" s="1" t="s">
        <v>33</v>
      </c>
      <c r="P1940"/>
    </row>
    <row r="1941" spans="1:16" x14ac:dyDescent="0.35">
      <c r="A1941" s="1" t="s">
        <v>67</v>
      </c>
      <c r="B1941" s="1" t="s">
        <v>27</v>
      </c>
      <c r="C1941" s="2">
        <v>45495</v>
      </c>
      <c r="D1941" s="1" t="s">
        <v>31</v>
      </c>
      <c r="E1941" s="1" t="s">
        <v>32</v>
      </c>
      <c r="F1941" s="1" t="s">
        <v>37</v>
      </c>
      <c r="G1941" s="1" t="s">
        <v>19</v>
      </c>
      <c r="H1941" s="1">
        <v>1</v>
      </c>
      <c r="I1941" s="1">
        <v>653</v>
      </c>
      <c r="J1941" s="1">
        <v>899</v>
      </c>
      <c r="K1941" s="1">
        <v>0</v>
      </c>
      <c r="L1941" s="1">
        <f>ROUNDDOWN(formatted_data[[#This Row],[Selling_Price]]*formatted_data[[#This Row],[Discount_%]]/100,0)</f>
        <v>0</v>
      </c>
      <c r="M1941" s="1">
        <f>(formatted_data[[#This Row],[Selling_Price]]-formatted_data[[#This Row],[Discount_Amount]])*formatted_data[[#This Row],[Units]]</f>
        <v>899</v>
      </c>
      <c r="N1941" s="1">
        <f>formatted_data[[#This Row],[Total_Revenue]]-(formatted_data[[#This Row],[Cost_Price]]*formatted_data[[#This Row],[Units]])</f>
        <v>246</v>
      </c>
      <c r="O1941" s="1" t="s">
        <v>21</v>
      </c>
      <c r="P1941"/>
    </row>
    <row r="1942" spans="1:16" x14ac:dyDescent="0.35">
      <c r="A1942" s="1" t="s">
        <v>91</v>
      </c>
      <c r="B1942" s="1" t="s">
        <v>16</v>
      </c>
      <c r="C1942" s="2">
        <v>45486</v>
      </c>
      <c r="D1942" s="1" t="s">
        <v>28</v>
      </c>
      <c r="E1942" s="1" t="s">
        <v>45</v>
      </c>
      <c r="F1942" s="1" t="s">
        <v>25</v>
      </c>
      <c r="G1942" s="1" t="s">
        <v>19</v>
      </c>
      <c r="H1942" s="1">
        <v>1</v>
      </c>
      <c r="I1942" s="1">
        <v>725</v>
      </c>
      <c r="J1942" s="1">
        <v>999</v>
      </c>
      <c r="K1942" s="1">
        <v>15</v>
      </c>
      <c r="L1942" s="1">
        <f>ROUNDDOWN(formatted_data[[#This Row],[Selling_Price]]*formatted_data[[#This Row],[Discount_%]]/100,0)</f>
        <v>149</v>
      </c>
      <c r="M1942" s="1">
        <f>(formatted_data[[#This Row],[Selling_Price]]-formatted_data[[#This Row],[Discount_Amount]])*formatted_data[[#This Row],[Units]]</f>
        <v>850</v>
      </c>
      <c r="N1942" s="1">
        <f>formatted_data[[#This Row],[Total_Revenue]]-(formatted_data[[#This Row],[Cost_Price]]*formatted_data[[#This Row],[Units]])</f>
        <v>125</v>
      </c>
      <c r="O1942" s="1" t="s">
        <v>21</v>
      </c>
      <c r="P1942"/>
    </row>
    <row r="1943" spans="1:16" x14ac:dyDescent="0.35">
      <c r="A1943" s="1" t="s">
        <v>51</v>
      </c>
      <c r="B1943" s="1" t="s">
        <v>16</v>
      </c>
      <c r="C1943" s="2">
        <v>45587</v>
      </c>
      <c r="D1943" s="1" t="s">
        <v>28</v>
      </c>
      <c r="E1943" s="1" t="s">
        <v>45</v>
      </c>
      <c r="F1943" s="1" t="s">
        <v>25</v>
      </c>
      <c r="G1943" s="1" t="s">
        <v>19</v>
      </c>
      <c r="H1943" s="1">
        <v>2</v>
      </c>
      <c r="I1943" s="1">
        <v>1228</v>
      </c>
      <c r="J1943" s="1">
        <v>1999</v>
      </c>
      <c r="K1943" s="1">
        <v>10</v>
      </c>
      <c r="L1943" s="1">
        <f>ROUNDDOWN(formatted_data[[#This Row],[Selling_Price]]*formatted_data[[#This Row],[Discount_%]]/100,0)</f>
        <v>199</v>
      </c>
      <c r="M1943" s="1">
        <f>(formatted_data[[#This Row],[Selling_Price]]-formatted_data[[#This Row],[Discount_Amount]])*formatted_data[[#This Row],[Units]]</f>
        <v>3600</v>
      </c>
      <c r="N1943" s="1">
        <f>formatted_data[[#This Row],[Total_Revenue]]-(formatted_data[[#This Row],[Cost_Price]]*formatted_data[[#This Row],[Units]])</f>
        <v>1144</v>
      </c>
      <c r="O1943" s="1" t="s">
        <v>33</v>
      </c>
      <c r="P1943"/>
    </row>
    <row r="1944" spans="1:16" x14ac:dyDescent="0.35">
      <c r="A1944" s="1" t="s">
        <v>74</v>
      </c>
      <c r="B1944" s="1" t="s">
        <v>16</v>
      </c>
      <c r="C1944" s="2">
        <v>45535</v>
      </c>
      <c r="D1944" s="1" t="s">
        <v>23</v>
      </c>
      <c r="E1944" s="1" t="s">
        <v>43</v>
      </c>
      <c r="F1944" s="1" t="s">
        <v>19</v>
      </c>
      <c r="G1944" s="1" t="s">
        <v>19</v>
      </c>
      <c r="H1944" s="1">
        <v>2</v>
      </c>
      <c r="I1944" s="1">
        <v>2512</v>
      </c>
      <c r="J1944" s="1">
        <v>3599</v>
      </c>
      <c r="K1944" s="1">
        <v>15</v>
      </c>
      <c r="L1944" s="1">
        <f>ROUNDDOWN(formatted_data[[#This Row],[Selling_Price]]*formatted_data[[#This Row],[Discount_%]]/100,0)</f>
        <v>539</v>
      </c>
      <c r="M1944" s="1">
        <f>(formatted_data[[#This Row],[Selling_Price]]-formatted_data[[#This Row],[Discount_Amount]])*formatted_data[[#This Row],[Units]]</f>
        <v>6120</v>
      </c>
      <c r="N1944" s="1">
        <f>formatted_data[[#This Row],[Total_Revenue]]-(formatted_data[[#This Row],[Cost_Price]]*formatted_data[[#This Row],[Units]])</f>
        <v>1096</v>
      </c>
      <c r="O1944" s="1" t="s">
        <v>21</v>
      </c>
      <c r="P1944"/>
    </row>
    <row r="1945" spans="1:16" x14ac:dyDescent="0.35">
      <c r="A1945" s="1" t="s">
        <v>92</v>
      </c>
      <c r="B1945" s="1" t="s">
        <v>27</v>
      </c>
      <c r="C1945" s="2">
        <v>45444</v>
      </c>
      <c r="D1945" s="1" t="s">
        <v>31</v>
      </c>
      <c r="E1945" s="1" t="s">
        <v>76</v>
      </c>
      <c r="F1945" s="1" t="s">
        <v>25</v>
      </c>
      <c r="G1945" s="1" t="s">
        <v>19</v>
      </c>
      <c r="H1945" s="1">
        <v>2</v>
      </c>
      <c r="I1945" s="1">
        <v>905</v>
      </c>
      <c r="J1945" s="1">
        <v>1499</v>
      </c>
      <c r="K1945" s="1">
        <v>0</v>
      </c>
      <c r="L1945" s="1">
        <f>ROUNDDOWN(formatted_data[[#This Row],[Selling_Price]]*formatted_data[[#This Row],[Discount_%]]/100,0)</f>
        <v>0</v>
      </c>
      <c r="M1945" s="1">
        <f>(formatted_data[[#This Row],[Selling_Price]]-formatted_data[[#This Row],[Discount_Amount]])*formatted_data[[#This Row],[Units]]</f>
        <v>2998</v>
      </c>
      <c r="N1945" s="1">
        <f>formatted_data[[#This Row],[Total_Revenue]]-(formatted_data[[#This Row],[Cost_Price]]*formatted_data[[#This Row],[Units]])</f>
        <v>1188</v>
      </c>
      <c r="O1945" s="1" t="s">
        <v>21</v>
      </c>
      <c r="P1945"/>
    </row>
    <row r="1946" spans="1:16" x14ac:dyDescent="0.35">
      <c r="A1946" s="1" t="s">
        <v>69</v>
      </c>
      <c r="B1946" s="1" t="s">
        <v>16</v>
      </c>
      <c r="C1946" s="2">
        <v>45539</v>
      </c>
      <c r="D1946" s="1" t="s">
        <v>28</v>
      </c>
      <c r="E1946" s="1" t="s">
        <v>45</v>
      </c>
      <c r="F1946" s="1" t="s">
        <v>25</v>
      </c>
      <c r="G1946" s="1" t="s">
        <v>20</v>
      </c>
      <c r="H1946" s="1">
        <v>2</v>
      </c>
      <c r="I1946" s="1">
        <v>1305</v>
      </c>
      <c r="J1946" s="1">
        <v>1899</v>
      </c>
      <c r="K1946" s="1">
        <v>20</v>
      </c>
      <c r="L1946" s="1">
        <f>ROUNDDOWN(formatted_data[[#This Row],[Selling_Price]]*formatted_data[[#This Row],[Discount_%]]/100,0)</f>
        <v>379</v>
      </c>
      <c r="M1946" s="1">
        <f>(formatted_data[[#This Row],[Selling_Price]]-formatted_data[[#This Row],[Discount_Amount]])*formatted_data[[#This Row],[Units]]</f>
        <v>3040</v>
      </c>
      <c r="N1946" s="1">
        <f>formatted_data[[#This Row],[Total_Revenue]]-(formatted_data[[#This Row],[Cost_Price]]*formatted_data[[#This Row],[Units]])</f>
        <v>430</v>
      </c>
      <c r="O1946" s="1" t="s">
        <v>21</v>
      </c>
      <c r="P1946"/>
    </row>
    <row r="1947" spans="1:16" x14ac:dyDescent="0.35">
      <c r="A1947" s="1" t="s">
        <v>63</v>
      </c>
      <c r="B1947" s="1" t="s">
        <v>27</v>
      </c>
      <c r="C1947" s="2">
        <v>45528</v>
      </c>
      <c r="D1947" s="1" t="s">
        <v>31</v>
      </c>
      <c r="E1947" s="1" t="s">
        <v>76</v>
      </c>
      <c r="F1947" s="1" t="s">
        <v>19</v>
      </c>
      <c r="G1947" s="1" t="s">
        <v>20</v>
      </c>
      <c r="H1947" s="1">
        <v>1</v>
      </c>
      <c r="I1947" s="1">
        <v>388</v>
      </c>
      <c r="J1947" s="1">
        <v>699</v>
      </c>
      <c r="K1947" s="1">
        <v>0</v>
      </c>
      <c r="L1947" s="1">
        <f>ROUNDDOWN(formatted_data[[#This Row],[Selling_Price]]*formatted_data[[#This Row],[Discount_%]]/100,0)</f>
        <v>0</v>
      </c>
      <c r="M1947" s="1">
        <f>(formatted_data[[#This Row],[Selling_Price]]-formatted_data[[#This Row],[Discount_Amount]])*formatted_data[[#This Row],[Units]]</f>
        <v>699</v>
      </c>
      <c r="N1947" s="1">
        <f>formatted_data[[#This Row],[Total_Revenue]]-(formatted_data[[#This Row],[Cost_Price]]*formatted_data[[#This Row],[Units]])</f>
        <v>311</v>
      </c>
      <c r="O1947" s="1" t="s">
        <v>21</v>
      </c>
      <c r="P1947"/>
    </row>
    <row r="1948" spans="1:16" x14ac:dyDescent="0.35">
      <c r="A1948" s="1" t="s">
        <v>81</v>
      </c>
      <c r="B1948" s="1" t="s">
        <v>27</v>
      </c>
      <c r="C1948" s="2">
        <v>45575</v>
      </c>
      <c r="D1948" s="1" t="s">
        <v>31</v>
      </c>
      <c r="E1948" s="1" t="s">
        <v>76</v>
      </c>
      <c r="F1948" s="1" t="s">
        <v>25</v>
      </c>
      <c r="G1948" s="1" t="s">
        <v>19</v>
      </c>
      <c r="H1948" s="1">
        <v>1</v>
      </c>
      <c r="I1948" s="1">
        <v>503</v>
      </c>
      <c r="J1948" s="1">
        <v>799</v>
      </c>
      <c r="K1948" s="1">
        <v>0</v>
      </c>
      <c r="L1948" s="1">
        <f>ROUNDDOWN(formatted_data[[#This Row],[Selling_Price]]*formatted_data[[#This Row],[Discount_%]]/100,0)</f>
        <v>0</v>
      </c>
      <c r="M1948" s="1">
        <f>(formatted_data[[#This Row],[Selling_Price]]-formatted_data[[#This Row],[Discount_Amount]])*formatted_data[[#This Row],[Units]]</f>
        <v>799</v>
      </c>
      <c r="N1948" s="1">
        <f>formatted_data[[#This Row],[Total_Revenue]]-(formatted_data[[#This Row],[Cost_Price]]*formatted_data[[#This Row],[Units]])</f>
        <v>296</v>
      </c>
      <c r="O1948" s="1" t="s">
        <v>21</v>
      </c>
      <c r="P1948"/>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88DA5-9E93-435A-B709-A75753F89CA5}">
  <dimension ref="A1:V1948"/>
  <sheetViews>
    <sheetView workbookViewId="0"/>
  </sheetViews>
  <sheetFormatPr defaultRowHeight="14.5" x14ac:dyDescent="0.35"/>
  <sheetData>
    <row r="1" spans="1:22" x14ac:dyDescent="0.35">
      <c r="A1" t="s">
        <v>6596</v>
      </c>
      <c r="B1" t="s">
        <v>0</v>
      </c>
      <c r="C1" t="s">
        <v>1</v>
      </c>
      <c r="D1" t="s">
        <v>6595</v>
      </c>
      <c r="E1" t="s">
        <v>6594</v>
      </c>
      <c r="F1" t="s">
        <v>2</v>
      </c>
      <c r="G1" t="s">
        <v>6593</v>
      </c>
      <c r="H1" t="s">
        <v>6592</v>
      </c>
      <c r="I1" t="s">
        <v>3</v>
      </c>
      <c r="J1" t="s">
        <v>6591</v>
      </c>
      <c r="K1" t="s">
        <v>4</v>
      </c>
      <c r="L1" t="s">
        <v>5</v>
      </c>
      <c r="M1" t="s">
        <v>6</v>
      </c>
      <c r="N1" t="s">
        <v>7</v>
      </c>
      <c r="O1" t="s">
        <v>8</v>
      </c>
      <c r="P1" t="s">
        <v>9</v>
      </c>
      <c r="Q1" t="s">
        <v>10</v>
      </c>
      <c r="R1" t="s">
        <v>11</v>
      </c>
      <c r="S1" t="s">
        <v>12</v>
      </c>
      <c r="T1" t="s">
        <v>13</v>
      </c>
      <c r="U1" t="s">
        <v>6590</v>
      </c>
      <c r="V1" t="s">
        <v>14</v>
      </c>
    </row>
    <row r="2" spans="1:22" x14ac:dyDescent="0.35">
      <c r="A2" t="s">
        <v>6589</v>
      </c>
      <c r="B2" t="s">
        <v>15</v>
      </c>
      <c r="C2" t="s">
        <v>16</v>
      </c>
      <c r="D2" t="s">
        <v>6588</v>
      </c>
      <c r="E2" t="s">
        <v>6587</v>
      </c>
      <c r="F2" s="5">
        <v>45471</v>
      </c>
      <c r="G2" t="s">
        <v>126</v>
      </c>
      <c r="H2" t="s">
        <v>4626</v>
      </c>
      <c r="I2" t="s">
        <v>17</v>
      </c>
      <c r="J2" t="s">
        <v>235</v>
      </c>
      <c r="K2" t="s">
        <v>18</v>
      </c>
      <c r="L2" t="s">
        <v>19</v>
      </c>
      <c r="M2" t="s">
        <v>20</v>
      </c>
      <c r="N2">
        <v>2</v>
      </c>
      <c r="O2">
        <v>176</v>
      </c>
      <c r="P2">
        <v>299</v>
      </c>
      <c r="Q2">
        <v>0</v>
      </c>
      <c r="R2">
        <v>0</v>
      </c>
      <c r="S2">
        <v>598</v>
      </c>
      <c r="T2">
        <v>246</v>
      </c>
      <c r="U2">
        <v>41.14</v>
      </c>
      <c r="V2" t="s">
        <v>21</v>
      </c>
    </row>
    <row r="3" spans="1:22" x14ac:dyDescent="0.35">
      <c r="A3" t="s">
        <v>6586</v>
      </c>
      <c r="B3" t="s">
        <v>22</v>
      </c>
      <c r="C3" t="s">
        <v>16</v>
      </c>
      <c r="D3" t="s">
        <v>6585</v>
      </c>
      <c r="E3" t="s">
        <v>6584</v>
      </c>
      <c r="F3" s="5">
        <v>45500</v>
      </c>
      <c r="G3" t="s">
        <v>126</v>
      </c>
      <c r="H3" t="s">
        <v>4823</v>
      </c>
      <c r="I3" t="s">
        <v>23</v>
      </c>
      <c r="J3" t="s">
        <v>164</v>
      </c>
      <c r="K3" t="s">
        <v>24</v>
      </c>
      <c r="L3" t="s">
        <v>25</v>
      </c>
      <c r="M3" t="s">
        <v>19</v>
      </c>
      <c r="N3">
        <v>1</v>
      </c>
      <c r="O3">
        <v>705</v>
      </c>
      <c r="P3">
        <v>999</v>
      </c>
      <c r="Q3">
        <v>20</v>
      </c>
      <c r="R3">
        <v>200</v>
      </c>
      <c r="S3">
        <v>799</v>
      </c>
      <c r="T3">
        <v>94</v>
      </c>
      <c r="U3">
        <v>11.76</v>
      </c>
      <c r="V3" t="s">
        <v>21</v>
      </c>
    </row>
    <row r="4" spans="1:22" x14ac:dyDescent="0.35">
      <c r="A4" t="s">
        <v>6583</v>
      </c>
      <c r="B4" t="s">
        <v>26</v>
      </c>
      <c r="C4" t="s">
        <v>27</v>
      </c>
      <c r="D4" t="s">
        <v>6582</v>
      </c>
      <c r="E4" t="s">
        <v>6581</v>
      </c>
      <c r="F4" s="5">
        <v>45534</v>
      </c>
      <c r="G4" t="s">
        <v>126</v>
      </c>
      <c r="H4" t="s">
        <v>3052</v>
      </c>
      <c r="I4" t="s">
        <v>28</v>
      </c>
      <c r="J4" t="s">
        <v>201</v>
      </c>
      <c r="K4" t="s">
        <v>29</v>
      </c>
      <c r="L4" t="s">
        <v>19</v>
      </c>
      <c r="M4" t="s">
        <v>19</v>
      </c>
      <c r="N4">
        <v>1</v>
      </c>
      <c r="O4">
        <v>540</v>
      </c>
      <c r="P4">
        <v>799</v>
      </c>
      <c r="Q4">
        <v>15</v>
      </c>
      <c r="R4">
        <v>200</v>
      </c>
      <c r="S4">
        <v>599</v>
      </c>
      <c r="T4">
        <v>59</v>
      </c>
      <c r="U4">
        <v>9.85</v>
      </c>
      <c r="V4" t="s">
        <v>21</v>
      </c>
    </row>
    <row r="5" spans="1:22" x14ac:dyDescent="0.35">
      <c r="A5" t="s">
        <v>6580</v>
      </c>
      <c r="B5" t="s">
        <v>30</v>
      </c>
      <c r="C5" t="s">
        <v>16</v>
      </c>
      <c r="D5" t="s">
        <v>6579</v>
      </c>
      <c r="E5" t="s">
        <v>6578</v>
      </c>
      <c r="F5" s="5">
        <v>45544</v>
      </c>
      <c r="G5" t="s">
        <v>126</v>
      </c>
      <c r="H5" t="s">
        <v>1826</v>
      </c>
      <c r="I5" t="s">
        <v>31</v>
      </c>
      <c r="J5" t="s">
        <v>32</v>
      </c>
      <c r="K5" t="s">
        <v>32</v>
      </c>
      <c r="L5" t="s">
        <v>19</v>
      </c>
      <c r="M5" t="s">
        <v>20</v>
      </c>
      <c r="N5">
        <v>3</v>
      </c>
      <c r="O5">
        <v>867</v>
      </c>
      <c r="P5">
        <v>1199</v>
      </c>
      <c r="Q5">
        <v>0</v>
      </c>
      <c r="R5">
        <v>0</v>
      </c>
      <c r="S5">
        <v>3597</v>
      </c>
      <c r="T5">
        <v>996</v>
      </c>
      <c r="U5">
        <v>27.69</v>
      </c>
      <c r="V5" t="s">
        <v>33</v>
      </c>
    </row>
    <row r="6" spans="1:22" x14ac:dyDescent="0.35">
      <c r="A6" t="s">
        <v>6577</v>
      </c>
      <c r="B6" t="s">
        <v>34</v>
      </c>
      <c r="C6" t="s">
        <v>27</v>
      </c>
      <c r="D6" t="s">
        <v>6576</v>
      </c>
      <c r="E6" t="s">
        <v>6575</v>
      </c>
      <c r="F6" s="5">
        <v>45644</v>
      </c>
      <c r="G6" t="s">
        <v>126</v>
      </c>
      <c r="H6" t="s">
        <v>6574</v>
      </c>
      <c r="I6" t="s">
        <v>23</v>
      </c>
      <c r="J6" t="s">
        <v>164</v>
      </c>
      <c r="K6" t="s">
        <v>24</v>
      </c>
      <c r="L6" t="s">
        <v>19</v>
      </c>
      <c r="M6" t="s">
        <v>20</v>
      </c>
      <c r="N6">
        <v>1</v>
      </c>
      <c r="O6">
        <v>605</v>
      </c>
      <c r="P6">
        <v>899</v>
      </c>
      <c r="Q6">
        <v>5</v>
      </c>
      <c r="R6">
        <v>100</v>
      </c>
      <c r="S6">
        <v>799</v>
      </c>
      <c r="T6">
        <v>194</v>
      </c>
      <c r="U6">
        <v>24.28</v>
      </c>
      <c r="V6" t="s">
        <v>21</v>
      </c>
    </row>
    <row r="7" spans="1:22" x14ac:dyDescent="0.35">
      <c r="A7" t="s">
        <v>6573</v>
      </c>
      <c r="B7" t="s">
        <v>34</v>
      </c>
      <c r="C7" t="s">
        <v>27</v>
      </c>
      <c r="D7" t="s">
        <v>6572</v>
      </c>
      <c r="E7" t="s">
        <v>6571</v>
      </c>
      <c r="F7" s="5">
        <v>45501</v>
      </c>
      <c r="G7" t="s">
        <v>126</v>
      </c>
      <c r="H7" t="s">
        <v>3286</v>
      </c>
      <c r="I7" t="s">
        <v>35</v>
      </c>
      <c r="J7" t="s">
        <v>159</v>
      </c>
      <c r="K7" t="s">
        <v>36</v>
      </c>
      <c r="L7" t="s">
        <v>37</v>
      </c>
      <c r="M7" t="s">
        <v>20</v>
      </c>
      <c r="N7">
        <v>1</v>
      </c>
      <c r="O7">
        <v>420</v>
      </c>
      <c r="P7">
        <v>599</v>
      </c>
      <c r="Q7">
        <v>5</v>
      </c>
      <c r="R7">
        <v>100</v>
      </c>
      <c r="S7">
        <v>499</v>
      </c>
      <c r="T7">
        <v>79</v>
      </c>
      <c r="U7">
        <v>15.83</v>
      </c>
      <c r="V7" t="s">
        <v>21</v>
      </c>
    </row>
    <row r="8" spans="1:22" x14ac:dyDescent="0.35">
      <c r="A8" t="s">
        <v>6570</v>
      </c>
      <c r="B8" t="s">
        <v>38</v>
      </c>
      <c r="C8" t="s">
        <v>27</v>
      </c>
      <c r="D8" t="s">
        <v>6569</v>
      </c>
      <c r="E8" t="s">
        <v>6568</v>
      </c>
      <c r="F8" s="5">
        <v>45523</v>
      </c>
      <c r="G8" t="s">
        <v>126</v>
      </c>
      <c r="H8" t="s">
        <v>6567</v>
      </c>
      <c r="I8" t="s">
        <v>35</v>
      </c>
      <c r="J8" t="s">
        <v>39</v>
      </c>
      <c r="K8" t="s">
        <v>39</v>
      </c>
      <c r="L8" t="s">
        <v>19</v>
      </c>
      <c r="M8" t="s">
        <v>20</v>
      </c>
      <c r="N8">
        <v>1</v>
      </c>
      <c r="O8">
        <v>495</v>
      </c>
      <c r="P8">
        <v>899</v>
      </c>
      <c r="Q8">
        <v>15</v>
      </c>
      <c r="R8">
        <v>200</v>
      </c>
      <c r="S8">
        <v>699</v>
      </c>
      <c r="T8">
        <v>204</v>
      </c>
      <c r="U8">
        <v>29.18</v>
      </c>
      <c r="V8" t="s">
        <v>33</v>
      </c>
    </row>
    <row r="9" spans="1:22" x14ac:dyDescent="0.35">
      <c r="A9" t="s">
        <v>6566</v>
      </c>
      <c r="B9" t="s">
        <v>40</v>
      </c>
      <c r="C9" t="s">
        <v>27</v>
      </c>
      <c r="D9" t="s">
        <v>6565</v>
      </c>
      <c r="E9" t="s">
        <v>1781</v>
      </c>
      <c r="F9" s="5">
        <v>45483</v>
      </c>
      <c r="G9" t="s">
        <v>126</v>
      </c>
      <c r="H9" t="s">
        <v>5305</v>
      </c>
      <c r="I9" t="s">
        <v>35</v>
      </c>
      <c r="J9" t="s">
        <v>41</v>
      </c>
      <c r="K9" t="s">
        <v>41</v>
      </c>
      <c r="L9" t="s">
        <v>19</v>
      </c>
      <c r="M9" t="s">
        <v>20</v>
      </c>
      <c r="N9">
        <v>4</v>
      </c>
      <c r="O9">
        <v>895</v>
      </c>
      <c r="P9">
        <v>1199</v>
      </c>
      <c r="Q9">
        <v>10</v>
      </c>
      <c r="R9">
        <v>800</v>
      </c>
      <c r="S9">
        <v>3996</v>
      </c>
      <c r="T9">
        <v>416</v>
      </c>
      <c r="U9">
        <v>10.41</v>
      </c>
      <c r="V9" t="s">
        <v>21</v>
      </c>
    </row>
    <row r="10" spans="1:22" x14ac:dyDescent="0.35">
      <c r="A10" t="s">
        <v>6564</v>
      </c>
      <c r="B10" t="s">
        <v>42</v>
      </c>
      <c r="C10" t="s">
        <v>27</v>
      </c>
      <c r="D10" t="s">
        <v>6563</v>
      </c>
      <c r="E10" t="s">
        <v>6562</v>
      </c>
      <c r="F10" s="5">
        <v>45548</v>
      </c>
      <c r="G10" t="s">
        <v>126</v>
      </c>
      <c r="H10" t="s">
        <v>2079</v>
      </c>
      <c r="I10" t="s">
        <v>23</v>
      </c>
      <c r="J10" t="s">
        <v>142</v>
      </c>
      <c r="K10" t="s">
        <v>43</v>
      </c>
      <c r="L10" t="s">
        <v>37</v>
      </c>
      <c r="M10" t="s">
        <v>20</v>
      </c>
      <c r="N10">
        <v>3</v>
      </c>
      <c r="O10">
        <v>1819</v>
      </c>
      <c r="P10">
        <v>2599</v>
      </c>
      <c r="Q10">
        <v>15</v>
      </c>
      <c r="R10">
        <v>1200</v>
      </c>
      <c r="S10">
        <v>6597</v>
      </c>
      <c r="T10">
        <v>1140</v>
      </c>
      <c r="U10">
        <v>17.28</v>
      </c>
      <c r="V10" t="s">
        <v>21</v>
      </c>
    </row>
    <row r="11" spans="1:22" x14ac:dyDescent="0.35">
      <c r="A11" t="s">
        <v>6561</v>
      </c>
      <c r="B11" t="s">
        <v>26</v>
      </c>
      <c r="C11" t="s">
        <v>27</v>
      </c>
      <c r="D11" t="s">
        <v>6560</v>
      </c>
      <c r="E11" t="s">
        <v>6559</v>
      </c>
      <c r="F11" s="5">
        <v>45452</v>
      </c>
      <c r="G11" t="s">
        <v>126</v>
      </c>
      <c r="H11" t="s">
        <v>2107</v>
      </c>
      <c r="I11" t="s">
        <v>28</v>
      </c>
      <c r="J11" t="s">
        <v>201</v>
      </c>
      <c r="K11" t="s">
        <v>29</v>
      </c>
      <c r="L11" t="s">
        <v>25</v>
      </c>
      <c r="M11" t="s">
        <v>20</v>
      </c>
      <c r="N11">
        <v>2</v>
      </c>
      <c r="O11">
        <v>299</v>
      </c>
      <c r="P11">
        <v>499</v>
      </c>
      <c r="Q11">
        <v>10</v>
      </c>
      <c r="R11">
        <v>100</v>
      </c>
      <c r="S11">
        <v>898</v>
      </c>
      <c r="T11">
        <v>300</v>
      </c>
      <c r="U11">
        <v>33.409999999999997</v>
      </c>
      <c r="V11" t="s">
        <v>21</v>
      </c>
    </row>
    <row r="12" spans="1:22" x14ac:dyDescent="0.35">
      <c r="A12" t="s">
        <v>6558</v>
      </c>
      <c r="B12" t="s">
        <v>30</v>
      </c>
      <c r="C12" t="s">
        <v>16</v>
      </c>
      <c r="D12" t="s">
        <v>6557</v>
      </c>
      <c r="E12" t="s">
        <v>6556</v>
      </c>
      <c r="F12" s="5">
        <v>45552</v>
      </c>
      <c r="G12" t="s">
        <v>126</v>
      </c>
      <c r="H12" t="s">
        <v>4213</v>
      </c>
      <c r="I12" t="s">
        <v>28</v>
      </c>
      <c r="J12" t="s">
        <v>201</v>
      </c>
      <c r="K12" t="s">
        <v>29</v>
      </c>
      <c r="L12" t="s">
        <v>37</v>
      </c>
      <c r="M12" t="s">
        <v>20</v>
      </c>
      <c r="N12">
        <v>5</v>
      </c>
      <c r="O12">
        <v>255</v>
      </c>
      <c r="P12">
        <v>499</v>
      </c>
      <c r="Q12">
        <v>10</v>
      </c>
      <c r="R12">
        <v>500</v>
      </c>
      <c r="S12">
        <v>1995</v>
      </c>
      <c r="T12">
        <v>720</v>
      </c>
      <c r="U12">
        <v>36.090000000000003</v>
      </c>
      <c r="V12" t="s">
        <v>21</v>
      </c>
    </row>
    <row r="13" spans="1:22" x14ac:dyDescent="0.35">
      <c r="A13" t="s">
        <v>6555</v>
      </c>
      <c r="B13" t="s">
        <v>44</v>
      </c>
      <c r="C13" t="s">
        <v>16</v>
      </c>
      <c r="D13" t="s">
        <v>6554</v>
      </c>
      <c r="E13" t="s">
        <v>241</v>
      </c>
      <c r="F13" s="5">
        <v>45580</v>
      </c>
      <c r="G13" t="s">
        <v>126</v>
      </c>
      <c r="H13" t="s">
        <v>5579</v>
      </c>
      <c r="I13" t="s">
        <v>28</v>
      </c>
      <c r="J13" t="s">
        <v>45</v>
      </c>
      <c r="K13" t="s">
        <v>45</v>
      </c>
      <c r="L13" t="s">
        <v>19</v>
      </c>
      <c r="M13" t="s">
        <v>20</v>
      </c>
      <c r="N13">
        <v>5</v>
      </c>
      <c r="O13">
        <v>564</v>
      </c>
      <c r="P13">
        <v>799</v>
      </c>
      <c r="Q13">
        <v>20</v>
      </c>
      <c r="R13">
        <v>1000</v>
      </c>
      <c r="S13">
        <v>2995</v>
      </c>
      <c r="T13">
        <v>175</v>
      </c>
      <c r="U13">
        <v>5.84</v>
      </c>
      <c r="V13" t="s">
        <v>21</v>
      </c>
    </row>
    <row r="14" spans="1:22" x14ac:dyDescent="0.35">
      <c r="A14" t="s">
        <v>6553</v>
      </c>
      <c r="B14" t="s">
        <v>46</v>
      </c>
      <c r="C14" t="s">
        <v>16</v>
      </c>
      <c r="D14" t="s">
        <v>6552</v>
      </c>
      <c r="E14" t="s">
        <v>6551</v>
      </c>
      <c r="F14" s="5">
        <v>45601</v>
      </c>
      <c r="G14" t="s">
        <v>126</v>
      </c>
      <c r="H14" t="s">
        <v>3279</v>
      </c>
      <c r="I14" t="s">
        <v>23</v>
      </c>
      <c r="J14" t="s">
        <v>164</v>
      </c>
      <c r="K14" t="s">
        <v>24</v>
      </c>
      <c r="L14" t="s">
        <v>25</v>
      </c>
      <c r="M14" t="s">
        <v>19</v>
      </c>
      <c r="N14">
        <v>1</v>
      </c>
      <c r="O14">
        <v>1202</v>
      </c>
      <c r="P14">
        <v>2399</v>
      </c>
      <c r="Q14">
        <v>15</v>
      </c>
      <c r="R14">
        <v>400</v>
      </c>
      <c r="S14">
        <v>1999</v>
      </c>
      <c r="T14">
        <v>797</v>
      </c>
      <c r="U14">
        <v>39.869999999999997</v>
      </c>
      <c r="V14" t="s">
        <v>33</v>
      </c>
    </row>
    <row r="15" spans="1:22" x14ac:dyDescent="0.35">
      <c r="A15" t="s">
        <v>6550</v>
      </c>
      <c r="B15" t="s">
        <v>47</v>
      </c>
      <c r="C15" t="s">
        <v>16</v>
      </c>
      <c r="D15" t="s">
        <v>6549</v>
      </c>
      <c r="E15" t="s">
        <v>6548</v>
      </c>
      <c r="F15" s="5">
        <v>45629</v>
      </c>
      <c r="G15" t="s">
        <v>126</v>
      </c>
      <c r="H15" t="s">
        <v>4056</v>
      </c>
      <c r="I15" t="s">
        <v>17</v>
      </c>
      <c r="J15" t="s">
        <v>48</v>
      </c>
      <c r="K15" t="s">
        <v>48</v>
      </c>
      <c r="L15" t="s">
        <v>19</v>
      </c>
      <c r="M15" t="s">
        <v>20</v>
      </c>
      <c r="N15">
        <v>2</v>
      </c>
      <c r="O15">
        <v>414</v>
      </c>
      <c r="P15">
        <v>599</v>
      </c>
      <c r="Q15">
        <v>0</v>
      </c>
      <c r="R15">
        <v>0</v>
      </c>
      <c r="S15">
        <v>1198</v>
      </c>
      <c r="T15">
        <v>370</v>
      </c>
      <c r="U15">
        <v>30.88</v>
      </c>
      <c r="V15" t="s">
        <v>21</v>
      </c>
    </row>
    <row r="16" spans="1:22" x14ac:dyDescent="0.35">
      <c r="A16" t="s">
        <v>6547</v>
      </c>
      <c r="B16" t="s">
        <v>49</v>
      </c>
      <c r="C16" t="s">
        <v>27</v>
      </c>
      <c r="D16" t="s">
        <v>6546</v>
      </c>
      <c r="E16" t="s">
        <v>6545</v>
      </c>
      <c r="F16" s="5">
        <v>45643</v>
      </c>
      <c r="G16" t="s">
        <v>126</v>
      </c>
      <c r="H16" t="s">
        <v>583</v>
      </c>
      <c r="I16" t="s">
        <v>35</v>
      </c>
      <c r="J16" t="s">
        <v>214</v>
      </c>
      <c r="K16" t="s">
        <v>50</v>
      </c>
      <c r="L16" t="s">
        <v>25</v>
      </c>
      <c r="M16" t="s">
        <v>20</v>
      </c>
      <c r="N16">
        <v>1</v>
      </c>
      <c r="O16">
        <v>512</v>
      </c>
      <c r="P16">
        <v>999</v>
      </c>
      <c r="Q16">
        <v>15</v>
      </c>
      <c r="R16">
        <v>200</v>
      </c>
      <c r="S16">
        <v>799</v>
      </c>
      <c r="T16">
        <v>287</v>
      </c>
      <c r="U16">
        <v>35.92</v>
      </c>
      <c r="V16" t="s">
        <v>21</v>
      </c>
    </row>
    <row r="17" spans="1:22" x14ac:dyDescent="0.35">
      <c r="A17" t="s">
        <v>6544</v>
      </c>
      <c r="B17" t="s">
        <v>51</v>
      </c>
      <c r="C17" t="s">
        <v>16</v>
      </c>
      <c r="D17" t="s">
        <v>6543</v>
      </c>
      <c r="E17" t="s">
        <v>6542</v>
      </c>
      <c r="F17" s="5">
        <v>45522</v>
      </c>
      <c r="G17" t="s">
        <v>126</v>
      </c>
      <c r="H17" t="s">
        <v>6541</v>
      </c>
      <c r="I17" t="s">
        <v>28</v>
      </c>
      <c r="J17" t="s">
        <v>45</v>
      </c>
      <c r="K17" t="s">
        <v>45</v>
      </c>
      <c r="L17" t="s">
        <v>37</v>
      </c>
      <c r="M17" t="s">
        <v>20</v>
      </c>
      <c r="N17">
        <v>4</v>
      </c>
      <c r="O17">
        <v>1092</v>
      </c>
      <c r="P17">
        <v>1599</v>
      </c>
      <c r="Q17">
        <v>5</v>
      </c>
      <c r="R17">
        <v>400</v>
      </c>
      <c r="S17">
        <v>5996</v>
      </c>
      <c r="T17">
        <v>1628</v>
      </c>
      <c r="U17">
        <v>27.15</v>
      </c>
      <c r="V17" t="s">
        <v>21</v>
      </c>
    </row>
    <row r="18" spans="1:22" x14ac:dyDescent="0.35">
      <c r="A18" t="s">
        <v>6540</v>
      </c>
      <c r="B18" t="s">
        <v>52</v>
      </c>
      <c r="C18" t="s">
        <v>27</v>
      </c>
      <c r="D18" t="s">
        <v>6539</v>
      </c>
      <c r="E18" t="s">
        <v>6538</v>
      </c>
      <c r="F18" s="5">
        <v>45654</v>
      </c>
      <c r="G18" t="s">
        <v>126</v>
      </c>
      <c r="H18" t="s">
        <v>3095</v>
      </c>
      <c r="I18" t="s">
        <v>28</v>
      </c>
      <c r="J18" t="s">
        <v>45</v>
      </c>
      <c r="K18" t="s">
        <v>45</v>
      </c>
      <c r="L18" t="s">
        <v>25</v>
      </c>
      <c r="M18" t="s">
        <v>19</v>
      </c>
      <c r="N18">
        <v>1</v>
      </c>
      <c r="O18">
        <v>1105</v>
      </c>
      <c r="P18">
        <v>1499</v>
      </c>
      <c r="Q18">
        <v>15</v>
      </c>
      <c r="R18">
        <v>300</v>
      </c>
      <c r="S18">
        <v>1199</v>
      </c>
      <c r="T18">
        <v>94</v>
      </c>
      <c r="U18">
        <v>7.84</v>
      </c>
      <c r="V18" t="s">
        <v>33</v>
      </c>
    </row>
    <row r="19" spans="1:22" x14ac:dyDescent="0.35">
      <c r="A19" t="s">
        <v>6537</v>
      </c>
      <c r="B19" t="s">
        <v>53</v>
      </c>
      <c r="C19" t="s">
        <v>27</v>
      </c>
      <c r="D19" t="s">
        <v>6536</v>
      </c>
      <c r="E19" t="s">
        <v>4834</v>
      </c>
      <c r="F19" s="5">
        <v>45514</v>
      </c>
      <c r="G19" t="s">
        <v>126</v>
      </c>
      <c r="H19" t="s">
        <v>6535</v>
      </c>
      <c r="I19" t="s">
        <v>35</v>
      </c>
      <c r="J19" t="s">
        <v>39</v>
      </c>
      <c r="K19" t="s">
        <v>39</v>
      </c>
      <c r="L19" t="s">
        <v>25</v>
      </c>
      <c r="M19" t="s">
        <v>20</v>
      </c>
      <c r="N19">
        <v>2</v>
      </c>
      <c r="O19">
        <v>1041</v>
      </c>
      <c r="P19">
        <v>1399</v>
      </c>
      <c r="Q19">
        <v>5</v>
      </c>
      <c r="R19">
        <v>200</v>
      </c>
      <c r="S19">
        <v>2598</v>
      </c>
      <c r="T19">
        <v>516</v>
      </c>
      <c r="U19">
        <v>19.86</v>
      </c>
      <c r="V19" t="s">
        <v>21</v>
      </c>
    </row>
    <row r="20" spans="1:22" x14ac:dyDescent="0.35">
      <c r="A20" t="s">
        <v>6534</v>
      </c>
      <c r="B20" t="s">
        <v>30</v>
      </c>
      <c r="C20" t="s">
        <v>16</v>
      </c>
      <c r="D20" t="s">
        <v>6533</v>
      </c>
      <c r="E20" t="s">
        <v>6532</v>
      </c>
      <c r="F20" s="5">
        <v>45487</v>
      </c>
      <c r="G20" t="s">
        <v>126</v>
      </c>
      <c r="H20" t="s">
        <v>2446</v>
      </c>
      <c r="I20" t="s">
        <v>31</v>
      </c>
      <c r="J20" t="s">
        <v>32</v>
      </c>
      <c r="K20" t="s">
        <v>32</v>
      </c>
      <c r="L20" t="s">
        <v>25</v>
      </c>
      <c r="M20" t="s">
        <v>19</v>
      </c>
      <c r="N20">
        <v>1</v>
      </c>
      <c r="O20">
        <v>624</v>
      </c>
      <c r="P20">
        <v>899</v>
      </c>
      <c r="Q20">
        <v>0</v>
      </c>
      <c r="R20">
        <v>0</v>
      </c>
      <c r="S20">
        <v>899</v>
      </c>
      <c r="T20">
        <v>275</v>
      </c>
      <c r="U20">
        <v>30.59</v>
      </c>
      <c r="V20" t="s">
        <v>33</v>
      </c>
    </row>
    <row r="21" spans="1:22" x14ac:dyDescent="0.35">
      <c r="A21" t="s">
        <v>6531</v>
      </c>
      <c r="B21" t="s">
        <v>54</v>
      </c>
      <c r="C21" t="s">
        <v>27</v>
      </c>
      <c r="D21" t="s">
        <v>6530</v>
      </c>
      <c r="E21" t="s">
        <v>6529</v>
      </c>
      <c r="F21" s="5">
        <v>45448</v>
      </c>
      <c r="G21" t="s">
        <v>126</v>
      </c>
      <c r="H21" t="s">
        <v>2446</v>
      </c>
      <c r="I21" t="s">
        <v>17</v>
      </c>
      <c r="J21" t="s">
        <v>55</v>
      </c>
      <c r="K21" t="s">
        <v>55</v>
      </c>
      <c r="L21" t="s">
        <v>25</v>
      </c>
      <c r="M21" t="s">
        <v>19</v>
      </c>
      <c r="N21">
        <v>2</v>
      </c>
      <c r="O21">
        <v>195</v>
      </c>
      <c r="P21">
        <v>299</v>
      </c>
      <c r="Q21">
        <v>0</v>
      </c>
      <c r="R21">
        <v>0</v>
      </c>
      <c r="S21">
        <v>598</v>
      </c>
      <c r="T21">
        <v>208</v>
      </c>
      <c r="U21">
        <v>34.78</v>
      </c>
      <c r="V21" t="s">
        <v>21</v>
      </c>
    </row>
    <row r="22" spans="1:22" x14ac:dyDescent="0.35">
      <c r="A22" t="s">
        <v>6528</v>
      </c>
      <c r="B22" t="s">
        <v>56</v>
      </c>
      <c r="C22" t="s">
        <v>27</v>
      </c>
      <c r="D22" t="s">
        <v>6527</v>
      </c>
      <c r="E22" t="s">
        <v>6526</v>
      </c>
      <c r="F22" s="5">
        <v>45580</v>
      </c>
      <c r="G22" t="s">
        <v>126</v>
      </c>
      <c r="H22" t="s">
        <v>6525</v>
      </c>
      <c r="I22" t="s">
        <v>28</v>
      </c>
      <c r="J22" t="s">
        <v>45</v>
      </c>
      <c r="K22" t="s">
        <v>45</v>
      </c>
      <c r="L22" t="s">
        <v>37</v>
      </c>
      <c r="M22" t="s">
        <v>20</v>
      </c>
      <c r="N22">
        <v>3</v>
      </c>
      <c r="O22">
        <v>1177</v>
      </c>
      <c r="P22">
        <v>1699</v>
      </c>
      <c r="Q22">
        <v>10</v>
      </c>
      <c r="R22">
        <v>600</v>
      </c>
      <c r="S22">
        <v>4497</v>
      </c>
      <c r="T22">
        <v>966</v>
      </c>
      <c r="U22">
        <v>21.48</v>
      </c>
      <c r="V22" t="s">
        <v>33</v>
      </c>
    </row>
    <row r="23" spans="1:22" x14ac:dyDescent="0.35">
      <c r="A23" t="s">
        <v>6524</v>
      </c>
      <c r="B23" t="s">
        <v>57</v>
      </c>
      <c r="C23" t="s">
        <v>27</v>
      </c>
      <c r="D23" t="s">
        <v>6523</v>
      </c>
      <c r="E23" t="s">
        <v>6522</v>
      </c>
      <c r="F23" s="5">
        <v>45655</v>
      </c>
      <c r="G23" t="s">
        <v>126</v>
      </c>
      <c r="H23" t="s">
        <v>6521</v>
      </c>
      <c r="I23" t="s">
        <v>23</v>
      </c>
      <c r="J23" t="s">
        <v>142</v>
      </c>
      <c r="K23" t="s">
        <v>43</v>
      </c>
      <c r="L23" t="s">
        <v>25</v>
      </c>
      <c r="M23" t="s">
        <v>19</v>
      </c>
      <c r="N23">
        <v>5</v>
      </c>
      <c r="O23">
        <v>1708</v>
      </c>
      <c r="P23">
        <v>2599</v>
      </c>
      <c r="Q23">
        <v>15</v>
      </c>
      <c r="R23">
        <v>2000</v>
      </c>
      <c r="S23">
        <v>10995</v>
      </c>
      <c r="T23">
        <v>2455</v>
      </c>
      <c r="U23">
        <v>22.33</v>
      </c>
      <c r="V23" t="s">
        <v>21</v>
      </c>
    </row>
    <row r="24" spans="1:22" x14ac:dyDescent="0.35">
      <c r="A24" t="s">
        <v>6520</v>
      </c>
      <c r="B24" t="s">
        <v>46</v>
      </c>
      <c r="C24" t="s">
        <v>16</v>
      </c>
      <c r="D24" t="s">
        <v>6519</v>
      </c>
      <c r="E24" t="s">
        <v>6518</v>
      </c>
      <c r="F24" s="5">
        <v>45603</v>
      </c>
      <c r="G24" t="s">
        <v>126</v>
      </c>
      <c r="H24" t="s">
        <v>3130</v>
      </c>
      <c r="I24" t="s">
        <v>35</v>
      </c>
      <c r="J24" t="s">
        <v>244</v>
      </c>
      <c r="K24" t="s">
        <v>58</v>
      </c>
      <c r="L24" t="s">
        <v>19</v>
      </c>
      <c r="M24" t="s">
        <v>19</v>
      </c>
      <c r="N24">
        <v>1</v>
      </c>
      <c r="O24">
        <v>1161</v>
      </c>
      <c r="P24">
        <v>1699</v>
      </c>
      <c r="Q24">
        <v>10</v>
      </c>
      <c r="R24">
        <v>200</v>
      </c>
      <c r="S24">
        <v>1499</v>
      </c>
      <c r="T24">
        <v>338</v>
      </c>
      <c r="U24">
        <v>22.55</v>
      </c>
      <c r="V24" t="s">
        <v>21</v>
      </c>
    </row>
    <row r="25" spans="1:22" x14ac:dyDescent="0.35">
      <c r="A25" t="s">
        <v>6517</v>
      </c>
      <c r="B25" t="s">
        <v>59</v>
      </c>
      <c r="C25" t="s">
        <v>27</v>
      </c>
      <c r="D25" t="s">
        <v>6516</v>
      </c>
      <c r="E25" t="s">
        <v>3663</v>
      </c>
      <c r="F25" s="5">
        <v>45516</v>
      </c>
      <c r="G25" t="s">
        <v>126</v>
      </c>
      <c r="H25" t="s">
        <v>3011</v>
      </c>
      <c r="I25" t="s">
        <v>23</v>
      </c>
      <c r="J25" t="s">
        <v>164</v>
      </c>
      <c r="K25" t="s">
        <v>24</v>
      </c>
      <c r="L25" t="s">
        <v>25</v>
      </c>
      <c r="M25" t="s">
        <v>20</v>
      </c>
      <c r="N25">
        <v>1</v>
      </c>
      <c r="O25">
        <v>1019</v>
      </c>
      <c r="P25">
        <v>1399</v>
      </c>
      <c r="Q25">
        <v>10</v>
      </c>
      <c r="R25">
        <v>200</v>
      </c>
      <c r="S25">
        <v>1199</v>
      </c>
      <c r="T25">
        <v>180</v>
      </c>
      <c r="U25">
        <v>15.01</v>
      </c>
      <c r="V25" t="s">
        <v>21</v>
      </c>
    </row>
    <row r="26" spans="1:22" x14ac:dyDescent="0.35">
      <c r="A26" t="s">
        <v>6515</v>
      </c>
      <c r="B26" t="s">
        <v>60</v>
      </c>
      <c r="C26" t="s">
        <v>27</v>
      </c>
      <c r="D26" t="s">
        <v>6514</v>
      </c>
      <c r="E26" t="s">
        <v>6513</v>
      </c>
      <c r="F26" s="5">
        <v>45536</v>
      </c>
      <c r="G26" t="s">
        <v>126</v>
      </c>
      <c r="H26" t="s">
        <v>2803</v>
      </c>
      <c r="I26" t="s">
        <v>35</v>
      </c>
      <c r="J26" t="s">
        <v>41</v>
      </c>
      <c r="K26" t="s">
        <v>41</v>
      </c>
      <c r="L26" t="s">
        <v>25</v>
      </c>
      <c r="M26" t="s">
        <v>19</v>
      </c>
      <c r="N26">
        <v>1</v>
      </c>
      <c r="O26">
        <v>392</v>
      </c>
      <c r="P26">
        <v>599</v>
      </c>
      <c r="Q26">
        <v>5</v>
      </c>
      <c r="R26">
        <v>100</v>
      </c>
      <c r="S26">
        <v>499</v>
      </c>
      <c r="T26">
        <v>107</v>
      </c>
      <c r="U26">
        <v>21.44</v>
      </c>
      <c r="V26" t="s">
        <v>33</v>
      </c>
    </row>
    <row r="27" spans="1:22" x14ac:dyDescent="0.35">
      <c r="A27" t="s">
        <v>6512</v>
      </c>
      <c r="B27" t="s">
        <v>61</v>
      </c>
      <c r="C27" t="s">
        <v>27</v>
      </c>
      <c r="D27" t="s">
        <v>6511</v>
      </c>
      <c r="E27" t="s">
        <v>6510</v>
      </c>
      <c r="F27" s="5">
        <v>45453</v>
      </c>
      <c r="G27" t="s">
        <v>126</v>
      </c>
      <c r="H27" t="s">
        <v>6509</v>
      </c>
      <c r="I27" t="s">
        <v>17</v>
      </c>
      <c r="J27" t="s">
        <v>48</v>
      </c>
      <c r="K27" t="s">
        <v>48</v>
      </c>
      <c r="L27" t="s">
        <v>37</v>
      </c>
      <c r="M27" t="s">
        <v>19</v>
      </c>
      <c r="N27">
        <v>1</v>
      </c>
      <c r="O27">
        <v>371</v>
      </c>
      <c r="P27">
        <v>499</v>
      </c>
      <c r="Q27">
        <v>0</v>
      </c>
      <c r="R27">
        <v>0</v>
      </c>
      <c r="S27">
        <v>499</v>
      </c>
      <c r="T27">
        <v>128</v>
      </c>
      <c r="U27">
        <v>25.65</v>
      </c>
      <c r="V27" t="s">
        <v>21</v>
      </c>
    </row>
    <row r="28" spans="1:22" x14ac:dyDescent="0.35">
      <c r="A28" t="s">
        <v>6508</v>
      </c>
      <c r="B28" t="s">
        <v>34</v>
      </c>
      <c r="C28" t="s">
        <v>27</v>
      </c>
      <c r="D28" t="s">
        <v>6507</v>
      </c>
      <c r="E28" t="s">
        <v>1639</v>
      </c>
      <c r="F28" s="5">
        <v>45559</v>
      </c>
      <c r="G28" t="s">
        <v>126</v>
      </c>
      <c r="H28" t="s">
        <v>500</v>
      </c>
      <c r="I28" t="s">
        <v>17</v>
      </c>
      <c r="J28" t="s">
        <v>235</v>
      </c>
      <c r="K28" t="s">
        <v>18</v>
      </c>
      <c r="L28" t="s">
        <v>37</v>
      </c>
      <c r="M28" t="s">
        <v>20</v>
      </c>
      <c r="N28">
        <v>1</v>
      </c>
      <c r="O28">
        <v>307</v>
      </c>
      <c r="P28">
        <v>499</v>
      </c>
      <c r="Q28">
        <v>0</v>
      </c>
      <c r="R28">
        <v>0</v>
      </c>
      <c r="S28">
        <v>499</v>
      </c>
      <c r="T28">
        <v>192</v>
      </c>
      <c r="U28">
        <v>38.479999999999997</v>
      </c>
      <c r="V28" t="s">
        <v>33</v>
      </c>
    </row>
    <row r="29" spans="1:22" x14ac:dyDescent="0.35">
      <c r="A29" t="s">
        <v>6506</v>
      </c>
      <c r="B29" t="s">
        <v>46</v>
      </c>
      <c r="C29" t="s">
        <v>16</v>
      </c>
      <c r="D29" t="s">
        <v>6505</v>
      </c>
      <c r="E29" t="s">
        <v>3124</v>
      </c>
      <c r="F29" s="5">
        <v>45637</v>
      </c>
      <c r="G29" t="s">
        <v>126</v>
      </c>
      <c r="H29" t="s">
        <v>3481</v>
      </c>
      <c r="I29" t="s">
        <v>23</v>
      </c>
      <c r="J29" t="s">
        <v>164</v>
      </c>
      <c r="K29" t="s">
        <v>24</v>
      </c>
      <c r="L29" t="s">
        <v>25</v>
      </c>
      <c r="M29" t="s">
        <v>19</v>
      </c>
      <c r="N29">
        <v>1</v>
      </c>
      <c r="O29">
        <v>1023</v>
      </c>
      <c r="P29">
        <v>1899</v>
      </c>
      <c r="Q29">
        <v>20</v>
      </c>
      <c r="R29">
        <v>400</v>
      </c>
      <c r="S29">
        <v>1499</v>
      </c>
      <c r="T29">
        <v>476</v>
      </c>
      <c r="U29">
        <v>31.75</v>
      </c>
      <c r="V29" t="s">
        <v>33</v>
      </c>
    </row>
    <row r="30" spans="1:22" x14ac:dyDescent="0.35">
      <c r="A30" t="s">
        <v>6504</v>
      </c>
      <c r="B30" t="s">
        <v>62</v>
      </c>
      <c r="C30" t="s">
        <v>16</v>
      </c>
      <c r="D30" t="s">
        <v>6503</v>
      </c>
      <c r="E30" t="s">
        <v>2957</v>
      </c>
      <c r="F30" s="5">
        <v>45539</v>
      </c>
      <c r="G30" t="s">
        <v>126</v>
      </c>
      <c r="H30" t="s">
        <v>1065</v>
      </c>
      <c r="I30" t="s">
        <v>23</v>
      </c>
      <c r="J30" t="s">
        <v>164</v>
      </c>
      <c r="K30" t="s">
        <v>24</v>
      </c>
      <c r="L30" t="s">
        <v>19</v>
      </c>
      <c r="M30" t="s">
        <v>20</v>
      </c>
      <c r="N30">
        <v>2</v>
      </c>
      <c r="O30">
        <v>475</v>
      </c>
      <c r="P30">
        <v>899</v>
      </c>
      <c r="Q30">
        <v>5</v>
      </c>
      <c r="R30">
        <v>200</v>
      </c>
      <c r="S30">
        <v>1598</v>
      </c>
      <c r="T30">
        <v>648</v>
      </c>
      <c r="U30">
        <v>40.549999999999997</v>
      </c>
      <c r="V30" t="s">
        <v>21</v>
      </c>
    </row>
    <row r="31" spans="1:22" x14ac:dyDescent="0.35">
      <c r="A31" t="s">
        <v>6502</v>
      </c>
      <c r="B31" t="s">
        <v>63</v>
      </c>
      <c r="C31" t="s">
        <v>27</v>
      </c>
      <c r="D31" t="s">
        <v>6501</v>
      </c>
      <c r="E31" t="s">
        <v>6500</v>
      </c>
      <c r="F31" s="5">
        <v>45654</v>
      </c>
      <c r="G31" t="s">
        <v>126</v>
      </c>
      <c r="H31" t="s">
        <v>6499</v>
      </c>
      <c r="I31" t="s">
        <v>17</v>
      </c>
      <c r="J31" t="s">
        <v>55</v>
      </c>
      <c r="K31" t="s">
        <v>55</v>
      </c>
      <c r="L31" t="s">
        <v>19</v>
      </c>
      <c r="M31" t="s">
        <v>19</v>
      </c>
      <c r="N31">
        <v>1</v>
      </c>
      <c r="O31">
        <v>539</v>
      </c>
      <c r="P31">
        <v>799</v>
      </c>
      <c r="Q31">
        <v>0</v>
      </c>
      <c r="R31">
        <v>0</v>
      </c>
      <c r="S31">
        <v>799</v>
      </c>
      <c r="T31">
        <v>260</v>
      </c>
      <c r="U31">
        <v>32.54</v>
      </c>
      <c r="V31" t="s">
        <v>21</v>
      </c>
    </row>
    <row r="32" spans="1:22" x14ac:dyDescent="0.35">
      <c r="A32" t="s">
        <v>6498</v>
      </c>
      <c r="B32" t="s">
        <v>64</v>
      </c>
      <c r="C32" t="s">
        <v>16</v>
      </c>
      <c r="D32" t="s">
        <v>6497</v>
      </c>
      <c r="E32" t="s">
        <v>6496</v>
      </c>
      <c r="F32" s="5">
        <v>45594</v>
      </c>
      <c r="G32" t="s">
        <v>126</v>
      </c>
      <c r="H32" t="s">
        <v>5800</v>
      </c>
      <c r="I32" t="s">
        <v>31</v>
      </c>
      <c r="J32" t="s">
        <v>32</v>
      </c>
      <c r="K32" t="s">
        <v>32</v>
      </c>
      <c r="L32" t="s">
        <v>37</v>
      </c>
      <c r="M32" t="s">
        <v>20</v>
      </c>
      <c r="N32">
        <v>2</v>
      </c>
      <c r="O32">
        <v>960</v>
      </c>
      <c r="P32">
        <v>1499</v>
      </c>
      <c r="Q32">
        <v>0</v>
      </c>
      <c r="R32">
        <v>0</v>
      </c>
      <c r="S32">
        <v>2998</v>
      </c>
      <c r="T32">
        <v>1078</v>
      </c>
      <c r="U32">
        <v>35.96</v>
      </c>
      <c r="V32" t="s">
        <v>33</v>
      </c>
    </row>
    <row r="33" spans="1:22" x14ac:dyDescent="0.35">
      <c r="A33" t="s">
        <v>6495</v>
      </c>
      <c r="B33" t="s">
        <v>65</v>
      </c>
      <c r="C33" t="s">
        <v>16</v>
      </c>
      <c r="D33" t="s">
        <v>6494</v>
      </c>
      <c r="E33" t="s">
        <v>6493</v>
      </c>
      <c r="F33" s="5">
        <v>45555</v>
      </c>
      <c r="G33" t="s">
        <v>126</v>
      </c>
      <c r="H33" t="s">
        <v>3831</v>
      </c>
      <c r="I33" t="s">
        <v>23</v>
      </c>
      <c r="J33" t="s">
        <v>142</v>
      </c>
      <c r="K33" t="s">
        <v>43</v>
      </c>
      <c r="L33" t="s">
        <v>25</v>
      </c>
      <c r="M33" t="s">
        <v>20</v>
      </c>
      <c r="N33">
        <v>1</v>
      </c>
      <c r="O33">
        <v>1324</v>
      </c>
      <c r="P33">
        <v>2499</v>
      </c>
      <c r="Q33">
        <v>20</v>
      </c>
      <c r="R33">
        <v>500</v>
      </c>
      <c r="S33">
        <v>1999</v>
      </c>
      <c r="T33">
        <v>675</v>
      </c>
      <c r="U33">
        <v>33.770000000000003</v>
      </c>
      <c r="V33" t="s">
        <v>21</v>
      </c>
    </row>
    <row r="34" spans="1:22" x14ac:dyDescent="0.35">
      <c r="A34" t="s">
        <v>6492</v>
      </c>
      <c r="B34" t="s">
        <v>42</v>
      </c>
      <c r="C34" t="s">
        <v>27</v>
      </c>
      <c r="D34" t="s">
        <v>6491</v>
      </c>
      <c r="E34" t="s">
        <v>6490</v>
      </c>
      <c r="F34" s="5">
        <v>45453</v>
      </c>
      <c r="G34" t="s">
        <v>126</v>
      </c>
      <c r="H34" t="s">
        <v>1545</v>
      </c>
      <c r="I34" t="s">
        <v>23</v>
      </c>
      <c r="J34" t="s">
        <v>164</v>
      </c>
      <c r="K34" t="s">
        <v>24</v>
      </c>
      <c r="L34" t="s">
        <v>25</v>
      </c>
      <c r="M34" t="s">
        <v>20</v>
      </c>
      <c r="N34">
        <v>4</v>
      </c>
      <c r="O34">
        <v>633</v>
      </c>
      <c r="P34">
        <v>1099</v>
      </c>
      <c r="Q34">
        <v>5</v>
      </c>
      <c r="R34">
        <v>400</v>
      </c>
      <c r="S34">
        <v>3996</v>
      </c>
      <c r="T34">
        <v>1464</v>
      </c>
      <c r="U34">
        <v>36.64</v>
      </c>
      <c r="V34" t="s">
        <v>33</v>
      </c>
    </row>
    <row r="35" spans="1:22" x14ac:dyDescent="0.35">
      <c r="A35" t="s">
        <v>6489</v>
      </c>
      <c r="B35" t="s">
        <v>51</v>
      </c>
      <c r="C35" t="s">
        <v>16</v>
      </c>
      <c r="D35" t="s">
        <v>6488</v>
      </c>
      <c r="E35" t="s">
        <v>6487</v>
      </c>
      <c r="F35" s="5">
        <v>45490</v>
      </c>
      <c r="G35" t="s">
        <v>126</v>
      </c>
      <c r="H35" t="s">
        <v>4630</v>
      </c>
      <c r="I35" t="s">
        <v>28</v>
      </c>
      <c r="J35" t="s">
        <v>45</v>
      </c>
      <c r="K35" t="s">
        <v>45</v>
      </c>
      <c r="L35" t="s">
        <v>19</v>
      </c>
      <c r="M35" t="s">
        <v>19</v>
      </c>
      <c r="N35">
        <v>1</v>
      </c>
      <c r="O35">
        <v>619</v>
      </c>
      <c r="P35">
        <v>899</v>
      </c>
      <c r="Q35">
        <v>5</v>
      </c>
      <c r="R35">
        <v>100</v>
      </c>
      <c r="S35">
        <v>799</v>
      </c>
      <c r="T35">
        <v>180</v>
      </c>
      <c r="U35">
        <v>22.53</v>
      </c>
      <c r="V35" t="s">
        <v>21</v>
      </c>
    </row>
    <row r="36" spans="1:22" x14ac:dyDescent="0.35">
      <c r="A36" t="s">
        <v>6486</v>
      </c>
      <c r="B36" t="s">
        <v>15</v>
      </c>
      <c r="C36" t="s">
        <v>16</v>
      </c>
      <c r="D36" t="s">
        <v>6485</v>
      </c>
      <c r="E36" t="s">
        <v>6484</v>
      </c>
      <c r="F36" s="5">
        <v>45476</v>
      </c>
      <c r="G36" t="s">
        <v>126</v>
      </c>
      <c r="H36" t="s">
        <v>1202</v>
      </c>
      <c r="I36" t="s">
        <v>23</v>
      </c>
      <c r="J36" t="s">
        <v>164</v>
      </c>
      <c r="K36" t="s">
        <v>24</v>
      </c>
      <c r="L36" t="s">
        <v>25</v>
      </c>
      <c r="M36" t="s">
        <v>19</v>
      </c>
      <c r="N36">
        <v>3</v>
      </c>
      <c r="O36">
        <v>1258</v>
      </c>
      <c r="P36">
        <v>2199</v>
      </c>
      <c r="Q36">
        <v>5</v>
      </c>
      <c r="R36">
        <v>600</v>
      </c>
      <c r="S36">
        <v>5997</v>
      </c>
      <c r="T36">
        <v>2223</v>
      </c>
      <c r="U36">
        <v>37.07</v>
      </c>
      <c r="V36" t="s">
        <v>21</v>
      </c>
    </row>
    <row r="37" spans="1:22" x14ac:dyDescent="0.35">
      <c r="A37" t="s">
        <v>6483</v>
      </c>
      <c r="B37" t="s">
        <v>63</v>
      </c>
      <c r="C37" t="s">
        <v>27</v>
      </c>
      <c r="D37" t="s">
        <v>6482</v>
      </c>
      <c r="E37" t="s">
        <v>5995</v>
      </c>
      <c r="F37" s="5">
        <v>45563</v>
      </c>
      <c r="G37" t="s">
        <v>126</v>
      </c>
      <c r="H37" t="s">
        <v>3729</v>
      </c>
      <c r="I37" t="s">
        <v>35</v>
      </c>
      <c r="J37" t="s">
        <v>244</v>
      </c>
      <c r="K37" t="s">
        <v>58</v>
      </c>
      <c r="L37" t="s">
        <v>25</v>
      </c>
      <c r="M37" t="s">
        <v>20</v>
      </c>
      <c r="N37">
        <v>1</v>
      </c>
      <c r="O37">
        <v>890</v>
      </c>
      <c r="P37">
        <v>1299</v>
      </c>
      <c r="Q37">
        <v>20</v>
      </c>
      <c r="R37">
        <v>300</v>
      </c>
      <c r="S37">
        <v>999</v>
      </c>
      <c r="T37">
        <v>109</v>
      </c>
      <c r="U37">
        <v>10.91</v>
      </c>
      <c r="V37" t="s">
        <v>21</v>
      </c>
    </row>
    <row r="38" spans="1:22" x14ac:dyDescent="0.35">
      <c r="A38" t="s">
        <v>6481</v>
      </c>
      <c r="B38" t="s">
        <v>66</v>
      </c>
      <c r="C38" t="s">
        <v>27</v>
      </c>
      <c r="D38" t="s">
        <v>6480</v>
      </c>
      <c r="E38" t="s">
        <v>6479</v>
      </c>
      <c r="F38" s="5">
        <v>45579</v>
      </c>
      <c r="G38" t="s">
        <v>126</v>
      </c>
      <c r="H38" t="s">
        <v>125</v>
      </c>
      <c r="I38" t="s">
        <v>23</v>
      </c>
      <c r="J38" t="s">
        <v>142</v>
      </c>
      <c r="K38" t="s">
        <v>43</v>
      </c>
      <c r="L38" t="s">
        <v>25</v>
      </c>
      <c r="M38" t="s">
        <v>20</v>
      </c>
      <c r="N38">
        <v>1</v>
      </c>
      <c r="O38">
        <v>1566</v>
      </c>
      <c r="P38">
        <v>2299</v>
      </c>
      <c r="Q38">
        <v>10</v>
      </c>
      <c r="R38">
        <v>300</v>
      </c>
      <c r="S38">
        <v>1999</v>
      </c>
      <c r="T38">
        <v>433</v>
      </c>
      <c r="U38">
        <v>21.66</v>
      </c>
      <c r="V38" t="s">
        <v>21</v>
      </c>
    </row>
    <row r="39" spans="1:22" x14ac:dyDescent="0.35">
      <c r="A39" t="s">
        <v>6478</v>
      </c>
      <c r="B39" t="s">
        <v>67</v>
      </c>
      <c r="C39" t="s">
        <v>27</v>
      </c>
      <c r="D39" t="s">
        <v>6477</v>
      </c>
      <c r="E39" t="s">
        <v>6476</v>
      </c>
      <c r="F39" s="5">
        <v>45453</v>
      </c>
      <c r="G39" t="s">
        <v>126</v>
      </c>
      <c r="H39" t="s">
        <v>3265</v>
      </c>
      <c r="I39" t="s">
        <v>17</v>
      </c>
      <c r="J39" t="s">
        <v>55</v>
      </c>
      <c r="K39" t="s">
        <v>55</v>
      </c>
      <c r="L39" t="s">
        <v>19</v>
      </c>
      <c r="M39" t="s">
        <v>20</v>
      </c>
      <c r="N39">
        <v>1</v>
      </c>
      <c r="O39">
        <v>355</v>
      </c>
      <c r="P39">
        <v>499</v>
      </c>
      <c r="Q39">
        <v>0</v>
      </c>
      <c r="R39">
        <v>0</v>
      </c>
      <c r="S39">
        <v>499</v>
      </c>
      <c r="T39">
        <v>144</v>
      </c>
      <c r="U39">
        <v>28.86</v>
      </c>
      <c r="V39" t="s">
        <v>21</v>
      </c>
    </row>
    <row r="40" spans="1:22" x14ac:dyDescent="0.35">
      <c r="A40" t="s">
        <v>6475</v>
      </c>
      <c r="B40" t="s">
        <v>68</v>
      </c>
      <c r="C40" t="s">
        <v>16</v>
      </c>
      <c r="D40" t="s">
        <v>6474</v>
      </c>
      <c r="E40" t="s">
        <v>6473</v>
      </c>
      <c r="F40" s="5">
        <v>45472</v>
      </c>
      <c r="G40" t="s">
        <v>126</v>
      </c>
      <c r="H40" t="s">
        <v>5422</v>
      </c>
      <c r="I40" t="s">
        <v>17</v>
      </c>
      <c r="J40" t="s">
        <v>55</v>
      </c>
      <c r="K40" t="s">
        <v>55</v>
      </c>
      <c r="L40" t="s">
        <v>37</v>
      </c>
      <c r="M40" t="s">
        <v>19</v>
      </c>
      <c r="N40">
        <v>4</v>
      </c>
      <c r="O40">
        <v>510</v>
      </c>
      <c r="P40">
        <v>799</v>
      </c>
      <c r="Q40">
        <v>0</v>
      </c>
      <c r="R40">
        <v>0</v>
      </c>
      <c r="S40">
        <v>3196</v>
      </c>
      <c r="T40">
        <v>1156</v>
      </c>
      <c r="U40">
        <v>36.17</v>
      </c>
      <c r="V40" t="s">
        <v>21</v>
      </c>
    </row>
    <row r="41" spans="1:22" x14ac:dyDescent="0.35">
      <c r="A41" t="s">
        <v>6472</v>
      </c>
      <c r="B41" t="s">
        <v>69</v>
      </c>
      <c r="C41" t="s">
        <v>16</v>
      </c>
      <c r="D41" t="s">
        <v>6471</v>
      </c>
      <c r="E41" t="s">
        <v>6470</v>
      </c>
      <c r="F41" s="5">
        <v>45455</v>
      </c>
      <c r="G41" t="s">
        <v>126</v>
      </c>
      <c r="H41" t="s">
        <v>2072</v>
      </c>
      <c r="I41" t="s">
        <v>17</v>
      </c>
      <c r="J41" t="s">
        <v>55</v>
      </c>
      <c r="K41" t="s">
        <v>55</v>
      </c>
      <c r="L41" t="s">
        <v>37</v>
      </c>
      <c r="M41" t="s">
        <v>20</v>
      </c>
      <c r="N41">
        <v>1</v>
      </c>
      <c r="O41">
        <v>534</v>
      </c>
      <c r="P41">
        <v>799</v>
      </c>
      <c r="Q41">
        <v>0</v>
      </c>
      <c r="R41">
        <v>0</v>
      </c>
      <c r="S41">
        <v>799</v>
      </c>
      <c r="T41">
        <v>265</v>
      </c>
      <c r="U41">
        <v>33.17</v>
      </c>
      <c r="V41" t="s">
        <v>21</v>
      </c>
    </row>
    <row r="42" spans="1:22" x14ac:dyDescent="0.35">
      <c r="A42" t="s">
        <v>6469</v>
      </c>
      <c r="B42" t="s">
        <v>70</v>
      </c>
      <c r="C42" t="s">
        <v>27</v>
      </c>
      <c r="D42" t="s">
        <v>6468</v>
      </c>
      <c r="E42" t="s">
        <v>6467</v>
      </c>
      <c r="F42" s="5">
        <v>45477</v>
      </c>
      <c r="G42" t="s">
        <v>126</v>
      </c>
      <c r="H42" t="s">
        <v>4877</v>
      </c>
      <c r="I42" t="s">
        <v>31</v>
      </c>
      <c r="J42" t="s">
        <v>32</v>
      </c>
      <c r="K42" t="s">
        <v>32</v>
      </c>
      <c r="L42" t="s">
        <v>37</v>
      </c>
      <c r="M42" t="s">
        <v>20</v>
      </c>
      <c r="N42">
        <v>3</v>
      </c>
      <c r="O42">
        <v>666</v>
      </c>
      <c r="P42">
        <v>999</v>
      </c>
      <c r="Q42">
        <v>0</v>
      </c>
      <c r="R42">
        <v>0</v>
      </c>
      <c r="S42">
        <v>2997</v>
      </c>
      <c r="T42">
        <v>999</v>
      </c>
      <c r="U42">
        <v>33.33</v>
      </c>
      <c r="V42" t="s">
        <v>21</v>
      </c>
    </row>
    <row r="43" spans="1:22" x14ac:dyDescent="0.35">
      <c r="A43" t="s">
        <v>6466</v>
      </c>
      <c r="B43" t="s">
        <v>71</v>
      </c>
      <c r="C43" t="s">
        <v>16</v>
      </c>
      <c r="D43" t="s">
        <v>6465</v>
      </c>
      <c r="E43" t="s">
        <v>6464</v>
      </c>
      <c r="F43" s="5">
        <v>45593</v>
      </c>
      <c r="G43" t="s">
        <v>126</v>
      </c>
      <c r="H43" t="s">
        <v>1154</v>
      </c>
      <c r="I43" t="s">
        <v>17</v>
      </c>
      <c r="J43" t="s">
        <v>253</v>
      </c>
      <c r="K43" t="s">
        <v>72</v>
      </c>
      <c r="L43" t="s">
        <v>37</v>
      </c>
      <c r="M43" t="s">
        <v>19</v>
      </c>
      <c r="N43">
        <v>2</v>
      </c>
      <c r="O43">
        <v>254</v>
      </c>
      <c r="P43">
        <v>499</v>
      </c>
      <c r="Q43">
        <v>0</v>
      </c>
      <c r="R43">
        <v>0</v>
      </c>
      <c r="S43">
        <v>998</v>
      </c>
      <c r="T43">
        <v>490</v>
      </c>
      <c r="U43">
        <v>49.1</v>
      </c>
      <c r="V43" t="s">
        <v>21</v>
      </c>
    </row>
    <row r="44" spans="1:22" x14ac:dyDescent="0.35">
      <c r="A44" t="s">
        <v>6463</v>
      </c>
      <c r="B44" t="s">
        <v>30</v>
      </c>
      <c r="C44" t="s">
        <v>16</v>
      </c>
      <c r="D44" t="s">
        <v>6462</v>
      </c>
      <c r="E44" t="s">
        <v>6461</v>
      </c>
      <c r="F44" s="5">
        <v>45566</v>
      </c>
      <c r="G44" t="s">
        <v>126</v>
      </c>
      <c r="H44" t="s">
        <v>2956</v>
      </c>
      <c r="I44" t="s">
        <v>23</v>
      </c>
      <c r="J44" t="s">
        <v>164</v>
      </c>
      <c r="K44" t="s">
        <v>24</v>
      </c>
      <c r="L44" t="s">
        <v>37</v>
      </c>
      <c r="M44" t="s">
        <v>20</v>
      </c>
      <c r="N44">
        <v>2</v>
      </c>
      <c r="O44">
        <v>1106</v>
      </c>
      <c r="P44">
        <v>1599</v>
      </c>
      <c r="Q44">
        <v>5</v>
      </c>
      <c r="R44">
        <v>200</v>
      </c>
      <c r="S44">
        <v>2998</v>
      </c>
      <c r="T44">
        <v>786</v>
      </c>
      <c r="U44">
        <v>26.22</v>
      </c>
      <c r="V44" t="s">
        <v>33</v>
      </c>
    </row>
    <row r="45" spans="1:22" x14ac:dyDescent="0.35">
      <c r="A45" t="s">
        <v>6460</v>
      </c>
      <c r="B45" t="s">
        <v>73</v>
      </c>
      <c r="C45" t="s">
        <v>16</v>
      </c>
      <c r="D45" t="s">
        <v>6459</v>
      </c>
      <c r="E45" t="s">
        <v>6458</v>
      </c>
      <c r="F45" s="5">
        <v>45480</v>
      </c>
      <c r="G45" t="s">
        <v>126</v>
      </c>
      <c r="H45" t="s">
        <v>1892</v>
      </c>
      <c r="I45" t="s">
        <v>31</v>
      </c>
      <c r="J45" t="s">
        <v>32</v>
      </c>
      <c r="K45" t="s">
        <v>32</v>
      </c>
      <c r="L45" t="s">
        <v>37</v>
      </c>
      <c r="M45" t="s">
        <v>19</v>
      </c>
      <c r="N45">
        <v>1</v>
      </c>
      <c r="O45">
        <v>555</v>
      </c>
      <c r="P45">
        <v>999</v>
      </c>
      <c r="Q45">
        <v>0</v>
      </c>
      <c r="R45">
        <v>0</v>
      </c>
      <c r="S45">
        <v>999</v>
      </c>
      <c r="T45">
        <v>444</v>
      </c>
      <c r="U45">
        <v>44.44</v>
      </c>
      <c r="V45" t="s">
        <v>21</v>
      </c>
    </row>
    <row r="46" spans="1:22" x14ac:dyDescent="0.35">
      <c r="A46" t="s">
        <v>6457</v>
      </c>
      <c r="B46" t="s">
        <v>74</v>
      </c>
      <c r="C46" t="s">
        <v>16</v>
      </c>
      <c r="D46" t="s">
        <v>6456</v>
      </c>
      <c r="E46" t="s">
        <v>6455</v>
      </c>
      <c r="F46" s="5">
        <v>45451</v>
      </c>
      <c r="G46" t="s">
        <v>126</v>
      </c>
      <c r="H46" t="s">
        <v>2090</v>
      </c>
      <c r="I46" t="s">
        <v>35</v>
      </c>
      <c r="J46" t="s">
        <v>159</v>
      </c>
      <c r="K46" t="s">
        <v>36</v>
      </c>
      <c r="L46" t="s">
        <v>37</v>
      </c>
      <c r="M46" t="s">
        <v>19</v>
      </c>
      <c r="N46">
        <v>1</v>
      </c>
      <c r="O46">
        <v>308</v>
      </c>
      <c r="P46">
        <v>599</v>
      </c>
      <c r="Q46">
        <v>15</v>
      </c>
      <c r="R46">
        <v>100</v>
      </c>
      <c r="S46">
        <v>499</v>
      </c>
      <c r="T46">
        <v>191</v>
      </c>
      <c r="U46">
        <v>38.28</v>
      </c>
      <c r="V46" t="s">
        <v>21</v>
      </c>
    </row>
    <row r="47" spans="1:22" x14ac:dyDescent="0.35">
      <c r="A47" t="s">
        <v>6454</v>
      </c>
      <c r="B47" t="s">
        <v>75</v>
      </c>
      <c r="C47" t="s">
        <v>27</v>
      </c>
      <c r="D47" t="s">
        <v>6453</v>
      </c>
      <c r="E47" t="s">
        <v>6452</v>
      </c>
      <c r="F47" s="5">
        <v>45503</v>
      </c>
      <c r="G47" t="s">
        <v>126</v>
      </c>
      <c r="H47" t="s">
        <v>1390</v>
      </c>
      <c r="I47" t="s">
        <v>35</v>
      </c>
      <c r="J47" t="s">
        <v>244</v>
      </c>
      <c r="K47" t="s">
        <v>58</v>
      </c>
      <c r="L47" t="s">
        <v>25</v>
      </c>
      <c r="M47" t="s">
        <v>19</v>
      </c>
      <c r="N47">
        <v>1</v>
      </c>
      <c r="O47">
        <v>1195</v>
      </c>
      <c r="P47">
        <v>2299</v>
      </c>
      <c r="Q47">
        <v>10</v>
      </c>
      <c r="R47">
        <v>300</v>
      </c>
      <c r="S47">
        <v>1999</v>
      </c>
      <c r="T47">
        <v>804</v>
      </c>
      <c r="U47">
        <v>40.22</v>
      </c>
      <c r="V47" t="s">
        <v>21</v>
      </c>
    </row>
    <row r="48" spans="1:22" x14ac:dyDescent="0.35">
      <c r="A48" t="s">
        <v>6451</v>
      </c>
      <c r="B48" t="s">
        <v>70</v>
      </c>
      <c r="C48" t="s">
        <v>27</v>
      </c>
      <c r="D48" t="s">
        <v>6450</v>
      </c>
      <c r="E48" t="s">
        <v>6449</v>
      </c>
      <c r="F48" s="5">
        <v>45464</v>
      </c>
      <c r="G48" t="s">
        <v>126</v>
      </c>
      <c r="H48" t="s">
        <v>2390</v>
      </c>
      <c r="I48" t="s">
        <v>23</v>
      </c>
      <c r="J48" t="s">
        <v>142</v>
      </c>
      <c r="K48" t="s">
        <v>43</v>
      </c>
      <c r="L48" t="s">
        <v>19</v>
      </c>
      <c r="M48" t="s">
        <v>19</v>
      </c>
      <c r="N48">
        <v>2</v>
      </c>
      <c r="O48">
        <v>2003</v>
      </c>
      <c r="P48">
        <v>3799</v>
      </c>
      <c r="Q48">
        <v>20</v>
      </c>
      <c r="R48">
        <v>1600</v>
      </c>
      <c r="S48">
        <v>5998</v>
      </c>
      <c r="T48">
        <v>1992</v>
      </c>
      <c r="U48">
        <v>33.21</v>
      </c>
      <c r="V48" t="s">
        <v>21</v>
      </c>
    </row>
    <row r="49" spans="1:22" x14ac:dyDescent="0.35">
      <c r="A49" t="s">
        <v>6448</v>
      </c>
      <c r="B49" t="s">
        <v>57</v>
      </c>
      <c r="C49" t="s">
        <v>27</v>
      </c>
      <c r="D49" t="s">
        <v>6447</v>
      </c>
      <c r="E49" t="s">
        <v>6446</v>
      </c>
      <c r="F49" s="5">
        <v>45513</v>
      </c>
      <c r="G49" t="s">
        <v>126</v>
      </c>
      <c r="H49" t="s">
        <v>5929</v>
      </c>
      <c r="I49" t="s">
        <v>23</v>
      </c>
      <c r="J49" t="s">
        <v>164</v>
      </c>
      <c r="K49" t="s">
        <v>24</v>
      </c>
      <c r="L49" t="s">
        <v>19</v>
      </c>
      <c r="M49" t="s">
        <v>19</v>
      </c>
      <c r="N49">
        <v>1</v>
      </c>
      <c r="O49">
        <v>773</v>
      </c>
      <c r="P49">
        <v>1299</v>
      </c>
      <c r="Q49">
        <v>5</v>
      </c>
      <c r="R49">
        <v>100</v>
      </c>
      <c r="S49">
        <v>1199</v>
      </c>
      <c r="T49">
        <v>426</v>
      </c>
      <c r="U49">
        <v>35.53</v>
      </c>
      <c r="V49" t="s">
        <v>21</v>
      </c>
    </row>
    <row r="50" spans="1:22" x14ac:dyDescent="0.35">
      <c r="A50" t="s">
        <v>6445</v>
      </c>
      <c r="B50" t="s">
        <v>64</v>
      </c>
      <c r="C50" t="s">
        <v>16</v>
      </c>
      <c r="D50" t="s">
        <v>6444</v>
      </c>
      <c r="E50" t="s">
        <v>6443</v>
      </c>
      <c r="F50" s="5">
        <v>45549</v>
      </c>
      <c r="G50" t="s">
        <v>126</v>
      </c>
      <c r="H50" t="s">
        <v>575</v>
      </c>
      <c r="I50" t="s">
        <v>31</v>
      </c>
      <c r="J50" t="s">
        <v>76</v>
      </c>
      <c r="K50" t="s">
        <v>76</v>
      </c>
      <c r="L50" t="s">
        <v>19</v>
      </c>
      <c r="M50" t="s">
        <v>20</v>
      </c>
      <c r="N50">
        <v>2</v>
      </c>
      <c r="O50">
        <v>974</v>
      </c>
      <c r="P50">
        <v>1499</v>
      </c>
      <c r="Q50">
        <v>0</v>
      </c>
      <c r="R50">
        <v>0</v>
      </c>
      <c r="S50">
        <v>2998</v>
      </c>
      <c r="T50">
        <v>1050</v>
      </c>
      <c r="U50">
        <v>35.020000000000003</v>
      </c>
      <c r="V50" t="s">
        <v>21</v>
      </c>
    </row>
    <row r="51" spans="1:22" x14ac:dyDescent="0.35">
      <c r="A51" t="s">
        <v>6442</v>
      </c>
      <c r="B51" t="s">
        <v>52</v>
      </c>
      <c r="C51" t="s">
        <v>27</v>
      </c>
      <c r="D51" t="s">
        <v>6441</v>
      </c>
      <c r="E51" t="s">
        <v>6440</v>
      </c>
      <c r="F51" s="5">
        <v>45583</v>
      </c>
      <c r="G51" t="s">
        <v>126</v>
      </c>
      <c r="H51" t="s">
        <v>762</v>
      </c>
      <c r="I51" t="s">
        <v>31</v>
      </c>
      <c r="J51" t="s">
        <v>32</v>
      </c>
      <c r="K51" t="s">
        <v>32</v>
      </c>
      <c r="L51" t="s">
        <v>37</v>
      </c>
      <c r="M51" t="s">
        <v>19</v>
      </c>
      <c r="N51">
        <v>5</v>
      </c>
      <c r="O51">
        <v>461</v>
      </c>
      <c r="P51">
        <v>899</v>
      </c>
      <c r="Q51">
        <v>0</v>
      </c>
      <c r="R51">
        <v>0</v>
      </c>
      <c r="S51">
        <v>4495</v>
      </c>
      <c r="T51">
        <v>2190</v>
      </c>
      <c r="U51">
        <v>48.72</v>
      </c>
      <c r="V51" t="s">
        <v>21</v>
      </c>
    </row>
    <row r="52" spans="1:22" x14ac:dyDescent="0.35">
      <c r="A52" t="s">
        <v>6439</v>
      </c>
      <c r="B52" t="s">
        <v>15</v>
      </c>
      <c r="C52" t="s">
        <v>16</v>
      </c>
      <c r="D52" t="s">
        <v>6438</v>
      </c>
      <c r="E52" t="s">
        <v>6437</v>
      </c>
      <c r="F52" s="5">
        <v>45624</v>
      </c>
      <c r="G52" t="s">
        <v>126</v>
      </c>
      <c r="H52" t="s">
        <v>6436</v>
      </c>
      <c r="I52" t="s">
        <v>17</v>
      </c>
      <c r="J52" t="s">
        <v>55</v>
      </c>
      <c r="K52" t="s">
        <v>55</v>
      </c>
      <c r="L52" t="s">
        <v>25</v>
      </c>
      <c r="M52" t="s">
        <v>19</v>
      </c>
      <c r="N52">
        <v>1</v>
      </c>
      <c r="O52">
        <v>212</v>
      </c>
      <c r="P52">
        <v>299</v>
      </c>
      <c r="Q52">
        <v>0</v>
      </c>
      <c r="R52">
        <v>0</v>
      </c>
      <c r="S52">
        <v>299</v>
      </c>
      <c r="T52">
        <v>87</v>
      </c>
      <c r="U52">
        <v>29.1</v>
      </c>
      <c r="V52" t="s">
        <v>21</v>
      </c>
    </row>
    <row r="53" spans="1:22" x14ac:dyDescent="0.35">
      <c r="A53" t="s">
        <v>6435</v>
      </c>
      <c r="B53" t="s">
        <v>77</v>
      </c>
      <c r="C53" t="s">
        <v>27</v>
      </c>
      <c r="D53" t="s">
        <v>6434</v>
      </c>
      <c r="E53" t="s">
        <v>6433</v>
      </c>
      <c r="F53" s="5">
        <v>45452</v>
      </c>
      <c r="G53" t="s">
        <v>126</v>
      </c>
      <c r="H53" t="s">
        <v>1667</v>
      </c>
      <c r="I53" t="s">
        <v>35</v>
      </c>
      <c r="J53" t="s">
        <v>41</v>
      </c>
      <c r="K53" t="s">
        <v>41</v>
      </c>
      <c r="L53" t="s">
        <v>37</v>
      </c>
      <c r="M53" t="s">
        <v>20</v>
      </c>
      <c r="N53">
        <v>1</v>
      </c>
      <c r="O53">
        <v>589</v>
      </c>
      <c r="P53">
        <v>999</v>
      </c>
      <c r="Q53">
        <v>15</v>
      </c>
      <c r="R53">
        <v>200</v>
      </c>
      <c r="S53">
        <v>799</v>
      </c>
      <c r="T53">
        <v>210</v>
      </c>
      <c r="U53">
        <v>26.28</v>
      </c>
      <c r="V53" t="s">
        <v>21</v>
      </c>
    </row>
    <row r="54" spans="1:22" x14ac:dyDescent="0.35">
      <c r="A54" t="s">
        <v>6432</v>
      </c>
      <c r="B54" t="s">
        <v>34</v>
      </c>
      <c r="C54" t="s">
        <v>27</v>
      </c>
      <c r="D54" t="s">
        <v>6431</v>
      </c>
      <c r="E54" t="s">
        <v>6430</v>
      </c>
      <c r="F54" s="5">
        <v>45648</v>
      </c>
      <c r="G54" t="s">
        <v>126</v>
      </c>
      <c r="H54" t="s">
        <v>1801</v>
      </c>
      <c r="I54" t="s">
        <v>31</v>
      </c>
      <c r="J54" t="s">
        <v>76</v>
      </c>
      <c r="K54" t="s">
        <v>76</v>
      </c>
      <c r="L54" t="s">
        <v>19</v>
      </c>
      <c r="M54" t="s">
        <v>19</v>
      </c>
      <c r="N54">
        <v>5</v>
      </c>
      <c r="O54">
        <v>352</v>
      </c>
      <c r="P54">
        <v>699</v>
      </c>
      <c r="Q54">
        <v>0</v>
      </c>
      <c r="R54">
        <v>0</v>
      </c>
      <c r="S54">
        <v>3495</v>
      </c>
      <c r="T54">
        <v>1735</v>
      </c>
      <c r="U54">
        <v>49.64</v>
      </c>
      <c r="V54" t="s">
        <v>21</v>
      </c>
    </row>
    <row r="55" spans="1:22" x14ac:dyDescent="0.35">
      <c r="A55" t="s">
        <v>6429</v>
      </c>
      <c r="B55" t="s">
        <v>78</v>
      </c>
      <c r="C55" t="s">
        <v>16</v>
      </c>
      <c r="D55" t="s">
        <v>6428</v>
      </c>
      <c r="E55" t="s">
        <v>6050</v>
      </c>
      <c r="F55" s="5">
        <v>45592</v>
      </c>
      <c r="G55" t="s">
        <v>126</v>
      </c>
      <c r="H55" t="s">
        <v>4823</v>
      </c>
      <c r="I55" t="s">
        <v>35</v>
      </c>
      <c r="J55" t="s">
        <v>159</v>
      </c>
      <c r="K55" t="s">
        <v>36</v>
      </c>
      <c r="L55" t="s">
        <v>25</v>
      </c>
      <c r="M55" t="s">
        <v>19</v>
      </c>
      <c r="N55">
        <v>1</v>
      </c>
      <c r="O55">
        <v>341</v>
      </c>
      <c r="P55">
        <v>499</v>
      </c>
      <c r="Q55">
        <v>20</v>
      </c>
      <c r="R55">
        <v>100</v>
      </c>
      <c r="S55">
        <v>399</v>
      </c>
      <c r="T55">
        <v>58</v>
      </c>
      <c r="U55">
        <v>14.54</v>
      </c>
      <c r="V55" t="s">
        <v>33</v>
      </c>
    </row>
    <row r="56" spans="1:22" x14ac:dyDescent="0.35">
      <c r="A56" t="s">
        <v>6427</v>
      </c>
      <c r="B56" t="s">
        <v>79</v>
      </c>
      <c r="C56" t="s">
        <v>16</v>
      </c>
      <c r="D56" t="s">
        <v>6426</v>
      </c>
      <c r="E56" t="s">
        <v>6425</v>
      </c>
      <c r="F56" s="5">
        <v>45458</v>
      </c>
      <c r="G56" t="s">
        <v>126</v>
      </c>
      <c r="H56" t="s">
        <v>1404</v>
      </c>
      <c r="I56" t="s">
        <v>17</v>
      </c>
      <c r="J56" t="s">
        <v>55</v>
      </c>
      <c r="K56" t="s">
        <v>55</v>
      </c>
      <c r="L56" t="s">
        <v>25</v>
      </c>
      <c r="M56" t="s">
        <v>19</v>
      </c>
      <c r="N56">
        <v>1</v>
      </c>
      <c r="O56">
        <v>289</v>
      </c>
      <c r="P56">
        <v>399</v>
      </c>
      <c r="Q56">
        <v>0</v>
      </c>
      <c r="R56">
        <v>0</v>
      </c>
      <c r="S56">
        <v>399</v>
      </c>
      <c r="T56">
        <v>110</v>
      </c>
      <c r="U56">
        <v>27.57</v>
      </c>
      <c r="V56" t="s">
        <v>21</v>
      </c>
    </row>
    <row r="57" spans="1:22" x14ac:dyDescent="0.35">
      <c r="A57" t="s">
        <v>6424</v>
      </c>
      <c r="B57" t="s">
        <v>80</v>
      </c>
      <c r="C57" t="s">
        <v>27</v>
      </c>
      <c r="D57" t="s">
        <v>6423</v>
      </c>
      <c r="E57" t="s">
        <v>3053</v>
      </c>
      <c r="F57" s="5">
        <v>45526</v>
      </c>
      <c r="G57" t="s">
        <v>126</v>
      </c>
      <c r="H57" t="s">
        <v>2898</v>
      </c>
      <c r="I57" t="s">
        <v>17</v>
      </c>
      <c r="J57" t="s">
        <v>48</v>
      </c>
      <c r="K57" t="s">
        <v>48</v>
      </c>
      <c r="L57" t="s">
        <v>37</v>
      </c>
      <c r="M57" t="s">
        <v>20</v>
      </c>
      <c r="N57">
        <v>1</v>
      </c>
      <c r="O57">
        <v>396</v>
      </c>
      <c r="P57">
        <v>599</v>
      </c>
      <c r="Q57">
        <v>0</v>
      </c>
      <c r="R57">
        <v>0</v>
      </c>
      <c r="S57">
        <v>599</v>
      </c>
      <c r="T57">
        <v>203</v>
      </c>
      <c r="U57">
        <v>33.89</v>
      </c>
      <c r="V57" t="s">
        <v>33</v>
      </c>
    </row>
    <row r="58" spans="1:22" x14ac:dyDescent="0.35">
      <c r="A58" t="s">
        <v>6422</v>
      </c>
      <c r="B58" t="s">
        <v>81</v>
      </c>
      <c r="C58" t="s">
        <v>27</v>
      </c>
      <c r="D58" t="s">
        <v>6421</v>
      </c>
      <c r="E58" t="s">
        <v>803</v>
      </c>
      <c r="F58" s="5">
        <v>45529</v>
      </c>
      <c r="G58" t="s">
        <v>126</v>
      </c>
      <c r="H58" t="s">
        <v>906</v>
      </c>
      <c r="I58" t="s">
        <v>28</v>
      </c>
      <c r="J58" t="s">
        <v>201</v>
      </c>
      <c r="K58" t="s">
        <v>29</v>
      </c>
      <c r="L58" t="s">
        <v>25</v>
      </c>
      <c r="M58" t="s">
        <v>19</v>
      </c>
      <c r="N58">
        <v>1</v>
      </c>
      <c r="O58">
        <v>483</v>
      </c>
      <c r="P58">
        <v>799</v>
      </c>
      <c r="Q58">
        <v>15</v>
      </c>
      <c r="R58">
        <v>200</v>
      </c>
      <c r="S58">
        <v>599</v>
      </c>
      <c r="T58">
        <v>116</v>
      </c>
      <c r="U58">
        <v>19.37</v>
      </c>
      <c r="V58" t="s">
        <v>21</v>
      </c>
    </row>
    <row r="59" spans="1:22" x14ac:dyDescent="0.35">
      <c r="A59" t="s">
        <v>6420</v>
      </c>
      <c r="B59" t="s">
        <v>40</v>
      </c>
      <c r="C59" t="s">
        <v>27</v>
      </c>
      <c r="D59" t="s">
        <v>6419</v>
      </c>
      <c r="E59" t="s">
        <v>6418</v>
      </c>
      <c r="F59" s="5">
        <v>45470</v>
      </c>
      <c r="G59" t="s">
        <v>126</v>
      </c>
      <c r="H59" t="s">
        <v>2250</v>
      </c>
      <c r="I59" t="s">
        <v>35</v>
      </c>
      <c r="J59" t="s">
        <v>159</v>
      </c>
      <c r="K59" t="s">
        <v>36</v>
      </c>
      <c r="L59" t="s">
        <v>19</v>
      </c>
      <c r="M59" t="s">
        <v>19</v>
      </c>
      <c r="N59">
        <v>1</v>
      </c>
      <c r="O59">
        <v>322</v>
      </c>
      <c r="P59">
        <v>499</v>
      </c>
      <c r="Q59">
        <v>10</v>
      </c>
      <c r="R59">
        <v>100</v>
      </c>
      <c r="S59">
        <v>399</v>
      </c>
      <c r="T59">
        <v>77</v>
      </c>
      <c r="U59">
        <v>19.3</v>
      </c>
      <c r="V59" t="s">
        <v>21</v>
      </c>
    </row>
    <row r="60" spans="1:22" x14ac:dyDescent="0.35">
      <c r="A60" t="s">
        <v>6417</v>
      </c>
      <c r="B60" t="s">
        <v>80</v>
      </c>
      <c r="C60" t="s">
        <v>27</v>
      </c>
      <c r="D60" t="s">
        <v>6416</v>
      </c>
      <c r="E60" t="s">
        <v>2711</v>
      </c>
      <c r="F60" s="5">
        <v>45454</v>
      </c>
      <c r="G60" t="s">
        <v>126</v>
      </c>
      <c r="H60" t="s">
        <v>6415</v>
      </c>
      <c r="I60" t="s">
        <v>23</v>
      </c>
      <c r="J60" t="s">
        <v>142</v>
      </c>
      <c r="K60" t="s">
        <v>43</v>
      </c>
      <c r="L60" t="s">
        <v>19</v>
      </c>
      <c r="M60" t="s">
        <v>20</v>
      </c>
      <c r="N60">
        <v>1</v>
      </c>
      <c r="O60">
        <v>1444</v>
      </c>
      <c r="P60">
        <v>2699</v>
      </c>
      <c r="Q60">
        <v>5</v>
      </c>
      <c r="R60">
        <v>200</v>
      </c>
      <c r="S60">
        <v>2499</v>
      </c>
      <c r="T60">
        <v>1055</v>
      </c>
      <c r="U60">
        <v>42.22</v>
      </c>
      <c r="V60" t="s">
        <v>21</v>
      </c>
    </row>
    <row r="61" spans="1:22" x14ac:dyDescent="0.35">
      <c r="A61" t="s">
        <v>6414</v>
      </c>
      <c r="B61" t="s">
        <v>77</v>
      </c>
      <c r="C61" t="s">
        <v>27</v>
      </c>
      <c r="D61" t="s">
        <v>6413</v>
      </c>
      <c r="E61" t="s">
        <v>6412</v>
      </c>
      <c r="F61" s="5">
        <v>45485</v>
      </c>
      <c r="G61" t="s">
        <v>126</v>
      </c>
      <c r="H61" t="s">
        <v>1902</v>
      </c>
      <c r="I61" t="s">
        <v>35</v>
      </c>
      <c r="J61" t="s">
        <v>244</v>
      </c>
      <c r="K61" t="s">
        <v>58</v>
      </c>
      <c r="L61" t="s">
        <v>37</v>
      </c>
      <c r="M61" t="s">
        <v>20</v>
      </c>
      <c r="N61">
        <v>4</v>
      </c>
      <c r="O61">
        <v>1037</v>
      </c>
      <c r="P61">
        <v>1799</v>
      </c>
      <c r="Q61">
        <v>15</v>
      </c>
      <c r="R61">
        <v>1200</v>
      </c>
      <c r="S61">
        <v>5996</v>
      </c>
      <c r="T61">
        <v>1848</v>
      </c>
      <c r="U61">
        <v>30.82</v>
      </c>
      <c r="V61" t="s">
        <v>33</v>
      </c>
    </row>
    <row r="62" spans="1:22" x14ac:dyDescent="0.35">
      <c r="A62" t="s">
        <v>6411</v>
      </c>
      <c r="B62" t="s">
        <v>42</v>
      </c>
      <c r="C62" t="s">
        <v>27</v>
      </c>
      <c r="D62" t="s">
        <v>6410</v>
      </c>
      <c r="E62" t="s">
        <v>6409</v>
      </c>
      <c r="F62" s="5">
        <v>45535</v>
      </c>
      <c r="G62" t="s">
        <v>126</v>
      </c>
      <c r="H62" t="s">
        <v>3768</v>
      </c>
      <c r="I62" t="s">
        <v>31</v>
      </c>
      <c r="J62" t="s">
        <v>76</v>
      </c>
      <c r="K62" t="s">
        <v>76</v>
      </c>
      <c r="L62" t="s">
        <v>25</v>
      </c>
      <c r="M62" t="s">
        <v>19</v>
      </c>
      <c r="N62">
        <v>1</v>
      </c>
      <c r="O62">
        <v>873</v>
      </c>
      <c r="P62">
        <v>1499</v>
      </c>
      <c r="Q62">
        <v>0</v>
      </c>
      <c r="R62">
        <v>0</v>
      </c>
      <c r="S62">
        <v>1499</v>
      </c>
      <c r="T62">
        <v>626</v>
      </c>
      <c r="U62">
        <v>41.76</v>
      </c>
      <c r="V62" t="s">
        <v>21</v>
      </c>
    </row>
    <row r="63" spans="1:22" x14ac:dyDescent="0.35">
      <c r="A63" t="s">
        <v>6408</v>
      </c>
      <c r="B63" t="s">
        <v>82</v>
      </c>
      <c r="C63" t="s">
        <v>27</v>
      </c>
      <c r="D63" t="s">
        <v>6407</v>
      </c>
      <c r="E63" t="s">
        <v>5030</v>
      </c>
      <c r="F63" s="5">
        <v>45460</v>
      </c>
      <c r="G63" t="s">
        <v>126</v>
      </c>
      <c r="H63" t="s">
        <v>3382</v>
      </c>
      <c r="I63" t="s">
        <v>28</v>
      </c>
      <c r="J63" t="s">
        <v>45</v>
      </c>
      <c r="K63" t="s">
        <v>45</v>
      </c>
      <c r="L63" t="s">
        <v>37</v>
      </c>
      <c r="M63" t="s">
        <v>20</v>
      </c>
      <c r="N63">
        <v>1</v>
      </c>
      <c r="O63">
        <v>1286</v>
      </c>
      <c r="P63">
        <v>1899</v>
      </c>
      <c r="Q63">
        <v>5</v>
      </c>
      <c r="R63">
        <v>100</v>
      </c>
      <c r="S63">
        <v>1799</v>
      </c>
      <c r="T63">
        <v>513</v>
      </c>
      <c r="U63">
        <v>28.52</v>
      </c>
      <c r="V63" t="s">
        <v>33</v>
      </c>
    </row>
    <row r="64" spans="1:22" x14ac:dyDescent="0.35">
      <c r="A64" t="s">
        <v>6406</v>
      </c>
      <c r="B64" t="s">
        <v>83</v>
      </c>
      <c r="C64" t="s">
        <v>27</v>
      </c>
      <c r="D64" t="s">
        <v>6405</v>
      </c>
      <c r="E64" t="s">
        <v>463</v>
      </c>
      <c r="F64" s="5">
        <v>45505</v>
      </c>
      <c r="G64" t="s">
        <v>126</v>
      </c>
      <c r="H64" t="s">
        <v>6404</v>
      </c>
      <c r="I64" t="s">
        <v>35</v>
      </c>
      <c r="J64" t="s">
        <v>41</v>
      </c>
      <c r="K64" t="s">
        <v>41</v>
      </c>
      <c r="L64" t="s">
        <v>37</v>
      </c>
      <c r="M64" t="s">
        <v>20</v>
      </c>
      <c r="N64">
        <v>2</v>
      </c>
      <c r="O64">
        <v>435</v>
      </c>
      <c r="P64">
        <v>599</v>
      </c>
      <c r="Q64">
        <v>5</v>
      </c>
      <c r="R64">
        <v>200</v>
      </c>
      <c r="S64">
        <v>998</v>
      </c>
      <c r="T64">
        <v>128</v>
      </c>
      <c r="U64">
        <v>12.83</v>
      </c>
      <c r="V64" t="s">
        <v>21</v>
      </c>
    </row>
    <row r="65" spans="1:22" x14ac:dyDescent="0.35">
      <c r="A65" t="s">
        <v>6403</v>
      </c>
      <c r="B65" t="s">
        <v>74</v>
      </c>
      <c r="C65" t="s">
        <v>16</v>
      </c>
      <c r="D65" t="s">
        <v>6402</v>
      </c>
      <c r="E65" t="s">
        <v>6401</v>
      </c>
      <c r="F65" s="5">
        <v>45628</v>
      </c>
      <c r="G65" t="s">
        <v>126</v>
      </c>
      <c r="H65" t="s">
        <v>2097</v>
      </c>
      <c r="I65" t="s">
        <v>35</v>
      </c>
      <c r="J65" t="s">
        <v>159</v>
      </c>
      <c r="K65" t="s">
        <v>36</v>
      </c>
      <c r="L65" t="s">
        <v>37</v>
      </c>
      <c r="M65" t="s">
        <v>20</v>
      </c>
      <c r="N65">
        <v>4</v>
      </c>
      <c r="O65">
        <v>253</v>
      </c>
      <c r="P65">
        <v>399</v>
      </c>
      <c r="Q65">
        <v>15</v>
      </c>
      <c r="R65">
        <v>400</v>
      </c>
      <c r="S65">
        <v>1196</v>
      </c>
      <c r="T65">
        <v>184</v>
      </c>
      <c r="U65">
        <v>15.38</v>
      </c>
      <c r="V65" t="s">
        <v>33</v>
      </c>
    </row>
    <row r="66" spans="1:22" x14ac:dyDescent="0.35">
      <c r="A66" t="s">
        <v>6400</v>
      </c>
      <c r="B66" t="s">
        <v>83</v>
      </c>
      <c r="C66" t="s">
        <v>27</v>
      </c>
      <c r="D66" t="s">
        <v>6399</v>
      </c>
      <c r="E66" t="s">
        <v>6398</v>
      </c>
      <c r="F66" s="5">
        <v>45644</v>
      </c>
      <c r="G66" t="s">
        <v>126</v>
      </c>
      <c r="H66" t="s">
        <v>2185</v>
      </c>
      <c r="I66" t="s">
        <v>17</v>
      </c>
      <c r="J66" t="s">
        <v>48</v>
      </c>
      <c r="K66" t="s">
        <v>48</v>
      </c>
      <c r="L66" t="s">
        <v>37</v>
      </c>
      <c r="M66" t="s">
        <v>19</v>
      </c>
      <c r="N66">
        <v>5</v>
      </c>
      <c r="O66">
        <v>256</v>
      </c>
      <c r="P66">
        <v>399</v>
      </c>
      <c r="Q66">
        <v>0</v>
      </c>
      <c r="R66">
        <v>0</v>
      </c>
      <c r="S66">
        <v>1995</v>
      </c>
      <c r="T66">
        <v>715</v>
      </c>
      <c r="U66">
        <v>35.840000000000003</v>
      </c>
      <c r="V66" t="s">
        <v>21</v>
      </c>
    </row>
    <row r="67" spans="1:22" x14ac:dyDescent="0.35">
      <c r="A67" t="s">
        <v>6397</v>
      </c>
      <c r="B67" t="s">
        <v>84</v>
      </c>
      <c r="C67" t="s">
        <v>27</v>
      </c>
      <c r="D67" t="s">
        <v>6396</v>
      </c>
      <c r="E67" t="s">
        <v>6395</v>
      </c>
      <c r="F67" s="5">
        <v>45449</v>
      </c>
      <c r="G67" t="s">
        <v>126</v>
      </c>
      <c r="H67" t="s">
        <v>2189</v>
      </c>
      <c r="I67" t="s">
        <v>17</v>
      </c>
      <c r="J67" t="s">
        <v>235</v>
      </c>
      <c r="K67" t="s">
        <v>18</v>
      </c>
      <c r="L67" t="s">
        <v>37</v>
      </c>
      <c r="M67" t="s">
        <v>19</v>
      </c>
      <c r="N67">
        <v>1</v>
      </c>
      <c r="O67">
        <v>277</v>
      </c>
      <c r="P67">
        <v>499</v>
      </c>
      <c r="Q67">
        <v>0</v>
      </c>
      <c r="R67">
        <v>0</v>
      </c>
      <c r="S67">
        <v>499</v>
      </c>
      <c r="T67">
        <v>222</v>
      </c>
      <c r="U67">
        <v>44.49</v>
      </c>
      <c r="V67" t="s">
        <v>33</v>
      </c>
    </row>
    <row r="68" spans="1:22" x14ac:dyDescent="0.35">
      <c r="A68" t="s">
        <v>6394</v>
      </c>
      <c r="B68" t="s">
        <v>54</v>
      </c>
      <c r="C68" t="s">
        <v>27</v>
      </c>
      <c r="D68" t="s">
        <v>6393</v>
      </c>
      <c r="E68" t="s">
        <v>6392</v>
      </c>
      <c r="F68" s="5">
        <v>45612</v>
      </c>
      <c r="G68" t="s">
        <v>126</v>
      </c>
      <c r="H68" t="s">
        <v>707</v>
      </c>
      <c r="I68" t="s">
        <v>28</v>
      </c>
      <c r="J68" t="s">
        <v>45</v>
      </c>
      <c r="K68" t="s">
        <v>45</v>
      </c>
      <c r="L68" t="s">
        <v>19</v>
      </c>
      <c r="M68" t="s">
        <v>19</v>
      </c>
      <c r="N68">
        <v>5</v>
      </c>
      <c r="O68">
        <v>843</v>
      </c>
      <c r="P68">
        <v>1599</v>
      </c>
      <c r="Q68">
        <v>5</v>
      </c>
      <c r="R68">
        <v>500</v>
      </c>
      <c r="S68">
        <v>7495</v>
      </c>
      <c r="T68">
        <v>3280</v>
      </c>
      <c r="U68">
        <v>43.76</v>
      </c>
      <c r="V68" t="s">
        <v>33</v>
      </c>
    </row>
    <row r="69" spans="1:22" x14ac:dyDescent="0.35">
      <c r="A69" t="s">
        <v>6391</v>
      </c>
      <c r="B69" t="s">
        <v>85</v>
      </c>
      <c r="C69" t="s">
        <v>27</v>
      </c>
      <c r="D69" t="s">
        <v>6390</v>
      </c>
      <c r="E69" t="s">
        <v>412</v>
      </c>
      <c r="F69" s="5">
        <v>45586</v>
      </c>
      <c r="G69" t="s">
        <v>126</v>
      </c>
      <c r="H69" t="s">
        <v>641</v>
      </c>
      <c r="I69" t="s">
        <v>35</v>
      </c>
      <c r="J69" t="s">
        <v>39</v>
      </c>
      <c r="K69" t="s">
        <v>39</v>
      </c>
      <c r="L69" t="s">
        <v>37</v>
      </c>
      <c r="M69" t="s">
        <v>20</v>
      </c>
      <c r="N69">
        <v>4</v>
      </c>
      <c r="O69">
        <v>642</v>
      </c>
      <c r="P69">
        <v>899</v>
      </c>
      <c r="Q69">
        <v>20</v>
      </c>
      <c r="R69">
        <v>800</v>
      </c>
      <c r="S69">
        <v>2796</v>
      </c>
      <c r="T69">
        <v>228</v>
      </c>
      <c r="U69">
        <v>8.15</v>
      </c>
      <c r="V69" t="s">
        <v>21</v>
      </c>
    </row>
    <row r="70" spans="1:22" x14ac:dyDescent="0.35">
      <c r="A70" t="s">
        <v>6389</v>
      </c>
      <c r="B70" t="s">
        <v>86</v>
      </c>
      <c r="C70" t="s">
        <v>27</v>
      </c>
      <c r="D70" t="s">
        <v>6388</v>
      </c>
      <c r="E70" t="s">
        <v>6387</v>
      </c>
      <c r="F70" s="5">
        <v>45543</v>
      </c>
      <c r="G70" t="s">
        <v>126</v>
      </c>
      <c r="H70" t="s">
        <v>6386</v>
      </c>
      <c r="I70" t="s">
        <v>28</v>
      </c>
      <c r="J70" t="s">
        <v>45</v>
      </c>
      <c r="K70" t="s">
        <v>45</v>
      </c>
      <c r="L70" t="s">
        <v>25</v>
      </c>
      <c r="M70" t="s">
        <v>19</v>
      </c>
      <c r="N70">
        <v>2</v>
      </c>
      <c r="O70">
        <v>557</v>
      </c>
      <c r="P70">
        <v>899</v>
      </c>
      <c r="Q70">
        <v>10</v>
      </c>
      <c r="R70">
        <v>200</v>
      </c>
      <c r="S70">
        <v>1598</v>
      </c>
      <c r="T70">
        <v>484</v>
      </c>
      <c r="U70">
        <v>30.29</v>
      </c>
      <c r="V70" t="s">
        <v>21</v>
      </c>
    </row>
    <row r="71" spans="1:22" x14ac:dyDescent="0.35">
      <c r="A71" t="s">
        <v>6385</v>
      </c>
      <c r="B71" t="s">
        <v>54</v>
      </c>
      <c r="C71" t="s">
        <v>27</v>
      </c>
      <c r="D71" t="s">
        <v>6384</v>
      </c>
      <c r="E71" t="s">
        <v>6383</v>
      </c>
      <c r="F71" s="5">
        <v>45481</v>
      </c>
      <c r="G71" t="s">
        <v>126</v>
      </c>
      <c r="H71" t="s">
        <v>579</v>
      </c>
      <c r="I71" t="s">
        <v>35</v>
      </c>
      <c r="J71" t="s">
        <v>214</v>
      </c>
      <c r="K71" t="s">
        <v>87</v>
      </c>
      <c r="L71" t="s">
        <v>37</v>
      </c>
      <c r="M71" t="s">
        <v>19</v>
      </c>
      <c r="N71">
        <v>1</v>
      </c>
      <c r="O71">
        <v>1493</v>
      </c>
      <c r="P71">
        <v>2799</v>
      </c>
      <c r="Q71">
        <v>10</v>
      </c>
      <c r="R71">
        <v>300</v>
      </c>
      <c r="S71">
        <v>2499</v>
      </c>
      <c r="T71">
        <v>1006</v>
      </c>
      <c r="U71">
        <v>40.26</v>
      </c>
      <c r="V71" t="s">
        <v>21</v>
      </c>
    </row>
    <row r="72" spans="1:22" x14ac:dyDescent="0.35">
      <c r="A72" t="s">
        <v>6382</v>
      </c>
      <c r="B72" t="s">
        <v>88</v>
      </c>
      <c r="C72" t="s">
        <v>27</v>
      </c>
      <c r="D72" t="s">
        <v>6381</v>
      </c>
      <c r="E72" t="s">
        <v>6380</v>
      </c>
      <c r="F72" s="5">
        <v>45591</v>
      </c>
      <c r="G72" t="s">
        <v>126</v>
      </c>
      <c r="H72" t="s">
        <v>4174</v>
      </c>
      <c r="I72" t="s">
        <v>35</v>
      </c>
      <c r="J72" t="s">
        <v>41</v>
      </c>
      <c r="K72" t="s">
        <v>41</v>
      </c>
      <c r="L72" t="s">
        <v>37</v>
      </c>
      <c r="M72" t="s">
        <v>20</v>
      </c>
      <c r="N72">
        <v>2</v>
      </c>
      <c r="O72">
        <v>605</v>
      </c>
      <c r="P72">
        <v>999</v>
      </c>
      <c r="Q72">
        <v>20</v>
      </c>
      <c r="R72">
        <v>400</v>
      </c>
      <c r="S72">
        <v>1598</v>
      </c>
      <c r="T72">
        <v>388</v>
      </c>
      <c r="U72">
        <v>24.28</v>
      </c>
      <c r="V72" t="s">
        <v>21</v>
      </c>
    </row>
    <row r="73" spans="1:22" x14ac:dyDescent="0.35">
      <c r="A73" t="s">
        <v>6379</v>
      </c>
      <c r="B73" t="s">
        <v>88</v>
      </c>
      <c r="C73" t="s">
        <v>27</v>
      </c>
      <c r="D73" t="s">
        <v>6378</v>
      </c>
      <c r="E73" t="s">
        <v>6377</v>
      </c>
      <c r="F73" s="5">
        <v>45574</v>
      </c>
      <c r="G73" t="s">
        <v>126</v>
      </c>
      <c r="H73" t="s">
        <v>734</v>
      </c>
      <c r="I73" t="s">
        <v>31</v>
      </c>
      <c r="J73" t="s">
        <v>76</v>
      </c>
      <c r="K73" t="s">
        <v>76</v>
      </c>
      <c r="L73" t="s">
        <v>19</v>
      </c>
      <c r="M73" t="s">
        <v>19</v>
      </c>
      <c r="N73">
        <v>1</v>
      </c>
      <c r="O73">
        <v>758</v>
      </c>
      <c r="P73">
        <v>1499</v>
      </c>
      <c r="Q73">
        <v>0</v>
      </c>
      <c r="R73">
        <v>0</v>
      </c>
      <c r="S73">
        <v>1499</v>
      </c>
      <c r="T73">
        <v>741</v>
      </c>
      <c r="U73">
        <v>49.43</v>
      </c>
      <c r="V73" t="s">
        <v>21</v>
      </c>
    </row>
    <row r="74" spans="1:22" x14ac:dyDescent="0.35">
      <c r="A74" t="s">
        <v>6376</v>
      </c>
      <c r="B74" t="s">
        <v>74</v>
      </c>
      <c r="C74" t="s">
        <v>16</v>
      </c>
      <c r="D74" t="s">
        <v>6375</v>
      </c>
      <c r="E74" t="s">
        <v>6374</v>
      </c>
      <c r="F74" s="5">
        <v>45630</v>
      </c>
      <c r="G74" t="s">
        <v>126</v>
      </c>
      <c r="H74" t="s">
        <v>660</v>
      </c>
      <c r="I74" t="s">
        <v>17</v>
      </c>
      <c r="J74" t="s">
        <v>253</v>
      </c>
      <c r="K74" t="s">
        <v>72</v>
      </c>
      <c r="L74" t="s">
        <v>37</v>
      </c>
      <c r="M74" t="s">
        <v>20</v>
      </c>
      <c r="N74">
        <v>1</v>
      </c>
      <c r="O74">
        <v>274</v>
      </c>
      <c r="P74">
        <v>399</v>
      </c>
      <c r="Q74">
        <v>0</v>
      </c>
      <c r="R74">
        <v>0</v>
      </c>
      <c r="S74">
        <v>399</v>
      </c>
      <c r="T74">
        <v>125</v>
      </c>
      <c r="U74">
        <v>31.33</v>
      </c>
      <c r="V74" t="s">
        <v>33</v>
      </c>
    </row>
    <row r="75" spans="1:22" x14ac:dyDescent="0.35">
      <c r="A75" t="s">
        <v>6373</v>
      </c>
      <c r="B75" t="s">
        <v>89</v>
      </c>
      <c r="C75" t="s">
        <v>16</v>
      </c>
      <c r="D75" t="s">
        <v>6372</v>
      </c>
      <c r="E75" t="s">
        <v>6176</v>
      </c>
      <c r="F75" s="5">
        <v>45507</v>
      </c>
      <c r="G75" t="s">
        <v>126</v>
      </c>
      <c r="H75" t="s">
        <v>6371</v>
      </c>
      <c r="I75" t="s">
        <v>17</v>
      </c>
      <c r="J75" t="s">
        <v>253</v>
      </c>
      <c r="K75" t="s">
        <v>72</v>
      </c>
      <c r="L75" t="s">
        <v>25</v>
      </c>
      <c r="M75" t="s">
        <v>19</v>
      </c>
      <c r="N75">
        <v>2</v>
      </c>
      <c r="O75">
        <v>242</v>
      </c>
      <c r="P75">
        <v>399</v>
      </c>
      <c r="Q75">
        <v>0</v>
      </c>
      <c r="R75">
        <v>0</v>
      </c>
      <c r="S75">
        <v>798</v>
      </c>
      <c r="T75">
        <v>314</v>
      </c>
      <c r="U75">
        <v>39.35</v>
      </c>
      <c r="V75" t="s">
        <v>21</v>
      </c>
    </row>
    <row r="76" spans="1:22" x14ac:dyDescent="0.35">
      <c r="A76" t="s">
        <v>6370</v>
      </c>
      <c r="B76" t="s">
        <v>90</v>
      </c>
      <c r="C76" t="s">
        <v>27</v>
      </c>
      <c r="D76" t="s">
        <v>6369</v>
      </c>
      <c r="E76" t="s">
        <v>6368</v>
      </c>
      <c r="F76" s="5">
        <v>45640</v>
      </c>
      <c r="G76" t="s">
        <v>126</v>
      </c>
      <c r="H76" t="s">
        <v>1652</v>
      </c>
      <c r="I76" t="s">
        <v>17</v>
      </c>
      <c r="J76" t="s">
        <v>48</v>
      </c>
      <c r="K76" t="s">
        <v>48</v>
      </c>
      <c r="L76" t="s">
        <v>37</v>
      </c>
      <c r="M76" t="s">
        <v>20</v>
      </c>
      <c r="N76">
        <v>1</v>
      </c>
      <c r="O76">
        <v>405</v>
      </c>
      <c r="P76">
        <v>599</v>
      </c>
      <c r="Q76">
        <v>0</v>
      </c>
      <c r="R76">
        <v>0</v>
      </c>
      <c r="S76">
        <v>599</v>
      </c>
      <c r="T76">
        <v>194</v>
      </c>
      <c r="U76">
        <v>32.39</v>
      </c>
      <c r="V76" t="s">
        <v>33</v>
      </c>
    </row>
    <row r="77" spans="1:22" x14ac:dyDescent="0.35">
      <c r="A77" t="s">
        <v>6367</v>
      </c>
      <c r="B77" t="s">
        <v>91</v>
      </c>
      <c r="C77" t="s">
        <v>16</v>
      </c>
      <c r="D77" t="s">
        <v>6366</v>
      </c>
      <c r="E77" t="s">
        <v>6365</v>
      </c>
      <c r="F77" s="5">
        <v>45557</v>
      </c>
      <c r="G77" t="s">
        <v>126</v>
      </c>
      <c r="H77" t="s">
        <v>5187</v>
      </c>
      <c r="I77" t="s">
        <v>35</v>
      </c>
      <c r="J77" t="s">
        <v>159</v>
      </c>
      <c r="K77" t="s">
        <v>36</v>
      </c>
      <c r="L77" t="s">
        <v>19</v>
      </c>
      <c r="M77" t="s">
        <v>20</v>
      </c>
      <c r="N77">
        <v>2</v>
      </c>
      <c r="O77">
        <v>290</v>
      </c>
      <c r="P77">
        <v>399</v>
      </c>
      <c r="Q77">
        <v>15</v>
      </c>
      <c r="R77">
        <v>200</v>
      </c>
      <c r="S77">
        <v>598</v>
      </c>
      <c r="T77">
        <v>18</v>
      </c>
      <c r="U77">
        <v>3.01</v>
      </c>
      <c r="V77" t="s">
        <v>33</v>
      </c>
    </row>
    <row r="78" spans="1:22" x14ac:dyDescent="0.35">
      <c r="A78" t="s">
        <v>6364</v>
      </c>
      <c r="B78" t="s">
        <v>92</v>
      </c>
      <c r="C78" t="s">
        <v>27</v>
      </c>
      <c r="D78" t="s">
        <v>6363</v>
      </c>
      <c r="E78" t="s">
        <v>6362</v>
      </c>
      <c r="F78" s="5">
        <v>45602</v>
      </c>
      <c r="G78" t="s">
        <v>126</v>
      </c>
      <c r="H78" t="s">
        <v>2987</v>
      </c>
      <c r="I78" t="s">
        <v>28</v>
      </c>
      <c r="J78" t="s">
        <v>45</v>
      </c>
      <c r="K78" t="s">
        <v>45</v>
      </c>
      <c r="L78" t="s">
        <v>25</v>
      </c>
      <c r="M78" t="s">
        <v>20</v>
      </c>
      <c r="N78">
        <v>1</v>
      </c>
      <c r="O78">
        <v>402</v>
      </c>
      <c r="P78">
        <v>799</v>
      </c>
      <c r="Q78">
        <v>20</v>
      </c>
      <c r="R78">
        <v>200</v>
      </c>
      <c r="S78">
        <v>599</v>
      </c>
      <c r="T78">
        <v>197</v>
      </c>
      <c r="U78">
        <v>32.89</v>
      </c>
      <c r="V78" t="s">
        <v>21</v>
      </c>
    </row>
    <row r="79" spans="1:22" x14ac:dyDescent="0.35">
      <c r="A79" t="s">
        <v>6361</v>
      </c>
      <c r="B79" t="s">
        <v>56</v>
      </c>
      <c r="C79" t="s">
        <v>27</v>
      </c>
      <c r="D79" t="s">
        <v>6360</v>
      </c>
      <c r="E79" t="s">
        <v>6359</v>
      </c>
      <c r="F79" s="5">
        <v>45646</v>
      </c>
      <c r="G79" t="s">
        <v>126</v>
      </c>
      <c r="H79" t="s">
        <v>1120</v>
      </c>
      <c r="I79" t="s">
        <v>35</v>
      </c>
      <c r="J79" t="s">
        <v>41</v>
      </c>
      <c r="K79" t="s">
        <v>41</v>
      </c>
      <c r="L79" t="s">
        <v>25</v>
      </c>
      <c r="M79" t="s">
        <v>19</v>
      </c>
      <c r="N79">
        <v>1</v>
      </c>
      <c r="O79">
        <v>524</v>
      </c>
      <c r="P79">
        <v>999</v>
      </c>
      <c r="Q79">
        <v>20</v>
      </c>
      <c r="R79">
        <v>200</v>
      </c>
      <c r="S79">
        <v>799</v>
      </c>
      <c r="T79">
        <v>275</v>
      </c>
      <c r="U79">
        <v>34.42</v>
      </c>
      <c r="V79" t="s">
        <v>21</v>
      </c>
    </row>
    <row r="80" spans="1:22" x14ac:dyDescent="0.35">
      <c r="A80" t="s">
        <v>6358</v>
      </c>
      <c r="B80" t="s">
        <v>67</v>
      </c>
      <c r="C80" t="s">
        <v>27</v>
      </c>
      <c r="D80" t="s">
        <v>6357</v>
      </c>
      <c r="E80" t="s">
        <v>6356</v>
      </c>
      <c r="F80" s="5">
        <v>45481</v>
      </c>
      <c r="G80" t="s">
        <v>126</v>
      </c>
      <c r="H80" t="s">
        <v>6355</v>
      </c>
      <c r="I80" t="s">
        <v>17</v>
      </c>
      <c r="J80" t="s">
        <v>55</v>
      </c>
      <c r="K80" t="s">
        <v>55</v>
      </c>
      <c r="L80" t="s">
        <v>25</v>
      </c>
      <c r="M80" t="s">
        <v>20</v>
      </c>
      <c r="N80">
        <v>1</v>
      </c>
      <c r="O80">
        <v>557</v>
      </c>
      <c r="P80">
        <v>799</v>
      </c>
      <c r="Q80">
        <v>0</v>
      </c>
      <c r="R80">
        <v>0</v>
      </c>
      <c r="S80">
        <v>799</v>
      </c>
      <c r="T80">
        <v>242</v>
      </c>
      <c r="U80">
        <v>30.29</v>
      </c>
      <c r="V80" t="s">
        <v>33</v>
      </c>
    </row>
    <row r="81" spans="1:22" x14ac:dyDescent="0.35">
      <c r="A81" t="s">
        <v>6354</v>
      </c>
      <c r="B81" t="s">
        <v>52</v>
      </c>
      <c r="C81" t="s">
        <v>27</v>
      </c>
      <c r="D81" t="s">
        <v>6353</v>
      </c>
      <c r="E81" t="s">
        <v>6352</v>
      </c>
      <c r="F81" s="5">
        <v>45562</v>
      </c>
      <c r="G81" t="s">
        <v>126</v>
      </c>
      <c r="H81" t="s">
        <v>6351</v>
      </c>
      <c r="I81" t="s">
        <v>17</v>
      </c>
      <c r="J81" t="s">
        <v>48</v>
      </c>
      <c r="K81" t="s">
        <v>48</v>
      </c>
      <c r="L81" t="s">
        <v>25</v>
      </c>
      <c r="M81" t="s">
        <v>20</v>
      </c>
      <c r="N81">
        <v>2</v>
      </c>
      <c r="O81">
        <v>272</v>
      </c>
      <c r="P81">
        <v>399</v>
      </c>
      <c r="Q81">
        <v>0</v>
      </c>
      <c r="R81">
        <v>0</v>
      </c>
      <c r="S81">
        <v>798</v>
      </c>
      <c r="T81">
        <v>254</v>
      </c>
      <c r="U81">
        <v>31.83</v>
      </c>
      <c r="V81" t="s">
        <v>21</v>
      </c>
    </row>
    <row r="82" spans="1:22" x14ac:dyDescent="0.35">
      <c r="A82" t="s">
        <v>6350</v>
      </c>
      <c r="B82" t="s">
        <v>60</v>
      </c>
      <c r="C82" t="s">
        <v>27</v>
      </c>
      <c r="D82" t="s">
        <v>6349</v>
      </c>
      <c r="E82" t="s">
        <v>428</v>
      </c>
      <c r="F82" s="5">
        <v>45645</v>
      </c>
      <c r="G82" t="s">
        <v>126</v>
      </c>
      <c r="H82" t="s">
        <v>3983</v>
      </c>
      <c r="I82" t="s">
        <v>28</v>
      </c>
      <c r="J82" t="s">
        <v>45</v>
      </c>
      <c r="K82" t="s">
        <v>45</v>
      </c>
      <c r="L82" t="s">
        <v>19</v>
      </c>
      <c r="M82" t="s">
        <v>19</v>
      </c>
      <c r="N82">
        <v>4</v>
      </c>
      <c r="O82">
        <v>847</v>
      </c>
      <c r="P82">
        <v>1199</v>
      </c>
      <c r="Q82">
        <v>10</v>
      </c>
      <c r="R82">
        <v>800</v>
      </c>
      <c r="S82">
        <v>3996</v>
      </c>
      <c r="T82">
        <v>608</v>
      </c>
      <c r="U82">
        <v>15.22</v>
      </c>
      <c r="V82" t="s">
        <v>21</v>
      </c>
    </row>
    <row r="83" spans="1:22" x14ac:dyDescent="0.35">
      <c r="A83" t="s">
        <v>6348</v>
      </c>
      <c r="B83" t="s">
        <v>93</v>
      </c>
      <c r="C83" t="s">
        <v>16</v>
      </c>
      <c r="D83" t="s">
        <v>6347</v>
      </c>
      <c r="E83" t="s">
        <v>6346</v>
      </c>
      <c r="F83" s="5">
        <v>45522</v>
      </c>
      <c r="G83" t="s">
        <v>126</v>
      </c>
      <c r="H83" t="s">
        <v>3056</v>
      </c>
      <c r="I83" t="s">
        <v>31</v>
      </c>
      <c r="J83" t="s">
        <v>76</v>
      </c>
      <c r="K83" t="s">
        <v>76</v>
      </c>
      <c r="L83" t="s">
        <v>19</v>
      </c>
      <c r="M83" t="s">
        <v>20</v>
      </c>
      <c r="N83">
        <v>1</v>
      </c>
      <c r="O83">
        <v>512</v>
      </c>
      <c r="P83">
        <v>999</v>
      </c>
      <c r="Q83">
        <v>0</v>
      </c>
      <c r="R83">
        <v>0</v>
      </c>
      <c r="S83">
        <v>999</v>
      </c>
      <c r="T83">
        <v>487</v>
      </c>
      <c r="U83">
        <v>48.75</v>
      </c>
      <c r="V83" t="s">
        <v>21</v>
      </c>
    </row>
    <row r="84" spans="1:22" x14ac:dyDescent="0.35">
      <c r="A84" t="s">
        <v>6345</v>
      </c>
      <c r="B84" t="s">
        <v>94</v>
      </c>
      <c r="C84" t="s">
        <v>16</v>
      </c>
      <c r="D84" t="s">
        <v>6344</v>
      </c>
      <c r="E84" t="s">
        <v>6343</v>
      </c>
      <c r="F84" s="5">
        <v>45578</v>
      </c>
      <c r="G84" t="s">
        <v>126</v>
      </c>
      <c r="H84" t="s">
        <v>6342</v>
      </c>
      <c r="I84" t="s">
        <v>28</v>
      </c>
      <c r="J84" t="s">
        <v>201</v>
      </c>
      <c r="K84" t="s">
        <v>29</v>
      </c>
      <c r="L84" t="s">
        <v>37</v>
      </c>
      <c r="M84" t="s">
        <v>20</v>
      </c>
      <c r="N84">
        <v>1</v>
      </c>
      <c r="O84">
        <v>393</v>
      </c>
      <c r="P84">
        <v>599</v>
      </c>
      <c r="Q84">
        <v>15</v>
      </c>
      <c r="R84">
        <v>100</v>
      </c>
      <c r="S84">
        <v>499</v>
      </c>
      <c r="T84">
        <v>106</v>
      </c>
      <c r="U84">
        <v>21.24</v>
      </c>
      <c r="V84" t="s">
        <v>21</v>
      </c>
    </row>
    <row r="85" spans="1:22" x14ac:dyDescent="0.35">
      <c r="A85" t="s">
        <v>6341</v>
      </c>
      <c r="B85" t="s">
        <v>54</v>
      </c>
      <c r="C85" t="s">
        <v>27</v>
      </c>
      <c r="D85" t="s">
        <v>6340</v>
      </c>
      <c r="E85" t="s">
        <v>6339</v>
      </c>
      <c r="F85" s="5">
        <v>45488</v>
      </c>
      <c r="G85" t="s">
        <v>126</v>
      </c>
      <c r="H85" t="s">
        <v>1378</v>
      </c>
      <c r="I85" t="s">
        <v>28</v>
      </c>
      <c r="J85" t="s">
        <v>45</v>
      </c>
      <c r="K85" t="s">
        <v>45</v>
      </c>
      <c r="L85" t="s">
        <v>25</v>
      </c>
      <c r="M85" t="s">
        <v>19</v>
      </c>
      <c r="N85">
        <v>4</v>
      </c>
      <c r="O85">
        <v>895</v>
      </c>
      <c r="P85">
        <v>1499</v>
      </c>
      <c r="Q85">
        <v>20</v>
      </c>
      <c r="R85">
        <v>1200</v>
      </c>
      <c r="S85">
        <v>4796</v>
      </c>
      <c r="T85">
        <v>1216</v>
      </c>
      <c r="U85">
        <v>25.35</v>
      </c>
      <c r="V85" t="s">
        <v>33</v>
      </c>
    </row>
    <row r="86" spans="1:22" x14ac:dyDescent="0.35">
      <c r="A86" t="s">
        <v>6338</v>
      </c>
      <c r="B86" t="s">
        <v>51</v>
      </c>
      <c r="C86" t="s">
        <v>16</v>
      </c>
      <c r="D86" t="s">
        <v>6337</v>
      </c>
      <c r="E86" t="s">
        <v>6336</v>
      </c>
      <c r="F86" s="5">
        <v>45629</v>
      </c>
      <c r="G86" t="s">
        <v>126</v>
      </c>
      <c r="H86" t="s">
        <v>1553</v>
      </c>
      <c r="I86" t="s">
        <v>28</v>
      </c>
      <c r="J86" t="s">
        <v>201</v>
      </c>
      <c r="K86" t="s">
        <v>29</v>
      </c>
      <c r="L86" t="s">
        <v>37</v>
      </c>
      <c r="M86" t="s">
        <v>20</v>
      </c>
      <c r="N86">
        <v>1</v>
      </c>
      <c r="O86">
        <v>426</v>
      </c>
      <c r="P86">
        <v>799</v>
      </c>
      <c r="Q86">
        <v>15</v>
      </c>
      <c r="R86">
        <v>200</v>
      </c>
      <c r="S86">
        <v>599</v>
      </c>
      <c r="T86">
        <v>173</v>
      </c>
      <c r="U86">
        <v>28.88</v>
      </c>
      <c r="V86" t="s">
        <v>21</v>
      </c>
    </row>
    <row r="87" spans="1:22" x14ac:dyDescent="0.35">
      <c r="A87" t="s">
        <v>6335</v>
      </c>
      <c r="B87" t="s">
        <v>47</v>
      </c>
      <c r="C87" t="s">
        <v>16</v>
      </c>
      <c r="D87" t="s">
        <v>6334</v>
      </c>
      <c r="E87" t="s">
        <v>6333</v>
      </c>
      <c r="F87" s="5">
        <v>45578</v>
      </c>
      <c r="G87" t="s">
        <v>126</v>
      </c>
      <c r="H87" t="s">
        <v>1723</v>
      </c>
      <c r="I87" t="s">
        <v>28</v>
      </c>
      <c r="J87" t="s">
        <v>45</v>
      </c>
      <c r="K87" t="s">
        <v>45</v>
      </c>
      <c r="L87" t="s">
        <v>37</v>
      </c>
      <c r="M87" t="s">
        <v>19</v>
      </c>
      <c r="N87">
        <v>1</v>
      </c>
      <c r="O87">
        <v>876</v>
      </c>
      <c r="P87">
        <v>1499</v>
      </c>
      <c r="Q87">
        <v>20</v>
      </c>
      <c r="R87">
        <v>300</v>
      </c>
      <c r="S87">
        <v>1199</v>
      </c>
      <c r="T87">
        <v>323</v>
      </c>
      <c r="U87">
        <v>26.94</v>
      </c>
      <c r="V87" t="s">
        <v>33</v>
      </c>
    </row>
    <row r="88" spans="1:22" x14ac:dyDescent="0.35">
      <c r="A88" t="s">
        <v>6332</v>
      </c>
      <c r="B88" t="s">
        <v>75</v>
      </c>
      <c r="C88" t="s">
        <v>27</v>
      </c>
      <c r="D88" t="s">
        <v>6331</v>
      </c>
      <c r="E88" t="s">
        <v>6330</v>
      </c>
      <c r="F88" s="5">
        <v>45556</v>
      </c>
      <c r="G88" t="s">
        <v>126</v>
      </c>
      <c r="H88" t="s">
        <v>1466</v>
      </c>
      <c r="I88" t="s">
        <v>28</v>
      </c>
      <c r="J88" t="s">
        <v>201</v>
      </c>
      <c r="K88" t="s">
        <v>29</v>
      </c>
      <c r="L88" t="s">
        <v>19</v>
      </c>
      <c r="M88" t="s">
        <v>20</v>
      </c>
      <c r="N88">
        <v>4</v>
      </c>
      <c r="O88">
        <v>380</v>
      </c>
      <c r="P88">
        <v>599</v>
      </c>
      <c r="Q88">
        <v>15</v>
      </c>
      <c r="R88">
        <v>400</v>
      </c>
      <c r="S88">
        <v>1996</v>
      </c>
      <c r="T88">
        <v>476</v>
      </c>
      <c r="U88">
        <v>23.85</v>
      </c>
      <c r="V88" t="s">
        <v>21</v>
      </c>
    </row>
    <row r="89" spans="1:22" x14ac:dyDescent="0.35">
      <c r="A89" t="s">
        <v>6329</v>
      </c>
      <c r="B89" t="s">
        <v>95</v>
      </c>
      <c r="C89" t="s">
        <v>27</v>
      </c>
      <c r="D89" t="s">
        <v>6328</v>
      </c>
      <c r="E89" t="s">
        <v>6327</v>
      </c>
      <c r="F89" s="5">
        <v>45646</v>
      </c>
      <c r="G89" t="s">
        <v>126</v>
      </c>
      <c r="H89" t="s">
        <v>3140</v>
      </c>
      <c r="I89" t="s">
        <v>31</v>
      </c>
      <c r="J89" t="s">
        <v>76</v>
      </c>
      <c r="K89" t="s">
        <v>76</v>
      </c>
      <c r="L89" t="s">
        <v>19</v>
      </c>
      <c r="M89" t="s">
        <v>20</v>
      </c>
      <c r="N89">
        <v>1</v>
      </c>
      <c r="O89">
        <v>420</v>
      </c>
      <c r="P89">
        <v>699</v>
      </c>
      <c r="Q89">
        <v>0</v>
      </c>
      <c r="R89">
        <v>0</v>
      </c>
      <c r="S89">
        <v>699</v>
      </c>
      <c r="T89">
        <v>279</v>
      </c>
      <c r="U89">
        <v>39.909999999999997</v>
      </c>
      <c r="V89" t="s">
        <v>21</v>
      </c>
    </row>
    <row r="90" spans="1:22" x14ac:dyDescent="0.35">
      <c r="A90" t="s">
        <v>6326</v>
      </c>
      <c r="B90" t="s">
        <v>96</v>
      </c>
      <c r="C90" t="s">
        <v>16</v>
      </c>
      <c r="D90" t="s">
        <v>6325</v>
      </c>
      <c r="E90" t="s">
        <v>6324</v>
      </c>
      <c r="F90" s="5">
        <v>45498</v>
      </c>
      <c r="G90" t="s">
        <v>126</v>
      </c>
      <c r="H90" t="s">
        <v>160</v>
      </c>
      <c r="I90" t="s">
        <v>31</v>
      </c>
      <c r="J90" t="s">
        <v>76</v>
      </c>
      <c r="K90" t="s">
        <v>76</v>
      </c>
      <c r="L90" t="s">
        <v>25</v>
      </c>
      <c r="M90" t="s">
        <v>20</v>
      </c>
      <c r="N90">
        <v>1</v>
      </c>
      <c r="O90">
        <v>944</v>
      </c>
      <c r="P90">
        <v>1499</v>
      </c>
      <c r="Q90">
        <v>0</v>
      </c>
      <c r="R90">
        <v>0</v>
      </c>
      <c r="S90">
        <v>1499</v>
      </c>
      <c r="T90">
        <v>555</v>
      </c>
      <c r="U90">
        <v>37.020000000000003</v>
      </c>
      <c r="V90" t="s">
        <v>33</v>
      </c>
    </row>
    <row r="91" spans="1:22" x14ac:dyDescent="0.35">
      <c r="A91" t="s">
        <v>6323</v>
      </c>
      <c r="B91" t="s">
        <v>84</v>
      </c>
      <c r="C91" t="s">
        <v>27</v>
      </c>
      <c r="D91" t="s">
        <v>6322</v>
      </c>
      <c r="E91" t="s">
        <v>6321</v>
      </c>
      <c r="F91" s="5">
        <v>45640</v>
      </c>
      <c r="G91" t="s">
        <v>126</v>
      </c>
      <c r="H91" t="s">
        <v>4440</v>
      </c>
      <c r="I91" t="s">
        <v>17</v>
      </c>
      <c r="J91" t="s">
        <v>253</v>
      </c>
      <c r="K91" t="s">
        <v>72</v>
      </c>
      <c r="L91" t="s">
        <v>37</v>
      </c>
      <c r="M91" t="s">
        <v>19</v>
      </c>
      <c r="N91">
        <v>1</v>
      </c>
      <c r="O91">
        <v>273</v>
      </c>
      <c r="P91">
        <v>499</v>
      </c>
      <c r="Q91">
        <v>0</v>
      </c>
      <c r="R91">
        <v>0</v>
      </c>
      <c r="S91">
        <v>499</v>
      </c>
      <c r="T91">
        <v>226</v>
      </c>
      <c r="U91">
        <v>45.29</v>
      </c>
      <c r="V91" t="s">
        <v>21</v>
      </c>
    </row>
    <row r="92" spans="1:22" x14ac:dyDescent="0.35">
      <c r="A92" t="s">
        <v>6320</v>
      </c>
      <c r="B92" t="s">
        <v>68</v>
      </c>
      <c r="C92" t="s">
        <v>16</v>
      </c>
      <c r="D92" t="s">
        <v>6319</v>
      </c>
      <c r="E92" t="s">
        <v>6318</v>
      </c>
      <c r="F92" s="5">
        <v>45502</v>
      </c>
      <c r="G92" t="s">
        <v>126</v>
      </c>
      <c r="H92" t="s">
        <v>2611</v>
      </c>
      <c r="I92" t="s">
        <v>23</v>
      </c>
      <c r="J92" t="s">
        <v>142</v>
      </c>
      <c r="K92" t="s">
        <v>43</v>
      </c>
      <c r="L92" t="s">
        <v>19</v>
      </c>
      <c r="M92" t="s">
        <v>19</v>
      </c>
      <c r="N92">
        <v>2</v>
      </c>
      <c r="O92">
        <v>1354</v>
      </c>
      <c r="P92">
        <v>2399</v>
      </c>
      <c r="Q92">
        <v>20</v>
      </c>
      <c r="R92">
        <v>1000</v>
      </c>
      <c r="S92">
        <v>3798</v>
      </c>
      <c r="T92">
        <v>1090</v>
      </c>
      <c r="U92">
        <v>28.7</v>
      </c>
      <c r="V92" t="s">
        <v>21</v>
      </c>
    </row>
    <row r="93" spans="1:22" x14ac:dyDescent="0.35">
      <c r="A93" t="s">
        <v>6317</v>
      </c>
      <c r="B93" t="s">
        <v>66</v>
      </c>
      <c r="C93" t="s">
        <v>27</v>
      </c>
      <c r="D93" t="s">
        <v>6316</v>
      </c>
      <c r="E93" t="s">
        <v>6315</v>
      </c>
      <c r="F93" s="5">
        <v>45514</v>
      </c>
      <c r="G93" t="s">
        <v>126</v>
      </c>
      <c r="H93" t="s">
        <v>6314</v>
      </c>
      <c r="I93" t="s">
        <v>31</v>
      </c>
      <c r="J93" t="s">
        <v>32</v>
      </c>
      <c r="K93" t="s">
        <v>32</v>
      </c>
      <c r="L93" t="s">
        <v>37</v>
      </c>
      <c r="M93" t="s">
        <v>20</v>
      </c>
      <c r="N93">
        <v>1</v>
      </c>
      <c r="O93">
        <v>582</v>
      </c>
      <c r="P93">
        <v>999</v>
      </c>
      <c r="Q93">
        <v>0</v>
      </c>
      <c r="R93">
        <v>0</v>
      </c>
      <c r="S93">
        <v>999</v>
      </c>
      <c r="T93">
        <v>417</v>
      </c>
      <c r="U93">
        <v>41.74</v>
      </c>
      <c r="V93" t="s">
        <v>33</v>
      </c>
    </row>
    <row r="94" spans="1:22" x14ac:dyDescent="0.35">
      <c r="A94" t="s">
        <v>6313</v>
      </c>
      <c r="B94" t="s">
        <v>97</v>
      </c>
      <c r="C94" t="s">
        <v>16</v>
      </c>
      <c r="D94" t="s">
        <v>6312</v>
      </c>
      <c r="E94" t="s">
        <v>6311</v>
      </c>
      <c r="F94" s="5">
        <v>45491</v>
      </c>
      <c r="G94" t="s">
        <v>126</v>
      </c>
      <c r="H94" t="s">
        <v>6310</v>
      </c>
      <c r="I94" t="s">
        <v>31</v>
      </c>
      <c r="J94" t="s">
        <v>76</v>
      </c>
      <c r="K94" t="s">
        <v>76</v>
      </c>
      <c r="L94" t="s">
        <v>25</v>
      </c>
      <c r="M94" t="s">
        <v>20</v>
      </c>
      <c r="N94">
        <v>5</v>
      </c>
      <c r="O94">
        <v>642</v>
      </c>
      <c r="P94">
        <v>999</v>
      </c>
      <c r="Q94">
        <v>0</v>
      </c>
      <c r="R94">
        <v>0</v>
      </c>
      <c r="S94">
        <v>4995</v>
      </c>
      <c r="T94">
        <v>1785</v>
      </c>
      <c r="U94">
        <v>35.74</v>
      </c>
      <c r="V94" t="s">
        <v>33</v>
      </c>
    </row>
    <row r="95" spans="1:22" x14ac:dyDescent="0.35">
      <c r="A95" t="s">
        <v>6309</v>
      </c>
      <c r="B95" t="s">
        <v>54</v>
      </c>
      <c r="C95" t="s">
        <v>27</v>
      </c>
      <c r="D95" t="s">
        <v>6308</v>
      </c>
      <c r="E95" t="s">
        <v>6307</v>
      </c>
      <c r="F95" s="5">
        <v>45631</v>
      </c>
      <c r="G95" t="s">
        <v>126</v>
      </c>
      <c r="H95" t="s">
        <v>341</v>
      </c>
      <c r="I95" t="s">
        <v>17</v>
      </c>
      <c r="J95" t="s">
        <v>48</v>
      </c>
      <c r="K95" t="s">
        <v>48</v>
      </c>
      <c r="L95" t="s">
        <v>19</v>
      </c>
      <c r="M95" t="s">
        <v>19</v>
      </c>
      <c r="N95">
        <v>1</v>
      </c>
      <c r="O95">
        <v>401</v>
      </c>
      <c r="P95">
        <v>599</v>
      </c>
      <c r="Q95">
        <v>0</v>
      </c>
      <c r="R95">
        <v>0</v>
      </c>
      <c r="S95">
        <v>599</v>
      </c>
      <c r="T95">
        <v>198</v>
      </c>
      <c r="U95">
        <v>33.06</v>
      </c>
      <c r="V95" t="s">
        <v>21</v>
      </c>
    </row>
    <row r="96" spans="1:22" x14ac:dyDescent="0.35">
      <c r="A96" t="s">
        <v>6306</v>
      </c>
      <c r="B96" t="s">
        <v>54</v>
      </c>
      <c r="C96" t="s">
        <v>27</v>
      </c>
      <c r="D96" t="s">
        <v>6305</v>
      </c>
      <c r="E96" t="s">
        <v>6304</v>
      </c>
      <c r="F96" s="5">
        <v>45593</v>
      </c>
      <c r="G96" t="s">
        <v>126</v>
      </c>
      <c r="H96" t="s">
        <v>3965</v>
      </c>
      <c r="I96" t="s">
        <v>17</v>
      </c>
      <c r="J96" t="s">
        <v>48</v>
      </c>
      <c r="K96" t="s">
        <v>48</v>
      </c>
      <c r="L96" t="s">
        <v>25</v>
      </c>
      <c r="M96" t="s">
        <v>19</v>
      </c>
      <c r="N96">
        <v>4</v>
      </c>
      <c r="O96">
        <v>321</v>
      </c>
      <c r="P96">
        <v>499</v>
      </c>
      <c r="Q96">
        <v>0</v>
      </c>
      <c r="R96">
        <v>0</v>
      </c>
      <c r="S96">
        <v>1996</v>
      </c>
      <c r="T96">
        <v>712</v>
      </c>
      <c r="U96">
        <v>35.67</v>
      </c>
      <c r="V96" t="s">
        <v>21</v>
      </c>
    </row>
    <row r="97" spans="1:22" x14ac:dyDescent="0.35">
      <c r="A97" t="s">
        <v>6303</v>
      </c>
      <c r="B97" t="s">
        <v>53</v>
      </c>
      <c r="C97" t="s">
        <v>27</v>
      </c>
      <c r="D97" t="s">
        <v>6302</v>
      </c>
      <c r="E97" t="s">
        <v>6301</v>
      </c>
      <c r="F97" s="5">
        <v>45492</v>
      </c>
      <c r="G97" t="s">
        <v>126</v>
      </c>
      <c r="H97" t="s">
        <v>3447</v>
      </c>
      <c r="I97" t="s">
        <v>31</v>
      </c>
      <c r="J97" t="s">
        <v>32</v>
      </c>
      <c r="K97" t="s">
        <v>32</v>
      </c>
      <c r="L97" t="s">
        <v>37</v>
      </c>
      <c r="M97" t="s">
        <v>19</v>
      </c>
      <c r="N97">
        <v>3</v>
      </c>
      <c r="O97">
        <v>458</v>
      </c>
      <c r="P97">
        <v>899</v>
      </c>
      <c r="Q97">
        <v>0</v>
      </c>
      <c r="R97">
        <v>0</v>
      </c>
      <c r="S97">
        <v>2697</v>
      </c>
      <c r="T97">
        <v>1323</v>
      </c>
      <c r="U97">
        <v>49.05</v>
      </c>
      <c r="V97" t="s">
        <v>21</v>
      </c>
    </row>
    <row r="98" spans="1:22" x14ac:dyDescent="0.35">
      <c r="A98" t="s">
        <v>6300</v>
      </c>
      <c r="B98" t="s">
        <v>51</v>
      </c>
      <c r="C98" t="s">
        <v>16</v>
      </c>
      <c r="D98" t="s">
        <v>6299</v>
      </c>
      <c r="E98" t="s">
        <v>6298</v>
      </c>
      <c r="F98" s="5">
        <v>45548</v>
      </c>
      <c r="G98" t="s">
        <v>126</v>
      </c>
      <c r="H98" t="s">
        <v>2340</v>
      </c>
      <c r="I98" t="s">
        <v>17</v>
      </c>
      <c r="J98" t="s">
        <v>48</v>
      </c>
      <c r="K98" t="s">
        <v>48</v>
      </c>
      <c r="L98" t="s">
        <v>37</v>
      </c>
      <c r="M98" t="s">
        <v>19</v>
      </c>
      <c r="N98">
        <v>5</v>
      </c>
      <c r="O98">
        <v>337</v>
      </c>
      <c r="P98">
        <v>599</v>
      </c>
      <c r="Q98">
        <v>0</v>
      </c>
      <c r="R98">
        <v>0</v>
      </c>
      <c r="S98">
        <v>2995</v>
      </c>
      <c r="T98">
        <v>1310</v>
      </c>
      <c r="U98">
        <v>43.74</v>
      </c>
      <c r="V98" t="s">
        <v>21</v>
      </c>
    </row>
    <row r="99" spans="1:22" x14ac:dyDescent="0.35">
      <c r="A99" t="s">
        <v>6297</v>
      </c>
      <c r="B99" t="s">
        <v>56</v>
      </c>
      <c r="C99" t="s">
        <v>27</v>
      </c>
      <c r="D99" t="s">
        <v>6296</v>
      </c>
      <c r="E99" t="s">
        <v>6295</v>
      </c>
      <c r="F99" s="5">
        <v>45491</v>
      </c>
      <c r="G99" t="s">
        <v>126</v>
      </c>
      <c r="H99" t="s">
        <v>2723</v>
      </c>
      <c r="I99" t="s">
        <v>35</v>
      </c>
      <c r="J99" t="s">
        <v>244</v>
      </c>
      <c r="K99" t="s">
        <v>58</v>
      </c>
      <c r="L99" t="s">
        <v>25</v>
      </c>
      <c r="M99" t="s">
        <v>19</v>
      </c>
      <c r="N99">
        <v>4</v>
      </c>
      <c r="O99">
        <v>986</v>
      </c>
      <c r="P99">
        <v>1699</v>
      </c>
      <c r="Q99">
        <v>10</v>
      </c>
      <c r="R99">
        <v>800</v>
      </c>
      <c r="S99">
        <v>5996</v>
      </c>
      <c r="T99">
        <v>2052</v>
      </c>
      <c r="U99">
        <v>34.22</v>
      </c>
      <c r="V99" t="s">
        <v>33</v>
      </c>
    </row>
    <row r="100" spans="1:22" x14ac:dyDescent="0.35">
      <c r="A100" t="s">
        <v>6294</v>
      </c>
      <c r="B100" t="s">
        <v>91</v>
      </c>
      <c r="C100" t="s">
        <v>16</v>
      </c>
      <c r="D100" t="s">
        <v>6293</v>
      </c>
      <c r="E100" t="s">
        <v>6292</v>
      </c>
      <c r="F100" s="5">
        <v>45620</v>
      </c>
      <c r="G100" t="s">
        <v>126</v>
      </c>
      <c r="H100" t="s">
        <v>1390</v>
      </c>
      <c r="I100" t="s">
        <v>31</v>
      </c>
      <c r="J100" t="s">
        <v>76</v>
      </c>
      <c r="K100" t="s">
        <v>76</v>
      </c>
      <c r="L100" t="s">
        <v>37</v>
      </c>
      <c r="M100" t="s">
        <v>20</v>
      </c>
      <c r="N100">
        <v>2</v>
      </c>
      <c r="O100">
        <v>534</v>
      </c>
      <c r="P100">
        <v>999</v>
      </c>
      <c r="Q100">
        <v>0</v>
      </c>
      <c r="R100">
        <v>0</v>
      </c>
      <c r="S100">
        <v>1998</v>
      </c>
      <c r="T100">
        <v>930</v>
      </c>
      <c r="U100">
        <v>46.55</v>
      </c>
      <c r="V100" t="s">
        <v>21</v>
      </c>
    </row>
    <row r="101" spans="1:22" x14ac:dyDescent="0.35">
      <c r="A101" t="s">
        <v>6291</v>
      </c>
      <c r="B101" t="s">
        <v>69</v>
      </c>
      <c r="C101" t="s">
        <v>16</v>
      </c>
      <c r="D101" t="s">
        <v>6290</v>
      </c>
      <c r="E101" t="s">
        <v>6289</v>
      </c>
      <c r="F101" s="5">
        <v>45615</v>
      </c>
      <c r="G101" t="s">
        <v>126</v>
      </c>
      <c r="H101" t="s">
        <v>615</v>
      </c>
      <c r="I101" t="s">
        <v>31</v>
      </c>
      <c r="J101" t="s">
        <v>76</v>
      </c>
      <c r="K101" t="s">
        <v>76</v>
      </c>
      <c r="L101" t="s">
        <v>19</v>
      </c>
      <c r="M101" t="s">
        <v>20</v>
      </c>
      <c r="N101">
        <v>1</v>
      </c>
      <c r="O101">
        <v>513</v>
      </c>
      <c r="P101">
        <v>799</v>
      </c>
      <c r="Q101">
        <v>0</v>
      </c>
      <c r="R101">
        <v>0</v>
      </c>
      <c r="S101">
        <v>799</v>
      </c>
      <c r="T101">
        <v>286</v>
      </c>
      <c r="U101">
        <v>35.79</v>
      </c>
      <c r="V101" t="s">
        <v>21</v>
      </c>
    </row>
    <row r="102" spans="1:22" x14ac:dyDescent="0.35">
      <c r="A102" t="s">
        <v>6288</v>
      </c>
      <c r="B102" t="s">
        <v>79</v>
      </c>
      <c r="C102" t="s">
        <v>16</v>
      </c>
      <c r="D102" t="s">
        <v>6287</v>
      </c>
      <c r="E102" t="s">
        <v>6286</v>
      </c>
      <c r="F102" s="5">
        <v>45527</v>
      </c>
      <c r="G102" t="s">
        <v>126</v>
      </c>
      <c r="H102" t="s">
        <v>3182</v>
      </c>
      <c r="I102" t="s">
        <v>35</v>
      </c>
      <c r="J102" t="s">
        <v>214</v>
      </c>
      <c r="K102" t="s">
        <v>87</v>
      </c>
      <c r="L102" t="s">
        <v>37</v>
      </c>
      <c r="M102" t="s">
        <v>19</v>
      </c>
      <c r="N102">
        <v>1</v>
      </c>
      <c r="O102">
        <v>1465</v>
      </c>
      <c r="P102">
        <v>2199</v>
      </c>
      <c r="Q102">
        <v>5</v>
      </c>
      <c r="R102">
        <v>200</v>
      </c>
      <c r="S102">
        <v>1999</v>
      </c>
      <c r="T102">
        <v>534</v>
      </c>
      <c r="U102">
        <v>26.71</v>
      </c>
      <c r="V102" t="s">
        <v>21</v>
      </c>
    </row>
    <row r="103" spans="1:22" x14ac:dyDescent="0.35">
      <c r="A103" t="s">
        <v>6285</v>
      </c>
      <c r="B103" t="s">
        <v>86</v>
      </c>
      <c r="C103" t="s">
        <v>27</v>
      </c>
      <c r="D103" t="s">
        <v>6284</v>
      </c>
      <c r="E103" t="s">
        <v>6283</v>
      </c>
      <c r="F103" s="5">
        <v>45577</v>
      </c>
      <c r="G103" t="s">
        <v>126</v>
      </c>
      <c r="H103" t="s">
        <v>2638</v>
      </c>
      <c r="I103" t="s">
        <v>28</v>
      </c>
      <c r="J103" t="s">
        <v>201</v>
      </c>
      <c r="K103" t="s">
        <v>29</v>
      </c>
      <c r="L103" t="s">
        <v>19</v>
      </c>
      <c r="M103" t="s">
        <v>19</v>
      </c>
      <c r="N103">
        <v>2</v>
      </c>
      <c r="O103">
        <v>305</v>
      </c>
      <c r="P103">
        <v>499</v>
      </c>
      <c r="Q103">
        <v>20</v>
      </c>
      <c r="R103">
        <v>200</v>
      </c>
      <c r="S103">
        <v>798</v>
      </c>
      <c r="T103">
        <v>188</v>
      </c>
      <c r="U103">
        <v>23.56</v>
      </c>
      <c r="V103" t="s">
        <v>21</v>
      </c>
    </row>
    <row r="104" spans="1:22" x14ac:dyDescent="0.35">
      <c r="A104" t="s">
        <v>6282</v>
      </c>
      <c r="B104" t="s">
        <v>66</v>
      </c>
      <c r="C104" t="s">
        <v>27</v>
      </c>
      <c r="D104" t="s">
        <v>6281</v>
      </c>
      <c r="E104" t="s">
        <v>6280</v>
      </c>
      <c r="F104" s="5">
        <v>45451</v>
      </c>
      <c r="G104" t="s">
        <v>126</v>
      </c>
      <c r="H104" t="s">
        <v>3505</v>
      </c>
      <c r="I104" t="s">
        <v>28</v>
      </c>
      <c r="J104" t="s">
        <v>201</v>
      </c>
      <c r="K104" t="s">
        <v>29</v>
      </c>
      <c r="L104" t="s">
        <v>19</v>
      </c>
      <c r="M104" t="s">
        <v>19</v>
      </c>
      <c r="N104">
        <v>1</v>
      </c>
      <c r="O104">
        <v>306</v>
      </c>
      <c r="P104">
        <v>599</v>
      </c>
      <c r="Q104">
        <v>15</v>
      </c>
      <c r="R104">
        <v>150</v>
      </c>
      <c r="S104">
        <v>449</v>
      </c>
      <c r="T104">
        <v>143</v>
      </c>
      <c r="U104">
        <v>31.85</v>
      </c>
      <c r="V104" t="s">
        <v>21</v>
      </c>
    </row>
    <row r="105" spans="1:22" x14ac:dyDescent="0.35">
      <c r="A105" t="s">
        <v>6279</v>
      </c>
      <c r="B105" t="s">
        <v>64</v>
      </c>
      <c r="C105" t="s">
        <v>16</v>
      </c>
      <c r="D105" t="s">
        <v>6278</v>
      </c>
      <c r="E105" t="s">
        <v>6277</v>
      </c>
      <c r="F105" s="5">
        <v>45502</v>
      </c>
      <c r="G105" t="s">
        <v>126</v>
      </c>
      <c r="H105" t="s">
        <v>1859</v>
      </c>
      <c r="I105" t="s">
        <v>17</v>
      </c>
      <c r="J105" t="s">
        <v>55</v>
      </c>
      <c r="K105" t="s">
        <v>55</v>
      </c>
      <c r="L105" t="s">
        <v>25</v>
      </c>
      <c r="M105" t="s">
        <v>19</v>
      </c>
      <c r="N105">
        <v>1</v>
      </c>
      <c r="O105">
        <v>398</v>
      </c>
      <c r="P105">
        <v>599</v>
      </c>
      <c r="Q105">
        <v>0</v>
      </c>
      <c r="R105">
        <v>0</v>
      </c>
      <c r="S105">
        <v>599</v>
      </c>
      <c r="T105">
        <v>201</v>
      </c>
      <c r="U105">
        <v>33.56</v>
      </c>
      <c r="V105" t="s">
        <v>21</v>
      </c>
    </row>
    <row r="106" spans="1:22" x14ac:dyDescent="0.35">
      <c r="A106" t="s">
        <v>6276</v>
      </c>
      <c r="B106" t="s">
        <v>79</v>
      </c>
      <c r="C106" t="s">
        <v>16</v>
      </c>
      <c r="D106" t="s">
        <v>6275</v>
      </c>
      <c r="E106" t="s">
        <v>6274</v>
      </c>
      <c r="F106" s="5">
        <v>45630</v>
      </c>
      <c r="G106" t="s">
        <v>126</v>
      </c>
      <c r="H106" t="s">
        <v>5929</v>
      </c>
      <c r="I106" t="s">
        <v>35</v>
      </c>
      <c r="J106" t="s">
        <v>244</v>
      </c>
      <c r="K106" t="s">
        <v>58</v>
      </c>
      <c r="L106" t="s">
        <v>25</v>
      </c>
      <c r="M106" t="s">
        <v>19</v>
      </c>
      <c r="N106">
        <v>1</v>
      </c>
      <c r="O106">
        <v>1381</v>
      </c>
      <c r="P106">
        <v>2499</v>
      </c>
      <c r="Q106">
        <v>20</v>
      </c>
      <c r="R106">
        <v>500</v>
      </c>
      <c r="S106">
        <v>1999</v>
      </c>
      <c r="T106">
        <v>618</v>
      </c>
      <c r="U106">
        <v>30.92</v>
      </c>
      <c r="V106" t="s">
        <v>33</v>
      </c>
    </row>
    <row r="107" spans="1:22" x14ac:dyDescent="0.35">
      <c r="A107" t="s">
        <v>6273</v>
      </c>
      <c r="B107" t="s">
        <v>44</v>
      </c>
      <c r="C107" t="s">
        <v>16</v>
      </c>
      <c r="D107" t="s">
        <v>6272</v>
      </c>
      <c r="E107" t="s">
        <v>6271</v>
      </c>
      <c r="F107" s="5">
        <v>45635</v>
      </c>
      <c r="G107" t="s">
        <v>126</v>
      </c>
      <c r="H107" t="s">
        <v>1560</v>
      </c>
      <c r="I107" t="s">
        <v>31</v>
      </c>
      <c r="J107" t="s">
        <v>32</v>
      </c>
      <c r="K107" t="s">
        <v>32</v>
      </c>
      <c r="L107" t="s">
        <v>19</v>
      </c>
      <c r="M107" t="s">
        <v>20</v>
      </c>
      <c r="N107">
        <v>1</v>
      </c>
      <c r="O107">
        <v>605</v>
      </c>
      <c r="P107">
        <v>999</v>
      </c>
      <c r="Q107">
        <v>0</v>
      </c>
      <c r="R107">
        <v>0</v>
      </c>
      <c r="S107">
        <v>999</v>
      </c>
      <c r="T107">
        <v>394</v>
      </c>
      <c r="U107">
        <v>39.44</v>
      </c>
      <c r="V107" t="s">
        <v>21</v>
      </c>
    </row>
    <row r="108" spans="1:22" x14ac:dyDescent="0.35">
      <c r="A108" t="s">
        <v>6270</v>
      </c>
      <c r="B108" t="s">
        <v>30</v>
      </c>
      <c r="C108" t="s">
        <v>16</v>
      </c>
      <c r="D108" t="s">
        <v>6269</v>
      </c>
      <c r="E108" t="s">
        <v>6268</v>
      </c>
      <c r="F108" s="5">
        <v>45614</v>
      </c>
      <c r="G108" t="s">
        <v>126</v>
      </c>
      <c r="H108" t="s">
        <v>3378</v>
      </c>
      <c r="I108" t="s">
        <v>17</v>
      </c>
      <c r="J108" t="s">
        <v>48</v>
      </c>
      <c r="K108" t="s">
        <v>48</v>
      </c>
      <c r="L108" t="s">
        <v>37</v>
      </c>
      <c r="M108" t="s">
        <v>19</v>
      </c>
      <c r="N108">
        <v>2</v>
      </c>
      <c r="O108">
        <v>207</v>
      </c>
      <c r="P108">
        <v>299</v>
      </c>
      <c r="Q108">
        <v>0</v>
      </c>
      <c r="R108">
        <v>0</v>
      </c>
      <c r="S108">
        <v>598</v>
      </c>
      <c r="T108">
        <v>184</v>
      </c>
      <c r="U108">
        <v>30.77</v>
      </c>
      <c r="V108" t="s">
        <v>21</v>
      </c>
    </row>
    <row r="109" spans="1:22" x14ac:dyDescent="0.35">
      <c r="A109" t="s">
        <v>6267</v>
      </c>
      <c r="B109" t="s">
        <v>54</v>
      </c>
      <c r="C109" t="s">
        <v>27</v>
      </c>
      <c r="D109" t="s">
        <v>6266</v>
      </c>
      <c r="E109" t="s">
        <v>6265</v>
      </c>
      <c r="F109" s="5">
        <v>45458</v>
      </c>
      <c r="G109" t="s">
        <v>126</v>
      </c>
      <c r="H109" t="s">
        <v>6264</v>
      </c>
      <c r="I109" t="s">
        <v>23</v>
      </c>
      <c r="J109" t="s">
        <v>142</v>
      </c>
      <c r="K109" t="s">
        <v>43</v>
      </c>
      <c r="L109" t="s">
        <v>25</v>
      </c>
      <c r="M109" t="s">
        <v>20</v>
      </c>
      <c r="N109">
        <v>1</v>
      </c>
      <c r="O109">
        <v>1255</v>
      </c>
      <c r="P109">
        <v>2299</v>
      </c>
      <c r="Q109">
        <v>15</v>
      </c>
      <c r="R109">
        <v>400</v>
      </c>
      <c r="S109">
        <v>1899</v>
      </c>
      <c r="T109">
        <v>644</v>
      </c>
      <c r="U109">
        <v>33.909999999999997</v>
      </c>
      <c r="V109" t="s">
        <v>33</v>
      </c>
    </row>
    <row r="110" spans="1:22" x14ac:dyDescent="0.35">
      <c r="A110" t="s">
        <v>6263</v>
      </c>
      <c r="B110" t="s">
        <v>98</v>
      </c>
      <c r="C110" t="s">
        <v>16</v>
      </c>
      <c r="D110" t="s">
        <v>6262</v>
      </c>
      <c r="E110" t="s">
        <v>5757</v>
      </c>
      <c r="F110" s="5">
        <v>45604</v>
      </c>
      <c r="G110" t="s">
        <v>126</v>
      </c>
      <c r="H110" t="s">
        <v>6261</v>
      </c>
      <c r="I110" t="s">
        <v>23</v>
      </c>
      <c r="J110" t="s">
        <v>164</v>
      </c>
      <c r="K110" t="s">
        <v>24</v>
      </c>
      <c r="L110" t="s">
        <v>19</v>
      </c>
      <c r="M110" t="s">
        <v>19</v>
      </c>
      <c r="N110">
        <v>1</v>
      </c>
      <c r="O110">
        <v>879</v>
      </c>
      <c r="P110">
        <v>1399</v>
      </c>
      <c r="Q110">
        <v>10</v>
      </c>
      <c r="R110">
        <v>200</v>
      </c>
      <c r="S110">
        <v>1199</v>
      </c>
      <c r="T110">
        <v>320</v>
      </c>
      <c r="U110">
        <v>26.69</v>
      </c>
      <c r="V110" t="s">
        <v>33</v>
      </c>
    </row>
    <row r="111" spans="1:22" x14ac:dyDescent="0.35">
      <c r="A111" t="s">
        <v>6260</v>
      </c>
      <c r="B111" t="s">
        <v>57</v>
      </c>
      <c r="C111" t="s">
        <v>27</v>
      </c>
      <c r="D111" t="s">
        <v>6259</v>
      </c>
      <c r="E111" t="s">
        <v>6258</v>
      </c>
      <c r="F111" s="5">
        <v>45507</v>
      </c>
      <c r="G111" t="s">
        <v>126</v>
      </c>
      <c r="H111" t="s">
        <v>837</v>
      </c>
      <c r="I111" t="s">
        <v>28</v>
      </c>
      <c r="J111" t="s">
        <v>201</v>
      </c>
      <c r="K111" t="s">
        <v>29</v>
      </c>
      <c r="L111" t="s">
        <v>19</v>
      </c>
      <c r="M111" t="s">
        <v>19</v>
      </c>
      <c r="N111">
        <v>1</v>
      </c>
      <c r="O111">
        <v>296</v>
      </c>
      <c r="P111">
        <v>499</v>
      </c>
      <c r="Q111">
        <v>15</v>
      </c>
      <c r="R111">
        <v>100</v>
      </c>
      <c r="S111">
        <v>399</v>
      </c>
      <c r="T111">
        <v>103</v>
      </c>
      <c r="U111">
        <v>25.81</v>
      </c>
      <c r="V111" t="s">
        <v>21</v>
      </c>
    </row>
    <row r="112" spans="1:22" x14ac:dyDescent="0.35">
      <c r="A112" t="s">
        <v>6257</v>
      </c>
      <c r="B112" t="s">
        <v>88</v>
      </c>
      <c r="C112" t="s">
        <v>27</v>
      </c>
      <c r="D112" t="s">
        <v>6256</v>
      </c>
      <c r="E112" t="s">
        <v>6255</v>
      </c>
      <c r="F112" s="5">
        <v>45547</v>
      </c>
      <c r="G112" t="s">
        <v>126</v>
      </c>
      <c r="H112" t="s">
        <v>5341</v>
      </c>
      <c r="I112" t="s">
        <v>17</v>
      </c>
      <c r="J112" t="s">
        <v>55</v>
      </c>
      <c r="K112" t="s">
        <v>55</v>
      </c>
      <c r="L112" t="s">
        <v>19</v>
      </c>
      <c r="M112" t="s">
        <v>20</v>
      </c>
      <c r="N112">
        <v>4</v>
      </c>
      <c r="O112">
        <v>522</v>
      </c>
      <c r="P112">
        <v>799</v>
      </c>
      <c r="Q112">
        <v>0</v>
      </c>
      <c r="R112">
        <v>0</v>
      </c>
      <c r="S112">
        <v>3196</v>
      </c>
      <c r="T112">
        <v>1108</v>
      </c>
      <c r="U112">
        <v>34.67</v>
      </c>
      <c r="V112" t="s">
        <v>21</v>
      </c>
    </row>
    <row r="113" spans="1:22" x14ac:dyDescent="0.35">
      <c r="A113" t="s">
        <v>6254</v>
      </c>
      <c r="B113" t="s">
        <v>59</v>
      </c>
      <c r="C113" t="s">
        <v>27</v>
      </c>
      <c r="D113" t="s">
        <v>6253</v>
      </c>
      <c r="E113" t="s">
        <v>6252</v>
      </c>
      <c r="F113" s="5">
        <v>45500</v>
      </c>
      <c r="G113" t="s">
        <v>126</v>
      </c>
      <c r="H113" t="s">
        <v>477</v>
      </c>
      <c r="I113" t="s">
        <v>35</v>
      </c>
      <c r="J113" t="s">
        <v>39</v>
      </c>
      <c r="K113" t="s">
        <v>39</v>
      </c>
      <c r="L113" t="s">
        <v>19</v>
      </c>
      <c r="M113" t="s">
        <v>19</v>
      </c>
      <c r="N113">
        <v>3</v>
      </c>
      <c r="O113">
        <v>498</v>
      </c>
      <c r="P113">
        <v>799</v>
      </c>
      <c r="Q113">
        <v>10</v>
      </c>
      <c r="R113">
        <v>300</v>
      </c>
      <c r="S113">
        <v>2097</v>
      </c>
      <c r="T113">
        <v>603</v>
      </c>
      <c r="U113">
        <v>28.76</v>
      </c>
      <c r="V113" t="s">
        <v>21</v>
      </c>
    </row>
    <row r="114" spans="1:22" x14ac:dyDescent="0.35">
      <c r="A114" t="s">
        <v>6251</v>
      </c>
      <c r="B114" t="s">
        <v>49</v>
      </c>
      <c r="C114" t="s">
        <v>27</v>
      </c>
      <c r="D114" t="s">
        <v>6250</v>
      </c>
      <c r="E114" t="s">
        <v>6249</v>
      </c>
      <c r="F114" s="5">
        <v>45592</v>
      </c>
      <c r="G114" t="s">
        <v>126</v>
      </c>
      <c r="H114" t="s">
        <v>1996</v>
      </c>
      <c r="I114" t="s">
        <v>31</v>
      </c>
      <c r="J114" t="s">
        <v>32</v>
      </c>
      <c r="K114" t="s">
        <v>32</v>
      </c>
      <c r="L114" t="s">
        <v>37</v>
      </c>
      <c r="M114" t="s">
        <v>20</v>
      </c>
      <c r="N114">
        <v>1</v>
      </c>
      <c r="O114">
        <v>1042</v>
      </c>
      <c r="P114">
        <v>1499</v>
      </c>
      <c r="Q114">
        <v>0</v>
      </c>
      <c r="R114">
        <v>0</v>
      </c>
      <c r="S114">
        <v>1499</v>
      </c>
      <c r="T114">
        <v>457</v>
      </c>
      <c r="U114">
        <v>30.49</v>
      </c>
      <c r="V114" t="s">
        <v>33</v>
      </c>
    </row>
    <row r="115" spans="1:22" x14ac:dyDescent="0.35">
      <c r="A115" t="s">
        <v>6248</v>
      </c>
      <c r="B115" t="s">
        <v>83</v>
      </c>
      <c r="C115" t="s">
        <v>27</v>
      </c>
      <c r="D115" t="s">
        <v>6247</v>
      </c>
      <c r="E115" t="s">
        <v>6246</v>
      </c>
      <c r="F115" s="5">
        <v>45446</v>
      </c>
      <c r="G115" t="s">
        <v>126</v>
      </c>
      <c r="H115" t="s">
        <v>3569</v>
      </c>
      <c r="I115" t="s">
        <v>35</v>
      </c>
      <c r="J115" t="s">
        <v>214</v>
      </c>
      <c r="K115" t="s">
        <v>50</v>
      </c>
      <c r="L115" t="s">
        <v>19</v>
      </c>
      <c r="M115" t="s">
        <v>19</v>
      </c>
      <c r="N115">
        <v>4</v>
      </c>
      <c r="O115">
        <v>911</v>
      </c>
      <c r="P115">
        <v>1299</v>
      </c>
      <c r="Q115">
        <v>20</v>
      </c>
      <c r="R115">
        <v>1200</v>
      </c>
      <c r="S115">
        <v>3996</v>
      </c>
      <c r="T115">
        <v>352</v>
      </c>
      <c r="U115">
        <v>8.81</v>
      </c>
      <c r="V115" t="s">
        <v>33</v>
      </c>
    </row>
    <row r="116" spans="1:22" x14ac:dyDescent="0.35">
      <c r="A116" t="s">
        <v>6245</v>
      </c>
      <c r="B116" t="s">
        <v>65</v>
      </c>
      <c r="C116" t="s">
        <v>16</v>
      </c>
      <c r="D116" t="s">
        <v>6244</v>
      </c>
      <c r="E116" t="s">
        <v>4660</v>
      </c>
      <c r="F116" s="5">
        <v>45508</v>
      </c>
      <c r="G116" t="s">
        <v>126</v>
      </c>
      <c r="H116" t="s">
        <v>909</v>
      </c>
      <c r="I116" t="s">
        <v>31</v>
      </c>
      <c r="J116" t="s">
        <v>76</v>
      </c>
      <c r="K116" t="s">
        <v>76</v>
      </c>
      <c r="L116" t="s">
        <v>37</v>
      </c>
      <c r="M116" t="s">
        <v>19</v>
      </c>
      <c r="N116">
        <v>4</v>
      </c>
      <c r="O116">
        <v>702</v>
      </c>
      <c r="P116">
        <v>1199</v>
      </c>
      <c r="Q116">
        <v>0</v>
      </c>
      <c r="R116">
        <v>0</v>
      </c>
      <c r="S116">
        <v>4796</v>
      </c>
      <c r="T116">
        <v>1988</v>
      </c>
      <c r="U116">
        <v>41.45</v>
      </c>
      <c r="V116" t="s">
        <v>21</v>
      </c>
    </row>
    <row r="117" spans="1:22" x14ac:dyDescent="0.35">
      <c r="A117" t="s">
        <v>6243</v>
      </c>
      <c r="B117" t="s">
        <v>99</v>
      </c>
      <c r="C117" t="s">
        <v>27</v>
      </c>
      <c r="D117" t="s">
        <v>6242</v>
      </c>
      <c r="E117" t="s">
        <v>6241</v>
      </c>
      <c r="F117" s="5">
        <v>45525</v>
      </c>
      <c r="G117" t="s">
        <v>126</v>
      </c>
      <c r="H117" t="s">
        <v>2630</v>
      </c>
      <c r="I117" t="s">
        <v>28</v>
      </c>
      <c r="J117" t="s">
        <v>201</v>
      </c>
      <c r="K117" t="s">
        <v>29</v>
      </c>
      <c r="L117" t="s">
        <v>37</v>
      </c>
      <c r="M117" t="s">
        <v>20</v>
      </c>
      <c r="N117">
        <v>1</v>
      </c>
      <c r="O117">
        <v>485</v>
      </c>
      <c r="P117">
        <v>699</v>
      </c>
      <c r="Q117">
        <v>20</v>
      </c>
      <c r="R117">
        <v>200</v>
      </c>
      <c r="S117">
        <v>499</v>
      </c>
      <c r="T117">
        <v>14</v>
      </c>
      <c r="U117">
        <v>2.81</v>
      </c>
      <c r="V117" t="s">
        <v>21</v>
      </c>
    </row>
    <row r="118" spans="1:22" x14ac:dyDescent="0.35">
      <c r="A118" t="s">
        <v>6240</v>
      </c>
      <c r="B118" t="s">
        <v>34</v>
      </c>
      <c r="C118" t="s">
        <v>27</v>
      </c>
      <c r="D118" t="s">
        <v>6239</v>
      </c>
      <c r="E118" t="s">
        <v>6238</v>
      </c>
      <c r="F118" s="5">
        <v>45521</v>
      </c>
      <c r="G118" t="s">
        <v>126</v>
      </c>
      <c r="H118" t="s">
        <v>3182</v>
      </c>
      <c r="I118" t="s">
        <v>17</v>
      </c>
      <c r="J118" t="s">
        <v>48</v>
      </c>
      <c r="K118" t="s">
        <v>48</v>
      </c>
      <c r="L118" t="s">
        <v>19</v>
      </c>
      <c r="M118" t="s">
        <v>19</v>
      </c>
      <c r="N118">
        <v>4</v>
      </c>
      <c r="O118">
        <v>334</v>
      </c>
      <c r="P118">
        <v>599</v>
      </c>
      <c r="Q118">
        <v>0</v>
      </c>
      <c r="R118">
        <v>0</v>
      </c>
      <c r="S118">
        <v>2396</v>
      </c>
      <c r="T118">
        <v>1060</v>
      </c>
      <c r="U118">
        <v>44.24</v>
      </c>
      <c r="V118" t="s">
        <v>21</v>
      </c>
    </row>
    <row r="119" spans="1:22" x14ac:dyDescent="0.35">
      <c r="A119" t="s">
        <v>6237</v>
      </c>
      <c r="B119" t="s">
        <v>91</v>
      </c>
      <c r="C119" t="s">
        <v>16</v>
      </c>
      <c r="D119" t="s">
        <v>6236</v>
      </c>
      <c r="E119" t="s">
        <v>6235</v>
      </c>
      <c r="F119" s="5">
        <v>45654</v>
      </c>
      <c r="G119" t="s">
        <v>126</v>
      </c>
      <c r="H119" t="s">
        <v>4531</v>
      </c>
      <c r="I119" t="s">
        <v>28</v>
      </c>
      <c r="J119" t="s">
        <v>201</v>
      </c>
      <c r="K119" t="s">
        <v>29</v>
      </c>
      <c r="L119" t="s">
        <v>19</v>
      </c>
      <c r="M119" t="s">
        <v>20</v>
      </c>
      <c r="N119">
        <v>5</v>
      </c>
      <c r="O119">
        <v>325</v>
      </c>
      <c r="P119">
        <v>599</v>
      </c>
      <c r="Q119">
        <v>15</v>
      </c>
      <c r="R119">
        <v>750</v>
      </c>
      <c r="S119">
        <v>2245</v>
      </c>
      <c r="T119">
        <v>620</v>
      </c>
      <c r="U119">
        <v>27.62</v>
      </c>
      <c r="V119" t="s">
        <v>33</v>
      </c>
    </row>
    <row r="120" spans="1:22" x14ac:dyDescent="0.35">
      <c r="A120" t="s">
        <v>6234</v>
      </c>
      <c r="B120" t="s">
        <v>85</v>
      </c>
      <c r="C120" t="s">
        <v>27</v>
      </c>
      <c r="D120" t="s">
        <v>6233</v>
      </c>
      <c r="E120" t="s">
        <v>6232</v>
      </c>
      <c r="F120" s="5">
        <v>45498</v>
      </c>
      <c r="G120" t="s">
        <v>126</v>
      </c>
      <c r="H120" t="s">
        <v>6231</v>
      </c>
      <c r="I120" t="s">
        <v>28</v>
      </c>
      <c r="J120" t="s">
        <v>201</v>
      </c>
      <c r="K120" t="s">
        <v>29</v>
      </c>
      <c r="L120" t="s">
        <v>37</v>
      </c>
      <c r="M120" t="s">
        <v>19</v>
      </c>
      <c r="N120">
        <v>2</v>
      </c>
      <c r="O120">
        <v>431</v>
      </c>
      <c r="P120">
        <v>599</v>
      </c>
      <c r="Q120">
        <v>5</v>
      </c>
      <c r="R120">
        <v>200</v>
      </c>
      <c r="S120">
        <v>998</v>
      </c>
      <c r="T120">
        <v>136</v>
      </c>
      <c r="U120">
        <v>13.63</v>
      </c>
      <c r="V120" t="s">
        <v>21</v>
      </c>
    </row>
    <row r="121" spans="1:22" x14ac:dyDescent="0.35">
      <c r="A121" t="s">
        <v>6230</v>
      </c>
      <c r="B121" t="s">
        <v>52</v>
      </c>
      <c r="C121" t="s">
        <v>27</v>
      </c>
      <c r="D121" t="s">
        <v>6229</v>
      </c>
      <c r="E121" t="s">
        <v>6228</v>
      </c>
      <c r="F121" s="5">
        <v>45587</v>
      </c>
      <c r="G121" t="s">
        <v>126</v>
      </c>
      <c r="H121" t="s">
        <v>4174</v>
      </c>
      <c r="I121" t="s">
        <v>35</v>
      </c>
      <c r="J121" t="s">
        <v>159</v>
      </c>
      <c r="K121" t="s">
        <v>100</v>
      </c>
      <c r="L121" t="s">
        <v>37</v>
      </c>
      <c r="M121" t="s">
        <v>19</v>
      </c>
      <c r="N121">
        <v>2</v>
      </c>
      <c r="O121">
        <v>1532</v>
      </c>
      <c r="P121">
        <v>2299</v>
      </c>
      <c r="Q121">
        <v>10</v>
      </c>
      <c r="R121">
        <v>600</v>
      </c>
      <c r="S121">
        <v>3998</v>
      </c>
      <c r="T121">
        <v>934</v>
      </c>
      <c r="U121">
        <v>23.36</v>
      </c>
      <c r="V121" t="s">
        <v>21</v>
      </c>
    </row>
    <row r="122" spans="1:22" x14ac:dyDescent="0.35">
      <c r="A122" t="s">
        <v>6227</v>
      </c>
      <c r="B122" t="s">
        <v>101</v>
      </c>
      <c r="C122" t="s">
        <v>16</v>
      </c>
      <c r="D122" t="s">
        <v>6226</v>
      </c>
      <c r="E122" t="s">
        <v>6225</v>
      </c>
      <c r="F122" s="5">
        <v>45630</v>
      </c>
      <c r="G122" t="s">
        <v>126</v>
      </c>
      <c r="H122" t="s">
        <v>960</v>
      </c>
      <c r="I122" t="s">
        <v>23</v>
      </c>
      <c r="J122" t="s">
        <v>142</v>
      </c>
      <c r="K122" t="s">
        <v>43</v>
      </c>
      <c r="L122" t="s">
        <v>25</v>
      </c>
      <c r="M122" t="s">
        <v>20</v>
      </c>
      <c r="N122">
        <v>2</v>
      </c>
      <c r="O122">
        <v>1919</v>
      </c>
      <c r="P122">
        <v>3799</v>
      </c>
      <c r="Q122">
        <v>20</v>
      </c>
      <c r="R122">
        <v>1600</v>
      </c>
      <c r="S122">
        <v>5998</v>
      </c>
      <c r="T122">
        <v>2160</v>
      </c>
      <c r="U122">
        <v>36.01</v>
      </c>
      <c r="V122" t="s">
        <v>33</v>
      </c>
    </row>
    <row r="123" spans="1:22" x14ac:dyDescent="0.35">
      <c r="A123" t="s">
        <v>6224</v>
      </c>
      <c r="B123" t="s">
        <v>75</v>
      </c>
      <c r="C123" t="s">
        <v>27</v>
      </c>
      <c r="D123" t="s">
        <v>6223</v>
      </c>
      <c r="E123" t="s">
        <v>6222</v>
      </c>
      <c r="F123" s="5">
        <v>45613</v>
      </c>
      <c r="G123" t="s">
        <v>126</v>
      </c>
      <c r="H123" t="s">
        <v>1176</v>
      </c>
      <c r="I123" t="s">
        <v>17</v>
      </c>
      <c r="J123" t="s">
        <v>253</v>
      </c>
      <c r="K123" t="s">
        <v>72</v>
      </c>
      <c r="L123" t="s">
        <v>37</v>
      </c>
      <c r="M123" t="s">
        <v>20</v>
      </c>
      <c r="N123">
        <v>2</v>
      </c>
      <c r="O123">
        <v>291</v>
      </c>
      <c r="P123">
        <v>399</v>
      </c>
      <c r="Q123">
        <v>0</v>
      </c>
      <c r="R123">
        <v>0</v>
      </c>
      <c r="S123">
        <v>798</v>
      </c>
      <c r="T123">
        <v>216</v>
      </c>
      <c r="U123">
        <v>27.07</v>
      </c>
      <c r="V123" t="s">
        <v>33</v>
      </c>
    </row>
    <row r="124" spans="1:22" x14ac:dyDescent="0.35">
      <c r="A124" t="s">
        <v>6221</v>
      </c>
      <c r="B124" t="s">
        <v>66</v>
      </c>
      <c r="C124" t="s">
        <v>27</v>
      </c>
      <c r="D124" t="s">
        <v>6220</v>
      </c>
      <c r="E124" t="s">
        <v>6219</v>
      </c>
      <c r="F124" s="5">
        <v>45612</v>
      </c>
      <c r="G124" t="s">
        <v>126</v>
      </c>
      <c r="H124" t="s">
        <v>1814</v>
      </c>
      <c r="I124" t="s">
        <v>31</v>
      </c>
      <c r="J124" t="s">
        <v>76</v>
      </c>
      <c r="K124" t="s">
        <v>76</v>
      </c>
      <c r="L124" t="s">
        <v>25</v>
      </c>
      <c r="M124" t="s">
        <v>19</v>
      </c>
      <c r="N124">
        <v>2</v>
      </c>
      <c r="O124">
        <v>503</v>
      </c>
      <c r="P124">
        <v>799</v>
      </c>
      <c r="Q124">
        <v>0</v>
      </c>
      <c r="R124">
        <v>0</v>
      </c>
      <c r="S124">
        <v>1598</v>
      </c>
      <c r="T124">
        <v>592</v>
      </c>
      <c r="U124">
        <v>37.049999999999997</v>
      </c>
      <c r="V124" t="s">
        <v>33</v>
      </c>
    </row>
    <row r="125" spans="1:22" x14ac:dyDescent="0.35">
      <c r="A125" t="s">
        <v>6218</v>
      </c>
      <c r="B125" t="s">
        <v>90</v>
      </c>
      <c r="C125" t="s">
        <v>27</v>
      </c>
      <c r="D125" t="s">
        <v>6217</v>
      </c>
      <c r="E125" t="s">
        <v>6216</v>
      </c>
      <c r="F125" s="5">
        <v>45655</v>
      </c>
      <c r="G125" t="s">
        <v>126</v>
      </c>
      <c r="H125" t="s">
        <v>6215</v>
      </c>
      <c r="I125" t="s">
        <v>17</v>
      </c>
      <c r="J125" t="s">
        <v>55</v>
      </c>
      <c r="K125" t="s">
        <v>55</v>
      </c>
      <c r="L125" t="s">
        <v>37</v>
      </c>
      <c r="M125" t="s">
        <v>20</v>
      </c>
      <c r="N125">
        <v>2</v>
      </c>
      <c r="O125">
        <v>162</v>
      </c>
      <c r="P125">
        <v>299</v>
      </c>
      <c r="Q125">
        <v>0</v>
      </c>
      <c r="R125">
        <v>0</v>
      </c>
      <c r="S125">
        <v>598</v>
      </c>
      <c r="T125">
        <v>274</v>
      </c>
      <c r="U125">
        <v>45.82</v>
      </c>
      <c r="V125" t="s">
        <v>21</v>
      </c>
    </row>
    <row r="126" spans="1:22" x14ac:dyDescent="0.35">
      <c r="A126" t="s">
        <v>6214</v>
      </c>
      <c r="B126" t="s">
        <v>102</v>
      </c>
      <c r="C126" t="s">
        <v>27</v>
      </c>
      <c r="D126" t="s">
        <v>6213</v>
      </c>
      <c r="E126" t="s">
        <v>6212</v>
      </c>
      <c r="F126" s="5">
        <v>45461</v>
      </c>
      <c r="G126" t="s">
        <v>126</v>
      </c>
      <c r="H126" t="s">
        <v>450</v>
      </c>
      <c r="I126" t="s">
        <v>23</v>
      </c>
      <c r="J126" t="s">
        <v>164</v>
      </c>
      <c r="K126" t="s">
        <v>24</v>
      </c>
      <c r="L126" t="s">
        <v>37</v>
      </c>
      <c r="M126" t="s">
        <v>20</v>
      </c>
      <c r="N126">
        <v>1</v>
      </c>
      <c r="O126">
        <v>1211</v>
      </c>
      <c r="P126">
        <v>1899</v>
      </c>
      <c r="Q126">
        <v>20</v>
      </c>
      <c r="R126">
        <v>400</v>
      </c>
      <c r="S126">
        <v>1499</v>
      </c>
      <c r="T126">
        <v>288</v>
      </c>
      <c r="U126">
        <v>19.21</v>
      </c>
      <c r="V126" t="s">
        <v>21</v>
      </c>
    </row>
    <row r="127" spans="1:22" x14ac:dyDescent="0.35">
      <c r="A127" t="s">
        <v>6211</v>
      </c>
      <c r="B127" t="s">
        <v>92</v>
      </c>
      <c r="C127" t="s">
        <v>27</v>
      </c>
      <c r="D127" t="s">
        <v>6210</v>
      </c>
      <c r="E127" t="s">
        <v>6209</v>
      </c>
      <c r="F127" s="5">
        <v>45488</v>
      </c>
      <c r="G127" t="s">
        <v>126</v>
      </c>
      <c r="H127" t="s">
        <v>1024</v>
      </c>
      <c r="I127" t="s">
        <v>28</v>
      </c>
      <c r="J127" t="s">
        <v>45</v>
      </c>
      <c r="K127" t="s">
        <v>45</v>
      </c>
      <c r="L127" t="s">
        <v>25</v>
      </c>
      <c r="M127" t="s">
        <v>19</v>
      </c>
      <c r="N127">
        <v>1</v>
      </c>
      <c r="O127">
        <v>1180</v>
      </c>
      <c r="P127">
        <v>1899</v>
      </c>
      <c r="Q127">
        <v>20</v>
      </c>
      <c r="R127">
        <v>400</v>
      </c>
      <c r="S127">
        <v>1499</v>
      </c>
      <c r="T127">
        <v>319</v>
      </c>
      <c r="U127">
        <v>21.28</v>
      </c>
      <c r="V127" t="s">
        <v>21</v>
      </c>
    </row>
    <row r="128" spans="1:22" x14ac:dyDescent="0.35">
      <c r="A128" t="s">
        <v>6208</v>
      </c>
      <c r="B128" t="s">
        <v>61</v>
      </c>
      <c r="C128" t="s">
        <v>27</v>
      </c>
      <c r="D128" t="s">
        <v>6207</v>
      </c>
      <c r="E128" t="s">
        <v>6206</v>
      </c>
      <c r="F128" s="5">
        <v>45520</v>
      </c>
      <c r="G128" t="s">
        <v>126</v>
      </c>
      <c r="H128" t="s">
        <v>2730</v>
      </c>
      <c r="I128" t="s">
        <v>31</v>
      </c>
      <c r="J128" t="s">
        <v>76</v>
      </c>
      <c r="K128" t="s">
        <v>76</v>
      </c>
      <c r="L128" t="s">
        <v>19</v>
      </c>
      <c r="M128" t="s">
        <v>20</v>
      </c>
      <c r="N128">
        <v>5</v>
      </c>
      <c r="O128">
        <v>1055</v>
      </c>
      <c r="P128">
        <v>1499</v>
      </c>
      <c r="Q128">
        <v>0</v>
      </c>
      <c r="R128">
        <v>0</v>
      </c>
      <c r="S128">
        <v>7495</v>
      </c>
      <c r="T128">
        <v>2220</v>
      </c>
      <c r="U128">
        <v>29.62</v>
      </c>
      <c r="V128" t="s">
        <v>21</v>
      </c>
    </row>
    <row r="129" spans="1:22" x14ac:dyDescent="0.35">
      <c r="A129" t="s">
        <v>6205</v>
      </c>
      <c r="B129" t="s">
        <v>96</v>
      </c>
      <c r="C129" t="s">
        <v>16</v>
      </c>
      <c r="D129" t="s">
        <v>6204</v>
      </c>
      <c r="E129" t="s">
        <v>6203</v>
      </c>
      <c r="F129" s="5">
        <v>45648</v>
      </c>
      <c r="G129" t="s">
        <v>126</v>
      </c>
      <c r="H129" t="s">
        <v>762</v>
      </c>
      <c r="I129" t="s">
        <v>17</v>
      </c>
      <c r="J129" t="s">
        <v>235</v>
      </c>
      <c r="K129" t="s">
        <v>18</v>
      </c>
      <c r="L129" t="s">
        <v>25</v>
      </c>
      <c r="M129" t="s">
        <v>19</v>
      </c>
      <c r="N129">
        <v>1</v>
      </c>
      <c r="O129">
        <v>206</v>
      </c>
      <c r="P129">
        <v>299</v>
      </c>
      <c r="Q129">
        <v>0</v>
      </c>
      <c r="R129">
        <v>0</v>
      </c>
      <c r="S129">
        <v>299</v>
      </c>
      <c r="T129">
        <v>93</v>
      </c>
      <c r="U129">
        <v>31.1</v>
      </c>
      <c r="V129" t="s">
        <v>21</v>
      </c>
    </row>
    <row r="130" spans="1:22" x14ac:dyDescent="0.35">
      <c r="A130" t="s">
        <v>6202</v>
      </c>
      <c r="B130" t="s">
        <v>93</v>
      </c>
      <c r="C130" t="s">
        <v>16</v>
      </c>
      <c r="D130" t="s">
        <v>6201</v>
      </c>
      <c r="E130" t="s">
        <v>5000</v>
      </c>
      <c r="F130" s="5">
        <v>45564</v>
      </c>
      <c r="G130" t="s">
        <v>126</v>
      </c>
      <c r="H130" t="s">
        <v>4264</v>
      </c>
      <c r="I130" t="s">
        <v>31</v>
      </c>
      <c r="J130" t="s">
        <v>32</v>
      </c>
      <c r="K130" t="s">
        <v>32</v>
      </c>
      <c r="L130" t="s">
        <v>19</v>
      </c>
      <c r="M130" t="s">
        <v>19</v>
      </c>
      <c r="N130">
        <v>1</v>
      </c>
      <c r="O130">
        <v>715</v>
      </c>
      <c r="P130">
        <v>999</v>
      </c>
      <c r="Q130">
        <v>0</v>
      </c>
      <c r="R130">
        <v>0</v>
      </c>
      <c r="S130">
        <v>999</v>
      </c>
      <c r="T130">
        <v>284</v>
      </c>
      <c r="U130">
        <v>28.43</v>
      </c>
      <c r="V130" t="s">
        <v>21</v>
      </c>
    </row>
    <row r="131" spans="1:22" x14ac:dyDescent="0.35">
      <c r="A131" t="s">
        <v>6200</v>
      </c>
      <c r="B131" t="s">
        <v>52</v>
      </c>
      <c r="C131" t="s">
        <v>27</v>
      </c>
      <c r="D131" t="s">
        <v>6199</v>
      </c>
      <c r="E131" t="s">
        <v>6198</v>
      </c>
      <c r="F131" s="5">
        <v>45579</v>
      </c>
      <c r="G131" t="s">
        <v>126</v>
      </c>
      <c r="H131" t="s">
        <v>5442</v>
      </c>
      <c r="I131" t="s">
        <v>28</v>
      </c>
      <c r="J131" t="s">
        <v>201</v>
      </c>
      <c r="K131" t="s">
        <v>29</v>
      </c>
      <c r="L131" t="s">
        <v>25</v>
      </c>
      <c r="M131" t="s">
        <v>19</v>
      </c>
      <c r="N131">
        <v>1</v>
      </c>
      <c r="O131">
        <v>518</v>
      </c>
      <c r="P131">
        <v>699</v>
      </c>
      <c r="Q131">
        <v>5</v>
      </c>
      <c r="R131">
        <v>100</v>
      </c>
      <c r="S131">
        <v>599</v>
      </c>
      <c r="T131">
        <v>81</v>
      </c>
      <c r="U131">
        <v>13.52</v>
      </c>
      <c r="V131" t="s">
        <v>21</v>
      </c>
    </row>
    <row r="132" spans="1:22" x14ac:dyDescent="0.35">
      <c r="A132" t="s">
        <v>6197</v>
      </c>
      <c r="B132" t="s">
        <v>74</v>
      </c>
      <c r="C132" t="s">
        <v>16</v>
      </c>
      <c r="D132" t="s">
        <v>6196</v>
      </c>
      <c r="E132" t="s">
        <v>6195</v>
      </c>
      <c r="F132" s="5">
        <v>45472</v>
      </c>
      <c r="G132" t="s">
        <v>126</v>
      </c>
      <c r="H132" t="s">
        <v>672</v>
      </c>
      <c r="I132" t="s">
        <v>28</v>
      </c>
      <c r="J132" t="s">
        <v>45</v>
      </c>
      <c r="K132" t="s">
        <v>45</v>
      </c>
      <c r="L132" t="s">
        <v>19</v>
      </c>
      <c r="M132" t="s">
        <v>19</v>
      </c>
      <c r="N132">
        <v>1</v>
      </c>
      <c r="O132">
        <v>699</v>
      </c>
      <c r="P132">
        <v>1299</v>
      </c>
      <c r="Q132">
        <v>20</v>
      </c>
      <c r="R132">
        <v>300</v>
      </c>
      <c r="S132">
        <v>999</v>
      </c>
      <c r="T132">
        <v>300</v>
      </c>
      <c r="U132">
        <v>30.03</v>
      </c>
      <c r="V132" t="s">
        <v>21</v>
      </c>
    </row>
    <row r="133" spans="1:22" x14ac:dyDescent="0.35">
      <c r="A133" t="s">
        <v>6194</v>
      </c>
      <c r="B133" t="s">
        <v>51</v>
      </c>
      <c r="C133" t="s">
        <v>16</v>
      </c>
      <c r="D133" t="s">
        <v>6193</v>
      </c>
      <c r="E133" t="s">
        <v>6192</v>
      </c>
      <c r="F133" s="5">
        <v>45642</v>
      </c>
      <c r="G133" t="s">
        <v>126</v>
      </c>
      <c r="H133" t="s">
        <v>446</v>
      </c>
      <c r="I133" t="s">
        <v>28</v>
      </c>
      <c r="J133" t="s">
        <v>201</v>
      </c>
      <c r="K133" t="s">
        <v>29</v>
      </c>
      <c r="L133" t="s">
        <v>25</v>
      </c>
      <c r="M133" t="s">
        <v>19</v>
      </c>
      <c r="N133">
        <v>1</v>
      </c>
      <c r="O133">
        <v>418</v>
      </c>
      <c r="P133">
        <v>799</v>
      </c>
      <c r="Q133">
        <v>20</v>
      </c>
      <c r="R133">
        <v>200</v>
      </c>
      <c r="S133">
        <v>599</v>
      </c>
      <c r="T133">
        <v>181</v>
      </c>
      <c r="U133">
        <v>30.22</v>
      </c>
      <c r="V133" t="s">
        <v>21</v>
      </c>
    </row>
    <row r="134" spans="1:22" x14ac:dyDescent="0.35">
      <c r="A134" t="s">
        <v>6191</v>
      </c>
      <c r="B134" t="s">
        <v>67</v>
      </c>
      <c r="C134" t="s">
        <v>27</v>
      </c>
      <c r="D134" t="s">
        <v>6190</v>
      </c>
      <c r="E134" t="s">
        <v>6189</v>
      </c>
      <c r="F134" s="5">
        <v>45493</v>
      </c>
      <c r="G134" t="s">
        <v>126</v>
      </c>
      <c r="H134" t="s">
        <v>466</v>
      </c>
      <c r="I134" t="s">
        <v>23</v>
      </c>
      <c r="J134" t="s">
        <v>142</v>
      </c>
      <c r="K134" t="s">
        <v>43</v>
      </c>
      <c r="L134" t="s">
        <v>37</v>
      </c>
      <c r="M134" t="s">
        <v>19</v>
      </c>
      <c r="N134">
        <v>1</v>
      </c>
      <c r="O134">
        <v>2106</v>
      </c>
      <c r="P134">
        <v>3699</v>
      </c>
      <c r="Q134">
        <v>5</v>
      </c>
      <c r="R134">
        <v>200</v>
      </c>
      <c r="S134">
        <v>3499</v>
      </c>
      <c r="T134">
        <v>1393</v>
      </c>
      <c r="U134">
        <v>39.81</v>
      </c>
      <c r="V134" t="s">
        <v>21</v>
      </c>
    </row>
    <row r="135" spans="1:22" x14ac:dyDescent="0.35">
      <c r="A135" t="s">
        <v>6188</v>
      </c>
      <c r="B135" t="s">
        <v>98</v>
      </c>
      <c r="C135" t="s">
        <v>16</v>
      </c>
      <c r="D135" t="s">
        <v>6187</v>
      </c>
      <c r="E135" t="s">
        <v>6186</v>
      </c>
      <c r="F135" s="5">
        <v>45472</v>
      </c>
      <c r="G135" t="s">
        <v>126</v>
      </c>
      <c r="H135" t="s">
        <v>249</v>
      </c>
      <c r="I135" t="s">
        <v>28</v>
      </c>
      <c r="J135" t="s">
        <v>45</v>
      </c>
      <c r="K135" t="s">
        <v>45</v>
      </c>
      <c r="L135" t="s">
        <v>25</v>
      </c>
      <c r="M135" t="s">
        <v>20</v>
      </c>
      <c r="N135">
        <v>1</v>
      </c>
      <c r="O135">
        <v>939</v>
      </c>
      <c r="P135">
        <v>1499</v>
      </c>
      <c r="Q135">
        <v>15</v>
      </c>
      <c r="R135">
        <v>300</v>
      </c>
      <c r="S135">
        <v>1199</v>
      </c>
      <c r="T135">
        <v>260</v>
      </c>
      <c r="U135">
        <v>21.68</v>
      </c>
      <c r="V135" t="s">
        <v>21</v>
      </c>
    </row>
    <row r="136" spans="1:22" x14ac:dyDescent="0.35">
      <c r="A136" t="s">
        <v>6185</v>
      </c>
      <c r="B136" t="s">
        <v>69</v>
      </c>
      <c r="C136" t="s">
        <v>16</v>
      </c>
      <c r="D136" t="s">
        <v>6184</v>
      </c>
      <c r="E136" t="s">
        <v>2800</v>
      </c>
      <c r="F136" s="5">
        <v>45627</v>
      </c>
      <c r="G136" t="s">
        <v>126</v>
      </c>
      <c r="H136" t="s">
        <v>2891</v>
      </c>
      <c r="I136" t="s">
        <v>23</v>
      </c>
      <c r="J136" t="s">
        <v>142</v>
      </c>
      <c r="K136" t="s">
        <v>43</v>
      </c>
      <c r="L136" t="s">
        <v>19</v>
      </c>
      <c r="M136" t="s">
        <v>20</v>
      </c>
      <c r="N136">
        <v>1</v>
      </c>
      <c r="O136">
        <v>1382</v>
      </c>
      <c r="P136">
        <v>2399</v>
      </c>
      <c r="Q136">
        <v>5</v>
      </c>
      <c r="R136">
        <v>200</v>
      </c>
      <c r="S136">
        <v>2199</v>
      </c>
      <c r="T136">
        <v>817</v>
      </c>
      <c r="U136">
        <v>37.15</v>
      </c>
      <c r="V136" t="s">
        <v>21</v>
      </c>
    </row>
    <row r="137" spans="1:22" x14ac:dyDescent="0.35">
      <c r="A137" t="s">
        <v>6183</v>
      </c>
      <c r="B137" t="s">
        <v>73</v>
      </c>
      <c r="C137" t="s">
        <v>16</v>
      </c>
      <c r="D137" t="s">
        <v>6182</v>
      </c>
      <c r="E137" t="s">
        <v>5481</v>
      </c>
      <c r="F137" s="5">
        <v>45634</v>
      </c>
      <c r="G137" t="s">
        <v>126</v>
      </c>
      <c r="H137" t="s">
        <v>1158</v>
      </c>
      <c r="I137" t="s">
        <v>28</v>
      </c>
      <c r="J137" t="s">
        <v>45</v>
      </c>
      <c r="K137" t="s">
        <v>45</v>
      </c>
      <c r="L137" t="s">
        <v>37</v>
      </c>
      <c r="M137" t="s">
        <v>19</v>
      </c>
      <c r="N137">
        <v>3</v>
      </c>
      <c r="O137">
        <v>961</v>
      </c>
      <c r="P137">
        <v>1899</v>
      </c>
      <c r="Q137">
        <v>5</v>
      </c>
      <c r="R137">
        <v>300</v>
      </c>
      <c r="S137">
        <v>5397</v>
      </c>
      <c r="T137">
        <v>2514</v>
      </c>
      <c r="U137">
        <v>46.58</v>
      </c>
      <c r="V137" t="s">
        <v>21</v>
      </c>
    </row>
    <row r="138" spans="1:22" x14ac:dyDescent="0.35">
      <c r="A138" t="s">
        <v>6181</v>
      </c>
      <c r="B138" t="s">
        <v>70</v>
      </c>
      <c r="C138" t="s">
        <v>27</v>
      </c>
      <c r="D138" t="s">
        <v>6180</v>
      </c>
      <c r="E138" t="s">
        <v>6179</v>
      </c>
      <c r="F138" s="5">
        <v>45465</v>
      </c>
      <c r="G138" t="s">
        <v>126</v>
      </c>
      <c r="H138" t="s">
        <v>3440</v>
      </c>
      <c r="I138" t="s">
        <v>17</v>
      </c>
      <c r="J138" t="s">
        <v>253</v>
      </c>
      <c r="K138" t="s">
        <v>72</v>
      </c>
      <c r="L138" t="s">
        <v>25</v>
      </c>
      <c r="M138" t="s">
        <v>20</v>
      </c>
      <c r="N138">
        <v>1</v>
      </c>
      <c r="O138">
        <v>292</v>
      </c>
      <c r="P138">
        <v>499</v>
      </c>
      <c r="Q138">
        <v>0</v>
      </c>
      <c r="R138">
        <v>0</v>
      </c>
      <c r="S138">
        <v>499</v>
      </c>
      <c r="T138">
        <v>207</v>
      </c>
      <c r="U138">
        <v>41.48</v>
      </c>
      <c r="V138" t="s">
        <v>21</v>
      </c>
    </row>
    <row r="139" spans="1:22" x14ac:dyDescent="0.35">
      <c r="A139" t="s">
        <v>6178</v>
      </c>
      <c r="B139" t="s">
        <v>68</v>
      </c>
      <c r="C139" t="s">
        <v>16</v>
      </c>
      <c r="D139" t="s">
        <v>6177</v>
      </c>
      <c r="E139" t="s">
        <v>6176</v>
      </c>
      <c r="F139" s="5">
        <v>45520</v>
      </c>
      <c r="G139" t="s">
        <v>126</v>
      </c>
      <c r="H139" t="s">
        <v>528</v>
      </c>
      <c r="I139" t="s">
        <v>35</v>
      </c>
      <c r="J139" t="s">
        <v>244</v>
      </c>
      <c r="K139" t="s">
        <v>58</v>
      </c>
      <c r="L139" t="s">
        <v>19</v>
      </c>
      <c r="M139" t="s">
        <v>20</v>
      </c>
      <c r="N139">
        <v>1</v>
      </c>
      <c r="O139">
        <v>661</v>
      </c>
      <c r="P139">
        <v>1199</v>
      </c>
      <c r="Q139">
        <v>15</v>
      </c>
      <c r="R139">
        <v>200</v>
      </c>
      <c r="S139">
        <v>999</v>
      </c>
      <c r="T139">
        <v>338</v>
      </c>
      <c r="U139">
        <v>33.83</v>
      </c>
      <c r="V139" t="s">
        <v>21</v>
      </c>
    </row>
    <row r="140" spans="1:22" x14ac:dyDescent="0.35">
      <c r="A140" t="s">
        <v>6175</v>
      </c>
      <c r="B140" t="s">
        <v>99</v>
      </c>
      <c r="C140" t="s">
        <v>27</v>
      </c>
      <c r="D140" t="s">
        <v>6174</v>
      </c>
      <c r="E140" t="s">
        <v>6173</v>
      </c>
      <c r="F140" s="5">
        <v>45510</v>
      </c>
      <c r="G140" t="s">
        <v>126</v>
      </c>
      <c r="H140" t="s">
        <v>6172</v>
      </c>
      <c r="I140" t="s">
        <v>35</v>
      </c>
      <c r="J140" t="s">
        <v>214</v>
      </c>
      <c r="K140" t="s">
        <v>50</v>
      </c>
      <c r="L140" t="s">
        <v>37</v>
      </c>
      <c r="M140" t="s">
        <v>19</v>
      </c>
      <c r="N140">
        <v>1</v>
      </c>
      <c r="O140">
        <v>1205</v>
      </c>
      <c r="P140">
        <v>1899</v>
      </c>
      <c r="Q140">
        <v>20</v>
      </c>
      <c r="R140">
        <v>400</v>
      </c>
      <c r="S140">
        <v>1499</v>
      </c>
      <c r="T140">
        <v>294</v>
      </c>
      <c r="U140">
        <v>19.61</v>
      </c>
      <c r="V140" t="s">
        <v>33</v>
      </c>
    </row>
    <row r="141" spans="1:22" x14ac:dyDescent="0.35">
      <c r="A141" t="s">
        <v>6171</v>
      </c>
      <c r="B141" t="s">
        <v>66</v>
      </c>
      <c r="C141" t="s">
        <v>27</v>
      </c>
      <c r="D141" t="s">
        <v>6170</v>
      </c>
      <c r="E141" t="s">
        <v>6169</v>
      </c>
      <c r="F141" s="5">
        <v>45507</v>
      </c>
      <c r="G141" t="s">
        <v>126</v>
      </c>
      <c r="H141" t="s">
        <v>1180</v>
      </c>
      <c r="I141" t="s">
        <v>17</v>
      </c>
      <c r="J141" t="s">
        <v>55</v>
      </c>
      <c r="K141" t="s">
        <v>55</v>
      </c>
      <c r="L141" t="s">
        <v>37</v>
      </c>
      <c r="M141" t="s">
        <v>20</v>
      </c>
      <c r="N141">
        <v>5</v>
      </c>
      <c r="O141">
        <v>303</v>
      </c>
      <c r="P141">
        <v>499</v>
      </c>
      <c r="Q141">
        <v>0</v>
      </c>
      <c r="R141">
        <v>0</v>
      </c>
      <c r="S141">
        <v>2495</v>
      </c>
      <c r="T141">
        <v>980</v>
      </c>
      <c r="U141">
        <v>39.28</v>
      </c>
      <c r="V141" t="s">
        <v>33</v>
      </c>
    </row>
    <row r="142" spans="1:22" x14ac:dyDescent="0.35">
      <c r="A142" t="s">
        <v>6168</v>
      </c>
      <c r="B142" t="s">
        <v>53</v>
      </c>
      <c r="C142" t="s">
        <v>27</v>
      </c>
      <c r="D142" t="s">
        <v>6167</v>
      </c>
      <c r="E142" t="s">
        <v>6166</v>
      </c>
      <c r="F142" s="5">
        <v>45539</v>
      </c>
      <c r="G142" t="s">
        <v>126</v>
      </c>
      <c r="H142" t="s">
        <v>2638</v>
      </c>
      <c r="I142" t="s">
        <v>23</v>
      </c>
      <c r="J142" t="s">
        <v>142</v>
      </c>
      <c r="K142" t="s">
        <v>43</v>
      </c>
      <c r="L142" t="s">
        <v>25</v>
      </c>
      <c r="M142" t="s">
        <v>19</v>
      </c>
      <c r="N142">
        <v>3</v>
      </c>
      <c r="O142">
        <v>1503</v>
      </c>
      <c r="P142">
        <v>2699</v>
      </c>
      <c r="Q142">
        <v>5</v>
      </c>
      <c r="R142">
        <v>600</v>
      </c>
      <c r="S142">
        <v>7497</v>
      </c>
      <c r="T142">
        <v>2988</v>
      </c>
      <c r="U142">
        <v>39.86</v>
      </c>
      <c r="V142" t="s">
        <v>21</v>
      </c>
    </row>
    <row r="143" spans="1:22" x14ac:dyDescent="0.35">
      <c r="A143" t="s">
        <v>6165</v>
      </c>
      <c r="B143" t="s">
        <v>26</v>
      </c>
      <c r="C143" t="s">
        <v>27</v>
      </c>
      <c r="D143" t="s">
        <v>6164</v>
      </c>
      <c r="E143" t="s">
        <v>6163</v>
      </c>
      <c r="F143" s="5">
        <v>45451</v>
      </c>
      <c r="G143" t="s">
        <v>126</v>
      </c>
      <c r="H143" t="s">
        <v>3526</v>
      </c>
      <c r="I143" t="s">
        <v>17</v>
      </c>
      <c r="J143" t="s">
        <v>235</v>
      </c>
      <c r="K143" t="s">
        <v>18</v>
      </c>
      <c r="L143" t="s">
        <v>19</v>
      </c>
      <c r="M143" t="s">
        <v>20</v>
      </c>
      <c r="N143">
        <v>1</v>
      </c>
      <c r="O143">
        <v>159</v>
      </c>
      <c r="P143">
        <v>299</v>
      </c>
      <c r="Q143">
        <v>0</v>
      </c>
      <c r="R143">
        <v>0</v>
      </c>
      <c r="S143">
        <v>299</v>
      </c>
      <c r="T143">
        <v>140</v>
      </c>
      <c r="U143">
        <v>46.82</v>
      </c>
      <c r="V143" t="s">
        <v>21</v>
      </c>
    </row>
    <row r="144" spans="1:22" x14ac:dyDescent="0.35">
      <c r="A144" t="s">
        <v>6162</v>
      </c>
      <c r="B144" t="s">
        <v>63</v>
      </c>
      <c r="C144" t="s">
        <v>27</v>
      </c>
      <c r="D144" t="s">
        <v>6161</v>
      </c>
      <c r="E144" t="s">
        <v>6160</v>
      </c>
      <c r="F144" s="5">
        <v>45505</v>
      </c>
      <c r="G144" t="s">
        <v>126</v>
      </c>
      <c r="H144" t="s">
        <v>2427</v>
      </c>
      <c r="I144" t="s">
        <v>17</v>
      </c>
      <c r="J144" t="s">
        <v>55</v>
      </c>
      <c r="K144" t="s">
        <v>55</v>
      </c>
      <c r="L144" t="s">
        <v>25</v>
      </c>
      <c r="M144" t="s">
        <v>20</v>
      </c>
      <c r="N144">
        <v>1</v>
      </c>
      <c r="O144">
        <v>333</v>
      </c>
      <c r="P144">
        <v>499</v>
      </c>
      <c r="Q144">
        <v>0</v>
      </c>
      <c r="R144">
        <v>0</v>
      </c>
      <c r="S144">
        <v>499</v>
      </c>
      <c r="T144">
        <v>166</v>
      </c>
      <c r="U144">
        <v>33.270000000000003</v>
      </c>
      <c r="V144" t="s">
        <v>21</v>
      </c>
    </row>
    <row r="145" spans="1:22" x14ac:dyDescent="0.35">
      <c r="A145" t="s">
        <v>6159</v>
      </c>
      <c r="B145" t="s">
        <v>83</v>
      </c>
      <c r="C145" t="s">
        <v>27</v>
      </c>
      <c r="D145" t="s">
        <v>6158</v>
      </c>
      <c r="E145" t="s">
        <v>6157</v>
      </c>
      <c r="F145" s="5">
        <v>45460</v>
      </c>
      <c r="G145" t="s">
        <v>126</v>
      </c>
      <c r="H145" t="s">
        <v>6156</v>
      </c>
      <c r="I145" t="s">
        <v>23</v>
      </c>
      <c r="J145" t="s">
        <v>164</v>
      </c>
      <c r="K145" t="s">
        <v>24</v>
      </c>
      <c r="L145" t="s">
        <v>25</v>
      </c>
      <c r="M145" t="s">
        <v>20</v>
      </c>
      <c r="N145">
        <v>1</v>
      </c>
      <c r="O145">
        <v>922</v>
      </c>
      <c r="P145">
        <v>1499</v>
      </c>
      <c r="Q145">
        <v>20</v>
      </c>
      <c r="R145">
        <v>300</v>
      </c>
      <c r="S145">
        <v>1199</v>
      </c>
      <c r="T145">
        <v>277</v>
      </c>
      <c r="U145">
        <v>23.1</v>
      </c>
      <c r="V145" t="s">
        <v>33</v>
      </c>
    </row>
    <row r="146" spans="1:22" x14ac:dyDescent="0.35">
      <c r="A146" t="s">
        <v>6155</v>
      </c>
      <c r="B146" t="s">
        <v>102</v>
      </c>
      <c r="C146" t="s">
        <v>27</v>
      </c>
      <c r="D146" t="s">
        <v>6154</v>
      </c>
      <c r="E146" t="s">
        <v>6153</v>
      </c>
      <c r="F146" s="5">
        <v>45530</v>
      </c>
      <c r="G146" t="s">
        <v>126</v>
      </c>
      <c r="H146" t="s">
        <v>1749</v>
      </c>
      <c r="I146" t="s">
        <v>23</v>
      </c>
      <c r="J146" t="s">
        <v>142</v>
      </c>
      <c r="K146" t="s">
        <v>43</v>
      </c>
      <c r="L146" t="s">
        <v>37</v>
      </c>
      <c r="M146" t="s">
        <v>19</v>
      </c>
      <c r="N146">
        <v>5</v>
      </c>
      <c r="O146">
        <v>1913</v>
      </c>
      <c r="P146">
        <v>3399</v>
      </c>
      <c r="Q146">
        <v>10</v>
      </c>
      <c r="R146">
        <v>2000</v>
      </c>
      <c r="S146">
        <v>14995</v>
      </c>
      <c r="T146">
        <v>5430</v>
      </c>
      <c r="U146">
        <v>36.21</v>
      </c>
      <c r="V146" t="s">
        <v>21</v>
      </c>
    </row>
    <row r="147" spans="1:22" x14ac:dyDescent="0.35">
      <c r="A147" t="s">
        <v>6152</v>
      </c>
      <c r="B147" t="s">
        <v>61</v>
      </c>
      <c r="C147" t="s">
        <v>27</v>
      </c>
      <c r="D147" t="s">
        <v>6151</v>
      </c>
      <c r="E147" t="s">
        <v>2120</v>
      </c>
      <c r="F147" s="5">
        <v>45513</v>
      </c>
      <c r="G147" t="s">
        <v>126</v>
      </c>
      <c r="H147" t="s">
        <v>2480</v>
      </c>
      <c r="I147" t="s">
        <v>23</v>
      </c>
      <c r="J147" t="s">
        <v>142</v>
      </c>
      <c r="K147" t="s">
        <v>43</v>
      </c>
      <c r="L147" t="s">
        <v>25</v>
      </c>
      <c r="M147" t="s">
        <v>20</v>
      </c>
      <c r="N147">
        <v>1</v>
      </c>
      <c r="O147">
        <v>2341</v>
      </c>
      <c r="P147">
        <v>4199</v>
      </c>
      <c r="Q147">
        <v>15</v>
      </c>
      <c r="R147">
        <v>700</v>
      </c>
      <c r="S147">
        <v>3499</v>
      </c>
      <c r="T147">
        <v>1158</v>
      </c>
      <c r="U147">
        <v>33.1</v>
      </c>
      <c r="V147" t="s">
        <v>33</v>
      </c>
    </row>
    <row r="148" spans="1:22" x14ac:dyDescent="0.35">
      <c r="A148" t="s">
        <v>6150</v>
      </c>
      <c r="B148" t="s">
        <v>96</v>
      </c>
      <c r="C148" t="s">
        <v>16</v>
      </c>
      <c r="D148" t="s">
        <v>6149</v>
      </c>
      <c r="E148" t="s">
        <v>6148</v>
      </c>
      <c r="F148" s="5">
        <v>45526</v>
      </c>
      <c r="G148" t="s">
        <v>126</v>
      </c>
      <c r="H148" t="s">
        <v>4343</v>
      </c>
      <c r="I148" t="s">
        <v>28</v>
      </c>
      <c r="J148" t="s">
        <v>45</v>
      </c>
      <c r="K148" t="s">
        <v>45</v>
      </c>
      <c r="L148" t="s">
        <v>25</v>
      </c>
      <c r="M148" t="s">
        <v>20</v>
      </c>
      <c r="N148">
        <v>5</v>
      </c>
      <c r="O148">
        <v>706</v>
      </c>
      <c r="P148">
        <v>999</v>
      </c>
      <c r="Q148">
        <v>15</v>
      </c>
      <c r="R148">
        <v>1000</v>
      </c>
      <c r="S148">
        <v>3995</v>
      </c>
      <c r="T148">
        <v>465</v>
      </c>
      <c r="U148">
        <v>11.64</v>
      </c>
      <c r="V148" t="s">
        <v>33</v>
      </c>
    </row>
    <row r="149" spans="1:22" x14ac:dyDescent="0.35">
      <c r="A149" t="s">
        <v>6147</v>
      </c>
      <c r="B149" t="s">
        <v>26</v>
      </c>
      <c r="C149" t="s">
        <v>27</v>
      </c>
      <c r="D149" t="s">
        <v>6146</v>
      </c>
      <c r="E149" t="s">
        <v>6145</v>
      </c>
      <c r="F149" s="5">
        <v>45601</v>
      </c>
      <c r="G149" t="s">
        <v>126</v>
      </c>
      <c r="H149" t="s">
        <v>2630</v>
      </c>
      <c r="I149" t="s">
        <v>31</v>
      </c>
      <c r="J149" t="s">
        <v>32</v>
      </c>
      <c r="K149" t="s">
        <v>32</v>
      </c>
      <c r="L149" t="s">
        <v>37</v>
      </c>
      <c r="M149" t="s">
        <v>19</v>
      </c>
      <c r="N149">
        <v>1</v>
      </c>
      <c r="O149">
        <v>645</v>
      </c>
      <c r="P149">
        <v>899</v>
      </c>
      <c r="Q149">
        <v>0</v>
      </c>
      <c r="R149">
        <v>0</v>
      </c>
      <c r="S149">
        <v>899</v>
      </c>
      <c r="T149">
        <v>254</v>
      </c>
      <c r="U149">
        <v>28.25</v>
      </c>
      <c r="V149" t="s">
        <v>21</v>
      </c>
    </row>
    <row r="150" spans="1:22" x14ac:dyDescent="0.35">
      <c r="A150" t="s">
        <v>6144</v>
      </c>
      <c r="B150" t="s">
        <v>99</v>
      </c>
      <c r="C150" t="s">
        <v>27</v>
      </c>
      <c r="D150" t="s">
        <v>6143</v>
      </c>
      <c r="E150" t="s">
        <v>6142</v>
      </c>
      <c r="F150" s="5">
        <v>45497</v>
      </c>
      <c r="G150" t="s">
        <v>126</v>
      </c>
      <c r="H150" t="s">
        <v>6141</v>
      </c>
      <c r="I150" t="s">
        <v>28</v>
      </c>
      <c r="J150" t="s">
        <v>201</v>
      </c>
      <c r="K150" t="s">
        <v>29</v>
      </c>
      <c r="L150" t="s">
        <v>19</v>
      </c>
      <c r="M150" t="s">
        <v>20</v>
      </c>
      <c r="N150">
        <v>3</v>
      </c>
      <c r="O150">
        <v>269</v>
      </c>
      <c r="P150">
        <v>499</v>
      </c>
      <c r="Q150">
        <v>10</v>
      </c>
      <c r="R150">
        <v>300</v>
      </c>
      <c r="S150">
        <v>1197</v>
      </c>
      <c r="T150">
        <v>390</v>
      </c>
      <c r="U150">
        <v>32.58</v>
      </c>
      <c r="V150" t="s">
        <v>21</v>
      </c>
    </row>
    <row r="151" spans="1:22" x14ac:dyDescent="0.35">
      <c r="A151" t="s">
        <v>6140</v>
      </c>
      <c r="B151" t="s">
        <v>75</v>
      </c>
      <c r="C151" t="s">
        <v>27</v>
      </c>
      <c r="D151" t="s">
        <v>6139</v>
      </c>
      <c r="E151" t="s">
        <v>6138</v>
      </c>
      <c r="F151" s="5">
        <v>45586</v>
      </c>
      <c r="G151" t="s">
        <v>126</v>
      </c>
      <c r="H151" t="s">
        <v>1594</v>
      </c>
      <c r="I151" t="s">
        <v>31</v>
      </c>
      <c r="J151" t="s">
        <v>32</v>
      </c>
      <c r="K151" t="s">
        <v>32</v>
      </c>
      <c r="L151" t="s">
        <v>37</v>
      </c>
      <c r="M151" t="s">
        <v>19</v>
      </c>
      <c r="N151">
        <v>2</v>
      </c>
      <c r="O151">
        <v>599</v>
      </c>
      <c r="P151">
        <v>999</v>
      </c>
      <c r="Q151">
        <v>0</v>
      </c>
      <c r="R151">
        <v>0</v>
      </c>
      <c r="S151">
        <v>1998</v>
      </c>
      <c r="T151">
        <v>800</v>
      </c>
      <c r="U151">
        <v>40.04</v>
      </c>
      <c r="V151" t="s">
        <v>21</v>
      </c>
    </row>
    <row r="152" spans="1:22" x14ac:dyDescent="0.35">
      <c r="A152" t="s">
        <v>6137</v>
      </c>
      <c r="B152" t="s">
        <v>85</v>
      </c>
      <c r="C152" t="s">
        <v>27</v>
      </c>
      <c r="D152" t="s">
        <v>6136</v>
      </c>
      <c r="E152" t="s">
        <v>6135</v>
      </c>
      <c r="F152" s="5">
        <v>45493</v>
      </c>
      <c r="G152" t="s">
        <v>126</v>
      </c>
      <c r="H152" t="s">
        <v>3336</v>
      </c>
      <c r="I152" t="s">
        <v>17</v>
      </c>
      <c r="J152" t="s">
        <v>253</v>
      </c>
      <c r="K152" t="s">
        <v>72</v>
      </c>
      <c r="L152" t="s">
        <v>37</v>
      </c>
      <c r="M152" t="s">
        <v>19</v>
      </c>
      <c r="N152">
        <v>2</v>
      </c>
      <c r="O152">
        <v>283</v>
      </c>
      <c r="P152">
        <v>399</v>
      </c>
      <c r="Q152">
        <v>0</v>
      </c>
      <c r="R152">
        <v>0</v>
      </c>
      <c r="S152">
        <v>798</v>
      </c>
      <c r="T152">
        <v>232</v>
      </c>
      <c r="U152">
        <v>29.07</v>
      </c>
      <c r="V152" t="s">
        <v>21</v>
      </c>
    </row>
    <row r="153" spans="1:22" x14ac:dyDescent="0.35">
      <c r="A153" t="s">
        <v>6134</v>
      </c>
      <c r="B153" t="s">
        <v>74</v>
      </c>
      <c r="C153" t="s">
        <v>16</v>
      </c>
      <c r="D153" t="s">
        <v>6133</v>
      </c>
      <c r="E153" t="s">
        <v>6132</v>
      </c>
      <c r="F153" s="5">
        <v>45629</v>
      </c>
      <c r="G153" t="s">
        <v>126</v>
      </c>
      <c r="H153" t="s">
        <v>1285</v>
      </c>
      <c r="I153" t="s">
        <v>35</v>
      </c>
      <c r="J153" t="s">
        <v>41</v>
      </c>
      <c r="K153" t="s">
        <v>41</v>
      </c>
      <c r="L153" t="s">
        <v>37</v>
      </c>
      <c r="M153" t="s">
        <v>20</v>
      </c>
      <c r="N153">
        <v>3</v>
      </c>
      <c r="O153">
        <v>318</v>
      </c>
      <c r="P153">
        <v>599</v>
      </c>
      <c r="Q153">
        <v>5</v>
      </c>
      <c r="R153">
        <v>300</v>
      </c>
      <c r="S153">
        <v>1497</v>
      </c>
      <c r="T153">
        <v>543</v>
      </c>
      <c r="U153">
        <v>36.270000000000003</v>
      </c>
      <c r="V153" t="s">
        <v>21</v>
      </c>
    </row>
    <row r="154" spans="1:22" x14ac:dyDescent="0.35">
      <c r="A154" t="s">
        <v>6131</v>
      </c>
      <c r="B154" t="s">
        <v>101</v>
      </c>
      <c r="C154" t="s">
        <v>16</v>
      </c>
      <c r="D154" t="s">
        <v>6130</v>
      </c>
      <c r="E154" t="s">
        <v>1102</v>
      </c>
      <c r="F154" s="5">
        <v>45585</v>
      </c>
      <c r="G154" t="s">
        <v>126</v>
      </c>
      <c r="H154" t="s">
        <v>1227</v>
      </c>
      <c r="I154" t="s">
        <v>17</v>
      </c>
      <c r="J154" t="s">
        <v>55</v>
      </c>
      <c r="K154" t="s">
        <v>55</v>
      </c>
      <c r="L154" t="s">
        <v>25</v>
      </c>
      <c r="M154" t="s">
        <v>19</v>
      </c>
      <c r="N154">
        <v>1</v>
      </c>
      <c r="O154">
        <v>573</v>
      </c>
      <c r="P154">
        <v>799</v>
      </c>
      <c r="Q154">
        <v>0</v>
      </c>
      <c r="R154">
        <v>0</v>
      </c>
      <c r="S154">
        <v>799</v>
      </c>
      <c r="T154">
        <v>226</v>
      </c>
      <c r="U154">
        <v>28.29</v>
      </c>
      <c r="V154" t="s">
        <v>21</v>
      </c>
    </row>
    <row r="155" spans="1:22" x14ac:dyDescent="0.35">
      <c r="A155" t="s">
        <v>6129</v>
      </c>
      <c r="B155" t="s">
        <v>103</v>
      </c>
      <c r="C155" t="s">
        <v>16</v>
      </c>
      <c r="D155" t="s">
        <v>6128</v>
      </c>
      <c r="E155" t="s">
        <v>1029</v>
      </c>
      <c r="F155" s="5">
        <v>45555</v>
      </c>
      <c r="G155" t="s">
        <v>126</v>
      </c>
      <c r="H155" t="s">
        <v>4823</v>
      </c>
      <c r="I155" t="s">
        <v>17</v>
      </c>
      <c r="J155" t="s">
        <v>48</v>
      </c>
      <c r="K155" t="s">
        <v>48</v>
      </c>
      <c r="L155" t="s">
        <v>19</v>
      </c>
      <c r="M155" t="s">
        <v>20</v>
      </c>
      <c r="N155">
        <v>1</v>
      </c>
      <c r="O155">
        <v>198</v>
      </c>
      <c r="P155">
        <v>299</v>
      </c>
      <c r="Q155">
        <v>0</v>
      </c>
      <c r="R155">
        <v>0</v>
      </c>
      <c r="S155">
        <v>299</v>
      </c>
      <c r="T155">
        <v>101</v>
      </c>
      <c r="U155">
        <v>33.78</v>
      </c>
      <c r="V155" t="s">
        <v>21</v>
      </c>
    </row>
    <row r="156" spans="1:22" x14ac:dyDescent="0.35">
      <c r="A156" t="s">
        <v>6127</v>
      </c>
      <c r="B156" t="s">
        <v>22</v>
      </c>
      <c r="C156" t="s">
        <v>16</v>
      </c>
      <c r="D156" t="s">
        <v>6126</v>
      </c>
      <c r="E156" t="s">
        <v>6125</v>
      </c>
      <c r="F156" s="5">
        <v>45504</v>
      </c>
      <c r="G156" t="s">
        <v>126</v>
      </c>
      <c r="H156" t="s">
        <v>3998</v>
      </c>
      <c r="I156" t="s">
        <v>23</v>
      </c>
      <c r="J156" t="s">
        <v>164</v>
      </c>
      <c r="K156" t="s">
        <v>24</v>
      </c>
      <c r="L156" t="s">
        <v>25</v>
      </c>
      <c r="M156" t="s">
        <v>20</v>
      </c>
      <c r="N156">
        <v>1</v>
      </c>
      <c r="O156">
        <v>739</v>
      </c>
      <c r="P156">
        <v>1299</v>
      </c>
      <c r="Q156">
        <v>20</v>
      </c>
      <c r="R156">
        <v>300</v>
      </c>
      <c r="S156">
        <v>999</v>
      </c>
      <c r="T156">
        <v>260</v>
      </c>
      <c r="U156">
        <v>26.03</v>
      </c>
      <c r="V156" t="s">
        <v>33</v>
      </c>
    </row>
    <row r="157" spans="1:22" x14ac:dyDescent="0.35">
      <c r="A157" t="s">
        <v>6124</v>
      </c>
      <c r="B157" t="s">
        <v>94</v>
      </c>
      <c r="C157" t="s">
        <v>16</v>
      </c>
      <c r="D157" t="s">
        <v>6123</v>
      </c>
      <c r="E157" t="s">
        <v>2593</v>
      </c>
      <c r="F157" s="5">
        <v>45630</v>
      </c>
      <c r="G157" t="s">
        <v>126</v>
      </c>
      <c r="H157" t="s">
        <v>837</v>
      </c>
      <c r="I157" t="s">
        <v>28</v>
      </c>
      <c r="J157" t="s">
        <v>201</v>
      </c>
      <c r="K157" t="s">
        <v>29</v>
      </c>
      <c r="L157" t="s">
        <v>19</v>
      </c>
      <c r="M157" t="s">
        <v>20</v>
      </c>
      <c r="N157">
        <v>1</v>
      </c>
      <c r="O157">
        <v>322</v>
      </c>
      <c r="P157">
        <v>599</v>
      </c>
      <c r="Q157">
        <v>15</v>
      </c>
      <c r="R157">
        <v>150</v>
      </c>
      <c r="S157">
        <v>449</v>
      </c>
      <c r="T157">
        <v>127</v>
      </c>
      <c r="U157">
        <v>28.29</v>
      </c>
      <c r="V157" t="s">
        <v>21</v>
      </c>
    </row>
    <row r="158" spans="1:22" x14ac:dyDescent="0.35">
      <c r="A158" t="s">
        <v>6122</v>
      </c>
      <c r="B158" t="s">
        <v>91</v>
      </c>
      <c r="C158" t="s">
        <v>16</v>
      </c>
      <c r="D158" t="s">
        <v>6121</v>
      </c>
      <c r="E158" t="s">
        <v>6120</v>
      </c>
      <c r="F158" s="5">
        <v>45655</v>
      </c>
      <c r="G158" t="s">
        <v>126</v>
      </c>
      <c r="H158" t="s">
        <v>4574</v>
      </c>
      <c r="I158" t="s">
        <v>17</v>
      </c>
      <c r="J158" t="s">
        <v>48</v>
      </c>
      <c r="K158" t="s">
        <v>48</v>
      </c>
      <c r="L158" t="s">
        <v>19</v>
      </c>
      <c r="M158" t="s">
        <v>20</v>
      </c>
      <c r="N158">
        <v>1</v>
      </c>
      <c r="O158">
        <v>331</v>
      </c>
      <c r="P158">
        <v>499</v>
      </c>
      <c r="Q158">
        <v>0</v>
      </c>
      <c r="R158">
        <v>0</v>
      </c>
      <c r="S158">
        <v>499</v>
      </c>
      <c r="T158">
        <v>168</v>
      </c>
      <c r="U158">
        <v>33.67</v>
      </c>
      <c r="V158" t="s">
        <v>21</v>
      </c>
    </row>
    <row r="159" spans="1:22" x14ac:dyDescent="0.35">
      <c r="A159" t="s">
        <v>6119</v>
      </c>
      <c r="B159" t="s">
        <v>90</v>
      </c>
      <c r="C159" t="s">
        <v>27</v>
      </c>
      <c r="D159" t="s">
        <v>6118</v>
      </c>
      <c r="E159" t="s">
        <v>6117</v>
      </c>
      <c r="F159" s="5">
        <v>45569</v>
      </c>
      <c r="G159" t="s">
        <v>126</v>
      </c>
      <c r="H159" t="s">
        <v>619</v>
      </c>
      <c r="I159" t="s">
        <v>31</v>
      </c>
      <c r="J159" t="s">
        <v>32</v>
      </c>
      <c r="K159" t="s">
        <v>32</v>
      </c>
      <c r="L159" t="s">
        <v>19</v>
      </c>
      <c r="M159" t="s">
        <v>20</v>
      </c>
      <c r="N159">
        <v>2</v>
      </c>
      <c r="O159">
        <v>781</v>
      </c>
      <c r="P159">
        <v>1399</v>
      </c>
      <c r="Q159">
        <v>0</v>
      </c>
      <c r="R159">
        <v>0</v>
      </c>
      <c r="S159">
        <v>2798</v>
      </c>
      <c r="T159">
        <v>1236</v>
      </c>
      <c r="U159">
        <v>44.17</v>
      </c>
      <c r="V159" t="s">
        <v>21</v>
      </c>
    </row>
    <row r="160" spans="1:22" x14ac:dyDescent="0.35">
      <c r="A160" t="s">
        <v>6116</v>
      </c>
      <c r="B160" t="s">
        <v>98</v>
      </c>
      <c r="C160" t="s">
        <v>16</v>
      </c>
      <c r="D160" t="s">
        <v>6115</v>
      </c>
      <c r="E160" t="s">
        <v>6114</v>
      </c>
      <c r="F160" s="5">
        <v>45571</v>
      </c>
      <c r="G160" t="s">
        <v>126</v>
      </c>
      <c r="H160" t="s">
        <v>5363</v>
      </c>
      <c r="I160" t="s">
        <v>17</v>
      </c>
      <c r="J160" t="s">
        <v>48</v>
      </c>
      <c r="K160" t="s">
        <v>48</v>
      </c>
      <c r="L160" t="s">
        <v>25</v>
      </c>
      <c r="M160" t="s">
        <v>19</v>
      </c>
      <c r="N160">
        <v>4</v>
      </c>
      <c r="O160">
        <v>382</v>
      </c>
      <c r="P160">
        <v>599</v>
      </c>
      <c r="Q160">
        <v>0</v>
      </c>
      <c r="R160">
        <v>0</v>
      </c>
      <c r="S160">
        <v>2396</v>
      </c>
      <c r="T160">
        <v>868</v>
      </c>
      <c r="U160">
        <v>36.229999999999997</v>
      </c>
      <c r="V160" t="s">
        <v>21</v>
      </c>
    </row>
    <row r="161" spans="1:22" x14ac:dyDescent="0.35">
      <c r="A161" t="s">
        <v>6113</v>
      </c>
      <c r="B161" t="s">
        <v>52</v>
      </c>
      <c r="C161" t="s">
        <v>27</v>
      </c>
      <c r="D161" t="s">
        <v>6112</v>
      </c>
      <c r="E161" t="s">
        <v>6111</v>
      </c>
      <c r="F161" s="5">
        <v>45541</v>
      </c>
      <c r="G161" t="s">
        <v>126</v>
      </c>
      <c r="H161" t="s">
        <v>883</v>
      </c>
      <c r="I161" t="s">
        <v>35</v>
      </c>
      <c r="J161" t="s">
        <v>244</v>
      </c>
      <c r="K161" t="s">
        <v>58</v>
      </c>
      <c r="L161" t="s">
        <v>25</v>
      </c>
      <c r="M161" t="s">
        <v>19</v>
      </c>
      <c r="N161">
        <v>1</v>
      </c>
      <c r="O161">
        <v>1279</v>
      </c>
      <c r="P161">
        <v>1799</v>
      </c>
      <c r="Q161">
        <v>15</v>
      </c>
      <c r="R161">
        <v>300</v>
      </c>
      <c r="S161">
        <v>1499</v>
      </c>
      <c r="T161">
        <v>220</v>
      </c>
      <c r="U161">
        <v>14.68</v>
      </c>
      <c r="V161" t="s">
        <v>21</v>
      </c>
    </row>
    <row r="162" spans="1:22" x14ac:dyDescent="0.35">
      <c r="A162" t="s">
        <v>6110</v>
      </c>
      <c r="B162" t="s">
        <v>60</v>
      </c>
      <c r="C162" t="s">
        <v>27</v>
      </c>
      <c r="D162" t="s">
        <v>6109</v>
      </c>
      <c r="E162" t="s">
        <v>6108</v>
      </c>
      <c r="F162" s="5">
        <v>45450</v>
      </c>
      <c r="G162" t="s">
        <v>126</v>
      </c>
      <c r="H162" t="s">
        <v>2734</v>
      </c>
      <c r="I162" t="s">
        <v>31</v>
      </c>
      <c r="J162" t="s">
        <v>32</v>
      </c>
      <c r="K162" t="s">
        <v>32</v>
      </c>
      <c r="L162" t="s">
        <v>19</v>
      </c>
      <c r="M162" t="s">
        <v>20</v>
      </c>
      <c r="N162">
        <v>3</v>
      </c>
      <c r="O162">
        <v>931</v>
      </c>
      <c r="P162">
        <v>1399</v>
      </c>
      <c r="Q162">
        <v>0</v>
      </c>
      <c r="R162">
        <v>0</v>
      </c>
      <c r="S162">
        <v>4197</v>
      </c>
      <c r="T162">
        <v>1404</v>
      </c>
      <c r="U162">
        <v>33.450000000000003</v>
      </c>
      <c r="V162" t="s">
        <v>33</v>
      </c>
    </row>
    <row r="163" spans="1:22" x14ac:dyDescent="0.35">
      <c r="A163" t="s">
        <v>6107</v>
      </c>
      <c r="B163" t="s">
        <v>60</v>
      </c>
      <c r="C163" t="s">
        <v>27</v>
      </c>
      <c r="D163" t="s">
        <v>6106</v>
      </c>
      <c r="E163" t="s">
        <v>6105</v>
      </c>
      <c r="F163" s="5">
        <v>45490</v>
      </c>
      <c r="G163" t="s">
        <v>126</v>
      </c>
      <c r="H163" t="s">
        <v>395</v>
      </c>
      <c r="I163" t="s">
        <v>23</v>
      </c>
      <c r="J163" t="s">
        <v>164</v>
      </c>
      <c r="K163" t="s">
        <v>24</v>
      </c>
      <c r="L163" t="s">
        <v>37</v>
      </c>
      <c r="M163" t="s">
        <v>19</v>
      </c>
      <c r="N163">
        <v>5</v>
      </c>
      <c r="O163">
        <v>950</v>
      </c>
      <c r="P163">
        <v>1299</v>
      </c>
      <c r="Q163">
        <v>20</v>
      </c>
      <c r="R163">
        <v>1500</v>
      </c>
      <c r="S163">
        <v>4995</v>
      </c>
      <c r="T163">
        <v>245</v>
      </c>
      <c r="U163">
        <v>4.9000000000000004</v>
      </c>
      <c r="V163" t="s">
        <v>21</v>
      </c>
    </row>
    <row r="164" spans="1:22" x14ac:dyDescent="0.35">
      <c r="A164" t="s">
        <v>6104</v>
      </c>
      <c r="B164" t="s">
        <v>99</v>
      </c>
      <c r="C164" t="s">
        <v>27</v>
      </c>
      <c r="D164" t="s">
        <v>6103</v>
      </c>
      <c r="E164" t="s">
        <v>6102</v>
      </c>
      <c r="F164" s="5">
        <v>45457</v>
      </c>
      <c r="G164" t="s">
        <v>126</v>
      </c>
      <c r="H164" t="s">
        <v>2347</v>
      </c>
      <c r="I164" t="s">
        <v>35</v>
      </c>
      <c r="J164" t="s">
        <v>244</v>
      </c>
      <c r="K164" t="s">
        <v>58</v>
      </c>
      <c r="L164" t="s">
        <v>19</v>
      </c>
      <c r="M164" t="s">
        <v>20</v>
      </c>
      <c r="N164">
        <v>1</v>
      </c>
      <c r="O164">
        <v>749</v>
      </c>
      <c r="P164">
        <v>1199</v>
      </c>
      <c r="Q164">
        <v>15</v>
      </c>
      <c r="R164">
        <v>200</v>
      </c>
      <c r="S164">
        <v>999</v>
      </c>
      <c r="T164">
        <v>250</v>
      </c>
      <c r="U164">
        <v>25.03</v>
      </c>
      <c r="V164" t="s">
        <v>33</v>
      </c>
    </row>
    <row r="165" spans="1:22" x14ac:dyDescent="0.35">
      <c r="A165" t="s">
        <v>6101</v>
      </c>
      <c r="B165" t="s">
        <v>75</v>
      </c>
      <c r="C165" t="s">
        <v>27</v>
      </c>
      <c r="D165" t="s">
        <v>6100</v>
      </c>
      <c r="E165" t="s">
        <v>4787</v>
      </c>
      <c r="F165" s="5">
        <v>45516</v>
      </c>
      <c r="G165" t="s">
        <v>126</v>
      </c>
      <c r="H165" t="s">
        <v>5716</v>
      </c>
      <c r="I165" t="s">
        <v>31</v>
      </c>
      <c r="J165" t="s">
        <v>32</v>
      </c>
      <c r="K165" t="s">
        <v>32</v>
      </c>
      <c r="L165" t="s">
        <v>19</v>
      </c>
      <c r="M165" t="s">
        <v>20</v>
      </c>
      <c r="N165">
        <v>1</v>
      </c>
      <c r="O165">
        <v>879</v>
      </c>
      <c r="P165">
        <v>1199</v>
      </c>
      <c r="Q165">
        <v>0</v>
      </c>
      <c r="R165">
        <v>0</v>
      </c>
      <c r="S165">
        <v>1199</v>
      </c>
      <c r="T165">
        <v>320</v>
      </c>
      <c r="U165">
        <v>26.69</v>
      </c>
      <c r="V165" t="s">
        <v>21</v>
      </c>
    </row>
    <row r="166" spans="1:22" x14ac:dyDescent="0.35">
      <c r="A166" t="s">
        <v>6099</v>
      </c>
      <c r="B166" t="s">
        <v>73</v>
      </c>
      <c r="C166" t="s">
        <v>16</v>
      </c>
      <c r="D166" t="s">
        <v>6098</v>
      </c>
      <c r="E166" t="s">
        <v>6097</v>
      </c>
      <c r="F166" s="5">
        <v>45553</v>
      </c>
      <c r="G166" t="s">
        <v>126</v>
      </c>
      <c r="H166" t="s">
        <v>2185</v>
      </c>
      <c r="I166" t="s">
        <v>17</v>
      </c>
      <c r="J166" t="s">
        <v>235</v>
      </c>
      <c r="K166" t="s">
        <v>18</v>
      </c>
      <c r="L166" t="s">
        <v>25</v>
      </c>
      <c r="M166" t="s">
        <v>20</v>
      </c>
      <c r="N166">
        <v>1</v>
      </c>
      <c r="O166">
        <v>193</v>
      </c>
      <c r="P166">
        <v>299</v>
      </c>
      <c r="Q166">
        <v>0</v>
      </c>
      <c r="R166">
        <v>0</v>
      </c>
      <c r="S166">
        <v>299</v>
      </c>
      <c r="T166">
        <v>106</v>
      </c>
      <c r="U166">
        <v>35.450000000000003</v>
      </c>
      <c r="V166" t="s">
        <v>21</v>
      </c>
    </row>
    <row r="167" spans="1:22" x14ac:dyDescent="0.35">
      <c r="A167" t="s">
        <v>6096</v>
      </c>
      <c r="B167" t="s">
        <v>103</v>
      </c>
      <c r="C167" t="s">
        <v>16</v>
      </c>
      <c r="D167" t="s">
        <v>6095</v>
      </c>
      <c r="E167" t="s">
        <v>5018</v>
      </c>
      <c r="F167" s="5">
        <v>45458</v>
      </c>
      <c r="G167" t="s">
        <v>126</v>
      </c>
      <c r="H167" t="s">
        <v>5268</v>
      </c>
      <c r="I167" t="s">
        <v>28</v>
      </c>
      <c r="J167" t="s">
        <v>201</v>
      </c>
      <c r="K167" t="s">
        <v>29</v>
      </c>
      <c r="L167" t="s">
        <v>19</v>
      </c>
      <c r="M167" t="s">
        <v>20</v>
      </c>
      <c r="N167">
        <v>4</v>
      </c>
      <c r="O167">
        <v>250</v>
      </c>
      <c r="P167">
        <v>499</v>
      </c>
      <c r="Q167">
        <v>15</v>
      </c>
      <c r="R167">
        <v>400</v>
      </c>
      <c r="S167">
        <v>1596</v>
      </c>
      <c r="T167">
        <v>596</v>
      </c>
      <c r="U167">
        <v>37.340000000000003</v>
      </c>
      <c r="V167" t="s">
        <v>21</v>
      </c>
    </row>
    <row r="168" spans="1:22" x14ac:dyDescent="0.35">
      <c r="A168" t="s">
        <v>6094</v>
      </c>
      <c r="B168" t="s">
        <v>86</v>
      </c>
      <c r="C168" t="s">
        <v>27</v>
      </c>
      <c r="D168" t="s">
        <v>6093</v>
      </c>
      <c r="E168" t="s">
        <v>5846</v>
      </c>
      <c r="F168" s="5">
        <v>45500</v>
      </c>
      <c r="G168" t="s">
        <v>126</v>
      </c>
      <c r="H168" t="s">
        <v>2585</v>
      </c>
      <c r="I168" t="s">
        <v>17</v>
      </c>
      <c r="J168" t="s">
        <v>235</v>
      </c>
      <c r="K168" t="s">
        <v>18</v>
      </c>
      <c r="L168" t="s">
        <v>19</v>
      </c>
      <c r="M168" t="s">
        <v>20</v>
      </c>
      <c r="N168">
        <v>2</v>
      </c>
      <c r="O168">
        <v>357</v>
      </c>
      <c r="P168">
        <v>499</v>
      </c>
      <c r="Q168">
        <v>0</v>
      </c>
      <c r="R168">
        <v>0</v>
      </c>
      <c r="S168">
        <v>998</v>
      </c>
      <c r="T168">
        <v>284</v>
      </c>
      <c r="U168">
        <v>28.46</v>
      </c>
      <c r="V168" t="s">
        <v>21</v>
      </c>
    </row>
    <row r="169" spans="1:22" x14ac:dyDescent="0.35">
      <c r="A169" t="s">
        <v>6092</v>
      </c>
      <c r="B169" t="s">
        <v>54</v>
      </c>
      <c r="C169" t="s">
        <v>27</v>
      </c>
      <c r="D169" t="s">
        <v>6091</v>
      </c>
      <c r="E169" t="s">
        <v>6090</v>
      </c>
      <c r="F169" s="5">
        <v>45613</v>
      </c>
      <c r="G169" t="s">
        <v>126</v>
      </c>
      <c r="H169" t="s">
        <v>615</v>
      </c>
      <c r="I169" t="s">
        <v>35</v>
      </c>
      <c r="J169" t="s">
        <v>214</v>
      </c>
      <c r="K169" t="s">
        <v>87</v>
      </c>
      <c r="L169" t="s">
        <v>19</v>
      </c>
      <c r="M169" t="s">
        <v>20</v>
      </c>
      <c r="N169">
        <v>1</v>
      </c>
      <c r="O169">
        <v>1354</v>
      </c>
      <c r="P169">
        <v>2399</v>
      </c>
      <c r="Q169">
        <v>15</v>
      </c>
      <c r="R169">
        <v>400</v>
      </c>
      <c r="S169">
        <v>1999</v>
      </c>
      <c r="T169">
        <v>645</v>
      </c>
      <c r="U169">
        <v>32.270000000000003</v>
      </c>
      <c r="V169" t="s">
        <v>21</v>
      </c>
    </row>
    <row r="170" spans="1:22" x14ac:dyDescent="0.35">
      <c r="A170" t="s">
        <v>6089</v>
      </c>
      <c r="B170" t="s">
        <v>78</v>
      </c>
      <c r="C170" t="s">
        <v>16</v>
      </c>
      <c r="D170" t="s">
        <v>6088</v>
      </c>
      <c r="E170" t="s">
        <v>6087</v>
      </c>
      <c r="F170" s="5">
        <v>45633</v>
      </c>
      <c r="G170" t="s">
        <v>126</v>
      </c>
      <c r="H170" t="s">
        <v>2585</v>
      </c>
      <c r="I170" t="s">
        <v>28</v>
      </c>
      <c r="J170" t="s">
        <v>45</v>
      </c>
      <c r="K170" t="s">
        <v>45</v>
      </c>
      <c r="L170" t="s">
        <v>37</v>
      </c>
      <c r="M170" t="s">
        <v>20</v>
      </c>
      <c r="N170">
        <v>1</v>
      </c>
      <c r="O170">
        <v>359</v>
      </c>
      <c r="P170">
        <v>699</v>
      </c>
      <c r="Q170">
        <v>5</v>
      </c>
      <c r="R170">
        <v>100</v>
      </c>
      <c r="S170">
        <v>599</v>
      </c>
      <c r="T170">
        <v>240</v>
      </c>
      <c r="U170">
        <v>40.07</v>
      </c>
      <c r="V170" t="s">
        <v>21</v>
      </c>
    </row>
    <row r="171" spans="1:22" x14ac:dyDescent="0.35">
      <c r="A171" t="s">
        <v>6086</v>
      </c>
      <c r="B171" t="s">
        <v>38</v>
      </c>
      <c r="C171" t="s">
        <v>27</v>
      </c>
      <c r="D171" t="s">
        <v>6085</v>
      </c>
      <c r="E171" t="s">
        <v>6084</v>
      </c>
      <c r="F171" s="5">
        <v>45645</v>
      </c>
      <c r="G171" t="s">
        <v>126</v>
      </c>
      <c r="H171" t="s">
        <v>3228</v>
      </c>
      <c r="I171" t="s">
        <v>35</v>
      </c>
      <c r="J171" t="s">
        <v>214</v>
      </c>
      <c r="K171" t="s">
        <v>50</v>
      </c>
      <c r="L171" t="s">
        <v>37</v>
      </c>
      <c r="M171" t="s">
        <v>19</v>
      </c>
      <c r="N171">
        <v>1</v>
      </c>
      <c r="O171">
        <v>534</v>
      </c>
      <c r="P171">
        <v>899</v>
      </c>
      <c r="Q171">
        <v>10</v>
      </c>
      <c r="R171">
        <v>100</v>
      </c>
      <c r="S171">
        <v>799</v>
      </c>
      <c r="T171">
        <v>265</v>
      </c>
      <c r="U171">
        <v>33.17</v>
      </c>
      <c r="V171" t="s">
        <v>21</v>
      </c>
    </row>
    <row r="172" spans="1:22" x14ac:dyDescent="0.35">
      <c r="A172" t="s">
        <v>6083</v>
      </c>
      <c r="B172" t="s">
        <v>74</v>
      </c>
      <c r="C172" t="s">
        <v>16</v>
      </c>
      <c r="D172" t="s">
        <v>6082</v>
      </c>
      <c r="E172" t="s">
        <v>6081</v>
      </c>
      <c r="F172" s="5">
        <v>45486</v>
      </c>
      <c r="G172" t="s">
        <v>126</v>
      </c>
      <c r="H172" t="s">
        <v>1013</v>
      </c>
      <c r="I172" t="s">
        <v>23</v>
      </c>
      <c r="J172" t="s">
        <v>142</v>
      </c>
      <c r="K172" t="s">
        <v>43</v>
      </c>
      <c r="L172" t="s">
        <v>19</v>
      </c>
      <c r="M172" t="s">
        <v>19</v>
      </c>
      <c r="N172">
        <v>1</v>
      </c>
      <c r="O172">
        <v>2615</v>
      </c>
      <c r="P172">
        <v>4799</v>
      </c>
      <c r="Q172">
        <v>15</v>
      </c>
      <c r="R172">
        <v>800</v>
      </c>
      <c r="S172">
        <v>3999</v>
      </c>
      <c r="T172">
        <v>1384</v>
      </c>
      <c r="U172">
        <v>34.61</v>
      </c>
      <c r="V172" t="s">
        <v>21</v>
      </c>
    </row>
    <row r="173" spans="1:22" x14ac:dyDescent="0.35">
      <c r="A173" t="s">
        <v>6080</v>
      </c>
      <c r="B173" t="s">
        <v>67</v>
      </c>
      <c r="C173" t="s">
        <v>27</v>
      </c>
      <c r="D173" t="s">
        <v>6079</v>
      </c>
      <c r="E173" t="s">
        <v>2654</v>
      </c>
      <c r="F173" s="5">
        <v>45568</v>
      </c>
      <c r="G173" t="s">
        <v>126</v>
      </c>
      <c r="H173" t="s">
        <v>603</v>
      </c>
      <c r="I173" t="s">
        <v>17</v>
      </c>
      <c r="J173" t="s">
        <v>48</v>
      </c>
      <c r="K173" t="s">
        <v>48</v>
      </c>
      <c r="L173" t="s">
        <v>37</v>
      </c>
      <c r="M173" t="s">
        <v>19</v>
      </c>
      <c r="N173">
        <v>3</v>
      </c>
      <c r="O173">
        <v>180</v>
      </c>
      <c r="P173">
        <v>299</v>
      </c>
      <c r="Q173">
        <v>0</v>
      </c>
      <c r="R173">
        <v>0</v>
      </c>
      <c r="S173">
        <v>897</v>
      </c>
      <c r="T173">
        <v>357</v>
      </c>
      <c r="U173">
        <v>39.799999999999997</v>
      </c>
      <c r="V173" t="s">
        <v>21</v>
      </c>
    </row>
    <row r="174" spans="1:22" x14ac:dyDescent="0.35">
      <c r="A174" t="s">
        <v>6078</v>
      </c>
      <c r="B174" t="s">
        <v>104</v>
      </c>
      <c r="C174" t="s">
        <v>27</v>
      </c>
      <c r="D174" t="s">
        <v>6077</v>
      </c>
      <c r="E174" t="s">
        <v>6076</v>
      </c>
      <c r="F174" s="5">
        <v>45453</v>
      </c>
      <c r="G174" t="s">
        <v>126</v>
      </c>
      <c r="H174" t="s">
        <v>619</v>
      </c>
      <c r="I174" t="s">
        <v>31</v>
      </c>
      <c r="J174" t="s">
        <v>32</v>
      </c>
      <c r="K174" t="s">
        <v>32</v>
      </c>
      <c r="L174" t="s">
        <v>19</v>
      </c>
      <c r="M174" t="s">
        <v>20</v>
      </c>
      <c r="N174">
        <v>1</v>
      </c>
      <c r="O174">
        <v>907</v>
      </c>
      <c r="P174">
        <v>1499</v>
      </c>
      <c r="Q174">
        <v>0</v>
      </c>
      <c r="R174">
        <v>0</v>
      </c>
      <c r="S174">
        <v>1499</v>
      </c>
      <c r="T174">
        <v>592</v>
      </c>
      <c r="U174">
        <v>39.49</v>
      </c>
      <c r="V174" t="s">
        <v>21</v>
      </c>
    </row>
    <row r="175" spans="1:22" x14ac:dyDescent="0.35">
      <c r="A175" t="s">
        <v>6075</v>
      </c>
      <c r="B175" t="s">
        <v>89</v>
      </c>
      <c r="C175" t="s">
        <v>16</v>
      </c>
      <c r="D175" t="s">
        <v>6074</v>
      </c>
      <c r="E175" t="s">
        <v>6073</v>
      </c>
      <c r="F175" s="5">
        <v>45594</v>
      </c>
      <c r="G175" t="s">
        <v>126</v>
      </c>
      <c r="H175" t="s">
        <v>1146</v>
      </c>
      <c r="I175" t="s">
        <v>17</v>
      </c>
      <c r="J175" t="s">
        <v>253</v>
      </c>
      <c r="K175" t="s">
        <v>72</v>
      </c>
      <c r="L175" t="s">
        <v>37</v>
      </c>
      <c r="M175" t="s">
        <v>19</v>
      </c>
      <c r="N175">
        <v>1</v>
      </c>
      <c r="O175">
        <v>336</v>
      </c>
      <c r="P175">
        <v>499</v>
      </c>
      <c r="Q175">
        <v>0</v>
      </c>
      <c r="R175">
        <v>0</v>
      </c>
      <c r="S175">
        <v>499</v>
      </c>
      <c r="T175">
        <v>163</v>
      </c>
      <c r="U175">
        <v>32.67</v>
      </c>
      <c r="V175" t="s">
        <v>21</v>
      </c>
    </row>
    <row r="176" spans="1:22" x14ac:dyDescent="0.35">
      <c r="A176" t="s">
        <v>6072</v>
      </c>
      <c r="B176" t="s">
        <v>34</v>
      </c>
      <c r="C176" t="s">
        <v>27</v>
      </c>
      <c r="D176" t="s">
        <v>6071</v>
      </c>
      <c r="E176" t="s">
        <v>6070</v>
      </c>
      <c r="F176" s="5">
        <v>45564</v>
      </c>
      <c r="G176" t="s">
        <v>126</v>
      </c>
      <c r="H176" t="s">
        <v>2687</v>
      </c>
      <c r="I176" t="s">
        <v>35</v>
      </c>
      <c r="J176" t="s">
        <v>214</v>
      </c>
      <c r="K176" t="s">
        <v>50</v>
      </c>
      <c r="L176" t="s">
        <v>25</v>
      </c>
      <c r="M176" t="s">
        <v>20</v>
      </c>
      <c r="N176">
        <v>2</v>
      </c>
      <c r="O176">
        <v>821</v>
      </c>
      <c r="P176">
        <v>1199</v>
      </c>
      <c r="Q176">
        <v>10</v>
      </c>
      <c r="R176">
        <v>400</v>
      </c>
      <c r="S176">
        <v>1998</v>
      </c>
      <c r="T176">
        <v>356</v>
      </c>
      <c r="U176">
        <v>17.82</v>
      </c>
      <c r="V176" t="s">
        <v>21</v>
      </c>
    </row>
    <row r="177" spans="1:22" x14ac:dyDescent="0.35">
      <c r="A177" t="s">
        <v>6069</v>
      </c>
      <c r="B177" t="s">
        <v>105</v>
      </c>
      <c r="C177" t="s">
        <v>16</v>
      </c>
      <c r="D177" t="s">
        <v>6068</v>
      </c>
      <c r="E177" t="s">
        <v>6067</v>
      </c>
      <c r="F177" s="5">
        <v>45554</v>
      </c>
      <c r="G177" t="s">
        <v>126</v>
      </c>
      <c r="H177" t="s">
        <v>648</v>
      </c>
      <c r="I177" t="s">
        <v>31</v>
      </c>
      <c r="J177" t="s">
        <v>32</v>
      </c>
      <c r="K177" t="s">
        <v>32</v>
      </c>
      <c r="L177" t="s">
        <v>25</v>
      </c>
      <c r="M177" t="s">
        <v>20</v>
      </c>
      <c r="N177">
        <v>2</v>
      </c>
      <c r="O177">
        <v>953</v>
      </c>
      <c r="P177">
        <v>1399</v>
      </c>
      <c r="Q177">
        <v>0</v>
      </c>
      <c r="R177">
        <v>0</v>
      </c>
      <c r="S177">
        <v>2798</v>
      </c>
      <c r="T177">
        <v>892</v>
      </c>
      <c r="U177">
        <v>31.88</v>
      </c>
      <c r="V177" t="s">
        <v>21</v>
      </c>
    </row>
    <row r="178" spans="1:22" x14ac:dyDescent="0.35">
      <c r="A178" t="s">
        <v>6066</v>
      </c>
      <c r="B178" t="s">
        <v>66</v>
      </c>
      <c r="C178" t="s">
        <v>27</v>
      </c>
      <c r="D178" t="s">
        <v>6065</v>
      </c>
      <c r="E178" t="s">
        <v>6064</v>
      </c>
      <c r="F178" s="5">
        <v>45525</v>
      </c>
      <c r="G178" t="s">
        <v>126</v>
      </c>
      <c r="H178" t="s">
        <v>2185</v>
      </c>
      <c r="I178" t="s">
        <v>31</v>
      </c>
      <c r="J178" t="s">
        <v>76</v>
      </c>
      <c r="K178" t="s">
        <v>76</v>
      </c>
      <c r="L178" t="s">
        <v>37</v>
      </c>
      <c r="M178" t="s">
        <v>20</v>
      </c>
      <c r="N178">
        <v>1</v>
      </c>
      <c r="O178">
        <v>542</v>
      </c>
      <c r="P178">
        <v>999</v>
      </c>
      <c r="Q178">
        <v>0</v>
      </c>
      <c r="R178">
        <v>0</v>
      </c>
      <c r="S178">
        <v>999</v>
      </c>
      <c r="T178">
        <v>457</v>
      </c>
      <c r="U178">
        <v>45.75</v>
      </c>
      <c r="V178" t="s">
        <v>21</v>
      </c>
    </row>
    <row r="179" spans="1:22" x14ac:dyDescent="0.35">
      <c r="A179" t="s">
        <v>6063</v>
      </c>
      <c r="B179" t="s">
        <v>42</v>
      </c>
      <c r="C179" t="s">
        <v>27</v>
      </c>
      <c r="D179" t="s">
        <v>6062</v>
      </c>
      <c r="E179" t="s">
        <v>6061</v>
      </c>
      <c r="F179" s="5">
        <v>45527</v>
      </c>
      <c r="G179" t="s">
        <v>126</v>
      </c>
      <c r="H179" t="s">
        <v>711</v>
      </c>
      <c r="I179" t="s">
        <v>17</v>
      </c>
      <c r="J179" t="s">
        <v>253</v>
      </c>
      <c r="K179" t="s">
        <v>72</v>
      </c>
      <c r="L179" t="s">
        <v>19</v>
      </c>
      <c r="M179" t="s">
        <v>19</v>
      </c>
      <c r="N179">
        <v>1</v>
      </c>
      <c r="O179">
        <v>286</v>
      </c>
      <c r="P179">
        <v>399</v>
      </c>
      <c r="Q179">
        <v>0</v>
      </c>
      <c r="R179">
        <v>0</v>
      </c>
      <c r="S179">
        <v>399</v>
      </c>
      <c r="T179">
        <v>113</v>
      </c>
      <c r="U179">
        <v>28.32</v>
      </c>
      <c r="V179" t="s">
        <v>33</v>
      </c>
    </row>
    <row r="180" spans="1:22" x14ac:dyDescent="0.35">
      <c r="A180" t="s">
        <v>6060</v>
      </c>
      <c r="B180" t="s">
        <v>105</v>
      </c>
      <c r="C180" t="s">
        <v>16</v>
      </c>
      <c r="D180" t="s">
        <v>6059</v>
      </c>
      <c r="E180" t="s">
        <v>6058</v>
      </c>
      <c r="F180" s="5">
        <v>45617</v>
      </c>
      <c r="G180" t="s">
        <v>126</v>
      </c>
      <c r="H180" t="s">
        <v>197</v>
      </c>
      <c r="I180" t="s">
        <v>17</v>
      </c>
      <c r="J180" t="s">
        <v>253</v>
      </c>
      <c r="K180" t="s">
        <v>72</v>
      </c>
      <c r="L180" t="s">
        <v>25</v>
      </c>
      <c r="M180" t="s">
        <v>19</v>
      </c>
      <c r="N180">
        <v>1</v>
      </c>
      <c r="O180">
        <v>326</v>
      </c>
      <c r="P180">
        <v>499</v>
      </c>
      <c r="Q180">
        <v>0</v>
      </c>
      <c r="R180">
        <v>0</v>
      </c>
      <c r="S180">
        <v>499</v>
      </c>
      <c r="T180">
        <v>173</v>
      </c>
      <c r="U180">
        <v>34.67</v>
      </c>
      <c r="V180" t="s">
        <v>21</v>
      </c>
    </row>
    <row r="181" spans="1:22" x14ac:dyDescent="0.35">
      <c r="A181" t="s">
        <v>6057</v>
      </c>
      <c r="B181" t="s">
        <v>103</v>
      </c>
      <c r="C181" t="s">
        <v>16</v>
      </c>
      <c r="D181" t="s">
        <v>6056</v>
      </c>
      <c r="E181" t="s">
        <v>6055</v>
      </c>
      <c r="F181" s="5">
        <v>45510</v>
      </c>
      <c r="G181" t="s">
        <v>126</v>
      </c>
      <c r="H181" t="s">
        <v>317</v>
      </c>
      <c r="I181" t="s">
        <v>28</v>
      </c>
      <c r="J181" t="s">
        <v>45</v>
      </c>
      <c r="K181" t="s">
        <v>45</v>
      </c>
      <c r="L181" t="s">
        <v>37</v>
      </c>
      <c r="M181" t="s">
        <v>20</v>
      </c>
      <c r="N181">
        <v>1</v>
      </c>
      <c r="O181">
        <v>438</v>
      </c>
      <c r="P181">
        <v>799</v>
      </c>
      <c r="Q181">
        <v>20</v>
      </c>
      <c r="R181">
        <v>200</v>
      </c>
      <c r="S181">
        <v>599</v>
      </c>
      <c r="T181">
        <v>161</v>
      </c>
      <c r="U181">
        <v>26.88</v>
      </c>
      <c r="V181" t="s">
        <v>21</v>
      </c>
    </row>
    <row r="182" spans="1:22" x14ac:dyDescent="0.35">
      <c r="A182" t="s">
        <v>6054</v>
      </c>
      <c r="B182" t="s">
        <v>89</v>
      </c>
      <c r="C182" t="s">
        <v>16</v>
      </c>
      <c r="D182" t="s">
        <v>6053</v>
      </c>
      <c r="E182" t="s">
        <v>1501</v>
      </c>
      <c r="F182" s="5">
        <v>45466</v>
      </c>
      <c r="G182" t="s">
        <v>126</v>
      </c>
      <c r="H182" t="s">
        <v>6035</v>
      </c>
      <c r="I182" t="s">
        <v>23</v>
      </c>
      <c r="J182" t="s">
        <v>142</v>
      </c>
      <c r="K182" t="s">
        <v>43</v>
      </c>
      <c r="L182" t="s">
        <v>19</v>
      </c>
      <c r="M182" t="s">
        <v>20</v>
      </c>
      <c r="N182">
        <v>4</v>
      </c>
      <c r="O182">
        <v>2117</v>
      </c>
      <c r="P182">
        <v>3699</v>
      </c>
      <c r="Q182">
        <v>5</v>
      </c>
      <c r="R182">
        <v>800</v>
      </c>
      <c r="S182">
        <v>13996</v>
      </c>
      <c r="T182">
        <v>5528</v>
      </c>
      <c r="U182">
        <v>39.5</v>
      </c>
      <c r="V182" t="s">
        <v>21</v>
      </c>
    </row>
    <row r="183" spans="1:22" x14ac:dyDescent="0.35">
      <c r="A183" t="s">
        <v>6052</v>
      </c>
      <c r="B183" t="s">
        <v>67</v>
      </c>
      <c r="C183" t="s">
        <v>27</v>
      </c>
      <c r="D183" t="s">
        <v>6051</v>
      </c>
      <c r="E183" t="s">
        <v>6050</v>
      </c>
      <c r="F183" s="5">
        <v>45480</v>
      </c>
      <c r="G183" t="s">
        <v>126</v>
      </c>
      <c r="H183" t="s">
        <v>4314</v>
      </c>
      <c r="I183" t="s">
        <v>35</v>
      </c>
      <c r="J183" t="s">
        <v>244</v>
      </c>
      <c r="K183" t="s">
        <v>58</v>
      </c>
      <c r="L183" t="s">
        <v>37</v>
      </c>
      <c r="M183" t="s">
        <v>19</v>
      </c>
      <c r="N183">
        <v>1</v>
      </c>
      <c r="O183">
        <v>1467</v>
      </c>
      <c r="P183">
        <v>2199</v>
      </c>
      <c r="Q183">
        <v>5</v>
      </c>
      <c r="R183">
        <v>200</v>
      </c>
      <c r="S183">
        <v>1999</v>
      </c>
      <c r="T183">
        <v>532</v>
      </c>
      <c r="U183">
        <v>26.61</v>
      </c>
      <c r="V183" t="s">
        <v>33</v>
      </c>
    </row>
    <row r="184" spans="1:22" x14ac:dyDescent="0.35">
      <c r="A184" t="s">
        <v>6049</v>
      </c>
      <c r="B184" t="s">
        <v>60</v>
      </c>
      <c r="C184" t="s">
        <v>27</v>
      </c>
      <c r="D184" t="s">
        <v>6048</v>
      </c>
      <c r="E184" t="s">
        <v>6047</v>
      </c>
      <c r="F184" s="5">
        <v>45494</v>
      </c>
      <c r="G184" t="s">
        <v>126</v>
      </c>
      <c r="H184" t="s">
        <v>512</v>
      </c>
      <c r="I184" t="s">
        <v>28</v>
      </c>
      <c r="J184" t="s">
        <v>201</v>
      </c>
      <c r="K184" t="s">
        <v>29</v>
      </c>
      <c r="L184" t="s">
        <v>37</v>
      </c>
      <c r="M184" t="s">
        <v>19</v>
      </c>
      <c r="N184">
        <v>1</v>
      </c>
      <c r="O184">
        <v>302</v>
      </c>
      <c r="P184">
        <v>499</v>
      </c>
      <c r="Q184">
        <v>10</v>
      </c>
      <c r="R184">
        <v>100</v>
      </c>
      <c r="S184">
        <v>399</v>
      </c>
      <c r="T184">
        <v>97</v>
      </c>
      <c r="U184">
        <v>24.31</v>
      </c>
      <c r="V184" t="s">
        <v>21</v>
      </c>
    </row>
    <row r="185" spans="1:22" x14ac:dyDescent="0.35">
      <c r="A185" t="s">
        <v>6046</v>
      </c>
      <c r="B185" t="s">
        <v>70</v>
      </c>
      <c r="C185" t="s">
        <v>27</v>
      </c>
      <c r="D185" t="s">
        <v>6045</v>
      </c>
      <c r="E185" t="s">
        <v>6044</v>
      </c>
      <c r="F185" s="5">
        <v>45631</v>
      </c>
      <c r="G185" t="s">
        <v>126</v>
      </c>
      <c r="H185" t="s">
        <v>4676</v>
      </c>
      <c r="I185" t="s">
        <v>17</v>
      </c>
      <c r="J185" t="s">
        <v>235</v>
      </c>
      <c r="K185" t="s">
        <v>18</v>
      </c>
      <c r="L185" t="s">
        <v>37</v>
      </c>
      <c r="M185" t="s">
        <v>19</v>
      </c>
      <c r="N185">
        <v>1</v>
      </c>
      <c r="O185">
        <v>264</v>
      </c>
      <c r="P185">
        <v>399</v>
      </c>
      <c r="Q185">
        <v>0</v>
      </c>
      <c r="R185">
        <v>0</v>
      </c>
      <c r="S185">
        <v>399</v>
      </c>
      <c r="T185">
        <v>135</v>
      </c>
      <c r="U185">
        <v>33.83</v>
      </c>
      <c r="V185" t="s">
        <v>21</v>
      </c>
    </row>
    <row r="186" spans="1:22" x14ac:dyDescent="0.35">
      <c r="A186" t="s">
        <v>6043</v>
      </c>
      <c r="B186" t="s">
        <v>85</v>
      </c>
      <c r="C186" t="s">
        <v>27</v>
      </c>
      <c r="D186" t="s">
        <v>6042</v>
      </c>
      <c r="E186" t="s">
        <v>6041</v>
      </c>
      <c r="F186" s="5">
        <v>45516</v>
      </c>
      <c r="G186" t="s">
        <v>126</v>
      </c>
      <c r="H186" t="s">
        <v>1906</v>
      </c>
      <c r="I186" t="s">
        <v>31</v>
      </c>
      <c r="J186" t="s">
        <v>76</v>
      </c>
      <c r="K186" t="s">
        <v>76</v>
      </c>
      <c r="L186" t="s">
        <v>25</v>
      </c>
      <c r="M186" t="s">
        <v>19</v>
      </c>
      <c r="N186">
        <v>2</v>
      </c>
      <c r="O186">
        <v>401</v>
      </c>
      <c r="P186">
        <v>699</v>
      </c>
      <c r="Q186">
        <v>0</v>
      </c>
      <c r="R186">
        <v>0</v>
      </c>
      <c r="S186">
        <v>1398</v>
      </c>
      <c r="T186">
        <v>596</v>
      </c>
      <c r="U186">
        <v>42.63</v>
      </c>
      <c r="V186" t="s">
        <v>21</v>
      </c>
    </row>
    <row r="187" spans="1:22" x14ac:dyDescent="0.35">
      <c r="A187" t="s">
        <v>6040</v>
      </c>
      <c r="B187" t="s">
        <v>42</v>
      </c>
      <c r="C187" t="s">
        <v>27</v>
      </c>
      <c r="D187" t="s">
        <v>6039</v>
      </c>
      <c r="E187" t="s">
        <v>6038</v>
      </c>
      <c r="F187" s="5">
        <v>45542</v>
      </c>
      <c r="G187" t="s">
        <v>126</v>
      </c>
      <c r="H187" t="s">
        <v>3820</v>
      </c>
      <c r="I187" t="s">
        <v>17</v>
      </c>
      <c r="J187" t="s">
        <v>48</v>
      </c>
      <c r="K187" t="s">
        <v>48</v>
      </c>
      <c r="L187" t="s">
        <v>37</v>
      </c>
      <c r="M187" t="s">
        <v>20</v>
      </c>
      <c r="N187">
        <v>5</v>
      </c>
      <c r="O187">
        <v>316</v>
      </c>
      <c r="P187">
        <v>499</v>
      </c>
      <c r="Q187">
        <v>0</v>
      </c>
      <c r="R187">
        <v>0</v>
      </c>
      <c r="S187">
        <v>2495</v>
      </c>
      <c r="T187">
        <v>915</v>
      </c>
      <c r="U187">
        <v>36.67</v>
      </c>
      <c r="V187" t="s">
        <v>33</v>
      </c>
    </row>
    <row r="188" spans="1:22" x14ac:dyDescent="0.35">
      <c r="A188" t="s">
        <v>6037</v>
      </c>
      <c r="B188" t="s">
        <v>51</v>
      </c>
      <c r="C188" t="s">
        <v>16</v>
      </c>
      <c r="D188" t="s">
        <v>6036</v>
      </c>
      <c r="E188" t="s">
        <v>3379</v>
      </c>
      <c r="F188" s="5">
        <v>45550</v>
      </c>
      <c r="G188" t="s">
        <v>126</v>
      </c>
      <c r="H188" t="s">
        <v>6035</v>
      </c>
      <c r="I188" t="s">
        <v>23</v>
      </c>
      <c r="J188" t="s">
        <v>164</v>
      </c>
      <c r="K188" t="s">
        <v>24</v>
      </c>
      <c r="L188" t="s">
        <v>19</v>
      </c>
      <c r="M188" t="s">
        <v>19</v>
      </c>
      <c r="N188">
        <v>1</v>
      </c>
      <c r="O188">
        <v>897</v>
      </c>
      <c r="P188">
        <v>1199</v>
      </c>
      <c r="Q188">
        <v>10</v>
      </c>
      <c r="R188">
        <v>200</v>
      </c>
      <c r="S188">
        <v>999</v>
      </c>
      <c r="T188">
        <v>102</v>
      </c>
      <c r="U188">
        <v>10.210000000000001</v>
      </c>
      <c r="V188" t="s">
        <v>21</v>
      </c>
    </row>
    <row r="189" spans="1:22" x14ac:dyDescent="0.35">
      <c r="A189" t="s">
        <v>6034</v>
      </c>
      <c r="B189" t="s">
        <v>88</v>
      </c>
      <c r="C189" t="s">
        <v>27</v>
      </c>
      <c r="D189" t="s">
        <v>6033</v>
      </c>
      <c r="E189" t="s">
        <v>1557</v>
      </c>
      <c r="F189" s="5">
        <v>45548</v>
      </c>
      <c r="G189" t="s">
        <v>126</v>
      </c>
      <c r="H189" t="s">
        <v>3207</v>
      </c>
      <c r="I189" t="s">
        <v>35</v>
      </c>
      <c r="J189" t="s">
        <v>41</v>
      </c>
      <c r="K189" t="s">
        <v>41</v>
      </c>
      <c r="L189" t="s">
        <v>37</v>
      </c>
      <c r="M189" t="s">
        <v>19</v>
      </c>
      <c r="N189">
        <v>2</v>
      </c>
      <c r="O189">
        <v>507</v>
      </c>
      <c r="P189">
        <v>999</v>
      </c>
      <c r="Q189">
        <v>15</v>
      </c>
      <c r="R189">
        <v>400</v>
      </c>
      <c r="S189">
        <v>1598</v>
      </c>
      <c r="T189">
        <v>584</v>
      </c>
      <c r="U189">
        <v>36.549999999999997</v>
      </c>
      <c r="V189" t="s">
        <v>21</v>
      </c>
    </row>
    <row r="190" spans="1:22" x14ac:dyDescent="0.35">
      <c r="A190" t="s">
        <v>6032</v>
      </c>
      <c r="B190" t="s">
        <v>78</v>
      </c>
      <c r="C190" t="s">
        <v>16</v>
      </c>
      <c r="D190" t="s">
        <v>6031</v>
      </c>
      <c r="E190" t="s">
        <v>6030</v>
      </c>
      <c r="F190" s="5">
        <v>45455</v>
      </c>
      <c r="G190" t="s">
        <v>126</v>
      </c>
      <c r="H190" t="s">
        <v>4809</v>
      </c>
      <c r="I190" t="s">
        <v>35</v>
      </c>
      <c r="J190" t="s">
        <v>214</v>
      </c>
      <c r="K190" t="s">
        <v>50</v>
      </c>
      <c r="L190" t="s">
        <v>37</v>
      </c>
      <c r="M190" t="s">
        <v>19</v>
      </c>
      <c r="N190">
        <v>1</v>
      </c>
      <c r="O190">
        <v>1219</v>
      </c>
      <c r="P190">
        <v>1799</v>
      </c>
      <c r="Q190">
        <v>15</v>
      </c>
      <c r="R190">
        <v>300</v>
      </c>
      <c r="S190">
        <v>1499</v>
      </c>
      <c r="T190">
        <v>280</v>
      </c>
      <c r="U190">
        <v>18.68</v>
      </c>
      <c r="V190" t="s">
        <v>21</v>
      </c>
    </row>
    <row r="191" spans="1:22" x14ac:dyDescent="0.35">
      <c r="A191" t="s">
        <v>6029</v>
      </c>
      <c r="B191" t="s">
        <v>90</v>
      </c>
      <c r="C191" t="s">
        <v>27</v>
      </c>
      <c r="D191" t="s">
        <v>6028</v>
      </c>
      <c r="E191" t="s">
        <v>6027</v>
      </c>
      <c r="F191" s="5">
        <v>45549</v>
      </c>
      <c r="G191" t="s">
        <v>126</v>
      </c>
      <c r="H191" t="s">
        <v>722</v>
      </c>
      <c r="I191" t="s">
        <v>17</v>
      </c>
      <c r="J191" t="s">
        <v>235</v>
      </c>
      <c r="K191" t="s">
        <v>18</v>
      </c>
      <c r="L191" t="s">
        <v>37</v>
      </c>
      <c r="M191" t="s">
        <v>20</v>
      </c>
      <c r="N191">
        <v>4</v>
      </c>
      <c r="O191">
        <v>252</v>
      </c>
      <c r="P191">
        <v>399</v>
      </c>
      <c r="Q191">
        <v>0</v>
      </c>
      <c r="R191">
        <v>0</v>
      </c>
      <c r="S191">
        <v>1596</v>
      </c>
      <c r="T191">
        <v>588</v>
      </c>
      <c r="U191">
        <v>36.840000000000003</v>
      </c>
      <c r="V191" t="s">
        <v>33</v>
      </c>
    </row>
    <row r="192" spans="1:22" x14ac:dyDescent="0.35">
      <c r="A192" t="s">
        <v>6026</v>
      </c>
      <c r="B192" t="s">
        <v>106</v>
      </c>
      <c r="C192" t="s">
        <v>27</v>
      </c>
      <c r="D192" t="s">
        <v>6025</v>
      </c>
      <c r="E192" t="s">
        <v>6024</v>
      </c>
      <c r="F192" s="5">
        <v>45471</v>
      </c>
      <c r="G192" t="s">
        <v>126</v>
      </c>
      <c r="H192" t="s">
        <v>1169</v>
      </c>
      <c r="I192" t="s">
        <v>28</v>
      </c>
      <c r="J192" t="s">
        <v>201</v>
      </c>
      <c r="K192" t="s">
        <v>29</v>
      </c>
      <c r="L192" t="s">
        <v>25</v>
      </c>
      <c r="M192" t="s">
        <v>19</v>
      </c>
      <c r="N192">
        <v>1</v>
      </c>
      <c r="O192">
        <v>481</v>
      </c>
      <c r="P192">
        <v>699</v>
      </c>
      <c r="Q192">
        <v>20</v>
      </c>
      <c r="R192">
        <v>200</v>
      </c>
      <c r="S192">
        <v>499</v>
      </c>
      <c r="T192">
        <v>18</v>
      </c>
      <c r="U192">
        <v>3.61</v>
      </c>
      <c r="V192" t="s">
        <v>21</v>
      </c>
    </row>
    <row r="193" spans="1:22" x14ac:dyDescent="0.35">
      <c r="A193" t="s">
        <v>6023</v>
      </c>
      <c r="B193" t="s">
        <v>79</v>
      </c>
      <c r="C193" t="s">
        <v>16</v>
      </c>
      <c r="D193" t="s">
        <v>6022</v>
      </c>
      <c r="E193" t="s">
        <v>6021</v>
      </c>
      <c r="F193" s="5">
        <v>45641</v>
      </c>
      <c r="G193" t="s">
        <v>126</v>
      </c>
      <c r="H193" t="s">
        <v>1439</v>
      </c>
      <c r="I193" t="s">
        <v>31</v>
      </c>
      <c r="J193" t="s">
        <v>32</v>
      </c>
      <c r="K193" t="s">
        <v>32</v>
      </c>
      <c r="L193" t="s">
        <v>25</v>
      </c>
      <c r="M193" t="s">
        <v>19</v>
      </c>
      <c r="N193">
        <v>5</v>
      </c>
      <c r="O193">
        <v>657</v>
      </c>
      <c r="P193">
        <v>899</v>
      </c>
      <c r="Q193">
        <v>0</v>
      </c>
      <c r="R193">
        <v>0</v>
      </c>
      <c r="S193">
        <v>4495</v>
      </c>
      <c r="T193">
        <v>1210</v>
      </c>
      <c r="U193">
        <v>26.92</v>
      </c>
      <c r="V193" t="s">
        <v>21</v>
      </c>
    </row>
    <row r="194" spans="1:22" x14ac:dyDescent="0.35">
      <c r="A194" t="s">
        <v>6020</v>
      </c>
      <c r="B194" t="s">
        <v>15</v>
      </c>
      <c r="C194" t="s">
        <v>16</v>
      </c>
      <c r="D194" t="s">
        <v>6019</v>
      </c>
      <c r="E194" t="s">
        <v>6018</v>
      </c>
      <c r="F194" s="5">
        <v>45655</v>
      </c>
      <c r="G194" t="s">
        <v>126</v>
      </c>
      <c r="H194" t="s">
        <v>1198</v>
      </c>
      <c r="I194" t="s">
        <v>35</v>
      </c>
      <c r="J194" t="s">
        <v>41</v>
      </c>
      <c r="K194" t="s">
        <v>41</v>
      </c>
      <c r="L194" t="s">
        <v>25</v>
      </c>
      <c r="M194" t="s">
        <v>20</v>
      </c>
      <c r="N194">
        <v>2</v>
      </c>
      <c r="O194">
        <v>384</v>
      </c>
      <c r="P194">
        <v>599</v>
      </c>
      <c r="Q194">
        <v>5</v>
      </c>
      <c r="R194">
        <v>200</v>
      </c>
      <c r="S194">
        <v>998</v>
      </c>
      <c r="T194">
        <v>230</v>
      </c>
      <c r="U194">
        <v>23.05</v>
      </c>
      <c r="V194" t="s">
        <v>21</v>
      </c>
    </row>
    <row r="195" spans="1:22" x14ac:dyDescent="0.35">
      <c r="A195" t="s">
        <v>6017</v>
      </c>
      <c r="B195" t="s">
        <v>60</v>
      </c>
      <c r="C195" t="s">
        <v>27</v>
      </c>
      <c r="D195" t="s">
        <v>6016</v>
      </c>
      <c r="E195" t="s">
        <v>849</v>
      </c>
      <c r="F195" s="5">
        <v>45590</v>
      </c>
      <c r="G195" t="s">
        <v>126</v>
      </c>
      <c r="H195" t="s">
        <v>6015</v>
      </c>
      <c r="I195" t="s">
        <v>17</v>
      </c>
      <c r="J195" t="s">
        <v>55</v>
      </c>
      <c r="K195" t="s">
        <v>55</v>
      </c>
      <c r="L195" t="s">
        <v>25</v>
      </c>
      <c r="M195" t="s">
        <v>20</v>
      </c>
      <c r="N195">
        <v>1</v>
      </c>
      <c r="O195">
        <v>236</v>
      </c>
      <c r="P195">
        <v>399</v>
      </c>
      <c r="Q195">
        <v>0</v>
      </c>
      <c r="R195">
        <v>0</v>
      </c>
      <c r="S195">
        <v>399</v>
      </c>
      <c r="T195">
        <v>163</v>
      </c>
      <c r="U195">
        <v>40.85</v>
      </c>
      <c r="V195" t="s">
        <v>21</v>
      </c>
    </row>
    <row r="196" spans="1:22" x14ac:dyDescent="0.35">
      <c r="A196" t="s">
        <v>6014</v>
      </c>
      <c r="B196" t="s">
        <v>54</v>
      </c>
      <c r="C196" t="s">
        <v>27</v>
      </c>
      <c r="D196" t="s">
        <v>6013</v>
      </c>
      <c r="E196" t="s">
        <v>6012</v>
      </c>
      <c r="F196" s="5">
        <v>45472</v>
      </c>
      <c r="G196" t="s">
        <v>126</v>
      </c>
      <c r="H196" t="s">
        <v>446</v>
      </c>
      <c r="I196" t="s">
        <v>17</v>
      </c>
      <c r="J196" t="s">
        <v>48</v>
      </c>
      <c r="K196" t="s">
        <v>48</v>
      </c>
      <c r="L196" t="s">
        <v>25</v>
      </c>
      <c r="M196" t="s">
        <v>19</v>
      </c>
      <c r="N196">
        <v>1</v>
      </c>
      <c r="O196">
        <v>269</v>
      </c>
      <c r="P196">
        <v>399</v>
      </c>
      <c r="Q196">
        <v>0</v>
      </c>
      <c r="R196">
        <v>0</v>
      </c>
      <c r="S196">
        <v>399</v>
      </c>
      <c r="T196">
        <v>130</v>
      </c>
      <c r="U196">
        <v>32.58</v>
      </c>
      <c r="V196" t="s">
        <v>21</v>
      </c>
    </row>
    <row r="197" spans="1:22" x14ac:dyDescent="0.35">
      <c r="A197" t="s">
        <v>6011</v>
      </c>
      <c r="B197" t="s">
        <v>53</v>
      </c>
      <c r="C197" t="s">
        <v>27</v>
      </c>
      <c r="D197" t="s">
        <v>6010</v>
      </c>
      <c r="E197" t="s">
        <v>6009</v>
      </c>
      <c r="F197" s="5">
        <v>45493</v>
      </c>
      <c r="G197" t="s">
        <v>126</v>
      </c>
      <c r="H197" t="s">
        <v>1239</v>
      </c>
      <c r="I197" t="s">
        <v>23</v>
      </c>
      <c r="J197" t="s">
        <v>164</v>
      </c>
      <c r="K197" t="s">
        <v>24</v>
      </c>
      <c r="L197" t="s">
        <v>25</v>
      </c>
      <c r="M197" t="s">
        <v>20</v>
      </c>
      <c r="N197">
        <v>1</v>
      </c>
      <c r="O197">
        <v>1286</v>
      </c>
      <c r="P197">
        <v>1799</v>
      </c>
      <c r="Q197">
        <v>15</v>
      </c>
      <c r="R197">
        <v>300</v>
      </c>
      <c r="S197">
        <v>1499</v>
      </c>
      <c r="T197">
        <v>213</v>
      </c>
      <c r="U197">
        <v>14.21</v>
      </c>
      <c r="V197" t="s">
        <v>21</v>
      </c>
    </row>
    <row r="198" spans="1:22" x14ac:dyDescent="0.35">
      <c r="A198" t="s">
        <v>6008</v>
      </c>
      <c r="B198" t="s">
        <v>107</v>
      </c>
      <c r="C198" t="s">
        <v>27</v>
      </c>
      <c r="D198" t="s">
        <v>6007</v>
      </c>
      <c r="E198" t="s">
        <v>6006</v>
      </c>
      <c r="F198" s="5">
        <v>45495</v>
      </c>
      <c r="G198" t="s">
        <v>126</v>
      </c>
      <c r="H198" t="s">
        <v>4980</v>
      </c>
      <c r="I198" t="s">
        <v>31</v>
      </c>
      <c r="J198" t="s">
        <v>32</v>
      </c>
      <c r="K198" t="s">
        <v>32</v>
      </c>
      <c r="L198" t="s">
        <v>25</v>
      </c>
      <c r="M198" t="s">
        <v>19</v>
      </c>
      <c r="N198">
        <v>1</v>
      </c>
      <c r="O198">
        <v>1013</v>
      </c>
      <c r="P198">
        <v>1499</v>
      </c>
      <c r="Q198">
        <v>0</v>
      </c>
      <c r="R198">
        <v>0</v>
      </c>
      <c r="S198">
        <v>1499</v>
      </c>
      <c r="T198">
        <v>486</v>
      </c>
      <c r="U198">
        <v>32.42</v>
      </c>
      <c r="V198" t="s">
        <v>21</v>
      </c>
    </row>
    <row r="199" spans="1:22" x14ac:dyDescent="0.35">
      <c r="A199" t="s">
        <v>6005</v>
      </c>
      <c r="B199" t="s">
        <v>51</v>
      </c>
      <c r="C199" t="s">
        <v>16</v>
      </c>
      <c r="D199" t="s">
        <v>6004</v>
      </c>
      <c r="E199" t="s">
        <v>2027</v>
      </c>
      <c r="F199" s="5">
        <v>45651</v>
      </c>
      <c r="G199" t="s">
        <v>126</v>
      </c>
      <c r="H199" t="s">
        <v>1560</v>
      </c>
      <c r="I199" t="s">
        <v>23</v>
      </c>
      <c r="J199" t="s">
        <v>164</v>
      </c>
      <c r="K199" t="s">
        <v>24</v>
      </c>
      <c r="L199" t="s">
        <v>37</v>
      </c>
      <c r="M199" t="s">
        <v>20</v>
      </c>
      <c r="N199">
        <v>1</v>
      </c>
      <c r="O199">
        <v>1241</v>
      </c>
      <c r="P199">
        <v>2299</v>
      </c>
      <c r="Q199">
        <v>10</v>
      </c>
      <c r="R199">
        <v>300</v>
      </c>
      <c r="S199">
        <v>1999</v>
      </c>
      <c r="T199">
        <v>758</v>
      </c>
      <c r="U199">
        <v>37.92</v>
      </c>
      <c r="V199" t="s">
        <v>21</v>
      </c>
    </row>
    <row r="200" spans="1:22" x14ac:dyDescent="0.35">
      <c r="A200" t="s">
        <v>6003</v>
      </c>
      <c r="B200" t="s">
        <v>67</v>
      </c>
      <c r="C200" t="s">
        <v>27</v>
      </c>
      <c r="D200" t="s">
        <v>6002</v>
      </c>
      <c r="E200" t="s">
        <v>4003</v>
      </c>
      <c r="F200" s="5">
        <v>45616</v>
      </c>
      <c r="G200" t="s">
        <v>126</v>
      </c>
      <c r="H200" t="s">
        <v>2097</v>
      </c>
      <c r="I200" t="s">
        <v>23</v>
      </c>
      <c r="J200" t="s">
        <v>164</v>
      </c>
      <c r="K200" t="s">
        <v>24</v>
      </c>
      <c r="L200" t="s">
        <v>37</v>
      </c>
      <c r="M200" t="s">
        <v>19</v>
      </c>
      <c r="N200">
        <v>1</v>
      </c>
      <c r="O200">
        <v>1442</v>
      </c>
      <c r="P200">
        <v>2499</v>
      </c>
      <c r="Q200">
        <v>20</v>
      </c>
      <c r="R200">
        <v>500</v>
      </c>
      <c r="S200">
        <v>1999</v>
      </c>
      <c r="T200">
        <v>557</v>
      </c>
      <c r="U200">
        <v>27.86</v>
      </c>
      <c r="V200" t="s">
        <v>33</v>
      </c>
    </row>
    <row r="201" spans="1:22" x14ac:dyDescent="0.35">
      <c r="A201" t="s">
        <v>6001</v>
      </c>
      <c r="B201" t="s">
        <v>34</v>
      </c>
      <c r="C201" t="s">
        <v>27</v>
      </c>
      <c r="D201" t="s">
        <v>6000</v>
      </c>
      <c r="E201" t="s">
        <v>5999</v>
      </c>
      <c r="F201" s="5">
        <v>45646</v>
      </c>
      <c r="G201" t="s">
        <v>126</v>
      </c>
      <c r="H201" t="s">
        <v>5998</v>
      </c>
      <c r="I201" t="s">
        <v>35</v>
      </c>
      <c r="J201" t="s">
        <v>39</v>
      </c>
      <c r="K201" t="s">
        <v>39</v>
      </c>
      <c r="L201" t="s">
        <v>37</v>
      </c>
      <c r="M201" t="s">
        <v>19</v>
      </c>
      <c r="N201">
        <v>1</v>
      </c>
      <c r="O201">
        <v>585</v>
      </c>
      <c r="P201">
        <v>799</v>
      </c>
      <c r="Q201">
        <v>5</v>
      </c>
      <c r="R201">
        <v>100</v>
      </c>
      <c r="S201">
        <v>699</v>
      </c>
      <c r="T201">
        <v>114</v>
      </c>
      <c r="U201">
        <v>16.309999999999999</v>
      </c>
      <c r="V201" t="s">
        <v>33</v>
      </c>
    </row>
    <row r="202" spans="1:22" x14ac:dyDescent="0.35">
      <c r="A202" t="s">
        <v>5997</v>
      </c>
      <c r="B202" t="s">
        <v>22</v>
      </c>
      <c r="C202" t="s">
        <v>16</v>
      </c>
      <c r="D202" t="s">
        <v>5996</v>
      </c>
      <c r="E202" t="s">
        <v>5995</v>
      </c>
      <c r="F202" s="5">
        <v>45513</v>
      </c>
      <c r="G202" t="s">
        <v>126</v>
      </c>
      <c r="H202" t="s">
        <v>4174</v>
      </c>
      <c r="I202" t="s">
        <v>35</v>
      </c>
      <c r="J202" t="s">
        <v>39</v>
      </c>
      <c r="K202" t="s">
        <v>39</v>
      </c>
      <c r="L202" t="s">
        <v>19</v>
      </c>
      <c r="M202" t="s">
        <v>19</v>
      </c>
      <c r="N202">
        <v>5</v>
      </c>
      <c r="O202">
        <v>1112</v>
      </c>
      <c r="P202">
        <v>1699</v>
      </c>
      <c r="Q202">
        <v>20</v>
      </c>
      <c r="R202">
        <v>2000</v>
      </c>
      <c r="S202">
        <v>6495</v>
      </c>
      <c r="T202">
        <v>935</v>
      </c>
      <c r="U202">
        <v>14.4</v>
      </c>
      <c r="V202" t="s">
        <v>21</v>
      </c>
    </row>
    <row r="203" spans="1:22" x14ac:dyDescent="0.35">
      <c r="A203" t="s">
        <v>5994</v>
      </c>
      <c r="B203" t="s">
        <v>75</v>
      </c>
      <c r="C203" t="s">
        <v>27</v>
      </c>
      <c r="D203" t="s">
        <v>5993</v>
      </c>
      <c r="E203" t="s">
        <v>5992</v>
      </c>
      <c r="F203" s="5">
        <v>45545</v>
      </c>
      <c r="G203" t="s">
        <v>126</v>
      </c>
      <c r="H203" t="s">
        <v>5991</v>
      </c>
      <c r="I203" t="s">
        <v>17</v>
      </c>
      <c r="J203" t="s">
        <v>55</v>
      </c>
      <c r="K203" t="s">
        <v>55</v>
      </c>
      <c r="L203" t="s">
        <v>37</v>
      </c>
      <c r="M203" t="s">
        <v>20</v>
      </c>
      <c r="N203">
        <v>1</v>
      </c>
      <c r="O203">
        <v>453</v>
      </c>
      <c r="P203">
        <v>799</v>
      </c>
      <c r="Q203">
        <v>0</v>
      </c>
      <c r="R203">
        <v>0</v>
      </c>
      <c r="S203">
        <v>799</v>
      </c>
      <c r="T203">
        <v>346</v>
      </c>
      <c r="U203">
        <v>43.3</v>
      </c>
      <c r="V203" t="s">
        <v>21</v>
      </c>
    </row>
    <row r="204" spans="1:22" x14ac:dyDescent="0.35">
      <c r="A204" t="s">
        <v>5990</v>
      </c>
      <c r="B204" t="s">
        <v>62</v>
      </c>
      <c r="C204" t="s">
        <v>16</v>
      </c>
      <c r="D204" t="s">
        <v>5989</v>
      </c>
      <c r="E204" t="s">
        <v>5988</v>
      </c>
      <c r="F204" s="5">
        <v>45472</v>
      </c>
      <c r="G204" t="s">
        <v>126</v>
      </c>
      <c r="H204" t="s">
        <v>3975</v>
      </c>
      <c r="I204" t="s">
        <v>31</v>
      </c>
      <c r="J204" t="s">
        <v>32</v>
      </c>
      <c r="K204" t="s">
        <v>32</v>
      </c>
      <c r="L204" t="s">
        <v>37</v>
      </c>
      <c r="M204" t="s">
        <v>20</v>
      </c>
      <c r="N204">
        <v>1</v>
      </c>
      <c r="O204">
        <v>923</v>
      </c>
      <c r="P204">
        <v>1399</v>
      </c>
      <c r="Q204">
        <v>0</v>
      </c>
      <c r="R204">
        <v>0</v>
      </c>
      <c r="S204">
        <v>1399</v>
      </c>
      <c r="T204">
        <v>476</v>
      </c>
      <c r="U204">
        <v>34.020000000000003</v>
      </c>
      <c r="V204" t="s">
        <v>33</v>
      </c>
    </row>
    <row r="205" spans="1:22" x14ac:dyDescent="0.35">
      <c r="A205" t="s">
        <v>5987</v>
      </c>
      <c r="B205" t="s">
        <v>93</v>
      </c>
      <c r="C205" t="s">
        <v>16</v>
      </c>
      <c r="D205" t="s">
        <v>5986</v>
      </c>
      <c r="E205" t="s">
        <v>5985</v>
      </c>
      <c r="F205" s="5">
        <v>45529</v>
      </c>
      <c r="G205" t="s">
        <v>126</v>
      </c>
      <c r="H205" t="s">
        <v>3251</v>
      </c>
      <c r="I205" t="s">
        <v>31</v>
      </c>
      <c r="J205" t="s">
        <v>32</v>
      </c>
      <c r="K205" t="s">
        <v>32</v>
      </c>
      <c r="L205" t="s">
        <v>19</v>
      </c>
      <c r="M205" t="s">
        <v>20</v>
      </c>
      <c r="N205">
        <v>5</v>
      </c>
      <c r="O205">
        <v>653</v>
      </c>
      <c r="P205">
        <v>899</v>
      </c>
      <c r="Q205">
        <v>0</v>
      </c>
      <c r="R205">
        <v>0</v>
      </c>
      <c r="S205">
        <v>4495</v>
      </c>
      <c r="T205">
        <v>1230</v>
      </c>
      <c r="U205">
        <v>27.36</v>
      </c>
      <c r="V205" t="s">
        <v>21</v>
      </c>
    </row>
    <row r="206" spans="1:22" x14ac:dyDescent="0.35">
      <c r="A206" t="s">
        <v>5984</v>
      </c>
      <c r="B206" t="s">
        <v>94</v>
      </c>
      <c r="C206" t="s">
        <v>16</v>
      </c>
      <c r="D206" t="s">
        <v>5983</v>
      </c>
      <c r="E206" t="s">
        <v>5982</v>
      </c>
      <c r="F206" s="5">
        <v>45639</v>
      </c>
      <c r="G206" t="s">
        <v>126</v>
      </c>
      <c r="H206" t="s">
        <v>1363</v>
      </c>
      <c r="I206" t="s">
        <v>35</v>
      </c>
      <c r="J206" t="s">
        <v>244</v>
      </c>
      <c r="K206" t="s">
        <v>58</v>
      </c>
      <c r="L206" t="s">
        <v>37</v>
      </c>
      <c r="M206" t="s">
        <v>20</v>
      </c>
      <c r="N206">
        <v>2</v>
      </c>
      <c r="O206">
        <v>668</v>
      </c>
      <c r="P206">
        <v>1199</v>
      </c>
      <c r="Q206">
        <v>10</v>
      </c>
      <c r="R206">
        <v>400</v>
      </c>
      <c r="S206">
        <v>1998</v>
      </c>
      <c r="T206">
        <v>662</v>
      </c>
      <c r="U206">
        <v>33.130000000000003</v>
      </c>
      <c r="V206" t="s">
        <v>21</v>
      </c>
    </row>
    <row r="207" spans="1:22" x14ac:dyDescent="0.35">
      <c r="A207" t="s">
        <v>5981</v>
      </c>
      <c r="B207" t="s">
        <v>84</v>
      </c>
      <c r="C207" t="s">
        <v>27</v>
      </c>
      <c r="D207" t="s">
        <v>5980</v>
      </c>
      <c r="E207" t="s">
        <v>5979</v>
      </c>
      <c r="F207" s="5">
        <v>45490</v>
      </c>
      <c r="G207" t="s">
        <v>126</v>
      </c>
      <c r="H207" t="s">
        <v>5226</v>
      </c>
      <c r="I207" t="s">
        <v>28</v>
      </c>
      <c r="J207" t="s">
        <v>201</v>
      </c>
      <c r="K207" t="s">
        <v>29</v>
      </c>
      <c r="L207" t="s">
        <v>25</v>
      </c>
      <c r="M207" t="s">
        <v>19</v>
      </c>
      <c r="N207">
        <v>1</v>
      </c>
      <c r="O207">
        <v>482</v>
      </c>
      <c r="P207">
        <v>699</v>
      </c>
      <c r="Q207">
        <v>20</v>
      </c>
      <c r="R207">
        <v>200</v>
      </c>
      <c r="S207">
        <v>499</v>
      </c>
      <c r="T207">
        <v>17</v>
      </c>
      <c r="U207">
        <v>3.41</v>
      </c>
      <c r="V207" t="s">
        <v>21</v>
      </c>
    </row>
    <row r="208" spans="1:22" x14ac:dyDescent="0.35">
      <c r="A208" t="s">
        <v>5978</v>
      </c>
      <c r="B208" t="s">
        <v>34</v>
      </c>
      <c r="C208" t="s">
        <v>27</v>
      </c>
      <c r="D208" t="s">
        <v>5977</v>
      </c>
      <c r="E208" t="s">
        <v>5976</v>
      </c>
      <c r="F208" s="5">
        <v>45558</v>
      </c>
      <c r="G208" t="s">
        <v>126</v>
      </c>
      <c r="H208" t="s">
        <v>575</v>
      </c>
      <c r="I208" t="s">
        <v>31</v>
      </c>
      <c r="J208" t="s">
        <v>32</v>
      </c>
      <c r="K208" t="s">
        <v>32</v>
      </c>
      <c r="L208" t="s">
        <v>37</v>
      </c>
      <c r="M208" t="s">
        <v>20</v>
      </c>
      <c r="N208">
        <v>1</v>
      </c>
      <c r="O208">
        <v>669</v>
      </c>
      <c r="P208">
        <v>999</v>
      </c>
      <c r="Q208">
        <v>0</v>
      </c>
      <c r="R208">
        <v>0</v>
      </c>
      <c r="S208">
        <v>999</v>
      </c>
      <c r="T208">
        <v>330</v>
      </c>
      <c r="U208">
        <v>33.03</v>
      </c>
      <c r="V208" t="s">
        <v>33</v>
      </c>
    </row>
    <row r="209" spans="1:22" x14ac:dyDescent="0.35">
      <c r="A209" t="s">
        <v>5975</v>
      </c>
      <c r="B209" t="s">
        <v>42</v>
      </c>
      <c r="C209" t="s">
        <v>27</v>
      </c>
      <c r="D209" t="s">
        <v>5974</v>
      </c>
      <c r="E209" t="s">
        <v>5973</v>
      </c>
      <c r="F209" s="5">
        <v>45539</v>
      </c>
      <c r="G209" t="s">
        <v>126</v>
      </c>
      <c r="H209" t="s">
        <v>329</v>
      </c>
      <c r="I209" t="s">
        <v>17</v>
      </c>
      <c r="J209" t="s">
        <v>55</v>
      </c>
      <c r="K209" t="s">
        <v>55</v>
      </c>
      <c r="L209" t="s">
        <v>37</v>
      </c>
      <c r="M209" t="s">
        <v>20</v>
      </c>
      <c r="N209">
        <v>1</v>
      </c>
      <c r="O209">
        <v>218</v>
      </c>
      <c r="P209">
        <v>399</v>
      </c>
      <c r="Q209">
        <v>0</v>
      </c>
      <c r="R209">
        <v>0</v>
      </c>
      <c r="S209">
        <v>399</v>
      </c>
      <c r="T209">
        <v>181</v>
      </c>
      <c r="U209">
        <v>45.36</v>
      </c>
      <c r="V209" t="s">
        <v>33</v>
      </c>
    </row>
    <row r="210" spans="1:22" x14ac:dyDescent="0.35">
      <c r="A210" t="s">
        <v>5972</v>
      </c>
      <c r="B210" t="s">
        <v>101</v>
      </c>
      <c r="C210" t="s">
        <v>16</v>
      </c>
      <c r="D210" t="s">
        <v>5971</v>
      </c>
      <c r="E210" t="s">
        <v>5970</v>
      </c>
      <c r="F210" s="5">
        <v>45622</v>
      </c>
      <c r="G210" t="s">
        <v>126</v>
      </c>
      <c r="H210" t="s">
        <v>1304</v>
      </c>
      <c r="I210" t="s">
        <v>28</v>
      </c>
      <c r="J210" t="s">
        <v>45</v>
      </c>
      <c r="K210" t="s">
        <v>45</v>
      </c>
      <c r="L210" t="s">
        <v>25</v>
      </c>
      <c r="M210" t="s">
        <v>19</v>
      </c>
      <c r="N210">
        <v>5</v>
      </c>
      <c r="O210">
        <v>437</v>
      </c>
      <c r="P210">
        <v>699</v>
      </c>
      <c r="Q210">
        <v>5</v>
      </c>
      <c r="R210">
        <v>500</v>
      </c>
      <c r="S210">
        <v>2995</v>
      </c>
      <c r="T210">
        <v>810</v>
      </c>
      <c r="U210">
        <v>27.05</v>
      </c>
      <c r="V210" t="s">
        <v>21</v>
      </c>
    </row>
    <row r="211" spans="1:22" x14ac:dyDescent="0.35">
      <c r="A211" t="s">
        <v>5969</v>
      </c>
      <c r="B211" t="s">
        <v>59</v>
      </c>
      <c r="C211" t="s">
        <v>27</v>
      </c>
      <c r="D211" t="s">
        <v>5968</v>
      </c>
      <c r="E211" t="s">
        <v>5967</v>
      </c>
      <c r="F211" s="5">
        <v>45647</v>
      </c>
      <c r="G211" t="s">
        <v>126</v>
      </c>
      <c r="H211" t="s">
        <v>619</v>
      </c>
      <c r="I211" t="s">
        <v>28</v>
      </c>
      <c r="J211" t="s">
        <v>45</v>
      </c>
      <c r="K211" t="s">
        <v>45</v>
      </c>
      <c r="L211" t="s">
        <v>19</v>
      </c>
      <c r="M211" t="s">
        <v>19</v>
      </c>
      <c r="N211">
        <v>3</v>
      </c>
      <c r="O211">
        <v>641</v>
      </c>
      <c r="P211">
        <v>999</v>
      </c>
      <c r="Q211">
        <v>20</v>
      </c>
      <c r="R211">
        <v>600</v>
      </c>
      <c r="S211">
        <v>2397</v>
      </c>
      <c r="T211">
        <v>474</v>
      </c>
      <c r="U211">
        <v>19.77</v>
      </c>
      <c r="V211" t="s">
        <v>21</v>
      </c>
    </row>
    <row r="212" spans="1:22" x14ac:dyDescent="0.35">
      <c r="A212" t="s">
        <v>5966</v>
      </c>
      <c r="B212" t="s">
        <v>26</v>
      </c>
      <c r="C212" t="s">
        <v>27</v>
      </c>
      <c r="D212" t="s">
        <v>5965</v>
      </c>
      <c r="E212" t="s">
        <v>5964</v>
      </c>
      <c r="F212" s="5">
        <v>45555</v>
      </c>
      <c r="G212" t="s">
        <v>126</v>
      </c>
      <c r="H212" t="s">
        <v>5750</v>
      </c>
      <c r="I212" t="s">
        <v>28</v>
      </c>
      <c r="J212" t="s">
        <v>45</v>
      </c>
      <c r="K212" t="s">
        <v>45</v>
      </c>
      <c r="L212" t="s">
        <v>37</v>
      </c>
      <c r="M212" t="s">
        <v>19</v>
      </c>
      <c r="N212">
        <v>4</v>
      </c>
      <c r="O212">
        <v>1171</v>
      </c>
      <c r="P212">
        <v>1799</v>
      </c>
      <c r="Q212">
        <v>15</v>
      </c>
      <c r="R212">
        <v>1200</v>
      </c>
      <c r="S212">
        <v>5996</v>
      </c>
      <c r="T212">
        <v>1312</v>
      </c>
      <c r="U212">
        <v>21.88</v>
      </c>
      <c r="V212" t="s">
        <v>33</v>
      </c>
    </row>
    <row r="213" spans="1:22" x14ac:dyDescent="0.35">
      <c r="A213" t="s">
        <v>5963</v>
      </c>
      <c r="B213" t="s">
        <v>67</v>
      </c>
      <c r="C213" t="s">
        <v>27</v>
      </c>
      <c r="D213" t="s">
        <v>5962</v>
      </c>
      <c r="E213" t="s">
        <v>5961</v>
      </c>
      <c r="F213" s="5">
        <v>45491</v>
      </c>
      <c r="G213" t="s">
        <v>126</v>
      </c>
      <c r="H213" t="s">
        <v>1848</v>
      </c>
      <c r="I213" t="s">
        <v>35</v>
      </c>
      <c r="J213" t="s">
        <v>159</v>
      </c>
      <c r="K213" t="s">
        <v>36</v>
      </c>
      <c r="L213" t="s">
        <v>25</v>
      </c>
      <c r="M213" t="s">
        <v>19</v>
      </c>
      <c r="N213">
        <v>1</v>
      </c>
      <c r="O213">
        <v>343</v>
      </c>
      <c r="P213">
        <v>599</v>
      </c>
      <c r="Q213">
        <v>15</v>
      </c>
      <c r="R213">
        <v>100</v>
      </c>
      <c r="S213">
        <v>499</v>
      </c>
      <c r="T213">
        <v>156</v>
      </c>
      <c r="U213">
        <v>31.26</v>
      </c>
      <c r="V213" t="s">
        <v>21</v>
      </c>
    </row>
    <row r="214" spans="1:22" x14ac:dyDescent="0.35">
      <c r="A214" t="s">
        <v>5960</v>
      </c>
      <c r="B214" t="s">
        <v>57</v>
      </c>
      <c r="C214" t="s">
        <v>27</v>
      </c>
      <c r="D214" t="s">
        <v>5959</v>
      </c>
      <c r="E214" t="s">
        <v>5106</v>
      </c>
      <c r="F214" s="5">
        <v>45461</v>
      </c>
      <c r="G214" t="s">
        <v>126</v>
      </c>
      <c r="H214" t="s">
        <v>3844</v>
      </c>
      <c r="I214" t="s">
        <v>31</v>
      </c>
      <c r="J214" t="s">
        <v>32</v>
      </c>
      <c r="K214" t="s">
        <v>32</v>
      </c>
      <c r="L214" t="s">
        <v>37</v>
      </c>
      <c r="M214" t="s">
        <v>19</v>
      </c>
      <c r="N214">
        <v>1</v>
      </c>
      <c r="O214">
        <v>705</v>
      </c>
      <c r="P214">
        <v>999</v>
      </c>
      <c r="Q214">
        <v>0</v>
      </c>
      <c r="R214">
        <v>0</v>
      </c>
      <c r="S214">
        <v>999</v>
      </c>
      <c r="T214">
        <v>294</v>
      </c>
      <c r="U214">
        <v>29.43</v>
      </c>
      <c r="V214" t="s">
        <v>21</v>
      </c>
    </row>
    <row r="215" spans="1:22" x14ac:dyDescent="0.35">
      <c r="A215" t="s">
        <v>5958</v>
      </c>
      <c r="B215" t="s">
        <v>93</v>
      </c>
      <c r="C215" t="s">
        <v>16</v>
      </c>
      <c r="D215" t="s">
        <v>5957</v>
      </c>
      <c r="E215" t="s">
        <v>5956</v>
      </c>
      <c r="F215" s="5">
        <v>45556</v>
      </c>
      <c r="G215" t="s">
        <v>126</v>
      </c>
      <c r="H215" t="s">
        <v>5382</v>
      </c>
      <c r="I215" t="s">
        <v>17</v>
      </c>
      <c r="J215" t="s">
        <v>48</v>
      </c>
      <c r="K215" t="s">
        <v>48</v>
      </c>
      <c r="L215" t="s">
        <v>37</v>
      </c>
      <c r="M215" t="s">
        <v>20</v>
      </c>
      <c r="N215">
        <v>1</v>
      </c>
      <c r="O215">
        <v>400</v>
      </c>
      <c r="P215">
        <v>599</v>
      </c>
      <c r="Q215">
        <v>0</v>
      </c>
      <c r="R215">
        <v>0</v>
      </c>
      <c r="S215">
        <v>599</v>
      </c>
      <c r="T215">
        <v>199</v>
      </c>
      <c r="U215">
        <v>33.22</v>
      </c>
      <c r="V215" t="s">
        <v>21</v>
      </c>
    </row>
    <row r="216" spans="1:22" x14ac:dyDescent="0.35">
      <c r="A216" t="s">
        <v>5955</v>
      </c>
      <c r="B216" t="s">
        <v>75</v>
      </c>
      <c r="C216" t="s">
        <v>27</v>
      </c>
      <c r="D216" t="s">
        <v>5954</v>
      </c>
      <c r="E216" t="s">
        <v>5953</v>
      </c>
      <c r="F216" s="5">
        <v>45555</v>
      </c>
      <c r="G216" t="s">
        <v>126</v>
      </c>
      <c r="H216" t="s">
        <v>2574</v>
      </c>
      <c r="I216" t="s">
        <v>17</v>
      </c>
      <c r="J216" t="s">
        <v>55</v>
      </c>
      <c r="K216" t="s">
        <v>55</v>
      </c>
      <c r="L216" t="s">
        <v>25</v>
      </c>
      <c r="M216" t="s">
        <v>19</v>
      </c>
      <c r="N216">
        <v>4</v>
      </c>
      <c r="O216">
        <v>192</v>
      </c>
      <c r="P216">
        <v>299</v>
      </c>
      <c r="Q216">
        <v>0</v>
      </c>
      <c r="R216">
        <v>0</v>
      </c>
      <c r="S216">
        <v>1196</v>
      </c>
      <c r="T216">
        <v>428</v>
      </c>
      <c r="U216">
        <v>35.79</v>
      </c>
      <c r="V216" t="s">
        <v>21</v>
      </c>
    </row>
    <row r="217" spans="1:22" x14ac:dyDescent="0.35">
      <c r="A217" t="s">
        <v>5952</v>
      </c>
      <c r="B217" t="s">
        <v>106</v>
      </c>
      <c r="C217" t="s">
        <v>27</v>
      </c>
      <c r="D217" t="s">
        <v>5951</v>
      </c>
      <c r="E217" t="s">
        <v>5950</v>
      </c>
      <c r="F217" s="5">
        <v>45600</v>
      </c>
      <c r="G217" t="s">
        <v>126</v>
      </c>
      <c r="H217" t="s">
        <v>2043</v>
      </c>
      <c r="I217" t="s">
        <v>35</v>
      </c>
      <c r="J217" t="s">
        <v>39</v>
      </c>
      <c r="K217" t="s">
        <v>39</v>
      </c>
      <c r="L217" t="s">
        <v>25</v>
      </c>
      <c r="M217" t="s">
        <v>19</v>
      </c>
      <c r="N217">
        <v>1</v>
      </c>
      <c r="O217">
        <v>578</v>
      </c>
      <c r="P217">
        <v>899</v>
      </c>
      <c r="Q217">
        <v>20</v>
      </c>
      <c r="R217">
        <v>200</v>
      </c>
      <c r="S217">
        <v>699</v>
      </c>
      <c r="T217">
        <v>121</v>
      </c>
      <c r="U217">
        <v>17.309999999999999</v>
      </c>
      <c r="V217" t="s">
        <v>21</v>
      </c>
    </row>
    <row r="218" spans="1:22" x14ac:dyDescent="0.35">
      <c r="A218" t="s">
        <v>5949</v>
      </c>
      <c r="B218" t="s">
        <v>44</v>
      </c>
      <c r="C218" t="s">
        <v>16</v>
      </c>
      <c r="D218" t="s">
        <v>5948</v>
      </c>
      <c r="E218" t="s">
        <v>5947</v>
      </c>
      <c r="F218" s="5">
        <v>45471</v>
      </c>
      <c r="G218" t="s">
        <v>126</v>
      </c>
      <c r="H218" t="s">
        <v>3896</v>
      </c>
      <c r="I218" t="s">
        <v>23</v>
      </c>
      <c r="J218" t="s">
        <v>142</v>
      </c>
      <c r="K218" t="s">
        <v>43</v>
      </c>
      <c r="L218" t="s">
        <v>25</v>
      </c>
      <c r="M218" t="s">
        <v>20</v>
      </c>
      <c r="N218">
        <v>2</v>
      </c>
      <c r="O218">
        <v>2389</v>
      </c>
      <c r="P218">
        <v>3599</v>
      </c>
      <c r="Q218">
        <v>15</v>
      </c>
      <c r="R218">
        <v>1200</v>
      </c>
      <c r="S218">
        <v>5998</v>
      </c>
      <c r="T218">
        <v>1220</v>
      </c>
      <c r="U218">
        <v>20.34</v>
      </c>
      <c r="V218" t="s">
        <v>21</v>
      </c>
    </row>
    <row r="219" spans="1:22" x14ac:dyDescent="0.35">
      <c r="A219" t="s">
        <v>5946</v>
      </c>
      <c r="B219" t="s">
        <v>26</v>
      </c>
      <c r="C219" t="s">
        <v>27</v>
      </c>
      <c r="D219" t="s">
        <v>5945</v>
      </c>
      <c r="E219" t="s">
        <v>3519</v>
      </c>
      <c r="F219" s="5">
        <v>45573</v>
      </c>
      <c r="G219" t="s">
        <v>126</v>
      </c>
      <c r="H219" t="s">
        <v>3052</v>
      </c>
      <c r="I219" t="s">
        <v>28</v>
      </c>
      <c r="J219" t="s">
        <v>201</v>
      </c>
      <c r="K219" t="s">
        <v>29</v>
      </c>
      <c r="L219" t="s">
        <v>25</v>
      </c>
      <c r="M219" t="s">
        <v>19</v>
      </c>
      <c r="N219">
        <v>2</v>
      </c>
      <c r="O219">
        <v>508</v>
      </c>
      <c r="P219">
        <v>699</v>
      </c>
      <c r="Q219">
        <v>20</v>
      </c>
      <c r="R219">
        <v>400</v>
      </c>
      <c r="S219">
        <v>998</v>
      </c>
      <c r="T219">
        <v>-18</v>
      </c>
      <c r="U219">
        <v>-1.8</v>
      </c>
      <c r="V219" t="s">
        <v>33</v>
      </c>
    </row>
    <row r="220" spans="1:22" x14ac:dyDescent="0.35">
      <c r="A220" t="s">
        <v>5944</v>
      </c>
      <c r="B220" t="s">
        <v>84</v>
      </c>
      <c r="C220" t="s">
        <v>27</v>
      </c>
      <c r="D220" t="s">
        <v>5943</v>
      </c>
      <c r="E220" t="s">
        <v>5942</v>
      </c>
      <c r="F220" s="5">
        <v>45562</v>
      </c>
      <c r="G220" t="s">
        <v>126</v>
      </c>
      <c r="H220" t="s">
        <v>2744</v>
      </c>
      <c r="I220" t="s">
        <v>23</v>
      </c>
      <c r="J220" t="s">
        <v>142</v>
      </c>
      <c r="K220" t="s">
        <v>43</v>
      </c>
      <c r="L220" t="s">
        <v>19</v>
      </c>
      <c r="M220" t="s">
        <v>20</v>
      </c>
      <c r="N220">
        <v>5</v>
      </c>
      <c r="O220">
        <v>1797</v>
      </c>
      <c r="P220">
        <v>2399</v>
      </c>
      <c r="Q220">
        <v>5</v>
      </c>
      <c r="R220">
        <v>1000</v>
      </c>
      <c r="S220">
        <v>10995</v>
      </c>
      <c r="T220">
        <v>2010</v>
      </c>
      <c r="U220">
        <v>18.28</v>
      </c>
      <c r="V220" t="s">
        <v>33</v>
      </c>
    </row>
    <row r="221" spans="1:22" x14ac:dyDescent="0.35">
      <c r="A221" t="s">
        <v>5941</v>
      </c>
      <c r="B221" t="s">
        <v>77</v>
      </c>
      <c r="C221" t="s">
        <v>27</v>
      </c>
      <c r="D221" t="s">
        <v>5940</v>
      </c>
      <c r="E221" t="s">
        <v>5939</v>
      </c>
      <c r="F221" s="5">
        <v>45517</v>
      </c>
      <c r="G221" t="s">
        <v>126</v>
      </c>
      <c r="H221" t="s">
        <v>2909</v>
      </c>
      <c r="I221" t="s">
        <v>28</v>
      </c>
      <c r="J221" t="s">
        <v>201</v>
      </c>
      <c r="K221" t="s">
        <v>29</v>
      </c>
      <c r="L221" t="s">
        <v>25</v>
      </c>
      <c r="M221" t="s">
        <v>19</v>
      </c>
      <c r="N221">
        <v>2</v>
      </c>
      <c r="O221">
        <v>410</v>
      </c>
      <c r="P221">
        <v>599</v>
      </c>
      <c r="Q221">
        <v>5</v>
      </c>
      <c r="R221">
        <v>200</v>
      </c>
      <c r="S221">
        <v>998</v>
      </c>
      <c r="T221">
        <v>178</v>
      </c>
      <c r="U221">
        <v>17.84</v>
      </c>
      <c r="V221" t="s">
        <v>21</v>
      </c>
    </row>
    <row r="222" spans="1:22" x14ac:dyDescent="0.35">
      <c r="A222" t="s">
        <v>5938</v>
      </c>
      <c r="B222" t="s">
        <v>104</v>
      </c>
      <c r="C222" t="s">
        <v>27</v>
      </c>
      <c r="D222" t="s">
        <v>5937</v>
      </c>
      <c r="E222" t="s">
        <v>5936</v>
      </c>
      <c r="F222" s="5">
        <v>45605</v>
      </c>
      <c r="G222" t="s">
        <v>126</v>
      </c>
      <c r="H222" t="s">
        <v>5579</v>
      </c>
      <c r="I222" t="s">
        <v>31</v>
      </c>
      <c r="J222" t="s">
        <v>32</v>
      </c>
      <c r="K222" t="s">
        <v>32</v>
      </c>
      <c r="L222" t="s">
        <v>19</v>
      </c>
      <c r="M222" t="s">
        <v>20</v>
      </c>
      <c r="N222">
        <v>1</v>
      </c>
      <c r="O222">
        <v>1022</v>
      </c>
      <c r="P222">
        <v>1499</v>
      </c>
      <c r="Q222">
        <v>0</v>
      </c>
      <c r="R222">
        <v>0</v>
      </c>
      <c r="S222">
        <v>1499</v>
      </c>
      <c r="T222">
        <v>477</v>
      </c>
      <c r="U222">
        <v>31.82</v>
      </c>
      <c r="V222" t="s">
        <v>21</v>
      </c>
    </row>
    <row r="223" spans="1:22" x14ac:dyDescent="0.35">
      <c r="A223" t="s">
        <v>5935</v>
      </c>
      <c r="B223" t="s">
        <v>106</v>
      </c>
      <c r="C223" t="s">
        <v>27</v>
      </c>
      <c r="D223" t="s">
        <v>5934</v>
      </c>
      <c r="E223" t="s">
        <v>5933</v>
      </c>
      <c r="F223" s="5">
        <v>45621</v>
      </c>
      <c r="G223" t="s">
        <v>126</v>
      </c>
      <c r="H223" t="s">
        <v>181</v>
      </c>
      <c r="I223" t="s">
        <v>17</v>
      </c>
      <c r="J223" t="s">
        <v>48</v>
      </c>
      <c r="K223" t="s">
        <v>48</v>
      </c>
      <c r="L223" t="s">
        <v>25</v>
      </c>
      <c r="M223" t="s">
        <v>19</v>
      </c>
      <c r="N223">
        <v>5</v>
      </c>
      <c r="O223">
        <v>318</v>
      </c>
      <c r="P223">
        <v>499</v>
      </c>
      <c r="Q223">
        <v>0</v>
      </c>
      <c r="R223">
        <v>0</v>
      </c>
      <c r="S223">
        <v>2495</v>
      </c>
      <c r="T223">
        <v>905</v>
      </c>
      <c r="U223">
        <v>36.270000000000003</v>
      </c>
      <c r="V223" t="s">
        <v>21</v>
      </c>
    </row>
    <row r="224" spans="1:22" x14ac:dyDescent="0.35">
      <c r="A224" t="s">
        <v>5932</v>
      </c>
      <c r="B224" t="s">
        <v>70</v>
      </c>
      <c r="C224" t="s">
        <v>27</v>
      </c>
      <c r="D224" t="s">
        <v>5931</v>
      </c>
      <c r="E224" t="s">
        <v>5930</v>
      </c>
      <c r="F224" s="5">
        <v>45612</v>
      </c>
      <c r="G224" t="s">
        <v>126</v>
      </c>
      <c r="H224" t="s">
        <v>5929</v>
      </c>
      <c r="I224" t="s">
        <v>35</v>
      </c>
      <c r="J224" t="s">
        <v>159</v>
      </c>
      <c r="K224" t="s">
        <v>100</v>
      </c>
      <c r="L224" t="s">
        <v>19</v>
      </c>
      <c r="M224" t="s">
        <v>20</v>
      </c>
      <c r="N224">
        <v>1</v>
      </c>
      <c r="O224">
        <v>969</v>
      </c>
      <c r="P224">
        <v>1899</v>
      </c>
      <c r="Q224">
        <v>20</v>
      </c>
      <c r="R224">
        <v>400</v>
      </c>
      <c r="S224">
        <v>1499</v>
      </c>
      <c r="T224">
        <v>530</v>
      </c>
      <c r="U224">
        <v>35.36</v>
      </c>
      <c r="V224" t="s">
        <v>33</v>
      </c>
    </row>
    <row r="225" spans="1:22" x14ac:dyDescent="0.35">
      <c r="A225" t="s">
        <v>5928</v>
      </c>
      <c r="B225" t="s">
        <v>65</v>
      </c>
      <c r="C225" t="s">
        <v>16</v>
      </c>
      <c r="D225" t="s">
        <v>5927</v>
      </c>
      <c r="E225" t="s">
        <v>5926</v>
      </c>
      <c r="F225" s="5">
        <v>45479</v>
      </c>
      <c r="G225" t="s">
        <v>126</v>
      </c>
      <c r="H225" t="s">
        <v>2973</v>
      </c>
      <c r="I225" t="s">
        <v>17</v>
      </c>
      <c r="J225" t="s">
        <v>55</v>
      </c>
      <c r="K225" t="s">
        <v>55</v>
      </c>
      <c r="L225" t="s">
        <v>19</v>
      </c>
      <c r="M225" t="s">
        <v>19</v>
      </c>
      <c r="N225">
        <v>5</v>
      </c>
      <c r="O225">
        <v>448</v>
      </c>
      <c r="P225">
        <v>799</v>
      </c>
      <c r="Q225">
        <v>0</v>
      </c>
      <c r="R225">
        <v>0</v>
      </c>
      <c r="S225">
        <v>3995</v>
      </c>
      <c r="T225">
        <v>1755</v>
      </c>
      <c r="U225">
        <v>43.93</v>
      </c>
      <c r="V225" t="s">
        <v>21</v>
      </c>
    </row>
    <row r="226" spans="1:22" x14ac:dyDescent="0.35">
      <c r="A226" t="s">
        <v>5925</v>
      </c>
      <c r="B226" t="s">
        <v>103</v>
      </c>
      <c r="C226" t="s">
        <v>16</v>
      </c>
      <c r="D226" t="s">
        <v>5924</v>
      </c>
      <c r="E226" t="s">
        <v>5923</v>
      </c>
      <c r="F226" s="5">
        <v>45584</v>
      </c>
      <c r="G226" t="s">
        <v>126</v>
      </c>
      <c r="H226" t="s">
        <v>524</v>
      </c>
      <c r="I226" t="s">
        <v>31</v>
      </c>
      <c r="J226" t="s">
        <v>32</v>
      </c>
      <c r="K226" t="s">
        <v>32</v>
      </c>
      <c r="L226" t="s">
        <v>19</v>
      </c>
      <c r="M226" t="s">
        <v>19</v>
      </c>
      <c r="N226">
        <v>2</v>
      </c>
      <c r="O226">
        <v>872</v>
      </c>
      <c r="P226">
        <v>1499</v>
      </c>
      <c r="Q226">
        <v>0</v>
      </c>
      <c r="R226">
        <v>0</v>
      </c>
      <c r="S226">
        <v>2998</v>
      </c>
      <c r="T226">
        <v>1254</v>
      </c>
      <c r="U226">
        <v>41.83</v>
      </c>
      <c r="V226" t="s">
        <v>33</v>
      </c>
    </row>
    <row r="227" spans="1:22" x14ac:dyDescent="0.35">
      <c r="A227" t="s">
        <v>5922</v>
      </c>
      <c r="B227" t="s">
        <v>107</v>
      </c>
      <c r="C227" t="s">
        <v>27</v>
      </c>
      <c r="D227" t="s">
        <v>5921</v>
      </c>
      <c r="E227" t="s">
        <v>5920</v>
      </c>
      <c r="F227" s="5">
        <v>45579</v>
      </c>
      <c r="G227" t="s">
        <v>126</v>
      </c>
      <c r="H227" t="s">
        <v>3147</v>
      </c>
      <c r="I227" t="s">
        <v>17</v>
      </c>
      <c r="J227" t="s">
        <v>235</v>
      </c>
      <c r="K227" t="s">
        <v>18</v>
      </c>
      <c r="L227" t="s">
        <v>25</v>
      </c>
      <c r="M227" t="s">
        <v>19</v>
      </c>
      <c r="N227">
        <v>1</v>
      </c>
      <c r="O227">
        <v>273</v>
      </c>
      <c r="P227">
        <v>499</v>
      </c>
      <c r="Q227">
        <v>0</v>
      </c>
      <c r="R227">
        <v>0</v>
      </c>
      <c r="S227">
        <v>499</v>
      </c>
      <c r="T227">
        <v>226</v>
      </c>
      <c r="U227">
        <v>45.29</v>
      </c>
      <c r="V227" t="s">
        <v>21</v>
      </c>
    </row>
    <row r="228" spans="1:22" x14ac:dyDescent="0.35">
      <c r="A228" t="s">
        <v>5919</v>
      </c>
      <c r="B228" t="s">
        <v>88</v>
      </c>
      <c r="C228" t="s">
        <v>27</v>
      </c>
      <c r="D228" t="s">
        <v>5918</v>
      </c>
      <c r="E228" t="s">
        <v>5917</v>
      </c>
      <c r="F228" s="5">
        <v>45554</v>
      </c>
      <c r="G228" t="s">
        <v>126</v>
      </c>
      <c r="H228" t="s">
        <v>637</v>
      </c>
      <c r="I228" t="s">
        <v>23</v>
      </c>
      <c r="J228" t="s">
        <v>164</v>
      </c>
      <c r="K228" t="s">
        <v>24</v>
      </c>
      <c r="L228" t="s">
        <v>37</v>
      </c>
      <c r="M228" t="s">
        <v>19</v>
      </c>
      <c r="N228">
        <v>4</v>
      </c>
      <c r="O228">
        <v>577</v>
      </c>
      <c r="P228">
        <v>899</v>
      </c>
      <c r="Q228">
        <v>5</v>
      </c>
      <c r="R228">
        <v>400</v>
      </c>
      <c r="S228">
        <v>3196</v>
      </c>
      <c r="T228">
        <v>888</v>
      </c>
      <c r="U228">
        <v>27.78</v>
      </c>
      <c r="V228" t="s">
        <v>33</v>
      </c>
    </row>
    <row r="229" spans="1:22" x14ac:dyDescent="0.35">
      <c r="A229" t="s">
        <v>5916</v>
      </c>
      <c r="B229" t="s">
        <v>75</v>
      </c>
      <c r="C229" t="s">
        <v>27</v>
      </c>
      <c r="D229" t="s">
        <v>5915</v>
      </c>
      <c r="E229" t="s">
        <v>5914</v>
      </c>
      <c r="F229" s="5">
        <v>45620</v>
      </c>
      <c r="G229" t="s">
        <v>126</v>
      </c>
      <c r="H229" t="s">
        <v>791</v>
      </c>
      <c r="I229" t="s">
        <v>23</v>
      </c>
      <c r="J229" t="s">
        <v>142</v>
      </c>
      <c r="K229" t="s">
        <v>43</v>
      </c>
      <c r="L229" t="s">
        <v>25</v>
      </c>
      <c r="M229" t="s">
        <v>19</v>
      </c>
      <c r="N229">
        <v>1</v>
      </c>
      <c r="O229">
        <v>2402</v>
      </c>
      <c r="P229">
        <v>3399</v>
      </c>
      <c r="Q229">
        <v>10</v>
      </c>
      <c r="R229">
        <v>400</v>
      </c>
      <c r="S229">
        <v>2999</v>
      </c>
      <c r="T229">
        <v>597</v>
      </c>
      <c r="U229">
        <v>19.91</v>
      </c>
      <c r="V229" t="s">
        <v>21</v>
      </c>
    </row>
    <row r="230" spans="1:22" x14ac:dyDescent="0.35">
      <c r="A230" t="s">
        <v>5913</v>
      </c>
      <c r="B230" t="s">
        <v>64</v>
      </c>
      <c r="C230" t="s">
        <v>16</v>
      </c>
      <c r="D230" t="s">
        <v>5912</v>
      </c>
      <c r="E230" t="s">
        <v>5911</v>
      </c>
      <c r="F230" s="5">
        <v>45514</v>
      </c>
      <c r="G230" t="s">
        <v>126</v>
      </c>
      <c r="H230" t="s">
        <v>5305</v>
      </c>
      <c r="I230" t="s">
        <v>31</v>
      </c>
      <c r="J230" t="s">
        <v>76</v>
      </c>
      <c r="K230" t="s">
        <v>76</v>
      </c>
      <c r="L230" t="s">
        <v>25</v>
      </c>
      <c r="M230" t="s">
        <v>20</v>
      </c>
      <c r="N230">
        <v>1</v>
      </c>
      <c r="O230">
        <v>1052</v>
      </c>
      <c r="P230">
        <v>1499</v>
      </c>
      <c r="Q230">
        <v>0</v>
      </c>
      <c r="R230">
        <v>0</v>
      </c>
      <c r="S230">
        <v>1499</v>
      </c>
      <c r="T230">
        <v>447</v>
      </c>
      <c r="U230">
        <v>29.82</v>
      </c>
      <c r="V230" t="s">
        <v>21</v>
      </c>
    </row>
    <row r="231" spans="1:22" x14ac:dyDescent="0.35">
      <c r="A231" t="s">
        <v>5910</v>
      </c>
      <c r="B231" t="s">
        <v>104</v>
      </c>
      <c r="C231" t="s">
        <v>27</v>
      </c>
      <c r="D231" t="s">
        <v>5909</v>
      </c>
      <c r="E231" t="s">
        <v>2699</v>
      </c>
      <c r="F231" s="5">
        <v>45539</v>
      </c>
      <c r="G231" t="s">
        <v>126</v>
      </c>
      <c r="H231" t="s">
        <v>1874</v>
      </c>
      <c r="I231" t="s">
        <v>28</v>
      </c>
      <c r="J231" t="s">
        <v>45</v>
      </c>
      <c r="K231" t="s">
        <v>45</v>
      </c>
      <c r="L231" t="s">
        <v>19</v>
      </c>
      <c r="M231" t="s">
        <v>19</v>
      </c>
      <c r="N231">
        <v>1</v>
      </c>
      <c r="O231">
        <v>384</v>
      </c>
      <c r="P231">
        <v>699</v>
      </c>
      <c r="Q231">
        <v>10</v>
      </c>
      <c r="R231">
        <v>100</v>
      </c>
      <c r="S231">
        <v>599</v>
      </c>
      <c r="T231">
        <v>215</v>
      </c>
      <c r="U231">
        <v>35.89</v>
      </c>
      <c r="V231" t="s">
        <v>21</v>
      </c>
    </row>
    <row r="232" spans="1:22" x14ac:dyDescent="0.35">
      <c r="A232" t="s">
        <v>5908</v>
      </c>
      <c r="B232" t="s">
        <v>67</v>
      </c>
      <c r="C232" t="s">
        <v>27</v>
      </c>
      <c r="D232" t="s">
        <v>5907</v>
      </c>
      <c r="E232" t="s">
        <v>3211</v>
      </c>
      <c r="F232" s="5">
        <v>45445</v>
      </c>
      <c r="G232" t="s">
        <v>126</v>
      </c>
      <c r="H232" t="s">
        <v>2257</v>
      </c>
      <c r="I232" t="s">
        <v>23</v>
      </c>
      <c r="J232" t="s">
        <v>142</v>
      </c>
      <c r="K232" t="s">
        <v>43</v>
      </c>
      <c r="L232" t="s">
        <v>37</v>
      </c>
      <c r="M232" t="s">
        <v>20</v>
      </c>
      <c r="N232">
        <v>1</v>
      </c>
      <c r="O232">
        <v>1382</v>
      </c>
      <c r="P232">
        <v>2299</v>
      </c>
      <c r="Q232">
        <v>10</v>
      </c>
      <c r="R232">
        <v>300</v>
      </c>
      <c r="S232">
        <v>1999</v>
      </c>
      <c r="T232">
        <v>617</v>
      </c>
      <c r="U232">
        <v>30.87</v>
      </c>
      <c r="V232" t="s">
        <v>21</v>
      </c>
    </row>
    <row r="233" spans="1:22" x14ac:dyDescent="0.35">
      <c r="A233" t="s">
        <v>5906</v>
      </c>
      <c r="B233" t="s">
        <v>68</v>
      </c>
      <c r="C233" t="s">
        <v>16</v>
      </c>
      <c r="D233" t="s">
        <v>5905</v>
      </c>
      <c r="E233" t="s">
        <v>5904</v>
      </c>
      <c r="F233" s="5">
        <v>45626</v>
      </c>
      <c r="G233" t="s">
        <v>126</v>
      </c>
      <c r="H233" t="s">
        <v>353</v>
      </c>
      <c r="I233" t="s">
        <v>31</v>
      </c>
      <c r="J233" t="s">
        <v>76</v>
      </c>
      <c r="K233" t="s">
        <v>76</v>
      </c>
      <c r="L233" t="s">
        <v>25</v>
      </c>
      <c r="M233" t="s">
        <v>19</v>
      </c>
      <c r="N233">
        <v>1</v>
      </c>
      <c r="O233">
        <v>611</v>
      </c>
      <c r="P233">
        <v>999</v>
      </c>
      <c r="Q233">
        <v>0</v>
      </c>
      <c r="R233">
        <v>0</v>
      </c>
      <c r="S233">
        <v>999</v>
      </c>
      <c r="T233">
        <v>388</v>
      </c>
      <c r="U233">
        <v>38.840000000000003</v>
      </c>
      <c r="V233" t="s">
        <v>21</v>
      </c>
    </row>
    <row r="234" spans="1:22" x14ac:dyDescent="0.35">
      <c r="A234" t="s">
        <v>5903</v>
      </c>
      <c r="B234" t="s">
        <v>96</v>
      </c>
      <c r="C234" t="s">
        <v>16</v>
      </c>
      <c r="D234" t="s">
        <v>5902</v>
      </c>
      <c r="E234" t="s">
        <v>5901</v>
      </c>
      <c r="F234" s="5">
        <v>45481</v>
      </c>
      <c r="G234" t="s">
        <v>126</v>
      </c>
      <c r="H234" t="s">
        <v>5900</v>
      </c>
      <c r="I234" t="s">
        <v>23</v>
      </c>
      <c r="J234" t="s">
        <v>164</v>
      </c>
      <c r="K234" t="s">
        <v>24</v>
      </c>
      <c r="L234" t="s">
        <v>37</v>
      </c>
      <c r="M234" t="s">
        <v>19</v>
      </c>
      <c r="N234">
        <v>4</v>
      </c>
      <c r="O234">
        <v>1003</v>
      </c>
      <c r="P234">
        <v>1799</v>
      </c>
      <c r="Q234">
        <v>15</v>
      </c>
      <c r="R234">
        <v>1200</v>
      </c>
      <c r="S234">
        <v>5996</v>
      </c>
      <c r="T234">
        <v>1984</v>
      </c>
      <c r="U234">
        <v>33.090000000000003</v>
      </c>
      <c r="V234" t="s">
        <v>33</v>
      </c>
    </row>
    <row r="235" spans="1:22" x14ac:dyDescent="0.35">
      <c r="A235" t="s">
        <v>5899</v>
      </c>
      <c r="B235" t="s">
        <v>46</v>
      </c>
      <c r="C235" t="s">
        <v>16</v>
      </c>
      <c r="D235" t="s">
        <v>5898</v>
      </c>
      <c r="E235" t="s">
        <v>5897</v>
      </c>
      <c r="F235" s="5">
        <v>45577</v>
      </c>
      <c r="G235" t="s">
        <v>126</v>
      </c>
      <c r="H235" t="s">
        <v>1723</v>
      </c>
      <c r="I235" t="s">
        <v>17</v>
      </c>
      <c r="J235" t="s">
        <v>253</v>
      </c>
      <c r="K235" t="s">
        <v>72</v>
      </c>
      <c r="L235" t="s">
        <v>37</v>
      </c>
      <c r="M235" t="s">
        <v>19</v>
      </c>
      <c r="N235">
        <v>2</v>
      </c>
      <c r="O235">
        <v>278</v>
      </c>
      <c r="P235">
        <v>499</v>
      </c>
      <c r="Q235">
        <v>0</v>
      </c>
      <c r="R235">
        <v>0</v>
      </c>
      <c r="S235">
        <v>998</v>
      </c>
      <c r="T235">
        <v>442</v>
      </c>
      <c r="U235">
        <v>44.29</v>
      </c>
      <c r="V235" t="s">
        <v>21</v>
      </c>
    </row>
    <row r="236" spans="1:22" x14ac:dyDescent="0.35">
      <c r="A236" t="s">
        <v>5896</v>
      </c>
      <c r="B236" t="s">
        <v>40</v>
      </c>
      <c r="C236" t="s">
        <v>27</v>
      </c>
      <c r="D236" t="s">
        <v>5895</v>
      </c>
      <c r="E236" t="s">
        <v>5894</v>
      </c>
      <c r="F236" s="5">
        <v>45599</v>
      </c>
      <c r="G236" t="s">
        <v>126</v>
      </c>
      <c r="H236" t="s">
        <v>3604</v>
      </c>
      <c r="I236" t="s">
        <v>28</v>
      </c>
      <c r="J236" t="s">
        <v>45</v>
      </c>
      <c r="K236" t="s">
        <v>45</v>
      </c>
      <c r="L236" t="s">
        <v>25</v>
      </c>
      <c r="M236" t="s">
        <v>20</v>
      </c>
      <c r="N236">
        <v>1</v>
      </c>
      <c r="O236">
        <v>812</v>
      </c>
      <c r="P236">
        <v>1199</v>
      </c>
      <c r="Q236">
        <v>15</v>
      </c>
      <c r="R236">
        <v>200</v>
      </c>
      <c r="S236">
        <v>999</v>
      </c>
      <c r="T236">
        <v>187</v>
      </c>
      <c r="U236">
        <v>18.72</v>
      </c>
      <c r="V236" t="s">
        <v>33</v>
      </c>
    </row>
    <row r="237" spans="1:22" x14ac:dyDescent="0.35">
      <c r="A237" t="s">
        <v>5893</v>
      </c>
      <c r="B237" t="s">
        <v>54</v>
      </c>
      <c r="C237" t="s">
        <v>27</v>
      </c>
      <c r="D237" t="s">
        <v>5892</v>
      </c>
      <c r="E237" t="s">
        <v>5891</v>
      </c>
      <c r="F237" s="5">
        <v>45491</v>
      </c>
      <c r="G237" t="s">
        <v>126</v>
      </c>
      <c r="H237" t="s">
        <v>3279</v>
      </c>
      <c r="I237" t="s">
        <v>28</v>
      </c>
      <c r="J237" t="s">
        <v>201</v>
      </c>
      <c r="K237" t="s">
        <v>29</v>
      </c>
      <c r="L237" t="s">
        <v>25</v>
      </c>
      <c r="M237" t="s">
        <v>20</v>
      </c>
      <c r="N237">
        <v>3</v>
      </c>
      <c r="O237">
        <v>439</v>
      </c>
      <c r="P237">
        <v>599</v>
      </c>
      <c r="Q237">
        <v>10</v>
      </c>
      <c r="R237">
        <v>300</v>
      </c>
      <c r="S237">
        <v>1497</v>
      </c>
      <c r="T237">
        <v>180</v>
      </c>
      <c r="U237">
        <v>12.02</v>
      </c>
      <c r="V237" t="s">
        <v>21</v>
      </c>
    </row>
    <row r="238" spans="1:22" x14ac:dyDescent="0.35">
      <c r="A238" t="s">
        <v>5890</v>
      </c>
      <c r="B238" t="s">
        <v>83</v>
      </c>
      <c r="C238" t="s">
        <v>27</v>
      </c>
      <c r="D238" t="s">
        <v>5889</v>
      </c>
      <c r="E238" t="s">
        <v>5888</v>
      </c>
      <c r="F238" s="5">
        <v>45518</v>
      </c>
      <c r="G238" t="s">
        <v>126</v>
      </c>
      <c r="H238" t="s">
        <v>2660</v>
      </c>
      <c r="I238" t="s">
        <v>23</v>
      </c>
      <c r="J238" t="s">
        <v>142</v>
      </c>
      <c r="K238" t="s">
        <v>43</v>
      </c>
      <c r="L238" t="s">
        <v>37</v>
      </c>
      <c r="M238" t="s">
        <v>19</v>
      </c>
      <c r="N238">
        <v>1</v>
      </c>
      <c r="O238">
        <v>2234</v>
      </c>
      <c r="P238">
        <v>3199</v>
      </c>
      <c r="Q238">
        <v>5</v>
      </c>
      <c r="R238">
        <v>200</v>
      </c>
      <c r="S238">
        <v>2999</v>
      </c>
      <c r="T238">
        <v>765</v>
      </c>
      <c r="U238">
        <v>25.51</v>
      </c>
      <c r="V238" t="s">
        <v>21</v>
      </c>
    </row>
    <row r="239" spans="1:22" x14ac:dyDescent="0.35">
      <c r="A239" t="s">
        <v>5887</v>
      </c>
      <c r="B239" t="s">
        <v>53</v>
      </c>
      <c r="C239" t="s">
        <v>27</v>
      </c>
      <c r="D239" t="s">
        <v>5886</v>
      </c>
      <c r="E239" t="s">
        <v>5885</v>
      </c>
      <c r="F239" s="5">
        <v>45656</v>
      </c>
      <c r="G239" t="s">
        <v>126</v>
      </c>
      <c r="H239" t="s">
        <v>349</v>
      </c>
      <c r="I239" t="s">
        <v>31</v>
      </c>
      <c r="J239" t="s">
        <v>32</v>
      </c>
      <c r="K239" t="s">
        <v>32</v>
      </c>
      <c r="L239" t="s">
        <v>37</v>
      </c>
      <c r="M239" t="s">
        <v>20</v>
      </c>
      <c r="N239">
        <v>1</v>
      </c>
      <c r="O239">
        <v>1010</v>
      </c>
      <c r="P239">
        <v>1499</v>
      </c>
      <c r="Q239">
        <v>0</v>
      </c>
      <c r="R239">
        <v>0</v>
      </c>
      <c r="S239">
        <v>1499</v>
      </c>
      <c r="T239">
        <v>489</v>
      </c>
      <c r="U239">
        <v>32.619999999999997</v>
      </c>
      <c r="V239" t="s">
        <v>33</v>
      </c>
    </row>
    <row r="240" spans="1:22" x14ac:dyDescent="0.35">
      <c r="A240" t="s">
        <v>5884</v>
      </c>
      <c r="B240" t="s">
        <v>53</v>
      </c>
      <c r="C240" t="s">
        <v>27</v>
      </c>
      <c r="D240" t="s">
        <v>5883</v>
      </c>
      <c r="E240" t="s">
        <v>5882</v>
      </c>
      <c r="F240" s="5">
        <v>45586</v>
      </c>
      <c r="G240" t="s">
        <v>126</v>
      </c>
      <c r="H240" t="s">
        <v>676</v>
      </c>
      <c r="I240" t="s">
        <v>23</v>
      </c>
      <c r="J240" t="s">
        <v>142</v>
      </c>
      <c r="K240" t="s">
        <v>43</v>
      </c>
      <c r="L240" t="s">
        <v>37</v>
      </c>
      <c r="M240" t="s">
        <v>19</v>
      </c>
      <c r="N240">
        <v>3</v>
      </c>
      <c r="O240">
        <v>1030</v>
      </c>
      <c r="P240">
        <v>1999</v>
      </c>
      <c r="Q240">
        <v>5</v>
      </c>
      <c r="R240">
        <v>300</v>
      </c>
      <c r="S240">
        <v>5697</v>
      </c>
      <c r="T240">
        <v>2607</v>
      </c>
      <c r="U240">
        <v>45.76</v>
      </c>
      <c r="V240" t="s">
        <v>21</v>
      </c>
    </row>
    <row r="241" spans="1:22" x14ac:dyDescent="0.35">
      <c r="A241" t="s">
        <v>5881</v>
      </c>
      <c r="B241" t="s">
        <v>82</v>
      </c>
      <c r="C241" t="s">
        <v>27</v>
      </c>
      <c r="D241" t="s">
        <v>5880</v>
      </c>
      <c r="E241" t="s">
        <v>5879</v>
      </c>
      <c r="F241" s="5">
        <v>45537</v>
      </c>
      <c r="G241" t="s">
        <v>126</v>
      </c>
      <c r="H241" t="s">
        <v>5878</v>
      </c>
      <c r="I241" t="s">
        <v>35</v>
      </c>
      <c r="J241" t="s">
        <v>214</v>
      </c>
      <c r="K241" t="s">
        <v>50</v>
      </c>
      <c r="L241" t="s">
        <v>37</v>
      </c>
      <c r="M241" t="s">
        <v>19</v>
      </c>
      <c r="N241">
        <v>1</v>
      </c>
      <c r="O241">
        <v>702</v>
      </c>
      <c r="P241">
        <v>1199</v>
      </c>
      <c r="Q241">
        <v>10</v>
      </c>
      <c r="R241">
        <v>200</v>
      </c>
      <c r="S241">
        <v>999</v>
      </c>
      <c r="T241">
        <v>297</v>
      </c>
      <c r="U241">
        <v>29.73</v>
      </c>
      <c r="V241" t="s">
        <v>21</v>
      </c>
    </row>
    <row r="242" spans="1:22" x14ac:dyDescent="0.35">
      <c r="A242" t="s">
        <v>5877</v>
      </c>
      <c r="B242" t="s">
        <v>52</v>
      </c>
      <c r="C242" t="s">
        <v>27</v>
      </c>
      <c r="D242" t="s">
        <v>5876</v>
      </c>
      <c r="E242" t="s">
        <v>5875</v>
      </c>
      <c r="F242" s="5">
        <v>45464</v>
      </c>
      <c r="G242" t="s">
        <v>126</v>
      </c>
      <c r="H242" t="s">
        <v>3582</v>
      </c>
      <c r="I242" t="s">
        <v>35</v>
      </c>
      <c r="J242" t="s">
        <v>39</v>
      </c>
      <c r="K242" t="s">
        <v>39</v>
      </c>
      <c r="L242" t="s">
        <v>25</v>
      </c>
      <c r="M242" t="s">
        <v>20</v>
      </c>
      <c r="N242">
        <v>4</v>
      </c>
      <c r="O242">
        <v>529</v>
      </c>
      <c r="P242">
        <v>799</v>
      </c>
      <c r="Q242">
        <v>10</v>
      </c>
      <c r="R242">
        <v>400</v>
      </c>
      <c r="S242">
        <v>2796</v>
      </c>
      <c r="T242">
        <v>680</v>
      </c>
      <c r="U242">
        <v>24.32</v>
      </c>
      <c r="V242" t="s">
        <v>21</v>
      </c>
    </row>
    <row r="243" spans="1:22" x14ac:dyDescent="0.35">
      <c r="A243" t="s">
        <v>5874</v>
      </c>
      <c r="B243" t="s">
        <v>71</v>
      </c>
      <c r="C243" t="s">
        <v>16</v>
      </c>
      <c r="D243" t="s">
        <v>5873</v>
      </c>
      <c r="E243" t="s">
        <v>3966</v>
      </c>
      <c r="F243" s="5">
        <v>45632</v>
      </c>
      <c r="G243" t="s">
        <v>126</v>
      </c>
      <c r="H243" t="s">
        <v>466</v>
      </c>
      <c r="I243" t="s">
        <v>17</v>
      </c>
      <c r="J243" t="s">
        <v>253</v>
      </c>
      <c r="K243" t="s">
        <v>72</v>
      </c>
      <c r="L243" t="s">
        <v>37</v>
      </c>
      <c r="M243" t="s">
        <v>20</v>
      </c>
      <c r="N243">
        <v>1</v>
      </c>
      <c r="O243">
        <v>316</v>
      </c>
      <c r="P243">
        <v>499</v>
      </c>
      <c r="Q243">
        <v>0</v>
      </c>
      <c r="R243">
        <v>0</v>
      </c>
      <c r="S243">
        <v>499</v>
      </c>
      <c r="T243">
        <v>183</v>
      </c>
      <c r="U243">
        <v>36.67</v>
      </c>
      <c r="V243" t="s">
        <v>21</v>
      </c>
    </row>
    <row r="244" spans="1:22" x14ac:dyDescent="0.35">
      <c r="A244" t="s">
        <v>5872</v>
      </c>
      <c r="B244" t="s">
        <v>104</v>
      </c>
      <c r="C244" t="s">
        <v>27</v>
      </c>
      <c r="D244" t="s">
        <v>5871</v>
      </c>
      <c r="E244" t="s">
        <v>5870</v>
      </c>
      <c r="F244" s="5">
        <v>45503</v>
      </c>
      <c r="G244" t="s">
        <v>126</v>
      </c>
      <c r="H244" t="s">
        <v>1285</v>
      </c>
      <c r="I244" t="s">
        <v>17</v>
      </c>
      <c r="J244" t="s">
        <v>48</v>
      </c>
      <c r="K244" t="s">
        <v>48</v>
      </c>
      <c r="L244" t="s">
        <v>37</v>
      </c>
      <c r="M244" t="s">
        <v>20</v>
      </c>
      <c r="N244">
        <v>1</v>
      </c>
      <c r="O244">
        <v>258</v>
      </c>
      <c r="P244">
        <v>499</v>
      </c>
      <c r="Q244">
        <v>0</v>
      </c>
      <c r="R244">
        <v>0</v>
      </c>
      <c r="S244">
        <v>499</v>
      </c>
      <c r="T244">
        <v>241</v>
      </c>
      <c r="U244">
        <v>48.3</v>
      </c>
      <c r="V244" t="s">
        <v>21</v>
      </c>
    </row>
    <row r="245" spans="1:22" x14ac:dyDescent="0.35">
      <c r="A245" t="s">
        <v>5869</v>
      </c>
      <c r="B245" t="s">
        <v>38</v>
      </c>
      <c r="C245" t="s">
        <v>27</v>
      </c>
      <c r="D245" t="s">
        <v>5868</v>
      </c>
      <c r="E245" t="s">
        <v>5867</v>
      </c>
      <c r="F245" s="5">
        <v>45492</v>
      </c>
      <c r="G245" t="s">
        <v>126</v>
      </c>
      <c r="H245" t="s">
        <v>691</v>
      </c>
      <c r="I245" t="s">
        <v>35</v>
      </c>
      <c r="J245" t="s">
        <v>39</v>
      </c>
      <c r="K245" t="s">
        <v>39</v>
      </c>
      <c r="L245" t="s">
        <v>37</v>
      </c>
      <c r="M245" t="s">
        <v>19</v>
      </c>
      <c r="N245">
        <v>4</v>
      </c>
      <c r="O245">
        <v>596</v>
      </c>
      <c r="P245">
        <v>899</v>
      </c>
      <c r="Q245">
        <v>20</v>
      </c>
      <c r="R245">
        <v>800</v>
      </c>
      <c r="S245">
        <v>2796</v>
      </c>
      <c r="T245">
        <v>412</v>
      </c>
      <c r="U245">
        <v>14.74</v>
      </c>
      <c r="V245" t="s">
        <v>21</v>
      </c>
    </row>
    <row r="246" spans="1:22" x14ac:dyDescent="0.35">
      <c r="A246" t="s">
        <v>5866</v>
      </c>
      <c r="B246" t="s">
        <v>84</v>
      </c>
      <c r="C246" t="s">
        <v>27</v>
      </c>
      <c r="D246" t="s">
        <v>5865</v>
      </c>
      <c r="E246" t="s">
        <v>3550</v>
      </c>
      <c r="F246" s="5">
        <v>45531</v>
      </c>
      <c r="G246" t="s">
        <v>126</v>
      </c>
      <c r="H246" t="s">
        <v>1686</v>
      </c>
      <c r="I246" t="s">
        <v>31</v>
      </c>
      <c r="J246" t="s">
        <v>32</v>
      </c>
      <c r="K246" t="s">
        <v>32</v>
      </c>
      <c r="L246" t="s">
        <v>19</v>
      </c>
      <c r="M246" t="s">
        <v>19</v>
      </c>
      <c r="N246">
        <v>3</v>
      </c>
      <c r="O246">
        <v>616</v>
      </c>
      <c r="P246">
        <v>1199</v>
      </c>
      <c r="Q246">
        <v>0</v>
      </c>
      <c r="R246">
        <v>0</v>
      </c>
      <c r="S246">
        <v>3597</v>
      </c>
      <c r="T246">
        <v>1749</v>
      </c>
      <c r="U246">
        <v>48.62</v>
      </c>
      <c r="V246" t="s">
        <v>21</v>
      </c>
    </row>
    <row r="247" spans="1:22" x14ac:dyDescent="0.35">
      <c r="A247" t="s">
        <v>5864</v>
      </c>
      <c r="B247" t="s">
        <v>79</v>
      </c>
      <c r="C247" t="s">
        <v>16</v>
      </c>
      <c r="D247" t="s">
        <v>5863</v>
      </c>
      <c r="E247" t="s">
        <v>5862</v>
      </c>
      <c r="F247" s="5">
        <v>45445</v>
      </c>
      <c r="G247" t="s">
        <v>126</v>
      </c>
      <c r="H247" t="s">
        <v>5861</v>
      </c>
      <c r="I247" t="s">
        <v>31</v>
      </c>
      <c r="J247" t="s">
        <v>76</v>
      </c>
      <c r="K247" t="s">
        <v>76</v>
      </c>
      <c r="L247" t="s">
        <v>25</v>
      </c>
      <c r="M247" t="s">
        <v>19</v>
      </c>
      <c r="N247">
        <v>1</v>
      </c>
      <c r="O247">
        <v>935</v>
      </c>
      <c r="P247">
        <v>1499</v>
      </c>
      <c r="Q247">
        <v>0</v>
      </c>
      <c r="R247">
        <v>0</v>
      </c>
      <c r="S247">
        <v>1499</v>
      </c>
      <c r="T247">
        <v>564</v>
      </c>
      <c r="U247">
        <v>37.630000000000003</v>
      </c>
      <c r="V247" t="s">
        <v>21</v>
      </c>
    </row>
    <row r="248" spans="1:22" x14ac:dyDescent="0.35">
      <c r="A248" t="s">
        <v>5860</v>
      </c>
      <c r="B248" t="s">
        <v>34</v>
      </c>
      <c r="C248" t="s">
        <v>27</v>
      </c>
      <c r="D248" t="s">
        <v>5859</v>
      </c>
      <c r="E248" t="s">
        <v>5858</v>
      </c>
      <c r="F248" s="5">
        <v>45644</v>
      </c>
      <c r="G248" t="s">
        <v>126</v>
      </c>
      <c r="H248" t="s">
        <v>286</v>
      </c>
      <c r="I248" t="s">
        <v>28</v>
      </c>
      <c r="J248" t="s">
        <v>45</v>
      </c>
      <c r="K248" t="s">
        <v>45</v>
      </c>
      <c r="L248" t="s">
        <v>19</v>
      </c>
      <c r="M248" t="s">
        <v>20</v>
      </c>
      <c r="N248">
        <v>1</v>
      </c>
      <c r="O248">
        <v>512</v>
      </c>
      <c r="P248">
        <v>899</v>
      </c>
      <c r="Q248">
        <v>10</v>
      </c>
      <c r="R248">
        <v>100</v>
      </c>
      <c r="S248">
        <v>799</v>
      </c>
      <c r="T248">
        <v>287</v>
      </c>
      <c r="U248">
        <v>35.92</v>
      </c>
      <c r="V248" t="s">
        <v>21</v>
      </c>
    </row>
    <row r="249" spans="1:22" x14ac:dyDescent="0.35">
      <c r="A249" t="s">
        <v>5857</v>
      </c>
      <c r="B249" t="s">
        <v>104</v>
      </c>
      <c r="C249" t="s">
        <v>27</v>
      </c>
      <c r="D249" t="s">
        <v>5856</v>
      </c>
      <c r="E249" t="s">
        <v>5855</v>
      </c>
      <c r="F249" s="5">
        <v>45507</v>
      </c>
      <c r="G249" t="s">
        <v>126</v>
      </c>
      <c r="H249" t="s">
        <v>134</v>
      </c>
      <c r="I249" t="s">
        <v>17</v>
      </c>
      <c r="J249" t="s">
        <v>235</v>
      </c>
      <c r="K249" t="s">
        <v>18</v>
      </c>
      <c r="L249" t="s">
        <v>19</v>
      </c>
      <c r="M249" t="s">
        <v>19</v>
      </c>
      <c r="N249">
        <v>1</v>
      </c>
      <c r="O249">
        <v>333</v>
      </c>
      <c r="P249">
        <v>599</v>
      </c>
      <c r="Q249">
        <v>0</v>
      </c>
      <c r="R249">
        <v>0</v>
      </c>
      <c r="S249">
        <v>599</v>
      </c>
      <c r="T249">
        <v>266</v>
      </c>
      <c r="U249">
        <v>44.41</v>
      </c>
      <c r="V249" t="s">
        <v>33</v>
      </c>
    </row>
    <row r="250" spans="1:22" x14ac:dyDescent="0.35">
      <c r="A250" t="s">
        <v>5854</v>
      </c>
      <c r="B250" t="s">
        <v>97</v>
      </c>
      <c r="C250" t="s">
        <v>16</v>
      </c>
      <c r="D250" t="s">
        <v>5853</v>
      </c>
      <c r="E250" t="s">
        <v>5852</v>
      </c>
      <c r="F250" s="5">
        <v>45494</v>
      </c>
      <c r="G250" t="s">
        <v>126</v>
      </c>
      <c r="H250" t="s">
        <v>766</v>
      </c>
      <c r="I250" t="s">
        <v>35</v>
      </c>
      <c r="J250" t="s">
        <v>39</v>
      </c>
      <c r="K250" t="s">
        <v>39</v>
      </c>
      <c r="L250" t="s">
        <v>37</v>
      </c>
      <c r="M250" t="s">
        <v>20</v>
      </c>
      <c r="N250">
        <v>4</v>
      </c>
      <c r="O250">
        <v>496</v>
      </c>
      <c r="P250">
        <v>799</v>
      </c>
      <c r="Q250">
        <v>10</v>
      </c>
      <c r="R250">
        <v>400</v>
      </c>
      <c r="S250">
        <v>2796</v>
      </c>
      <c r="T250">
        <v>812</v>
      </c>
      <c r="U250">
        <v>29.04</v>
      </c>
      <c r="V250" t="s">
        <v>21</v>
      </c>
    </row>
    <row r="251" spans="1:22" x14ac:dyDescent="0.35">
      <c r="A251" t="s">
        <v>5851</v>
      </c>
      <c r="B251" t="s">
        <v>54</v>
      </c>
      <c r="C251" t="s">
        <v>27</v>
      </c>
      <c r="D251" t="s">
        <v>5850</v>
      </c>
      <c r="E251" t="s">
        <v>5849</v>
      </c>
      <c r="F251" s="5">
        <v>45445</v>
      </c>
      <c r="G251" t="s">
        <v>126</v>
      </c>
      <c r="H251" t="s">
        <v>758</v>
      </c>
      <c r="I251" t="s">
        <v>35</v>
      </c>
      <c r="J251" t="s">
        <v>159</v>
      </c>
      <c r="K251" t="s">
        <v>36</v>
      </c>
      <c r="L251" t="s">
        <v>19</v>
      </c>
      <c r="M251" t="s">
        <v>20</v>
      </c>
      <c r="N251">
        <v>1</v>
      </c>
      <c r="O251">
        <v>201</v>
      </c>
      <c r="P251">
        <v>399</v>
      </c>
      <c r="Q251">
        <v>15</v>
      </c>
      <c r="R251">
        <v>100</v>
      </c>
      <c r="S251">
        <v>299</v>
      </c>
      <c r="T251">
        <v>98</v>
      </c>
      <c r="U251">
        <v>32.78</v>
      </c>
      <c r="V251" t="s">
        <v>21</v>
      </c>
    </row>
    <row r="252" spans="1:22" x14ac:dyDescent="0.35">
      <c r="A252" t="s">
        <v>5848</v>
      </c>
      <c r="B252" t="s">
        <v>46</v>
      </c>
      <c r="C252" t="s">
        <v>16</v>
      </c>
      <c r="D252" t="s">
        <v>5847</v>
      </c>
      <c r="E252" t="s">
        <v>5846</v>
      </c>
      <c r="F252" s="5">
        <v>45524</v>
      </c>
      <c r="G252" t="s">
        <v>126</v>
      </c>
      <c r="H252" t="s">
        <v>818</v>
      </c>
      <c r="I252" t="s">
        <v>28</v>
      </c>
      <c r="J252" t="s">
        <v>201</v>
      </c>
      <c r="K252" t="s">
        <v>29</v>
      </c>
      <c r="L252" t="s">
        <v>25</v>
      </c>
      <c r="M252" t="s">
        <v>20</v>
      </c>
      <c r="N252">
        <v>1</v>
      </c>
      <c r="O252">
        <v>347</v>
      </c>
      <c r="P252">
        <v>599</v>
      </c>
      <c r="Q252">
        <v>15</v>
      </c>
      <c r="R252">
        <v>150</v>
      </c>
      <c r="S252">
        <v>449</v>
      </c>
      <c r="T252">
        <v>102</v>
      </c>
      <c r="U252">
        <v>22.72</v>
      </c>
      <c r="V252" t="s">
        <v>33</v>
      </c>
    </row>
    <row r="253" spans="1:22" x14ac:dyDescent="0.35">
      <c r="A253" t="s">
        <v>5845</v>
      </c>
      <c r="B253" t="s">
        <v>15</v>
      </c>
      <c r="C253" t="s">
        <v>16</v>
      </c>
      <c r="D253" t="s">
        <v>5844</v>
      </c>
      <c r="E253" t="s">
        <v>5843</v>
      </c>
      <c r="F253" s="5">
        <v>45541</v>
      </c>
      <c r="G253" t="s">
        <v>126</v>
      </c>
      <c r="H253" t="s">
        <v>206</v>
      </c>
      <c r="I253" t="s">
        <v>17</v>
      </c>
      <c r="J253" t="s">
        <v>253</v>
      </c>
      <c r="K253" t="s">
        <v>72</v>
      </c>
      <c r="L253" t="s">
        <v>25</v>
      </c>
      <c r="M253" t="s">
        <v>19</v>
      </c>
      <c r="N253">
        <v>1</v>
      </c>
      <c r="O253">
        <v>255</v>
      </c>
      <c r="P253">
        <v>399</v>
      </c>
      <c r="Q253">
        <v>0</v>
      </c>
      <c r="R253">
        <v>0</v>
      </c>
      <c r="S253">
        <v>399</v>
      </c>
      <c r="T253">
        <v>144</v>
      </c>
      <c r="U253">
        <v>36.090000000000003</v>
      </c>
      <c r="V253" t="s">
        <v>21</v>
      </c>
    </row>
    <row r="254" spans="1:22" x14ac:dyDescent="0.35">
      <c r="A254" t="s">
        <v>5842</v>
      </c>
      <c r="B254" t="s">
        <v>47</v>
      </c>
      <c r="C254" t="s">
        <v>16</v>
      </c>
      <c r="D254" t="s">
        <v>5841</v>
      </c>
      <c r="E254" t="s">
        <v>5840</v>
      </c>
      <c r="F254" s="5">
        <v>45516</v>
      </c>
      <c r="G254" t="s">
        <v>126</v>
      </c>
      <c r="H254" t="s">
        <v>321</v>
      </c>
      <c r="I254" t="s">
        <v>28</v>
      </c>
      <c r="J254" t="s">
        <v>45</v>
      </c>
      <c r="K254" t="s">
        <v>45</v>
      </c>
      <c r="L254" t="s">
        <v>37</v>
      </c>
      <c r="M254" t="s">
        <v>20</v>
      </c>
      <c r="N254">
        <v>2</v>
      </c>
      <c r="O254">
        <v>1046</v>
      </c>
      <c r="P254">
        <v>1599</v>
      </c>
      <c r="Q254">
        <v>5</v>
      </c>
      <c r="R254">
        <v>200</v>
      </c>
      <c r="S254">
        <v>2998</v>
      </c>
      <c r="T254">
        <v>906</v>
      </c>
      <c r="U254">
        <v>30.22</v>
      </c>
      <c r="V254" t="s">
        <v>21</v>
      </c>
    </row>
    <row r="255" spans="1:22" x14ac:dyDescent="0.35">
      <c r="A255" t="s">
        <v>5839</v>
      </c>
      <c r="B255" t="s">
        <v>84</v>
      </c>
      <c r="C255" t="s">
        <v>27</v>
      </c>
      <c r="D255" t="s">
        <v>5838</v>
      </c>
      <c r="E255" t="s">
        <v>5837</v>
      </c>
      <c r="F255" s="5">
        <v>45527</v>
      </c>
      <c r="G255" t="s">
        <v>126</v>
      </c>
      <c r="H255" t="s">
        <v>5836</v>
      </c>
      <c r="I255" t="s">
        <v>28</v>
      </c>
      <c r="J255" t="s">
        <v>45</v>
      </c>
      <c r="K255" t="s">
        <v>45</v>
      </c>
      <c r="L255" t="s">
        <v>19</v>
      </c>
      <c r="M255" t="s">
        <v>19</v>
      </c>
      <c r="N255">
        <v>5</v>
      </c>
      <c r="O255">
        <v>1019</v>
      </c>
      <c r="P255">
        <v>1899</v>
      </c>
      <c r="Q255">
        <v>20</v>
      </c>
      <c r="R255">
        <v>2000</v>
      </c>
      <c r="S255">
        <v>7495</v>
      </c>
      <c r="T255">
        <v>2400</v>
      </c>
      <c r="U255">
        <v>32.020000000000003</v>
      </c>
      <c r="V255" t="s">
        <v>33</v>
      </c>
    </row>
    <row r="256" spans="1:22" x14ac:dyDescent="0.35">
      <c r="A256" t="s">
        <v>5835</v>
      </c>
      <c r="B256" t="s">
        <v>42</v>
      </c>
      <c r="C256" t="s">
        <v>27</v>
      </c>
      <c r="D256" t="s">
        <v>5834</v>
      </c>
      <c r="E256" t="s">
        <v>5833</v>
      </c>
      <c r="F256" s="5">
        <v>45515</v>
      </c>
      <c r="G256" t="s">
        <v>126</v>
      </c>
      <c r="H256" t="s">
        <v>1227</v>
      </c>
      <c r="I256" t="s">
        <v>35</v>
      </c>
      <c r="J256" t="s">
        <v>41</v>
      </c>
      <c r="K256" t="s">
        <v>41</v>
      </c>
      <c r="L256" t="s">
        <v>19</v>
      </c>
      <c r="M256" t="s">
        <v>20</v>
      </c>
      <c r="N256">
        <v>5</v>
      </c>
      <c r="O256">
        <v>814</v>
      </c>
      <c r="P256">
        <v>1199</v>
      </c>
      <c r="Q256">
        <v>10</v>
      </c>
      <c r="R256">
        <v>1000</v>
      </c>
      <c r="S256">
        <v>4995</v>
      </c>
      <c r="T256">
        <v>925</v>
      </c>
      <c r="U256">
        <v>18.52</v>
      </c>
      <c r="V256" t="s">
        <v>33</v>
      </c>
    </row>
    <row r="257" spans="1:22" x14ac:dyDescent="0.35">
      <c r="A257" t="s">
        <v>5832</v>
      </c>
      <c r="B257" t="s">
        <v>91</v>
      </c>
      <c r="C257" t="s">
        <v>16</v>
      </c>
      <c r="D257" t="s">
        <v>5831</v>
      </c>
      <c r="E257" t="s">
        <v>5830</v>
      </c>
      <c r="F257" s="5">
        <v>45615</v>
      </c>
      <c r="G257" t="s">
        <v>126</v>
      </c>
      <c r="H257" t="s">
        <v>5151</v>
      </c>
      <c r="I257" t="s">
        <v>35</v>
      </c>
      <c r="J257" t="s">
        <v>159</v>
      </c>
      <c r="K257" t="s">
        <v>36</v>
      </c>
      <c r="L257" t="s">
        <v>19</v>
      </c>
      <c r="M257" t="s">
        <v>19</v>
      </c>
      <c r="N257">
        <v>1</v>
      </c>
      <c r="O257">
        <v>354</v>
      </c>
      <c r="P257">
        <v>599</v>
      </c>
      <c r="Q257">
        <v>15</v>
      </c>
      <c r="R257">
        <v>100</v>
      </c>
      <c r="S257">
        <v>499</v>
      </c>
      <c r="T257">
        <v>145</v>
      </c>
      <c r="U257">
        <v>29.06</v>
      </c>
      <c r="V257" t="s">
        <v>21</v>
      </c>
    </row>
    <row r="258" spans="1:22" x14ac:dyDescent="0.35">
      <c r="A258" t="s">
        <v>5829</v>
      </c>
      <c r="B258" t="s">
        <v>22</v>
      </c>
      <c r="C258" t="s">
        <v>16</v>
      </c>
      <c r="D258" t="s">
        <v>5828</v>
      </c>
      <c r="E258" t="s">
        <v>5827</v>
      </c>
      <c r="F258" s="5">
        <v>45648</v>
      </c>
      <c r="G258" t="s">
        <v>126</v>
      </c>
      <c r="H258" t="s">
        <v>1227</v>
      </c>
      <c r="I258" t="s">
        <v>23</v>
      </c>
      <c r="J258" t="s">
        <v>164</v>
      </c>
      <c r="K258" t="s">
        <v>24</v>
      </c>
      <c r="L258" t="s">
        <v>25</v>
      </c>
      <c r="M258" t="s">
        <v>19</v>
      </c>
      <c r="N258">
        <v>2</v>
      </c>
      <c r="O258">
        <v>1032</v>
      </c>
      <c r="P258">
        <v>1499</v>
      </c>
      <c r="Q258">
        <v>20</v>
      </c>
      <c r="R258">
        <v>600</v>
      </c>
      <c r="S258">
        <v>2398</v>
      </c>
      <c r="T258">
        <v>334</v>
      </c>
      <c r="U258">
        <v>13.93</v>
      </c>
      <c r="V258" t="s">
        <v>21</v>
      </c>
    </row>
    <row r="259" spans="1:22" x14ac:dyDescent="0.35">
      <c r="A259" t="s">
        <v>5826</v>
      </c>
      <c r="B259" t="s">
        <v>91</v>
      </c>
      <c r="C259" t="s">
        <v>16</v>
      </c>
      <c r="D259" t="s">
        <v>5825</v>
      </c>
      <c r="E259" t="s">
        <v>5824</v>
      </c>
      <c r="F259" s="5">
        <v>45467</v>
      </c>
      <c r="G259" t="s">
        <v>126</v>
      </c>
      <c r="H259" t="s">
        <v>1386</v>
      </c>
      <c r="I259" t="s">
        <v>17</v>
      </c>
      <c r="J259" t="s">
        <v>235</v>
      </c>
      <c r="K259" t="s">
        <v>18</v>
      </c>
      <c r="L259" t="s">
        <v>25</v>
      </c>
      <c r="M259" t="s">
        <v>19</v>
      </c>
      <c r="N259">
        <v>1</v>
      </c>
      <c r="O259">
        <v>280</v>
      </c>
      <c r="P259">
        <v>399</v>
      </c>
      <c r="Q259">
        <v>0</v>
      </c>
      <c r="R259">
        <v>0</v>
      </c>
      <c r="S259">
        <v>399</v>
      </c>
      <c r="T259">
        <v>119</v>
      </c>
      <c r="U259">
        <v>29.82</v>
      </c>
      <c r="V259" t="s">
        <v>21</v>
      </c>
    </row>
    <row r="260" spans="1:22" x14ac:dyDescent="0.35">
      <c r="A260" t="s">
        <v>5823</v>
      </c>
      <c r="B260" t="s">
        <v>66</v>
      </c>
      <c r="C260" t="s">
        <v>27</v>
      </c>
      <c r="D260" t="s">
        <v>5822</v>
      </c>
      <c r="E260" t="s">
        <v>5821</v>
      </c>
      <c r="F260" s="5">
        <v>45468</v>
      </c>
      <c r="G260" t="s">
        <v>126</v>
      </c>
      <c r="H260" t="s">
        <v>1575</v>
      </c>
      <c r="I260" t="s">
        <v>28</v>
      </c>
      <c r="J260" t="s">
        <v>201</v>
      </c>
      <c r="K260" t="s">
        <v>29</v>
      </c>
      <c r="L260" t="s">
        <v>25</v>
      </c>
      <c r="M260" t="s">
        <v>19</v>
      </c>
      <c r="N260">
        <v>1</v>
      </c>
      <c r="O260">
        <v>335</v>
      </c>
      <c r="P260">
        <v>599</v>
      </c>
      <c r="Q260">
        <v>15</v>
      </c>
      <c r="R260">
        <v>100</v>
      </c>
      <c r="S260">
        <v>499</v>
      </c>
      <c r="T260">
        <v>164</v>
      </c>
      <c r="U260">
        <v>32.869999999999997</v>
      </c>
      <c r="V260" t="s">
        <v>21</v>
      </c>
    </row>
    <row r="261" spans="1:22" x14ac:dyDescent="0.35">
      <c r="A261" t="s">
        <v>5820</v>
      </c>
      <c r="B261" t="s">
        <v>67</v>
      </c>
      <c r="C261" t="s">
        <v>27</v>
      </c>
      <c r="D261" t="s">
        <v>5819</v>
      </c>
      <c r="E261" t="s">
        <v>5818</v>
      </c>
      <c r="F261" s="5">
        <v>45598</v>
      </c>
      <c r="G261" t="s">
        <v>126</v>
      </c>
      <c r="H261" t="s">
        <v>1184</v>
      </c>
      <c r="I261" t="s">
        <v>23</v>
      </c>
      <c r="J261" t="s">
        <v>164</v>
      </c>
      <c r="K261" t="s">
        <v>24</v>
      </c>
      <c r="L261" t="s">
        <v>19</v>
      </c>
      <c r="M261" t="s">
        <v>19</v>
      </c>
      <c r="N261">
        <v>1</v>
      </c>
      <c r="O261">
        <v>1223</v>
      </c>
      <c r="P261">
        <v>2299</v>
      </c>
      <c r="Q261">
        <v>10</v>
      </c>
      <c r="R261">
        <v>300</v>
      </c>
      <c r="S261">
        <v>1999</v>
      </c>
      <c r="T261">
        <v>776</v>
      </c>
      <c r="U261">
        <v>38.82</v>
      </c>
      <c r="V261" t="s">
        <v>33</v>
      </c>
    </row>
    <row r="262" spans="1:22" x14ac:dyDescent="0.35">
      <c r="A262" t="s">
        <v>5817</v>
      </c>
      <c r="B262" t="s">
        <v>85</v>
      </c>
      <c r="C262" t="s">
        <v>27</v>
      </c>
      <c r="D262" t="s">
        <v>5816</v>
      </c>
      <c r="E262" t="s">
        <v>5815</v>
      </c>
      <c r="F262" s="5">
        <v>45472</v>
      </c>
      <c r="G262" t="s">
        <v>126</v>
      </c>
      <c r="H262" t="s">
        <v>1131</v>
      </c>
      <c r="I262" t="s">
        <v>35</v>
      </c>
      <c r="J262" t="s">
        <v>159</v>
      </c>
      <c r="K262" t="s">
        <v>36</v>
      </c>
      <c r="L262" t="s">
        <v>19</v>
      </c>
      <c r="M262" t="s">
        <v>19</v>
      </c>
      <c r="N262">
        <v>2</v>
      </c>
      <c r="O262">
        <v>358</v>
      </c>
      <c r="P262">
        <v>599</v>
      </c>
      <c r="Q262">
        <v>5</v>
      </c>
      <c r="R262">
        <v>200</v>
      </c>
      <c r="S262">
        <v>998</v>
      </c>
      <c r="T262">
        <v>282</v>
      </c>
      <c r="U262">
        <v>28.26</v>
      </c>
      <c r="V262" t="s">
        <v>33</v>
      </c>
    </row>
    <row r="263" spans="1:22" x14ac:dyDescent="0.35">
      <c r="A263" t="s">
        <v>5814</v>
      </c>
      <c r="B263" t="s">
        <v>57</v>
      </c>
      <c r="C263" t="s">
        <v>27</v>
      </c>
      <c r="D263" t="s">
        <v>5813</v>
      </c>
      <c r="E263" t="s">
        <v>5812</v>
      </c>
      <c r="F263" s="5">
        <v>45494</v>
      </c>
      <c r="G263" t="s">
        <v>126</v>
      </c>
      <c r="H263" t="s">
        <v>2782</v>
      </c>
      <c r="I263" t="s">
        <v>28</v>
      </c>
      <c r="J263" t="s">
        <v>201</v>
      </c>
      <c r="K263" t="s">
        <v>29</v>
      </c>
      <c r="L263" t="s">
        <v>19</v>
      </c>
      <c r="M263" t="s">
        <v>20</v>
      </c>
      <c r="N263">
        <v>1</v>
      </c>
      <c r="O263">
        <v>285</v>
      </c>
      <c r="P263">
        <v>499</v>
      </c>
      <c r="Q263">
        <v>15</v>
      </c>
      <c r="R263">
        <v>100</v>
      </c>
      <c r="S263">
        <v>399</v>
      </c>
      <c r="T263">
        <v>114</v>
      </c>
      <c r="U263">
        <v>28.57</v>
      </c>
      <c r="V263" t="s">
        <v>21</v>
      </c>
    </row>
    <row r="264" spans="1:22" x14ac:dyDescent="0.35">
      <c r="A264" t="s">
        <v>5811</v>
      </c>
      <c r="B264" t="s">
        <v>68</v>
      </c>
      <c r="C264" t="s">
        <v>16</v>
      </c>
      <c r="D264" t="s">
        <v>5810</v>
      </c>
      <c r="E264" t="s">
        <v>5809</v>
      </c>
      <c r="F264" s="5">
        <v>45610</v>
      </c>
      <c r="G264" t="s">
        <v>126</v>
      </c>
      <c r="H264" t="s">
        <v>4517</v>
      </c>
      <c r="I264" t="s">
        <v>23</v>
      </c>
      <c r="J264" t="s">
        <v>142</v>
      </c>
      <c r="K264" t="s">
        <v>43</v>
      </c>
      <c r="L264" t="s">
        <v>25</v>
      </c>
      <c r="M264" t="s">
        <v>20</v>
      </c>
      <c r="N264">
        <v>1</v>
      </c>
      <c r="O264">
        <v>1471</v>
      </c>
      <c r="P264">
        <v>2499</v>
      </c>
      <c r="Q264">
        <v>10</v>
      </c>
      <c r="R264">
        <v>300</v>
      </c>
      <c r="S264">
        <v>2199</v>
      </c>
      <c r="T264">
        <v>728</v>
      </c>
      <c r="U264">
        <v>33.11</v>
      </c>
      <c r="V264" t="s">
        <v>21</v>
      </c>
    </row>
    <row r="265" spans="1:22" x14ac:dyDescent="0.35">
      <c r="A265" t="s">
        <v>5808</v>
      </c>
      <c r="B265" t="s">
        <v>80</v>
      </c>
      <c r="C265" t="s">
        <v>27</v>
      </c>
      <c r="D265" t="s">
        <v>5807</v>
      </c>
      <c r="E265" t="s">
        <v>5806</v>
      </c>
      <c r="F265" s="5">
        <v>45482</v>
      </c>
      <c r="G265" t="s">
        <v>126</v>
      </c>
      <c r="H265" t="s">
        <v>1247</v>
      </c>
      <c r="I265" t="s">
        <v>23</v>
      </c>
      <c r="J265" t="s">
        <v>142</v>
      </c>
      <c r="K265" t="s">
        <v>43</v>
      </c>
      <c r="L265" t="s">
        <v>19</v>
      </c>
      <c r="M265" t="s">
        <v>19</v>
      </c>
      <c r="N265">
        <v>4</v>
      </c>
      <c r="O265">
        <v>2369</v>
      </c>
      <c r="P265">
        <v>3799</v>
      </c>
      <c r="Q265">
        <v>20</v>
      </c>
      <c r="R265">
        <v>3200</v>
      </c>
      <c r="S265">
        <v>11996</v>
      </c>
      <c r="T265">
        <v>2520</v>
      </c>
      <c r="U265">
        <v>21.01</v>
      </c>
      <c r="V265" t="s">
        <v>21</v>
      </c>
    </row>
    <row r="266" spans="1:22" x14ac:dyDescent="0.35">
      <c r="A266" t="s">
        <v>5805</v>
      </c>
      <c r="B266" t="s">
        <v>73</v>
      </c>
      <c r="C266" t="s">
        <v>16</v>
      </c>
      <c r="D266" t="s">
        <v>5804</v>
      </c>
      <c r="E266" t="s">
        <v>1923</v>
      </c>
      <c r="F266" s="5">
        <v>45574</v>
      </c>
      <c r="G266" t="s">
        <v>126</v>
      </c>
      <c r="H266" t="s">
        <v>540</v>
      </c>
      <c r="I266" t="s">
        <v>35</v>
      </c>
      <c r="J266" t="s">
        <v>214</v>
      </c>
      <c r="K266" t="s">
        <v>50</v>
      </c>
      <c r="L266" t="s">
        <v>19</v>
      </c>
      <c r="M266" t="s">
        <v>20</v>
      </c>
      <c r="N266">
        <v>1</v>
      </c>
      <c r="O266">
        <v>1090</v>
      </c>
      <c r="P266">
        <v>1599</v>
      </c>
      <c r="Q266">
        <v>5</v>
      </c>
      <c r="R266">
        <v>100</v>
      </c>
      <c r="S266">
        <v>1499</v>
      </c>
      <c r="T266">
        <v>409</v>
      </c>
      <c r="U266">
        <v>27.28</v>
      </c>
      <c r="V266" t="s">
        <v>21</v>
      </c>
    </row>
    <row r="267" spans="1:22" x14ac:dyDescent="0.35">
      <c r="A267" t="s">
        <v>5803</v>
      </c>
      <c r="B267" t="s">
        <v>95</v>
      </c>
      <c r="C267" t="s">
        <v>27</v>
      </c>
      <c r="D267" t="s">
        <v>5802</v>
      </c>
      <c r="E267" t="s">
        <v>5801</v>
      </c>
      <c r="F267" s="5">
        <v>45575</v>
      </c>
      <c r="G267" t="s">
        <v>126</v>
      </c>
      <c r="H267" t="s">
        <v>5800</v>
      </c>
      <c r="I267" t="s">
        <v>31</v>
      </c>
      <c r="J267" t="s">
        <v>32</v>
      </c>
      <c r="K267" t="s">
        <v>32</v>
      </c>
      <c r="L267" t="s">
        <v>19</v>
      </c>
      <c r="M267" t="s">
        <v>19</v>
      </c>
      <c r="N267">
        <v>1</v>
      </c>
      <c r="O267">
        <v>553</v>
      </c>
      <c r="P267">
        <v>999</v>
      </c>
      <c r="Q267">
        <v>0</v>
      </c>
      <c r="R267">
        <v>0</v>
      </c>
      <c r="S267">
        <v>999</v>
      </c>
      <c r="T267">
        <v>446</v>
      </c>
      <c r="U267">
        <v>44.64</v>
      </c>
      <c r="V267" t="s">
        <v>33</v>
      </c>
    </row>
    <row r="268" spans="1:22" x14ac:dyDescent="0.35">
      <c r="A268" t="s">
        <v>5799</v>
      </c>
      <c r="B268" t="s">
        <v>22</v>
      </c>
      <c r="C268" t="s">
        <v>16</v>
      </c>
      <c r="D268" t="s">
        <v>5798</v>
      </c>
      <c r="E268" t="s">
        <v>5797</v>
      </c>
      <c r="F268" s="5">
        <v>45641</v>
      </c>
      <c r="G268" t="s">
        <v>126</v>
      </c>
      <c r="H268" t="s">
        <v>3389</v>
      </c>
      <c r="I268" t="s">
        <v>35</v>
      </c>
      <c r="J268" t="s">
        <v>244</v>
      </c>
      <c r="K268" t="s">
        <v>58</v>
      </c>
      <c r="L268" t="s">
        <v>25</v>
      </c>
      <c r="M268" t="s">
        <v>20</v>
      </c>
      <c r="N268">
        <v>1</v>
      </c>
      <c r="O268">
        <v>961</v>
      </c>
      <c r="P268">
        <v>1299</v>
      </c>
      <c r="Q268">
        <v>20</v>
      </c>
      <c r="R268">
        <v>300</v>
      </c>
      <c r="S268">
        <v>999</v>
      </c>
      <c r="T268">
        <v>38</v>
      </c>
      <c r="U268">
        <v>3.8</v>
      </c>
      <c r="V268" t="s">
        <v>21</v>
      </c>
    </row>
    <row r="269" spans="1:22" x14ac:dyDescent="0.35">
      <c r="A269" t="s">
        <v>5796</v>
      </c>
      <c r="B269" t="s">
        <v>47</v>
      </c>
      <c r="C269" t="s">
        <v>16</v>
      </c>
      <c r="D269" t="s">
        <v>5795</v>
      </c>
      <c r="E269" t="s">
        <v>5794</v>
      </c>
      <c r="F269" s="5">
        <v>45535</v>
      </c>
      <c r="G269" t="s">
        <v>126</v>
      </c>
      <c r="H269" t="s">
        <v>1500</v>
      </c>
      <c r="I269" t="s">
        <v>35</v>
      </c>
      <c r="J269" t="s">
        <v>214</v>
      </c>
      <c r="K269" t="s">
        <v>87</v>
      </c>
      <c r="L269" t="s">
        <v>19</v>
      </c>
      <c r="M269" t="s">
        <v>19</v>
      </c>
      <c r="N269">
        <v>2</v>
      </c>
      <c r="O269">
        <v>1648</v>
      </c>
      <c r="P269">
        <v>2499</v>
      </c>
      <c r="Q269">
        <v>20</v>
      </c>
      <c r="R269">
        <v>1000</v>
      </c>
      <c r="S269">
        <v>3998</v>
      </c>
      <c r="T269">
        <v>702</v>
      </c>
      <c r="U269">
        <v>17.559999999999999</v>
      </c>
      <c r="V269" t="s">
        <v>33</v>
      </c>
    </row>
    <row r="270" spans="1:22" x14ac:dyDescent="0.35">
      <c r="A270" t="s">
        <v>5793</v>
      </c>
      <c r="B270" t="s">
        <v>107</v>
      </c>
      <c r="C270" t="s">
        <v>27</v>
      </c>
      <c r="D270" t="s">
        <v>5792</v>
      </c>
      <c r="E270" t="s">
        <v>4928</v>
      </c>
      <c r="F270" s="5">
        <v>45627</v>
      </c>
      <c r="G270" t="s">
        <v>126</v>
      </c>
      <c r="H270" t="s">
        <v>5618</v>
      </c>
      <c r="I270" t="s">
        <v>17</v>
      </c>
      <c r="J270" t="s">
        <v>253</v>
      </c>
      <c r="K270" t="s">
        <v>72</v>
      </c>
      <c r="L270" t="s">
        <v>37</v>
      </c>
      <c r="M270" t="s">
        <v>20</v>
      </c>
      <c r="N270">
        <v>1</v>
      </c>
      <c r="O270">
        <v>372</v>
      </c>
      <c r="P270">
        <v>499</v>
      </c>
      <c r="Q270">
        <v>0</v>
      </c>
      <c r="R270">
        <v>0</v>
      </c>
      <c r="S270">
        <v>499</v>
      </c>
      <c r="T270">
        <v>127</v>
      </c>
      <c r="U270">
        <v>25.45</v>
      </c>
      <c r="V270" t="s">
        <v>21</v>
      </c>
    </row>
    <row r="271" spans="1:22" x14ac:dyDescent="0.35">
      <c r="A271" t="s">
        <v>5791</v>
      </c>
      <c r="B271" t="s">
        <v>89</v>
      </c>
      <c r="C271" t="s">
        <v>16</v>
      </c>
      <c r="D271" t="s">
        <v>5790</v>
      </c>
      <c r="E271" t="s">
        <v>5789</v>
      </c>
      <c r="F271" s="5">
        <v>45529</v>
      </c>
      <c r="G271" t="s">
        <v>126</v>
      </c>
      <c r="H271" t="s">
        <v>1773</v>
      </c>
      <c r="I271" t="s">
        <v>23</v>
      </c>
      <c r="J271" t="s">
        <v>164</v>
      </c>
      <c r="K271" t="s">
        <v>24</v>
      </c>
      <c r="L271" t="s">
        <v>19</v>
      </c>
      <c r="M271" t="s">
        <v>20</v>
      </c>
      <c r="N271">
        <v>1</v>
      </c>
      <c r="O271">
        <v>945</v>
      </c>
      <c r="P271">
        <v>1799</v>
      </c>
      <c r="Q271">
        <v>15</v>
      </c>
      <c r="R271">
        <v>300</v>
      </c>
      <c r="S271">
        <v>1499</v>
      </c>
      <c r="T271">
        <v>554</v>
      </c>
      <c r="U271">
        <v>36.96</v>
      </c>
      <c r="V271" t="s">
        <v>21</v>
      </c>
    </row>
    <row r="272" spans="1:22" x14ac:dyDescent="0.35">
      <c r="A272" t="s">
        <v>5788</v>
      </c>
      <c r="B272" t="s">
        <v>52</v>
      </c>
      <c r="C272" t="s">
        <v>27</v>
      </c>
      <c r="D272" t="s">
        <v>5787</v>
      </c>
      <c r="E272" t="s">
        <v>5786</v>
      </c>
      <c r="F272" s="5">
        <v>45613</v>
      </c>
      <c r="G272" t="s">
        <v>126</v>
      </c>
      <c r="H272" t="s">
        <v>1870</v>
      </c>
      <c r="I272" t="s">
        <v>17</v>
      </c>
      <c r="J272" t="s">
        <v>48</v>
      </c>
      <c r="K272" t="s">
        <v>48</v>
      </c>
      <c r="L272" t="s">
        <v>37</v>
      </c>
      <c r="M272" t="s">
        <v>20</v>
      </c>
      <c r="N272">
        <v>4</v>
      </c>
      <c r="O272">
        <v>236</v>
      </c>
      <c r="P272">
        <v>399</v>
      </c>
      <c r="Q272">
        <v>0</v>
      </c>
      <c r="R272">
        <v>0</v>
      </c>
      <c r="S272">
        <v>1596</v>
      </c>
      <c r="T272">
        <v>652</v>
      </c>
      <c r="U272">
        <v>40.85</v>
      </c>
      <c r="V272" t="s">
        <v>21</v>
      </c>
    </row>
    <row r="273" spans="1:22" x14ac:dyDescent="0.35">
      <c r="A273" t="s">
        <v>5785</v>
      </c>
      <c r="B273" t="s">
        <v>53</v>
      </c>
      <c r="C273" t="s">
        <v>27</v>
      </c>
      <c r="D273" t="s">
        <v>5784</v>
      </c>
      <c r="E273" t="s">
        <v>5783</v>
      </c>
      <c r="F273" s="5">
        <v>45506</v>
      </c>
      <c r="G273" t="s">
        <v>126</v>
      </c>
      <c r="H273" t="s">
        <v>5782</v>
      </c>
      <c r="I273" t="s">
        <v>31</v>
      </c>
      <c r="J273" t="s">
        <v>76</v>
      </c>
      <c r="K273" t="s">
        <v>76</v>
      </c>
      <c r="L273" t="s">
        <v>19</v>
      </c>
      <c r="M273" t="s">
        <v>19</v>
      </c>
      <c r="N273">
        <v>1</v>
      </c>
      <c r="O273">
        <v>813</v>
      </c>
      <c r="P273">
        <v>1199</v>
      </c>
      <c r="Q273">
        <v>0</v>
      </c>
      <c r="R273">
        <v>0</v>
      </c>
      <c r="S273">
        <v>1199</v>
      </c>
      <c r="T273">
        <v>386</v>
      </c>
      <c r="U273">
        <v>32.19</v>
      </c>
      <c r="V273" t="s">
        <v>21</v>
      </c>
    </row>
    <row r="274" spans="1:22" x14ac:dyDescent="0.35">
      <c r="A274" t="s">
        <v>5781</v>
      </c>
      <c r="B274" t="s">
        <v>65</v>
      </c>
      <c r="C274" t="s">
        <v>16</v>
      </c>
      <c r="D274" t="s">
        <v>5780</v>
      </c>
      <c r="E274" t="s">
        <v>5779</v>
      </c>
      <c r="F274" s="5">
        <v>45483</v>
      </c>
      <c r="G274" t="s">
        <v>126</v>
      </c>
      <c r="H274" t="s">
        <v>2823</v>
      </c>
      <c r="I274" t="s">
        <v>28</v>
      </c>
      <c r="J274" t="s">
        <v>45</v>
      </c>
      <c r="K274" t="s">
        <v>45</v>
      </c>
      <c r="L274" t="s">
        <v>19</v>
      </c>
      <c r="M274" t="s">
        <v>19</v>
      </c>
      <c r="N274">
        <v>1</v>
      </c>
      <c r="O274">
        <v>843</v>
      </c>
      <c r="P274">
        <v>1599</v>
      </c>
      <c r="Q274">
        <v>5</v>
      </c>
      <c r="R274">
        <v>100</v>
      </c>
      <c r="S274">
        <v>1499</v>
      </c>
      <c r="T274">
        <v>656</v>
      </c>
      <c r="U274">
        <v>43.76</v>
      </c>
      <c r="V274" t="s">
        <v>21</v>
      </c>
    </row>
    <row r="275" spans="1:22" x14ac:dyDescent="0.35">
      <c r="A275" t="s">
        <v>5778</v>
      </c>
      <c r="B275" t="s">
        <v>54</v>
      </c>
      <c r="C275" t="s">
        <v>27</v>
      </c>
      <c r="D275" t="s">
        <v>5777</v>
      </c>
      <c r="E275" t="s">
        <v>5776</v>
      </c>
      <c r="F275" s="5">
        <v>45594</v>
      </c>
      <c r="G275" t="s">
        <v>126</v>
      </c>
      <c r="H275" t="s">
        <v>1442</v>
      </c>
      <c r="I275" t="s">
        <v>35</v>
      </c>
      <c r="J275" t="s">
        <v>214</v>
      </c>
      <c r="K275" t="s">
        <v>50</v>
      </c>
      <c r="L275" t="s">
        <v>19</v>
      </c>
      <c r="M275" t="s">
        <v>19</v>
      </c>
      <c r="N275">
        <v>3</v>
      </c>
      <c r="O275">
        <v>479</v>
      </c>
      <c r="P275">
        <v>899</v>
      </c>
      <c r="Q275">
        <v>10</v>
      </c>
      <c r="R275">
        <v>300</v>
      </c>
      <c r="S275">
        <v>2397</v>
      </c>
      <c r="T275">
        <v>960</v>
      </c>
      <c r="U275">
        <v>40.049999999999997</v>
      </c>
      <c r="V275" t="s">
        <v>21</v>
      </c>
    </row>
    <row r="276" spans="1:22" x14ac:dyDescent="0.35">
      <c r="A276" t="s">
        <v>5775</v>
      </c>
      <c r="B276" t="s">
        <v>22</v>
      </c>
      <c r="C276" t="s">
        <v>16</v>
      </c>
      <c r="D276" t="s">
        <v>5774</v>
      </c>
      <c r="E276" t="s">
        <v>326</v>
      </c>
      <c r="F276" s="5">
        <v>45528</v>
      </c>
      <c r="G276" t="s">
        <v>126</v>
      </c>
      <c r="H276" t="s">
        <v>2039</v>
      </c>
      <c r="I276" t="s">
        <v>23</v>
      </c>
      <c r="J276" t="s">
        <v>142</v>
      </c>
      <c r="K276" t="s">
        <v>43</v>
      </c>
      <c r="L276" t="s">
        <v>19</v>
      </c>
      <c r="M276" t="s">
        <v>19</v>
      </c>
      <c r="N276">
        <v>2</v>
      </c>
      <c r="O276">
        <v>1469</v>
      </c>
      <c r="P276">
        <v>2699</v>
      </c>
      <c r="Q276">
        <v>5</v>
      </c>
      <c r="R276">
        <v>400</v>
      </c>
      <c r="S276">
        <v>4998</v>
      </c>
      <c r="T276">
        <v>2060</v>
      </c>
      <c r="U276">
        <v>41.22</v>
      </c>
      <c r="V276" t="s">
        <v>33</v>
      </c>
    </row>
    <row r="277" spans="1:22" x14ac:dyDescent="0.35">
      <c r="A277" t="s">
        <v>5773</v>
      </c>
      <c r="B277" t="s">
        <v>44</v>
      </c>
      <c r="C277" t="s">
        <v>16</v>
      </c>
      <c r="D277" t="s">
        <v>5772</v>
      </c>
      <c r="E277" t="s">
        <v>5771</v>
      </c>
      <c r="F277" s="5">
        <v>45648</v>
      </c>
      <c r="G277" t="s">
        <v>126</v>
      </c>
      <c r="H277" t="s">
        <v>274</v>
      </c>
      <c r="I277" t="s">
        <v>17</v>
      </c>
      <c r="J277" t="s">
        <v>235</v>
      </c>
      <c r="K277" t="s">
        <v>18</v>
      </c>
      <c r="L277" t="s">
        <v>37</v>
      </c>
      <c r="M277" t="s">
        <v>19</v>
      </c>
      <c r="N277">
        <v>1</v>
      </c>
      <c r="O277">
        <v>345</v>
      </c>
      <c r="P277">
        <v>599</v>
      </c>
      <c r="Q277">
        <v>0</v>
      </c>
      <c r="R277">
        <v>0</v>
      </c>
      <c r="S277">
        <v>599</v>
      </c>
      <c r="T277">
        <v>254</v>
      </c>
      <c r="U277">
        <v>42.4</v>
      </c>
      <c r="V277" t="s">
        <v>33</v>
      </c>
    </row>
    <row r="278" spans="1:22" x14ac:dyDescent="0.35">
      <c r="A278" t="s">
        <v>5770</v>
      </c>
      <c r="B278" t="s">
        <v>71</v>
      </c>
      <c r="C278" t="s">
        <v>16</v>
      </c>
      <c r="D278" t="s">
        <v>5769</v>
      </c>
      <c r="E278" t="s">
        <v>5768</v>
      </c>
      <c r="F278" s="5">
        <v>45460</v>
      </c>
      <c r="G278" t="s">
        <v>126</v>
      </c>
      <c r="H278" t="s">
        <v>872</v>
      </c>
      <c r="I278" t="s">
        <v>31</v>
      </c>
      <c r="J278" t="s">
        <v>32</v>
      </c>
      <c r="K278" t="s">
        <v>32</v>
      </c>
      <c r="L278" t="s">
        <v>37</v>
      </c>
      <c r="M278" t="s">
        <v>20</v>
      </c>
      <c r="N278">
        <v>1</v>
      </c>
      <c r="O278">
        <v>553</v>
      </c>
      <c r="P278">
        <v>999</v>
      </c>
      <c r="Q278">
        <v>0</v>
      </c>
      <c r="R278">
        <v>0</v>
      </c>
      <c r="S278">
        <v>999</v>
      </c>
      <c r="T278">
        <v>446</v>
      </c>
      <c r="U278">
        <v>44.64</v>
      </c>
      <c r="V278" t="s">
        <v>33</v>
      </c>
    </row>
    <row r="279" spans="1:22" x14ac:dyDescent="0.35">
      <c r="A279" t="s">
        <v>5767</v>
      </c>
      <c r="B279" t="s">
        <v>98</v>
      </c>
      <c r="C279" t="s">
        <v>16</v>
      </c>
      <c r="D279" t="s">
        <v>5766</v>
      </c>
      <c r="E279" t="s">
        <v>2040</v>
      </c>
      <c r="F279" s="5">
        <v>45606</v>
      </c>
      <c r="G279" t="s">
        <v>126</v>
      </c>
      <c r="H279" t="s">
        <v>4729</v>
      </c>
      <c r="I279" t="s">
        <v>35</v>
      </c>
      <c r="J279" t="s">
        <v>39</v>
      </c>
      <c r="K279" t="s">
        <v>39</v>
      </c>
      <c r="L279" t="s">
        <v>25</v>
      </c>
      <c r="M279" t="s">
        <v>20</v>
      </c>
      <c r="N279">
        <v>1</v>
      </c>
      <c r="O279">
        <v>975</v>
      </c>
      <c r="P279">
        <v>1399</v>
      </c>
      <c r="Q279">
        <v>5</v>
      </c>
      <c r="R279">
        <v>100</v>
      </c>
      <c r="S279">
        <v>1299</v>
      </c>
      <c r="T279">
        <v>324</v>
      </c>
      <c r="U279">
        <v>24.94</v>
      </c>
      <c r="V279" t="s">
        <v>33</v>
      </c>
    </row>
    <row r="280" spans="1:22" x14ac:dyDescent="0.35">
      <c r="A280" t="s">
        <v>5765</v>
      </c>
      <c r="B280" t="s">
        <v>93</v>
      </c>
      <c r="C280" t="s">
        <v>16</v>
      </c>
      <c r="D280" t="s">
        <v>5764</v>
      </c>
      <c r="E280" t="s">
        <v>5763</v>
      </c>
      <c r="F280" s="5">
        <v>45477</v>
      </c>
      <c r="G280" t="s">
        <v>126</v>
      </c>
      <c r="H280" t="s">
        <v>4827</v>
      </c>
      <c r="I280" t="s">
        <v>35</v>
      </c>
      <c r="J280" t="s">
        <v>244</v>
      </c>
      <c r="K280" t="s">
        <v>58</v>
      </c>
      <c r="L280" t="s">
        <v>25</v>
      </c>
      <c r="M280" t="s">
        <v>19</v>
      </c>
      <c r="N280">
        <v>2</v>
      </c>
      <c r="O280">
        <v>759</v>
      </c>
      <c r="P280">
        <v>1299</v>
      </c>
      <c r="Q280">
        <v>20</v>
      </c>
      <c r="R280">
        <v>600</v>
      </c>
      <c r="S280">
        <v>1998</v>
      </c>
      <c r="T280">
        <v>480</v>
      </c>
      <c r="U280">
        <v>24.02</v>
      </c>
      <c r="V280" t="s">
        <v>21</v>
      </c>
    </row>
    <row r="281" spans="1:22" x14ac:dyDescent="0.35">
      <c r="A281" t="s">
        <v>5762</v>
      </c>
      <c r="B281" t="s">
        <v>70</v>
      </c>
      <c r="C281" t="s">
        <v>27</v>
      </c>
      <c r="D281" t="s">
        <v>5761</v>
      </c>
      <c r="E281" t="s">
        <v>5760</v>
      </c>
      <c r="F281" s="5">
        <v>45508</v>
      </c>
      <c r="G281" t="s">
        <v>126</v>
      </c>
      <c r="H281" t="s">
        <v>4027</v>
      </c>
      <c r="I281" t="s">
        <v>28</v>
      </c>
      <c r="J281" t="s">
        <v>201</v>
      </c>
      <c r="K281" t="s">
        <v>29</v>
      </c>
      <c r="L281" t="s">
        <v>25</v>
      </c>
      <c r="M281" t="s">
        <v>20</v>
      </c>
      <c r="N281">
        <v>5</v>
      </c>
      <c r="O281">
        <v>312</v>
      </c>
      <c r="P281">
        <v>499</v>
      </c>
      <c r="Q281">
        <v>15</v>
      </c>
      <c r="R281">
        <v>500</v>
      </c>
      <c r="S281">
        <v>1995</v>
      </c>
      <c r="T281">
        <v>435</v>
      </c>
      <c r="U281">
        <v>21.8</v>
      </c>
      <c r="V281" t="s">
        <v>21</v>
      </c>
    </row>
    <row r="282" spans="1:22" x14ac:dyDescent="0.35">
      <c r="A282" t="s">
        <v>5759</v>
      </c>
      <c r="B282" t="s">
        <v>71</v>
      </c>
      <c r="C282" t="s">
        <v>16</v>
      </c>
      <c r="D282" t="s">
        <v>5758</v>
      </c>
      <c r="E282" t="s">
        <v>5757</v>
      </c>
      <c r="F282" s="5">
        <v>45523</v>
      </c>
      <c r="G282" t="s">
        <v>126</v>
      </c>
      <c r="H282" t="s">
        <v>3536</v>
      </c>
      <c r="I282" t="s">
        <v>35</v>
      </c>
      <c r="J282" t="s">
        <v>39</v>
      </c>
      <c r="K282" t="s">
        <v>39</v>
      </c>
      <c r="L282" t="s">
        <v>19</v>
      </c>
      <c r="M282" t="s">
        <v>20</v>
      </c>
      <c r="N282">
        <v>3</v>
      </c>
      <c r="O282">
        <v>624</v>
      </c>
      <c r="P282">
        <v>899</v>
      </c>
      <c r="Q282">
        <v>20</v>
      </c>
      <c r="R282">
        <v>600</v>
      </c>
      <c r="S282">
        <v>2097</v>
      </c>
      <c r="T282">
        <v>225</v>
      </c>
      <c r="U282">
        <v>10.73</v>
      </c>
      <c r="V282" t="s">
        <v>21</v>
      </c>
    </row>
    <row r="283" spans="1:22" x14ac:dyDescent="0.35">
      <c r="A283" t="s">
        <v>5756</v>
      </c>
      <c r="B283" t="s">
        <v>73</v>
      </c>
      <c r="C283" t="s">
        <v>16</v>
      </c>
      <c r="D283" t="s">
        <v>5755</v>
      </c>
      <c r="E283" t="s">
        <v>5754</v>
      </c>
      <c r="F283" s="5">
        <v>45549</v>
      </c>
      <c r="G283" t="s">
        <v>126</v>
      </c>
      <c r="H283" t="s">
        <v>4797</v>
      </c>
      <c r="I283" t="s">
        <v>31</v>
      </c>
      <c r="J283" t="s">
        <v>76</v>
      </c>
      <c r="K283" t="s">
        <v>76</v>
      </c>
      <c r="L283" t="s">
        <v>25</v>
      </c>
      <c r="M283" t="s">
        <v>19</v>
      </c>
      <c r="N283">
        <v>1</v>
      </c>
      <c r="O283">
        <v>639</v>
      </c>
      <c r="P283">
        <v>999</v>
      </c>
      <c r="Q283">
        <v>0</v>
      </c>
      <c r="R283">
        <v>0</v>
      </c>
      <c r="S283">
        <v>999</v>
      </c>
      <c r="T283">
        <v>360</v>
      </c>
      <c r="U283">
        <v>36.04</v>
      </c>
      <c r="V283" t="s">
        <v>21</v>
      </c>
    </row>
    <row r="284" spans="1:22" x14ac:dyDescent="0.35">
      <c r="A284" t="s">
        <v>5753</v>
      </c>
      <c r="B284" t="s">
        <v>79</v>
      </c>
      <c r="C284" t="s">
        <v>16</v>
      </c>
      <c r="D284" t="s">
        <v>5752</v>
      </c>
      <c r="E284" t="s">
        <v>5751</v>
      </c>
      <c r="F284" s="5">
        <v>45620</v>
      </c>
      <c r="G284" t="s">
        <v>126</v>
      </c>
      <c r="H284" t="s">
        <v>5750</v>
      </c>
      <c r="I284" t="s">
        <v>28</v>
      </c>
      <c r="J284" t="s">
        <v>201</v>
      </c>
      <c r="K284" t="s">
        <v>29</v>
      </c>
      <c r="L284" t="s">
        <v>37</v>
      </c>
      <c r="M284" t="s">
        <v>20</v>
      </c>
      <c r="N284">
        <v>1</v>
      </c>
      <c r="O284">
        <v>431</v>
      </c>
      <c r="P284">
        <v>699</v>
      </c>
      <c r="Q284">
        <v>10</v>
      </c>
      <c r="R284">
        <v>100</v>
      </c>
      <c r="S284">
        <v>599</v>
      </c>
      <c r="T284">
        <v>168</v>
      </c>
      <c r="U284">
        <v>28.05</v>
      </c>
      <c r="V284" t="s">
        <v>33</v>
      </c>
    </row>
    <row r="285" spans="1:22" x14ac:dyDescent="0.35">
      <c r="A285" t="s">
        <v>5749</v>
      </c>
      <c r="B285" t="s">
        <v>85</v>
      </c>
      <c r="C285" t="s">
        <v>27</v>
      </c>
      <c r="D285" t="s">
        <v>5748</v>
      </c>
      <c r="E285" t="s">
        <v>5747</v>
      </c>
      <c r="F285" s="5">
        <v>45637</v>
      </c>
      <c r="G285" t="s">
        <v>126</v>
      </c>
      <c r="H285" t="s">
        <v>419</v>
      </c>
      <c r="I285" t="s">
        <v>35</v>
      </c>
      <c r="J285" t="s">
        <v>41</v>
      </c>
      <c r="K285" t="s">
        <v>41</v>
      </c>
      <c r="L285" t="s">
        <v>37</v>
      </c>
      <c r="M285" t="s">
        <v>20</v>
      </c>
      <c r="N285">
        <v>4</v>
      </c>
      <c r="O285">
        <v>374</v>
      </c>
      <c r="P285">
        <v>699</v>
      </c>
      <c r="Q285">
        <v>20</v>
      </c>
      <c r="R285">
        <v>800</v>
      </c>
      <c r="S285">
        <v>1996</v>
      </c>
      <c r="T285">
        <v>500</v>
      </c>
      <c r="U285">
        <v>25.05</v>
      </c>
      <c r="V285" t="s">
        <v>21</v>
      </c>
    </row>
    <row r="286" spans="1:22" x14ac:dyDescent="0.35">
      <c r="A286" t="s">
        <v>5746</v>
      </c>
      <c r="B286" t="s">
        <v>85</v>
      </c>
      <c r="C286" t="s">
        <v>27</v>
      </c>
      <c r="D286" t="s">
        <v>5745</v>
      </c>
      <c r="E286" t="s">
        <v>5744</v>
      </c>
      <c r="F286" s="5">
        <v>45490</v>
      </c>
      <c r="G286" t="s">
        <v>126</v>
      </c>
      <c r="H286" t="s">
        <v>1704</v>
      </c>
      <c r="I286" t="s">
        <v>23</v>
      </c>
      <c r="J286" t="s">
        <v>142</v>
      </c>
      <c r="K286" t="s">
        <v>43</v>
      </c>
      <c r="L286" t="s">
        <v>19</v>
      </c>
      <c r="M286" t="s">
        <v>19</v>
      </c>
      <c r="N286">
        <v>1</v>
      </c>
      <c r="O286">
        <v>1465</v>
      </c>
      <c r="P286">
        <v>2599</v>
      </c>
      <c r="Q286">
        <v>15</v>
      </c>
      <c r="R286">
        <v>400</v>
      </c>
      <c r="S286">
        <v>2199</v>
      </c>
      <c r="T286">
        <v>734</v>
      </c>
      <c r="U286">
        <v>33.380000000000003</v>
      </c>
      <c r="V286" t="s">
        <v>33</v>
      </c>
    </row>
    <row r="287" spans="1:22" x14ac:dyDescent="0.35">
      <c r="A287" t="s">
        <v>5743</v>
      </c>
      <c r="B287" t="s">
        <v>68</v>
      </c>
      <c r="C287" t="s">
        <v>16</v>
      </c>
      <c r="D287" t="s">
        <v>5742</v>
      </c>
      <c r="E287" t="s">
        <v>5741</v>
      </c>
      <c r="F287" s="5">
        <v>45527</v>
      </c>
      <c r="G287" t="s">
        <v>126</v>
      </c>
      <c r="H287" t="s">
        <v>856</v>
      </c>
      <c r="I287" t="s">
        <v>35</v>
      </c>
      <c r="J287" t="s">
        <v>41</v>
      </c>
      <c r="K287" t="s">
        <v>41</v>
      </c>
      <c r="L287" t="s">
        <v>25</v>
      </c>
      <c r="M287" t="s">
        <v>20</v>
      </c>
      <c r="N287">
        <v>1</v>
      </c>
      <c r="O287">
        <v>813</v>
      </c>
      <c r="P287">
        <v>1099</v>
      </c>
      <c r="Q287">
        <v>5</v>
      </c>
      <c r="R287">
        <v>100</v>
      </c>
      <c r="S287">
        <v>999</v>
      </c>
      <c r="T287">
        <v>186</v>
      </c>
      <c r="U287">
        <v>18.62</v>
      </c>
      <c r="V287" t="s">
        <v>21</v>
      </c>
    </row>
    <row r="288" spans="1:22" x14ac:dyDescent="0.35">
      <c r="A288" t="s">
        <v>5740</v>
      </c>
      <c r="B288" t="s">
        <v>108</v>
      </c>
      <c r="C288" t="s">
        <v>27</v>
      </c>
      <c r="D288" t="s">
        <v>5739</v>
      </c>
      <c r="E288" t="s">
        <v>5738</v>
      </c>
      <c r="F288" s="5">
        <v>45622</v>
      </c>
      <c r="G288" t="s">
        <v>126</v>
      </c>
      <c r="H288" t="s">
        <v>173</v>
      </c>
      <c r="I288" t="s">
        <v>31</v>
      </c>
      <c r="J288" t="s">
        <v>32</v>
      </c>
      <c r="K288" t="s">
        <v>32</v>
      </c>
      <c r="L288" t="s">
        <v>25</v>
      </c>
      <c r="M288" t="s">
        <v>19</v>
      </c>
      <c r="N288">
        <v>2</v>
      </c>
      <c r="O288">
        <v>721</v>
      </c>
      <c r="P288">
        <v>1199</v>
      </c>
      <c r="Q288">
        <v>0</v>
      </c>
      <c r="R288">
        <v>0</v>
      </c>
      <c r="S288">
        <v>2398</v>
      </c>
      <c r="T288">
        <v>956</v>
      </c>
      <c r="U288">
        <v>39.869999999999997</v>
      </c>
      <c r="V288" t="s">
        <v>21</v>
      </c>
    </row>
    <row r="289" spans="1:22" x14ac:dyDescent="0.35">
      <c r="A289" t="s">
        <v>5737</v>
      </c>
      <c r="B289" t="s">
        <v>54</v>
      </c>
      <c r="C289" t="s">
        <v>27</v>
      </c>
      <c r="D289" t="s">
        <v>5736</v>
      </c>
      <c r="E289" t="s">
        <v>5735</v>
      </c>
      <c r="F289" s="5">
        <v>45649</v>
      </c>
      <c r="G289" t="s">
        <v>126</v>
      </c>
      <c r="H289" t="s">
        <v>3065</v>
      </c>
      <c r="I289" t="s">
        <v>31</v>
      </c>
      <c r="J289" t="s">
        <v>76</v>
      </c>
      <c r="K289" t="s">
        <v>76</v>
      </c>
      <c r="L289" t="s">
        <v>25</v>
      </c>
      <c r="M289" t="s">
        <v>20</v>
      </c>
      <c r="N289">
        <v>1</v>
      </c>
      <c r="O289">
        <v>391</v>
      </c>
      <c r="P289">
        <v>699</v>
      </c>
      <c r="Q289">
        <v>0</v>
      </c>
      <c r="R289">
        <v>0</v>
      </c>
      <c r="S289">
        <v>699</v>
      </c>
      <c r="T289">
        <v>308</v>
      </c>
      <c r="U289">
        <v>44.06</v>
      </c>
      <c r="V289" t="s">
        <v>33</v>
      </c>
    </row>
    <row r="290" spans="1:22" x14ac:dyDescent="0.35">
      <c r="A290" t="s">
        <v>5734</v>
      </c>
      <c r="B290" t="s">
        <v>47</v>
      </c>
      <c r="C290" t="s">
        <v>16</v>
      </c>
      <c r="D290" t="s">
        <v>5733</v>
      </c>
      <c r="E290" t="s">
        <v>5732</v>
      </c>
      <c r="F290" s="5">
        <v>45655</v>
      </c>
      <c r="G290" t="s">
        <v>126</v>
      </c>
      <c r="H290" t="s">
        <v>4012</v>
      </c>
      <c r="I290" t="s">
        <v>35</v>
      </c>
      <c r="J290" t="s">
        <v>41</v>
      </c>
      <c r="K290" t="s">
        <v>41</v>
      </c>
      <c r="L290" t="s">
        <v>37</v>
      </c>
      <c r="M290" t="s">
        <v>20</v>
      </c>
      <c r="N290">
        <v>1</v>
      </c>
      <c r="O290">
        <v>563</v>
      </c>
      <c r="P290">
        <v>999</v>
      </c>
      <c r="Q290">
        <v>20</v>
      </c>
      <c r="R290">
        <v>200</v>
      </c>
      <c r="S290">
        <v>799</v>
      </c>
      <c r="T290">
        <v>236</v>
      </c>
      <c r="U290">
        <v>29.54</v>
      </c>
      <c r="V290" t="s">
        <v>21</v>
      </c>
    </row>
    <row r="291" spans="1:22" x14ac:dyDescent="0.35">
      <c r="A291" t="s">
        <v>5731</v>
      </c>
      <c r="B291" t="s">
        <v>22</v>
      </c>
      <c r="C291" t="s">
        <v>16</v>
      </c>
      <c r="D291" t="s">
        <v>5730</v>
      </c>
      <c r="E291" t="s">
        <v>5729</v>
      </c>
      <c r="F291" s="5">
        <v>45585</v>
      </c>
      <c r="G291" t="s">
        <v>126</v>
      </c>
      <c r="H291" t="s">
        <v>3313</v>
      </c>
      <c r="I291" t="s">
        <v>28</v>
      </c>
      <c r="J291" t="s">
        <v>45</v>
      </c>
      <c r="K291" t="s">
        <v>45</v>
      </c>
      <c r="L291" t="s">
        <v>19</v>
      </c>
      <c r="M291" t="s">
        <v>20</v>
      </c>
      <c r="N291">
        <v>1</v>
      </c>
      <c r="O291">
        <v>353</v>
      </c>
      <c r="P291">
        <v>699</v>
      </c>
      <c r="Q291">
        <v>5</v>
      </c>
      <c r="R291">
        <v>100</v>
      </c>
      <c r="S291">
        <v>599</v>
      </c>
      <c r="T291">
        <v>246</v>
      </c>
      <c r="U291">
        <v>41.07</v>
      </c>
      <c r="V291" t="s">
        <v>33</v>
      </c>
    </row>
    <row r="292" spans="1:22" x14ac:dyDescent="0.35">
      <c r="A292" t="s">
        <v>5728</v>
      </c>
      <c r="B292" t="s">
        <v>91</v>
      </c>
      <c r="C292" t="s">
        <v>16</v>
      </c>
      <c r="D292" t="s">
        <v>5727</v>
      </c>
      <c r="E292" t="s">
        <v>5726</v>
      </c>
      <c r="F292" s="5">
        <v>45540</v>
      </c>
      <c r="G292" t="s">
        <v>126</v>
      </c>
      <c r="H292" t="s">
        <v>2086</v>
      </c>
      <c r="I292" t="s">
        <v>28</v>
      </c>
      <c r="J292" t="s">
        <v>45</v>
      </c>
      <c r="K292" t="s">
        <v>45</v>
      </c>
      <c r="L292" t="s">
        <v>25</v>
      </c>
      <c r="M292" t="s">
        <v>19</v>
      </c>
      <c r="N292">
        <v>4</v>
      </c>
      <c r="O292">
        <v>892</v>
      </c>
      <c r="P292">
        <v>1299</v>
      </c>
      <c r="Q292">
        <v>20</v>
      </c>
      <c r="R292">
        <v>1200</v>
      </c>
      <c r="S292">
        <v>3996</v>
      </c>
      <c r="T292">
        <v>428</v>
      </c>
      <c r="U292">
        <v>10.71</v>
      </c>
      <c r="V292" t="s">
        <v>21</v>
      </c>
    </row>
    <row r="293" spans="1:22" x14ac:dyDescent="0.35">
      <c r="A293" t="s">
        <v>5725</v>
      </c>
      <c r="B293" t="s">
        <v>83</v>
      </c>
      <c r="C293" t="s">
        <v>27</v>
      </c>
      <c r="D293" t="s">
        <v>5724</v>
      </c>
      <c r="E293" t="s">
        <v>5723</v>
      </c>
      <c r="F293" s="5">
        <v>45512</v>
      </c>
      <c r="G293" t="s">
        <v>126</v>
      </c>
      <c r="H293" t="s">
        <v>1834</v>
      </c>
      <c r="I293" t="s">
        <v>35</v>
      </c>
      <c r="J293" t="s">
        <v>39</v>
      </c>
      <c r="K293" t="s">
        <v>39</v>
      </c>
      <c r="L293" t="s">
        <v>19</v>
      </c>
      <c r="M293" t="s">
        <v>20</v>
      </c>
      <c r="N293">
        <v>1</v>
      </c>
      <c r="O293">
        <v>968</v>
      </c>
      <c r="P293">
        <v>1599</v>
      </c>
      <c r="Q293">
        <v>15</v>
      </c>
      <c r="R293">
        <v>300</v>
      </c>
      <c r="S293">
        <v>1299</v>
      </c>
      <c r="T293">
        <v>331</v>
      </c>
      <c r="U293">
        <v>25.48</v>
      </c>
      <c r="V293" t="s">
        <v>21</v>
      </c>
    </row>
    <row r="294" spans="1:22" x14ac:dyDescent="0.35">
      <c r="A294" t="s">
        <v>5722</v>
      </c>
      <c r="B294" t="s">
        <v>73</v>
      </c>
      <c r="C294" t="s">
        <v>16</v>
      </c>
      <c r="D294" t="s">
        <v>5721</v>
      </c>
      <c r="E294" t="s">
        <v>5720</v>
      </c>
      <c r="F294" s="5">
        <v>45549</v>
      </c>
      <c r="G294" t="s">
        <v>126</v>
      </c>
      <c r="H294" t="s">
        <v>3762</v>
      </c>
      <c r="I294" t="s">
        <v>35</v>
      </c>
      <c r="J294" t="s">
        <v>214</v>
      </c>
      <c r="K294" t="s">
        <v>87</v>
      </c>
      <c r="L294" t="s">
        <v>19</v>
      </c>
      <c r="M294" t="s">
        <v>19</v>
      </c>
      <c r="N294">
        <v>1</v>
      </c>
      <c r="O294">
        <v>1961</v>
      </c>
      <c r="P294">
        <v>3199</v>
      </c>
      <c r="Q294">
        <v>5</v>
      </c>
      <c r="R294">
        <v>200</v>
      </c>
      <c r="S294">
        <v>2999</v>
      </c>
      <c r="T294">
        <v>1038</v>
      </c>
      <c r="U294">
        <v>34.61</v>
      </c>
      <c r="V294" t="s">
        <v>33</v>
      </c>
    </row>
    <row r="295" spans="1:22" x14ac:dyDescent="0.35">
      <c r="A295" t="s">
        <v>5719</v>
      </c>
      <c r="B295" t="s">
        <v>73</v>
      </c>
      <c r="C295" t="s">
        <v>16</v>
      </c>
      <c r="D295" t="s">
        <v>5718</v>
      </c>
      <c r="E295" t="s">
        <v>5717</v>
      </c>
      <c r="F295" s="5">
        <v>45529</v>
      </c>
      <c r="G295" t="s">
        <v>126</v>
      </c>
      <c r="H295" t="s">
        <v>5716</v>
      </c>
      <c r="I295" t="s">
        <v>28</v>
      </c>
      <c r="J295" t="s">
        <v>45</v>
      </c>
      <c r="K295" t="s">
        <v>45</v>
      </c>
      <c r="L295" t="s">
        <v>37</v>
      </c>
      <c r="M295" t="s">
        <v>19</v>
      </c>
      <c r="N295">
        <v>1</v>
      </c>
      <c r="O295">
        <v>624</v>
      </c>
      <c r="P295">
        <v>999</v>
      </c>
      <c r="Q295">
        <v>20</v>
      </c>
      <c r="R295">
        <v>200</v>
      </c>
      <c r="S295">
        <v>799</v>
      </c>
      <c r="T295">
        <v>175</v>
      </c>
      <c r="U295">
        <v>21.9</v>
      </c>
      <c r="V295" t="s">
        <v>33</v>
      </c>
    </row>
    <row r="296" spans="1:22" x14ac:dyDescent="0.35">
      <c r="A296" t="s">
        <v>5715</v>
      </c>
      <c r="B296" t="s">
        <v>80</v>
      </c>
      <c r="C296" t="s">
        <v>27</v>
      </c>
      <c r="D296" t="s">
        <v>5714</v>
      </c>
      <c r="E296" t="s">
        <v>5713</v>
      </c>
      <c r="F296" s="5">
        <v>45520</v>
      </c>
      <c r="G296" t="s">
        <v>126</v>
      </c>
      <c r="H296" t="s">
        <v>1937</v>
      </c>
      <c r="I296" t="s">
        <v>17</v>
      </c>
      <c r="J296" t="s">
        <v>235</v>
      </c>
      <c r="K296" t="s">
        <v>18</v>
      </c>
      <c r="L296" t="s">
        <v>19</v>
      </c>
      <c r="M296" t="s">
        <v>20</v>
      </c>
      <c r="N296">
        <v>1</v>
      </c>
      <c r="O296">
        <v>296</v>
      </c>
      <c r="P296">
        <v>399</v>
      </c>
      <c r="Q296">
        <v>0</v>
      </c>
      <c r="R296">
        <v>0</v>
      </c>
      <c r="S296">
        <v>399</v>
      </c>
      <c r="T296">
        <v>103</v>
      </c>
      <c r="U296">
        <v>25.81</v>
      </c>
      <c r="V296" t="s">
        <v>21</v>
      </c>
    </row>
    <row r="297" spans="1:22" x14ac:dyDescent="0.35">
      <c r="A297" t="s">
        <v>5712</v>
      </c>
      <c r="B297" t="s">
        <v>15</v>
      </c>
      <c r="C297" t="s">
        <v>16</v>
      </c>
      <c r="D297" t="s">
        <v>5711</v>
      </c>
      <c r="E297" t="s">
        <v>5710</v>
      </c>
      <c r="F297" s="5">
        <v>45458</v>
      </c>
      <c r="G297" t="s">
        <v>126</v>
      </c>
      <c r="H297" t="s">
        <v>2322</v>
      </c>
      <c r="I297" t="s">
        <v>35</v>
      </c>
      <c r="J297" t="s">
        <v>39</v>
      </c>
      <c r="K297" t="s">
        <v>39</v>
      </c>
      <c r="L297" t="s">
        <v>19</v>
      </c>
      <c r="M297" t="s">
        <v>20</v>
      </c>
      <c r="N297">
        <v>3</v>
      </c>
      <c r="O297">
        <v>873</v>
      </c>
      <c r="P297">
        <v>1699</v>
      </c>
      <c r="Q297">
        <v>20</v>
      </c>
      <c r="R297">
        <v>1200</v>
      </c>
      <c r="S297">
        <v>3897</v>
      </c>
      <c r="T297">
        <v>1278</v>
      </c>
      <c r="U297">
        <v>32.79</v>
      </c>
      <c r="V297" t="s">
        <v>21</v>
      </c>
    </row>
    <row r="298" spans="1:22" x14ac:dyDescent="0.35">
      <c r="A298" t="s">
        <v>5709</v>
      </c>
      <c r="B298" t="s">
        <v>94</v>
      </c>
      <c r="C298" t="s">
        <v>16</v>
      </c>
      <c r="D298" t="s">
        <v>5708</v>
      </c>
      <c r="E298" t="s">
        <v>5707</v>
      </c>
      <c r="F298" s="5">
        <v>45657</v>
      </c>
      <c r="G298" t="s">
        <v>126</v>
      </c>
      <c r="H298" t="s">
        <v>360</v>
      </c>
      <c r="I298" t="s">
        <v>31</v>
      </c>
      <c r="J298" t="s">
        <v>76</v>
      </c>
      <c r="K298" t="s">
        <v>76</v>
      </c>
      <c r="L298" t="s">
        <v>19</v>
      </c>
      <c r="M298" t="s">
        <v>20</v>
      </c>
      <c r="N298">
        <v>4</v>
      </c>
      <c r="O298">
        <v>399</v>
      </c>
      <c r="P298">
        <v>699</v>
      </c>
      <c r="Q298">
        <v>0</v>
      </c>
      <c r="R298">
        <v>0</v>
      </c>
      <c r="S298">
        <v>2796</v>
      </c>
      <c r="T298">
        <v>1200</v>
      </c>
      <c r="U298">
        <v>42.92</v>
      </c>
      <c r="V298" t="s">
        <v>21</v>
      </c>
    </row>
    <row r="299" spans="1:22" x14ac:dyDescent="0.35">
      <c r="A299" t="s">
        <v>5706</v>
      </c>
      <c r="B299" t="s">
        <v>89</v>
      </c>
      <c r="C299" t="s">
        <v>16</v>
      </c>
      <c r="D299" t="s">
        <v>5705</v>
      </c>
      <c r="E299" t="s">
        <v>5704</v>
      </c>
      <c r="F299" s="5">
        <v>45614</v>
      </c>
      <c r="G299" t="s">
        <v>126</v>
      </c>
      <c r="H299" t="s">
        <v>552</v>
      </c>
      <c r="I299" t="s">
        <v>31</v>
      </c>
      <c r="J299" t="s">
        <v>32</v>
      </c>
      <c r="K299" t="s">
        <v>32</v>
      </c>
      <c r="L299" t="s">
        <v>37</v>
      </c>
      <c r="M299" t="s">
        <v>19</v>
      </c>
      <c r="N299">
        <v>2</v>
      </c>
      <c r="O299">
        <v>590</v>
      </c>
      <c r="P299">
        <v>999</v>
      </c>
      <c r="Q299">
        <v>0</v>
      </c>
      <c r="R299">
        <v>0</v>
      </c>
      <c r="S299">
        <v>1998</v>
      </c>
      <c r="T299">
        <v>818</v>
      </c>
      <c r="U299">
        <v>40.94</v>
      </c>
      <c r="V299" t="s">
        <v>21</v>
      </c>
    </row>
    <row r="300" spans="1:22" x14ac:dyDescent="0.35">
      <c r="A300" t="s">
        <v>5703</v>
      </c>
      <c r="B300" t="s">
        <v>34</v>
      </c>
      <c r="C300" t="s">
        <v>27</v>
      </c>
      <c r="D300" t="s">
        <v>5702</v>
      </c>
      <c r="E300" t="s">
        <v>2772</v>
      </c>
      <c r="F300" s="5">
        <v>45550</v>
      </c>
      <c r="G300" t="s">
        <v>126</v>
      </c>
      <c r="H300" t="s">
        <v>1638</v>
      </c>
      <c r="I300" t="s">
        <v>17</v>
      </c>
      <c r="J300" t="s">
        <v>235</v>
      </c>
      <c r="K300" t="s">
        <v>18</v>
      </c>
      <c r="L300" t="s">
        <v>37</v>
      </c>
      <c r="M300" t="s">
        <v>19</v>
      </c>
      <c r="N300">
        <v>1</v>
      </c>
      <c r="O300">
        <v>315</v>
      </c>
      <c r="P300">
        <v>499</v>
      </c>
      <c r="Q300">
        <v>0</v>
      </c>
      <c r="R300">
        <v>0</v>
      </c>
      <c r="S300">
        <v>499</v>
      </c>
      <c r="T300">
        <v>184</v>
      </c>
      <c r="U300">
        <v>36.869999999999997</v>
      </c>
      <c r="V300" t="s">
        <v>21</v>
      </c>
    </row>
    <row r="301" spans="1:22" x14ac:dyDescent="0.35">
      <c r="A301" t="s">
        <v>5701</v>
      </c>
      <c r="B301" t="s">
        <v>85</v>
      </c>
      <c r="C301" t="s">
        <v>27</v>
      </c>
      <c r="D301" t="s">
        <v>5700</v>
      </c>
      <c r="E301" t="s">
        <v>5699</v>
      </c>
      <c r="F301" s="5">
        <v>45540</v>
      </c>
      <c r="G301" t="s">
        <v>126</v>
      </c>
      <c r="H301" t="s">
        <v>2014</v>
      </c>
      <c r="I301" t="s">
        <v>31</v>
      </c>
      <c r="J301" t="s">
        <v>76</v>
      </c>
      <c r="K301" t="s">
        <v>76</v>
      </c>
      <c r="L301" t="s">
        <v>19</v>
      </c>
      <c r="M301" t="s">
        <v>20</v>
      </c>
      <c r="N301">
        <v>1</v>
      </c>
      <c r="O301">
        <v>1043</v>
      </c>
      <c r="P301">
        <v>1499</v>
      </c>
      <c r="Q301">
        <v>0</v>
      </c>
      <c r="R301">
        <v>0</v>
      </c>
      <c r="S301">
        <v>1499</v>
      </c>
      <c r="T301">
        <v>456</v>
      </c>
      <c r="U301">
        <v>30.42</v>
      </c>
      <c r="V301" t="s">
        <v>33</v>
      </c>
    </row>
    <row r="302" spans="1:22" x14ac:dyDescent="0.35">
      <c r="A302" t="s">
        <v>5698</v>
      </c>
      <c r="B302" t="s">
        <v>85</v>
      </c>
      <c r="C302" t="s">
        <v>27</v>
      </c>
      <c r="D302" t="s">
        <v>5697</v>
      </c>
      <c r="E302" t="s">
        <v>5696</v>
      </c>
      <c r="F302" s="5">
        <v>45640</v>
      </c>
      <c r="G302" t="s">
        <v>126</v>
      </c>
      <c r="H302" t="s">
        <v>4227</v>
      </c>
      <c r="I302" t="s">
        <v>31</v>
      </c>
      <c r="J302" t="s">
        <v>76</v>
      </c>
      <c r="K302" t="s">
        <v>76</v>
      </c>
      <c r="L302" t="s">
        <v>25</v>
      </c>
      <c r="M302" t="s">
        <v>20</v>
      </c>
      <c r="N302">
        <v>1</v>
      </c>
      <c r="O302">
        <v>884</v>
      </c>
      <c r="P302">
        <v>1499</v>
      </c>
      <c r="Q302">
        <v>0</v>
      </c>
      <c r="R302">
        <v>0</v>
      </c>
      <c r="S302">
        <v>1499</v>
      </c>
      <c r="T302">
        <v>615</v>
      </c>
      <c r="U302">
        <v>41.03</v>
      </c>
      <c r="V302" t="s">
        <v>21</v>
      </c>
    </row>
    <row r="303" spans="1:22" x14ac:dyDescent="0.35">
      <c r="A303" t="s">
        <v>5695</v>
      </c>
      <c r="B303" t="s">
        <v>51</v>
      </c>
      <c r="C303" t="s">
        <v>16</v>
      </c>
      <c r="D303" t="s">
        <v>5694</v>
      </c>
      <c r="E303" t="s">
        <v>5693</v>
      </c>
      <c r="F303" s="5">
        <v>45530</v>
      </c>
      <c r="G303" t="s">
        <v>126</v>
      </c>
      <c r="H303" t="s">
        <v>1247</v>
      </c>
      <c r="I303" t="s">
        <v>23</v>
      </c>
      <c r="J303" t="s">
        <v>164</v>
      </c>
      <c r="K303" t="s">
        <v>24</v>
      </c>
      <c r="L303" t="s">
        <v>19</v>
      </c>
      <c r="M303" t="s">
        <v>20</v>
      </c>
      <c r="N303">
        <v>2</v>
      </c>
      <c r="O303">
        <v>647</v>
      </c>
      <c r="P303">
        <v>1199</v>
      </c>
      <c r="Q303">
        <v>10</v>
      </c>
      <c r="R303">
        <v>400</v>
      </c>
      <c r="S303">
        <v>1998</v>
      </c>
      <c r="T303">
        <v>704</v>
      </c>
      <c r="U303">
        <v>35.24</v>
      </c>
      <c r="V303" t="s">
        <v>33</v>
      </c>
    </row>
    <row r="304" spans="1:22" x14ac:dyDescent="0.35">
      <c r="A304" t="s">
        <v>5692</v>
      </c>
      <c r="B304" t="s">
        <v>47</v>
      </c>
      <c r="C304" t="s">
        <v>16</v>
      </c>
      <c r="D304" t="s">
        <v>5691</v>
      </c>
      <c r="E304" t="s">
        <v>5690</v>
      </c>
      <c r="F304" s="5">
        <v>45502</v>
      </c>
      <c r="G304" t="s">
        <v>126</v>
      </c>
      <c r="H304" t="s">
        <v>4729</v>
      </c>
      <c r="I304" t="s">
        <v>35</v>
      </c>
      <c r="J304" t="s">
        <v>159</v>
      </c>
      <c r="K304" t="s">
        <v>36</v>
      </c>
      <c r="L304" t="s">
        <v>19</v>
      </c>
      <c r="M304" t="s">
        <v>20</v>
      </c>
      <c r="N304">
        <v>1</v>
      </c>
      <c r="O304">
        <v>351</v>
      </c>
      <c r="P304">
        <v>599</v>
      </c>
      <c r="Q304">
        <v>10</v>
      </c>
      <c r="R304">
        <v>100</v>
      </c>
      <c r="S304">
        <v>499</v>
      </c>
      <c r="T304">
        <v>148</v>
      </c>
      <c r="U304">
        <v>29.66</v>
      </c>
      <c r="V304" t="s">
        <v>33</v>
      </c>
    </row>
    <row r="305" spans="1:22" x14ac:dyDescent="0.35">
      <c r="A305" t="s">
        <v>5689</v>
      </c>
      <c r="B305" t="s">
        <v>93</v>
      </c>
      <c r="C305" t="s">
        <v>16</v>
      </c>
      <c r="D305" t="s">
        <v>5688</v>
      </c>
      <c r="E305" t="s">
        <v>5687</v>
      </c>
      <c r="F305" s="5">
        <v>45487</v>
      </c>
      <c r="G305" t="s">
        <v>126</v>
      </c>
      <c r="H305" t="s">
        <v>5686</v>
      </c>
      <c r="I305" t="s">
        <v>35</v>
      </c>
      <c r="J305" t="s">
        <v>39</v>
      </c>
      <c r="K305" t="s">
        <v>39</v>
      </c>
      <c r="L305" t="s">
        <v>19</v>
      </c>
      <c r="M305" t="s">
        <v>19</v>
      </c>
      <c r="N305">
        <v>3</v>
      </c>
      <c r="O305">
        <v>680</v>
      </c>
      <c r="P305">
        <v>1199</v>
      </c>
      <c r="Q305">
        <v>10</v>
      </c>
      <c r="R305">
        <v>600</v>
      </c>
      <c r="S305">
        <v>2997</v>
      </c>
      <c r="T305">
        <v>957</v>
      </c>
      <c r="U305">
        <v>31.93</v>
      </c>
      <c r="V305" t="s">
        <v>33</v>
      </c>
    </row>
    <row r="306" spans="1:22" x14ac:dyDescent="0.35">
      <c r="A306" t="s">
        <v>5685</v>
      </c>
      <c r="B306" t="s">
        <v>73</v>
      </c>
      <c r="C306" t="s">
        <v>16</v>
      </c>
      <c r="D306" t="s">
        <v>5684</v>
      </c>
      <c r="E306" t="s">
        <v>4967</v>
      </c>
      <c r="F306" s="5">
        <v>45598</v>
      </c>
      <c r="G306" t="s">
        <v>126</v>
      </c>
      <c r="H306" t="s">
        <v>143</v>
      </c>
      <c r="I306" t="s">
        <v>23</v>
      </c>
      <c r="J306" t="s">
        <v>164</v>
      </c>
      <c r="K306" t="s">
        <v>24</v>
      </c>
      <c r="L306" t="s">
        <v>19</v>
      </c>
      <c r="M306" t="s">
        <v>20</v>
      </c>
      <c r="N306">
        <v>1</v>
      </c>
      <c r="O306">
        <v>782</v>
      </c>
      <c r="P306">
        <v>1399</v>
      </c>
      <c r="Q306">
        <v>10</v>
      </c>
      <c r="R306">
        <v>200</v>
      </c>
      <c r="S306">
        <v>1199</v>
      </c>
      <c r="T306">
        <v>417</v>
      </c>
      <c r="U306">
        <v>34.78</v>
      </c>
      <c r="V306" t="s">
        <v>21</v>
      </c>
    </row>
    <row r="307" spans="1:22" x14ac:dyDescent="0.35">
      <c r="A307" t="s">
        <v>5683</v>
      </c>
      <c r="B307" t="s">
        <v>105</v>
      </c>
      <c r="C307" t="s">
        <v>16</v>
      </c>
      <c r="D307" t="s">
        <v>5682</v>
      </c>
      <c r="E307" t="s">
        <v>5681</v>
      </c>
      <c r="F307" s="5">
        <v>45585</v>
      </c>
      <c r="G307" t="s">
        <v>126</v>
      </c>
      <c r="H307" t="s">
        <v>5680</v>
      </c>
      <c r="I307" t="s">
        <v>31</v>
      </c>
      <c r="J307" t="s">
        <v>32</v>
      </c>
      <c r="K307" t="s">
        <v>32</v>
      </c>
      <c r="L307" t="s">
        <v>19</v>
      </c>
      <c r="M307" t="s">
        <v>20</v>
      </c>
      <c r="N307">
        <v>1</v>
      </c>
      <c r="O307">
        <v>668</v>
      </c>
      <c r="P307">
        <v>999</v>
      </c>
      <c r="Q307">
        <v>0</v>
      </c>
      <c r="R307">
        <v>0</v>
      </c>
      <c r="S307">
        <v>999</v>
      </c>
      <c r="T307">
        <v>331</v>
      </c>
      <c r="U307">
        <v>33.130000000000003</v>
      </c>
      <c r="V307" t="s">
        <v>21</v>
      </c>
    </row>
    <row r="308" spans="1:22" x14ac:dyDescent="0.35">
      <c r="A308" t="s">
        <v>5679</v>
      </c>
      <c r="B308" t="s">
        <v>109</v>
      </c>
      <c r="C308" t="s">
        <v>16</v>
      </c>
      <c r="D308" t="s">
        <v>5678</v>
      </c>
      <c r="E308" t="s">
        <v>5677</v>
      </c>
      <c r="F308" s="5">
        <v>45621</v>
      </c>
      <c r="G308" t="s">
        <v>126</v>
      </c>
      <c r="H308" t="s">
        <v>4227</v>
      </c>
      <c r="I308" t="s">
        <v>23</v>
      </c>
      <c r="J308" t="s">
        <v>142</v>
      </c>
      <c r="K308" t="s">
        <v>43</v>
      </c>
      <c r="L308" t="s">
        <v>19</v>
      </c>
      <c r="M308" t="s">
        <v>20</v>
      </c>
      <c r="N308">
        <v>4</v>
      </c>
      <c r="O308">
        <v>1355</v>
      </c>
      <c r="P308">
        <v>2499</v>
      </c>
      <c r="Q308">
        <v>10</v>
      </c>
      <c r="R308">
        <v>1200</v>
      </c>
      <c r="S308">
        <v>8796</v>
      </c>
      <c r="T308">
        <v>3376</v>
      </c>
      <c r="U308">
        <v>38.380000000000003</v>
      </c>
      <c r="V308" t="s">
        <v>21</v>
      </c>
    </row>
    <row r="309" spans="1:22" x14ac:dyDescent="0.35">
      <c r="A309" t="s">
        <v>5676</v>
      </c>
      <c r="B309" t="s">
        <v>69</v>
      </c>
      <c r="C309" t="s">
        <v>16</v>
      </c>
      <c r="D309" t="s">
        <v>5675</v>
      </c>
      <c r="E309" t="s">
        <v>5674</v>
      </c>
      <c r="F309" s="5">
        <v>45653</v>
      </c>
      <c r="G309" t="s">
        <v>126</v>
      </c>
      <c r="H309" t="s">
        <v>3251</v>
      </c>
      <c r="I309" t="s">
        <v>23</v>
      </c>
      <c r="J309" t="s">
        <v>164</v>
      </c>
      <c r="K309" t="s">
        <v>24</v>
      </c>
      <c r="L309" t="s">
        <v>25</v>
      </c>
      <c r="M309" t="s">
        <v>19</v>
      </c>
      <c r="N309">
        <v>1</v>
      </c>
      <c r="O309">
        <v>594</v>
      </c>
      <c r="P309">
        <v>1099</v>
      </c>
      <c r="Q309">
        <v>5</v>
      </c>
      <c r="R309">
        <v>100</v>
      </c>
      <c r="S309">
        <v>999</v>
      </c>
      <c r="T309">
        <v>405</v>
      </c>
      <c r="U309">
        <v>40.54</v>
      </c>
      <c r="V309" t="s">
        <v>33</v>
      </c>
    </row>
    <row r="310" spans="1:22" x14ac:dyDescent="0.35">
      <c r="A310" t="s">
        <v>5673</v>
      </c>
      <c r="B310" t="s">
        <v>106</v>
      </c>
      <c r="C310" t="s">
        <v>27</v>
      </c>
      <c r="D310" t="s">
        <v>5672</v>
      </c>
      <c r="E310" t="s">
        <v>5671</v>
      </c>
      <c r="F310" s="5">
        <v>45655</v>
      </c>
      <c r="G310" t="s">
        <v>126</v>
      </c>
      <c r="H310" t="s">
        <v>1826</v>
      </c>
      <c r="I310" t="s">
        <v>28</v>
      </c>
      <c r="J310" t="s">
        <v>201</v>
      </c>
      <c r="K310" t="s">
        <v>29</v>
      </c>
      <c r="L310" t="s">
        <v>37</v>
      </c>
      <c r="M310" t="s">
        <v>20</v>
      </c>
      <c r="N310">
        <v>1</v>
      </c>
      <c r="O310">
        <v>444</v>
      </c>
      <c r="P310">
        <v>599</v>
      </c>
      <c r="Q310">
        <v>5</v>
      </c>
      <c r="R310">
        <v>100</v>
      </c>
      <c r="S310">
        <v>499</v>
      </c>
      <c r="T310">
        <v>55</v>
      </c>
      <c r="U310">
        <v>11.02</v>
      </c>
      <c r="V310" t="s">
        <v>21</v>
      </c>
    </row>
    <row r="311" spans="1:22" x14ac:dyDescent="0.35">
      <c r="A311" t="s">
        <v>5670</v>
      </c>
      <c r="B311" t="s">
        <v>92</v>
      </c>
      <c r="C311" t="s">
        <v>27</v>
      </c>
      <c r="D311" t="s">
        <v>5669</v>
      </c>
      <c r="E311" t="s">
        <v>5668</v>
      </c>
      <c r="F311" s="5">
        <v>45525</v>
      </c>
      <c r="G311" t="s">
        <v>126</v>
      </c>
      <c r="H311" t="s">
        <v>5667</v>
      </c>
      <c r="I311" t="s">
        <v>23</v>
      </c>
      <c r="J311" t="s">
        <v>164</v>
      </c>
      <c r="K311" t="s">
        <v>24</v>
      </c>
      <c r="L311" t="s">
        <v>19</v>
      </c>
      <c r="M311" t="s">
        <v>19</v>
      </c>
      <c r="N311">
        <v>2</v>
      </c>
      <c r="O311">
        <v>709</v>
      </c>
      <c r="P311">
        <v>1199</v>
      </c>
      <c r="Q311">
        <v>10</v>
      </c>
      <c r="R311">
        <v>400</v>
      </c>
      <c r="S311">
        <v>1998</v>
      </c>
      <c r="T311">
        <v>580</v>
      </c>
      <c r="U311">
        <v>29.03</v>
      </c>
      <c r="V311" t="s">
        <v>21</v>
      </c>
    </row>
    <row r="312" spans="1:22" x14ac:dyDescent="0.35">
      <c r="A312" t="s">
        <v>5666</v>
      </c>
      <c r="B312" t="s">
        <v>97</v>
      </c>
      <c r="C312" t="s">
        <v>16</v>
      </c>
      <c r="D312" t="s">
        <v>5665</v>
      </c>
      <c r="E312" t="s">
        <v>5664</v>
      </c>
      <c r="F312" s="5">
        <v>45507</v>
      </c>
      <c r="G312" t="s">
        <v>126</v>
      </c>
      <c r="H312" t="s">
        <v>1363</v>
      </c>
      <c r="I312" t="s">
        <v>28</v>
      </c>
      <c r="J312" t="s">
        <v>201</v>
      </c>
      <c r="K312" t="s">
        <v>29</v>
      </c>
      <c r="L312" t="s">
        <v>25</v>
      </c>
      <c r="M312" t="s">
        <v>20</v>
      </c>
      <c r="N312">
        <v>1</v>
      </c>
      <c r="O312">
        <v>415</v>
      </c>
      <c r="P312">
        <v>699</v>
      </c>
      <c r="Q312">
        <v>10</v>
      </c>
      <c r="R312">
        <v>100</v>
      </c>
      <c r="S312">
        <v>599</v>
      </c>
      <c r="T312">
        <v>184</v>
      </c>
      <c r="U312">
        <v>30.72</v>
      </c>
      <c r="V312" t="s">
        <v>21</v>
      </c>
    </row>
    <row r="313" spans="1:22" x14ac:dyDescent="0.35">
      <c r="A313" t="s">
        <v>5663</v>
      </c>
      <c r="B313" t="s">
        <v>56</v>
      </c>
      <c r="C313" t="s">
        <v>27</v>
      </c>
      <c r="D313" t="s">
        <v>5662</v>
      </c>
      <c r="E313" t="s">
        <v>5661</v>
      </c>
      <c r="F313" s="5">
        <v>45571</v>
      </c>
      <c r="G313" t="s">
        <v>126</v>
      </c>
      <c r="H313" t="s">
        <v>4716</v>
      </c>
      <c r="I313" t="s">
        <v>28</v>
      </c>
      <c r="J313" t="s">
        <v>201</v>
      </c>
      <c r="K313" t="s">
        <v>29</v>
      </c>
      <c r="L313" t="s">
        <v>25</v>
      </c>
      <c r="M313" t="s">
        <v>19</v>
      </c>
      <c r="N313">
        <v>1</v>
      </c>
      <c r="O313">
        <v>294</v>
      </c>
      <c r="P313">
        <v>499</v>
      </c>
      <c r="Q313">
        <v>15</v>
      </c>
      <c r="R313">
        <v>100</v>
      </c>
      <c r="S313">
        <v>399</v>
      </c>
      <c r="T313">
        <v>105</v>
      </c>
      <c r="U313">
        <v>26.32</v>
      </c>
      <c r="V313" t="s">
        <v>21</v>
      </c>
    </row>
    <row r="314" spans="1:22" x14ac:dyDescent="0.35">
      <c r="A314" t="s">
        <v>5660</v>
      </c>
      <c r="B314" t="s">
        <v>52</v>
      </c>
      <c r="C314" t="s">
        <v>27</v>
      </c>
      <c r="D314" t="s">
        <v>5659</v>
      </c>
      <c r="E314" t="s">
        <v>5658</v>
      </c>
      <c r="F314" s="5">
        <v>45558</v>
      </c>
      <c r="G314" t="s">
        <v>126</v>
      </c>
      <c r="H314" t="s">
        <v>1378</v>
      </c>
      <c r="I314" t="s">
        <v>35</v>
      </c>
      <c r="J314" t="s">
        <v>41</v>
      </c>
      <c r="K314" t="s">
        <v>41</v>
      </c>
      <c r="L314" t="s">
        <v>37</v>
      </c>
      <c r="M314" t="s">
        <v>19</v>
      </c>
      <c r="N314">
        <v>1</v>
      </c>
      <c r="O314">
        <v>346</v>
      </c>
      <c r="P314">
        <v>599</v>
      </c>
      <c r="Q314">
        <v>15</v>
      </c>
      <c r="R314">
        <v>100</v>
      </c>
      <c r="S314">
        <v>499</v>
      </c>
      <c r="T314">
        <v>153</v>
      </c>
      <c r="U314">
        <v>30.66</v>
      </c>
      <c r="V314" t="s">
        <v>21</v>
      </c>
    </row>
    <row r="315" spans="1:22" x14ac:dyDescent="0.35">
      <c r="A315" t="s">
        <v>5657</v>
      </c>
      <c r="B315" t="s">
        <v>88</v>
      </c>
      <c r="C315" t="s">
        <v>27</v>
      </c>
      <c r="D315" t="s">
        <v>5656</v>
      </c>
      <c r="E315" t="s">
        <v>5655</v>
      </c>
      <c r="F315" s="5">
        <v>45556</v>
      </c>
      <c r="G315" t="s">
        <v>126</v>
      </c>
      <c r="H315" t="s">
        <v>1408</v>
      </c>
      <c r="I315" t="s">
        <v>23</v>
      </c>
      <c r="J315" t="s">
        <v>164</v>
      </c>
      <c r="K315" t="s">
        <v>24</v>
      </c>
      <c r="L315" t="s">
        <v>25</v>
      </c>
      <c r="M315" t="s">
        <v>20</v>
      </c>
      <c r="N315">
        <v>3</v>
      </c>
      <c r="O315">
        <v>1028</v>
      </c>
      <c r="P315">
        <v>1699</v>
      </c>
      <c r="Q315">
        <v>10</v>
      </c>
      <c r="R315">
        <v>600</v>
      </c>
      <c r="S315">
        <v>4497</v>
      </c>
      <c r="T315">
        <v>1413</v>
      </c>
      <c r="U315">
        <v>31.42</v>
      </c>
      <c r="V315" t="s">
        <v>33</v>
      </c>
    </row>
    <row r="316" spans="1:22" x14ac:dyDescent="0.35">
      <c r="A316" t="s">
        <v>5654</v>
      </c>
      <c r="B316" t="s">
        <v>106</v>
      </c>
      <c r="C316" t="s">
        <v>27</v>
      </c>
      <c r="D316" t="s">
        <v>5653</v>
      </c>
      <c r="E316" t="s">
        <v>5652</v>
      </c>
      <c r="F316" s="5">
        <v>45563</v>
      </c>
      <c r="G316" t="s">
        <v>126</v>
      </c>
      <c r="H316" t="s">
        <v>1367</v>
      </c>
      <c r="I316" t="s">
        <v>17</v>
      </c>
      <c r="J316" t="s">
        <v>55</v>
      </c>
      <c r="K316" t="s">
        <v>55</v>
      </c>
      <c r="L316" t="s">
        <v>25</v>
      </c>
      <c r="M316" t="s">
        <v>20</v>
      </c>
      <c r="N316">
        <v>1</v>
      </c>
      <c r="O316">
        <v>517</v>
      </c>
      <c r="P316">
        <v>799</v>
      </c>
      <c r="Q316">
        <v>0</v>
      </c>
      <c r="R316">
        <v>0</v>
      </c>
      <c r="S316">
        <v>799</v>
      </c>
      <c r="T316">
        <v>282</v>
      </c>
      <c r="U316">
        <v>35.29</v>
      </c>
      <c r="V316" t="s">
        <v>33</v>
      </c>
    </row>
    <row r="317" spans="1:22" x14ac:dyDescent="0.35">
      <c r="A317" t="s">
        <v>5651</v>
      </c>
      <c r="B317" t="s">
        <v>98</v>
      </c>
      <c r="C317" t="s">
        <v>16</v>
      </c>
      <c r="D317" t="s">
        <v>5650</v>
      </c>
      <c r="E317" t="s">
        <v>5649</v>
      </c>
      <c r="F317" s="5">
        <v>45471</v>
      </c>
      <c r="G317" t="s">
        <v>126</v>
      </c>
      <c r="H317" t="s">
        <v>2090</v>
      </c>
      <c r="I317" t="s">
        <v>31</v>
      </c>
      <c r="J317" t="s">
        <v>32</v>
      </c>
      <c r="K317" t="s">
        <v>32</v>
      </c>
      <c r="L317" t="s">
        <v>25</v>
      </c>
      <c r="M317" t="s">
        <v>19</v>
      </c>
      <c r="N317">
        <v>1</v>
      </c>
      <c r="O317">
        <v>566</v>
      </c>
      <c r="P317">
        <v>999</v>
      </c>
      <c r="Q317">
        <v>0</v>
      </c>
      <c r="R317">
        <v>0</v>
      </c>
      <c r="S317">
        <v>999</v>
      </c>
      <c r="T317">
        <v>433</v>
      </c>
      <c r="U317">
        <v>43.34</v>
      </c>
      <c r="V317" t="s">
        <v>21</v>
      </c>
    </row>
    <row r="318" spans="1:22" x14ac:dyDescent="0.35">
      <c r="A318" t="s">
        <v>5648</v>
      </c>
      <c r="B318" t="s">
        <v>15</v>
      </c>
      <c r="C318" t="s">
        <v>16</v>
      </c>
      <c r="D318" t="s">
        <v>5647</v>
      </c>
      <c r="E318" t="s">
        <v>4124</v>
      </c>
      <c r="F318" s="5">
        <v>45574</v>
      </c>
      <c r="G318" t="s">
        <v>126</v>
      </c>
      <c r="H318" t="s">
        <v>615</v>
      </c>
      <c r="I318" t="s">
        <v>23</v>
      </c>
      <c r="J318" t="s">
        <v>142</v>
      </c>
      <c r="K318" t="s">
        <v>43</v>
      </c>
      <c r="L318" t="s">
        <v>19</v>
      </c>
      <c r="M318" t="s">
        <v>20</v>
      </c>
      <c r="N318">
        <v>1</v>
      </c>
      <c r="O318">
        <v>1753</v>
      </c>
      <c r="P318">
        <v>2499</v>
      </c>
      <c r="Q318">
        <v>20</v>
      </c>
      <c r="R318">
        <v>500</v>
      </c>
      <c r="S318">
        <v>1999</v>
      </c>
      <c r="T318">
        <v>246</v>
      </c>
      <c r="U318">
        <v>12.31</v>
      </c>
      <c r="V318" t="s">
        <v>33</v>
      </c>
    </row>
    <row r="319" spans="1:22" x14ac:dyDescent="0.35">
      <c r="A319" t="s">
        <v>5646</v>
      </c>
      <c r="B319" t="s">
        <v>78</v>
      </c>
      <c r="C319" t="s">
        <v>16</v>
      </c>
      <c r="D319" t="s">
        <v>5645</v>
      </c>
      <c r="E319" t="s">
        <v>2523</v>
      </c>
      <c r="F319" s="5">
        <v>45470</v>
      </c>
      <c r="G319" t="s">
        <v>126</v>
      </c>
      <c r="H319" t="s">
        <v>5341</v>
      </c>
      <c r="I319" t="s">
        <v>28</v>
      </c>
      <c r="J319" t="s">
        <v>201</v>
      </c>
      <c r="K319" t="s">
        <v>29</v>
      </c>
      <c r="L319" t="s">
        <v>37</v>
      </c>
      <c r="M319" t="s">
        <v>20</v>
      </c>
      <c r="N319">
        <v>2</v>
      </c>
      <c r="O319">
        <v>370</v>
      </c>
      <c r="P319">
        <v>499</v>
      </c>
      <c r="Q319">
        <v>15</v>
      </c>
      <c r="R319">
        <v>200</v>
      </c>
      <c r="S319">
        <v>798</v>
      </c>
      <c r="T319">
        <v>58</v>
      </c>
      <c r="U319">
        <v>7.27</v>
      </c>
      <c r="V319" t="s">
        <v>21</v>
      </c>
    </row>
    <row r="320" spans="1:22" x14ac:dyDescent="0.35">
      <c r="A320" t="s">
        <v>5644</v>
      </c>
      <c r="B320" t="s">
        <v>78</v>
      </c>
      <c r="C320" t="s">
        <v>16</v>
      </c>
      <c r="D320" t="s">
        <v>5643</v>
      </c>
      <c r="E320" t="s">
        <v>5642</v>
      </c>
      <c r="F320" s="5">
        <v>45493</v>
      </c>
      <c r="G320" t="s">
        <v>126</v>
      </c>
      <c r="H320" t="s">
        <v>1884</v>
      </c>
      <c r="I320" t="s">
        <v>17</v>
      </c>
      <c r="J320" t="s">
        <v>55</v>
      </c>
      <c r="K320" t="s">
        <v>55</v>
      </c>
      <c r="L320" t="s">
        <v>19</v>
      </c>
      <c r="M320" t="s">
        <v>19</v>
      </c>
      <c r="N320">
        <v>1</v>
      </c>
      <c r="O320">
        <v>166</v>
      </c>
      <c r="P320">
        <v>299</v>
      </c>
      <c r="Q320">
        <v>0</v>
      </c>
      <c r="R320">
        <v>0</v>
      </c>
      <c r="S320">
        <v>299</v>
      </c>
      <c r="T320">
        <v>133</v>
      </c>
      <c r="U320">
        <v>44.48</v>
      </c>
      <c r="V320" t="s">
        <v>21</v>
      </c>
    </row>
    <row r="321" spans="1:22" x14ac:dyDescent="0.35">
      <c r="A321" t="s">
        <v>5641</v>
      </c>
      <c r="B321" t="s">
        <v>51</v>
      </c>
      <c r="C321" t="s">
        <v>16</v>
      </c>
      <c r="D321" t="s">
        <v>5640</v>
      </c>
      <c r="E321" t="s">
        <v>5639</v>
      </c>
      <c r="F321" s="5">
        <v>45578</v>
      </c>
      <c r="G321" t="s">
        <v>126</v>
      </c>
      <c r="H321" t="s">
        <v>5638</v>
      </c>
      <c r="I321" t="s">
        <v>35</v>
      </c>
      <c r="J321" t="s">
        <v>214</v>
      </c>
      <c r="K321" t="s">
        <v>50</v>
      </c>
      <c r="L321" t="s">
        <v>25</v>
      </c>
      <c r="M321" t="s">
        <v>20</v>
      </c>
      <c r="N321">
        <v>2</v>
      </c>
      <c r="O321">
        <v>1099</v>
      </c>
      <c r="P321">
        <v>1799</v>
      </c>
      <c r="Q321">
        <v>15</v>
      </c>
      <c r="R321">
        <v>600</v>
      </c>
      <c r="S321">
        <v>2998</v>
      </c>
      <c r="T321">
        <v>800</v>
      </c>
      <c r="U321">
        <v>26.68</v>
      </c>
      <c r="V321" t="s">
        <v>21</v>
      </c>
    </row>
    <row r="322" spans="1:22" x14ac:dyDescent="0.35">
      <c r="A322" t="s">
        <v>5637</v>
      </c>
      <c r="B322" t="s">
        <v>107</v>
      </c>
      <c r="C322" t="s">
        <v>27</v>
      </c>
      <c r="D322" t="s">
        <v>5636</v>
      </c>
      <c r="E322" t="s">
        <v>1561</v>
      </c>
      <c r="F322" s="5">
        <v>45458</v>
      </c>
      <c r="G322" t="s">
        <v>126</v>
      </c>
      <c r="H322" t="s">
        <v>411</v>
      </c>
      <c r="I322" t="s">
        <v>28</v>
      </c>
      <c r="J322" t="s">
        <v>201</v>
      </c>
      <c r="K322" t="s">
        <v>29</v>
      </c>
      <c r="L322" t="s">
        <v>25</v>
      </c>
      <c r="M322" t="s">
        <v>20</v>
      </c>
      <c r="N322">
        <v>4</v>
      </c>
      <c r="O322">
        <v>400</v>
      </c>
      <c r="P322">
        <v>599</v>
      </c>
      <c r="Q322">
        <v>20</v>
      </c>
      <c r="R322">
        <v>600</v>
      </c>
      <c r="S322">
        <v>1796</v>
      </c>
      <c r="T322">
        <v>196</v>
      </c>
      <c r="U322">
        <v>10.91</v>
      </c>
      <c r="V322" t="s">
        <v>33</v>
      </c>
    </row>
    <row r="323" spans="1:22" x14ac:dyDescent="0.35">
      <c r="A323" t="s">
        <v>5635</v>
      </c>
      <c r="B323" t="s">
        <v>69</v>
      </c>
      <c r="C323" t="s">
        <v>16</v>
      </c>
      <c r="D323" t="s">
        <v>5634</v>
      </c>
      <c r="E323" t="s">
        <v>3008</v>
      </c>
      <c r="F323" s="5">
        <v>45637</v>
      </c>
      <c r="G323" t="s">
        <v>126</v>
      </c>
      <c r="H323" t="s">
        <v>143</v>
      </c>
      <c r="I323" t="s">
        <v>23</v>
      </c>
      <c r="J323" t="s">
        <v>142</v>
      </c>
      <c r="K323" t="s">
        <v>43</v>
      </c>
      <c r="L323" t="s">
        <v>19</v>
      </c>
      <c r="M323" t="s">
        <v>19</v>
      </c>
      <c r="N323">
        <v>2</v>
      </c>
      <c r="O323">
        <v>1503</v>
      </c>
      <c r="P323">
        <v>2299</v>
      </c>
      <c r="Q323">
        <v>15</v>
      </c>
      <c r="R323">
        <v>800</v>
      </c>
      <c r="S323">
        <v>3798</v>
      </c>
      <c r="T323">
        <v>792</v>
      </c>
      <c r="U323">
        <v>20.85</v>
      </c>
      <c r="V323" t="s">
        <v>21</v>
      </c>
    </row>
    <row r="324" spans="1:22" x14ac:dyDescent="0.35">
      <c r="A324" t="s">
        <v>5633</v>
      </c>
      <c r="B324" t="s">
        <v>15</v>
      </c>
      <c r="C324" t="s">
        <v>16</v>
      </c>
      <c r="D324" t="s">
        <v>5632</v>
      </c>
      <c r="E324" t="s">
        <v>5631</v>
      </c>
      <c r="F324" s="5">
        <v>45611</v>
      </c>
      <c r="G324" t="s">
        <v>126</v>
      </c>
      <c r="H324" t="s">
        <v>2585</v>
      </c>
      <c r="I324" t="s">
        <v>35</v>
      </c>
      <c r="J324" t="s">
        <v>39</v>
      </c>
      <c r="K324" t="s">
        <v>39</v>
      </c>
      <c r="L324" t="s">
        <v>25</v>
      </c>
      <c r="M324" t="s">
        <v>20</v>
      </c>
      <c r="N324">
        <v>1</v>
      </c>
      <c r="O324">
        <v>1060</v>
      </c>
      <c r="P324">
        <v>1699</v>
      </c>
      <c r="Q324">
        <v>20</v>
      </c>
      <c r="R324">
        <v>400</v>
      </c>
      <c r="S324">
        <v>1299</v>
      </c>
      <c r="T324">
        <v>239</v>
      </c>
      <c r="U324">
        <v>18.399999999999999</v>
      </c>
      <c r="V324" t="s">
        <v>21</v>
      </c>
    </row>
    <row r="325" spans="1:22" x14ac:dyDescent="0.35">
      <c r="A325" t="s">
        <v>5630</v>
      </c>
      <c r="B325" t="s">
        <v>15</v>
      </c>
      <c r="C325" t="s">
        <v>16</v>
      </c>
      <c r="D325" t="s">
        <v>5629</v>
      </c>
      <c r="E325" t="s">
        <v>5628</v>
      </c>
      <c r="F325" s="5">
        <v>45654</v>
      </c>
      <c r="G325" t="s">
        <v>126</v>
      </c>
      <c r="H325" t="s">
        <v>3569</v>
      </c>
      <c r="I325" t="s">
        <v>35</v>
      </c>
      <c r="J325" t="s">
        <v>159</v>
      </c>
      <c r="K325" t="s">
        <v>36</v>
      </c>
      <c r="L325" t="s">
        <v>37</v>
      </c>
      <c r="M325" t="s">
        <v>19</v>
      </c>
      <c r="N325">
        <v>5</v>
      </c>
      <c r="O325">
        <v>324</v>
      </c>
      <c r="P325">
        <v>599</v>
      </c>
      <c r="Q325">
        <v>5</v>
      </c>
      <c r="R325">
        <v>500</v>
      </c>
      <c r="S325">
        <v>2495</v>
      </c>
      <c r="T325">
        <v>875</v>
      </c>
      <c r="U325">
        <v>35.07</v>
      </c>
      <c r="V325" t="s">
        <v>33</v>
      </c>
    </row>
    <row r="326" spans="1:22" x14ac:dyDescent="0.35">
      <c r="A326" t="s">
        <v>5627</v>
      </c>
      <c r="B326" t="s">
        <v>56</v>
      </c>
      <c r="C326" t="s">
        <v>27</v>
      </c>
      <c r="D326" t="s">
        <v>5626</v>
      </c>
      <c r="E326" t="s">
        <v>5625</v>
      </c>
      <c r="F326" s="5">
        <v>45478</v>
      </c>
      <c r="G326" t="s">
        <v>126</v>
      </c>
      <c r="H326" t="s">
        <v>1057</v>
      </c>
      <c r="I326" t="s">
        <v>35</v>
      </c>
      <c r="J326" t="s">
        <v>214</v>
      </c>
      <c r="K326" t="s">
        <v>87</v>
      </c>
      <c r="L326" t="s">
        <v>19</v>
      </c>
      <c r="M326" t="s">
        <v>19</v>
      </c>
      <c r="N326">
        <v>1</v>
      </c>
      <c r="O326">
        <v>2810</v>
      </c>
      <c r="P326">
        <v>3799</v>
      </c>
      <c r="Q326">
        <v>20</v>
      </c>
      <c r="R326">
        <v>800</v>
      </c>
      <c r="S326">
        <v>2999</v>
      </c>
      <c r="T326">
        <v>189</v>
      </c>
      <c r="U326">
        <v>6.3</v>
      </c>
      <c r="V326" t="s">
        <v>33</v>
      </c>
    </row>
    <row r="327" spans="1:22" x14ac:dyDescent="0.35">
      <c r="A327" t="s">
        <v>5624</v>
      </c>
      <c r="B327" t="s">
        <v>44</v>
      </c>
      <c r="C327" t="s">
        <v>16</v>
      </c>
      <c r="D327" t="s">
        <v>5623</v>
      </c>
      <c r="E327" t="s">
        <v>5622</v>
      </c>
      <c r="F327" s="5">
        <v>45589</v>
      </c>
      <c r="G327" t="s">
        <v>126</v>
      </c>
      <c r="H327" t="s">
        <v>5618</v>
      </c>
      <c r="I327" t="s">
        <v>23</v>
      </c>
      <c r="J327" t="s">
        <v>142</v>
      </c>
      <c r="K327" t="s">
        <v>43</v>
      </c>
      <c r="L327" t="s">
        <v>37</v>
      </c>
      <c r="M327" t="s">
        <v>20</v>
      </c>
      <c r="N327">
        <v>2</v>
      </c>
      <c r="O327">
        <v>1028</v>
      </c>
      <c r="P327">
        <v>1999</v>
      </c>
      <c r="Q327">
        <v>5</v>
      </c>
      <c r="R327">
        <v>200</v>
      </c>
      <c r="S327">
        <v>3798</v>
      </c>
      <c r="T327">
        <v>1742</v>
      </c>
      <c r="U327">
        <v>45.87</v>
      </c>
      <c r="V327" t="s">
        <v>21</v>
      </c>
    </row>
    <row r="328" spans="1:22" x14ac:dyDescent="0.35">
      <c r="A328" t="s">
        <v>5621</v>
      </c>
      <c r="B328" t="s">
        <v>53</v>
      </c>
      <c r="C328" t="s">
        <v>27</v>
      </c>
      <c r="D328" t="s">
        <v>5620</v>
      </c>
      <c r="E328" t="s">
        <v>5619</v>
      </c>
      <c r="F328" s="5">
        <v>45563</v>
      </c>
      <c r="G328" t="s">
        <v>126</v>
      </c>
      <c r="H328" t="s">
        <v>5618</v>
      </c>
      <c r="I328" t="s">
        <v>28</v>
      </c>
      <c r="J328" t="s">
        <v>201</v>
      </c>
      <c r="K328" t="s">
        <v>29</v>
      </c>
      <c r="L328" t="s">
        <v>25</v>
      </c>
      <c r="M328" t="s">
        <v>20</v>
      </c>
      <c r="N328">
        <v>1</v>
      </c>
      <c r="O328">
        <v>494</v>
      </c>
      <c r="P328">
        <v>699</v>
      </c>
      <c r="Q328">
        <v>10</v>
      </c>
      <c r="R328">
        <v>100</v>
      </c>
      <c r="S328">
        <v>599</v>
      </c>
      <c r="T328">
        <v>105</v>
      </c>
      <c r="U328">
        <v>17.53</v>
      </c>
      <c r="V328" t="s">
        <v>33</v>
      </c>
    </row>
    <row r="329" spans="1:22" x14ac:dyDescent="0.35">
      <c r="A329" t="s">
        <v>5617</v>
      </c>
      <c r="B329" t="s">
        <v>54</v>
      </c>
      <c r="C329" t="s">
        <v>27</v>
      </c>
      <c r="D329" t="s">
        <v>5616</v>
      </c>
      <c r="E329" t="s">
        <v>5615</v>
      </c>
      <c r="F329" s="5">
        <v>45452</v>
      </c>
      <c r="G329" t="s">
        <v>126</v>
      </c>
      <c r="H329" t="s">
        <v>2973</v>
      </c>
      <c r="I329" t="s">
        <v>17</v>
      </c>
      <c r="J329" t="s">
        <v>48</v>
      </c>
      <c r="K329" t="s">
        <v>48</v>
      </c>
      <c r="L329" t="s">
        <v>19</v>
      </c>
      <c r="M329" t="s">
        <v>19</v>
      </c>
      <c r="N329">
        <v>3</v>
      </c>
      <c r="O329">
        <v>409</v>
      </c>
      <c r="P329">
        <v>599</v>
      </c>
      <c r="Q329">
        <v>0</v>
      </c>
      <c r="R329">
        <v>0</v>
      </c>
      <c r="S329">
        <v>1797</v>
      </c>
      <c r="T329">
        <v>570</v>
      </c>
      <c r="U329">
        <v>31.72</v>
      </c>
      <c r="V329" t="s">
        <v>21</v>
      </c>
    </row>
    <row r="330" spans="1:22" x14ac:dyDescent="0.35">
      <c r="A330" t="s">
        <v>5614</v>
      </c>
      <c r="B330" t="s">
        <v>104</v>
      </c>
      <c r="C330" t="s">
        <v>27</v>
      </c>
      <c r="D330" t="s">
        <v>5613</v>
      </c>
      <c r="E330" t="s">
        <v>3890</v>
      </c>
      <c r="F330" s="5">
        <v>45617</v>
      </c>
      <c r="G330" t="s">
        <v>126</v>
      </c>
      <c r="H330" t="s">
        <v>5612</v>
      </c>
      <c r="I330" t="s">
        <v>28</v>
      </c>
      <c r="J330" t="s">
        <v>201</v>
      </c>
      <c r="K330" t="s">
        <v>29</v>
      </c>
      <c r="L330" t="s">
        <v>37</v>
      </c>
      <c r="M330" t="s">
        <v>20</v>
      </c>
      <c r="N330">
        <v>1</v>
      </c>
      <c r="O330">
        <v>270</v>
      </c>
      <c r="P330">
        <v>499</v>
      </c>
      <c r="Q330">
        <v>5</v>
      </c>
      <c r="R330">
        <v>100</v>
      </c>
      <c r="S330">
        <v>399</v>
      </c>
      <c r="T330">
        <v>129</v>
      </c>
      <c r="U330">
        <v>32.33</v>
      </c>
      <c r="V330" t="s">
        <v>21</v>
      </c>
    </row>
    <row r="331" spans="1:22" x14ac:dyDescent="0.35">
      <c r="A331" t="s">
        <v>5611</v>
      </c>
      <c r="B331" t="s">
        <v>79</v>
      </c>
      <c r="C331" t="s">
        <v>16</v>
      </c>
      <c r="D331" t="s">
        <v>5610</v>
      </c>
      <c r="E331" t="s">
        <v>5609</v>
      </c>
      <c r="F331" s="5">
        <v>45635</v>
      </c>
      <c r="G331" t="s">
        <v>126</v>
      </c>
      <c r="H331" t="s">
        <v>1150</v>
      </c>
      <c r="I331" t="s">
        <v>17</v>
      </c>
      <c r="J331" t="s">
        <v>55</v>
      </c>
      <c r="K331" t="s">
        <v>55</v>
      </c>
      <c r="L331" t="s">
        <v>25</v>
      </c>
      <c r="M331" t="s">
        <v>19</v>
      </c>
      <c r="N331">
        <v>1</v>
      </c>
      <c r="O331">
        <v>265</v>
      </c>
      <c r="P331">
        <v>499</v>
      </c>
      <c r="Q331">
        <v>0</v>
      </c>
      <c r="R331">
        <v>0</v>
      </c>
      <c r="S331">
        <v>499</v>
      </c>
      <c r="T331">
        <v>234</v>
      </c>
      <c r="U331">
        <v>46.89</v>
      </c>
      <c r="V331" t="s">
        <v>21</v>
      </c>
    </row>
    <row r="332" spans="1:22" x14ac:dyDescent="0.35">
      <c r="A332" t="s">
        <v>5608</v>
      </c>
      <c r="B332" t="s">
        <v>67</v>
      </c>
      <c r="C332" t="s">
        <v>27</v>
      </c>
      <c r="D332" t="s">
        <v>5607</v>
      </c>
      <c r="E332" t="s">
        <v>5606</v>
      </c>
      <c r="F332" s="5">
        <v>45572</v>
      </c>
      <c r="G332" t="s">
        <v>126</v>
      </c>
      <c r="H332" t="s">
        <v>1333</v>
      </c>
      <c r="I332" t="s">
        <v>23</v>
      </c>
      <c r="J332" t="s">
        <v>142</v>
      </c>
      <c r="K332" t="s">
        <v>43</v>
      </c>
      <c r="L332" t="s">
        <v>19</v>
      </c>
      <c r="M332" t="s">
        <v>20</v>
      </c>
      <c r="N332">
        <v>1</v>
      </c>
      <c r="O332">
        <v>1907</v>
      </c>
      <c r="P332">
        <v>2999</v>
      </c>
      <c r="Q332">
        <v>15</v>
      </c>
      <c r="R332">
        <v>500</v>
      </c>
      <c r="S332">
        <v>2499</v>
      </c>
      <c r="T332">
        <v>592</v>
      </c>
      <c r="U332">
        <v>23.69</v>
      </c>
      <c r="V332" t="s">
        <v>21</v>
      </c>
    </row>
    <row r="333" spans="1:22" x14ac:dyDescent="0.35">
      <c r="A333" t="s">
        <v>5605</v>
      </c>
      <c r="B333" t="s">
        <v>96</v>
      </c>
      <c r="C333" t="s">
        <v>16</v>
      </c>
      <c r="D333" t="s">
        <v>5604</v>
      </c>
      <c r="E333" t="s">
        <v>3026</v>
      </c>
      <c r="F333" s="5">
        <v>45496</v>
      </c>
      <c r="G333" t="s">
        <v>126</v>
      </c>
      <c r="H333" t="s">
        <v>1575</v>
      </c>
      <c r="I333" t="s">
        <v>17</v>
      </c>
      <c r="J333" t="s">
        <v>48</v>
      </c>
      <c r="K333" t="s">
        <v>48</v>
      </c>
      <c r="L333" t="s">
        <v>19</v>
      </c>
      <c r="M333" t="s">
        <v>19</v>
      </c>
      <c r="N333">
        <v>2</v>
      </c>
      <c r="O333">
        <v>215</v>
      </c>
      <c r="P333">
        <v>299</v>
      </c>
      <c r="Q333">
        <v>0</v>
      </c>
      <c r="R333">
        <v>0</v>
      </c>
      <c r="S333">
        <v>598</v>
      </c>
      <c r="T333">
        <v>168</v>
      </c>
      <c r="U333">
        <v>28.09</v>
      </c>
      <c r="V333" t="s">
        <v>21</v>
      </c>
    </row>
    <row r="334" spans="1:22" x14ac:dyDescent="0.35">
      <c r="A334" t="s">
        <v>5603</v>
      </c>
      <c r="B334" t="s">
        <v>49</v>
      </c>
      <c r="C334" t="s">
        <v>27</v>
      </c>
      <c r="D334" t="s">
        <v>5602</v>
      </c>
      <c r="E334" t="s">
        <v>5601</v>
      </c>
      <c r="F334" s="5">
        <v>45583</v>
      </c>
      <c r="G334" t="s">
        <v>126</v>
      </c>
      <c r="H334" t="s">
        <v>2823</v>
      </c>
      <c r="I334" t="s">
        <v>35</v>
      </c>
      <c r="J334" t="s">
        <v>39</v>
      </c>
      <c r="K334" t="s">
        <v>39</v>
      </c>
      <c r="L334" t="s">
        <v>37</v>
      </c>
      <c r="M334" t="s">
        <v>20</v>
      </c>
      <c r="N334">
        <v>1</v>
      </c>
      <c r="O334">
        <v>756</v>
      </c>
      <c r="P334">
        <v>1399</v>
      </c>
      <c r="Q334">
        <v>5</v>
      </c>
      <c r="R334">
        <v>100</v>
      </c>
      <c r="S334">
        <v>1299</v>
      </c>
      <c r="T334">
        <v>543</v>
      </c>
      <c r="U334">
        <v>41.8</v>
      </c>
      <c r="V334" t="s">
        <v>21</v>
      </c>
    </row>
    <row r="335" spans="1:22" x14ac:dyDescent="0.35">
      <c r="A335" t="s">
        <v>5600</v>
      </c>
      <c r="B335" t="s">
        <v>46</v>
      </c>
      <c r="C335" t="s">
        <v>16</v>
      </c>
      <c r="D335" t="s">
        <v>5599</v>
      </c>
      <c r="E335" t="s">
        <v>5598</v>
      </c>
      <c r="F335" s="5">
        <v>45506</v>
      </c>
      <c r="G335" t="s">
        <v>126</v>
      </c>
      <c r="H335" t="s">
        <v>1527</v>
      </c>
      <c r="I335" t="s">
        <v>17</v>
      </c>
      <c r="J335" t="s">
        <v>253</v>
      </c>
      <c r="K335" t="s">
        <v>72</v>
      </c>
      <c r="L335" t="s">
        <v>19</v>
      </c>
      <c r="M335" t="s">
        <v>20</v>
      </c>
      <c r="N335">
        <v>2</v>
      </c>
      <c r="O335">
        <v>353</v>
      </c>
      <c r="P335">
        <v>499</v>
      </c>
      <c r="Q335">
        <v>0</v>
      </c>
      <c r="R335">
        <v>0</v>
      </c>
      <c r="S335">
        <v>998</v>
      </c>
      <c r="T335">
        <v>292</v>
      </c>
      <c r="U335">
        <v>29.26</v>
      </c>
      <c r="V335" t="s">
        <v>21</v>
      </c>
    </row>
    <row r="336" spans="1:22" x14ac:dyDescent="0.35">
      <c r="A336" t="s">
        <v>5597</v>
      </c>
      <c r="B336" t="s">
        <v>82</v>
      </c>
      <c r="C336" t="s">
        <v>27</v>
      </c>
      <c r="D336" t="s">
        <v>5596</v>
      </c>
      <c r="E336" t="s">
        <v>5595</v>
      </c>
      <c r="F336" s="5">
        <v>45538</v>
      </c>
      <c r="G336" t="s">
        <v>126</v>
      </c>
      <c r="H336" t="s">
        <v>147</v>
      </c>
      <c r="I336" t="s">
        <v>31</v>
      </c>
      <c r="J336" t="s">
        <v>32</v>
      </c>
      <c r="K336" t="s">
        <v>32</v>
      </c>
      <c r="L336" t="s">
        <v>25</v>
      </c>
      <c r="M336" t="s">
        <v>19</v>
      </c>
      <c r="N336">
        <v>3</v>
      </c>
      <c r="O336">
        <v>740</v>
      </c>
      <c r="P336">
        <v>999</v>
      </c>
      <c r="Q336">
        <v>0</v>
      </c>
      <c r="R336">
        <v>0</v>
      </c>
      <c r="S336">
        <v>2997</v>
      </c>
      <c r="T336">
        <v>777</v>
      </c>
      <c r="U336">
        <v>25.93</v>
      </c>
      <c r="V336" t="s">
        <v>33</v>
      </c>
    </row>
    <row r="337" spans="1:22" x14ac:dyDescent="0.35">
      <c r="A337" t="s">
        <v>5594</v>
      </c>
      <c r="B337" t="s">
        <v>40</v>
      </c>
      <c r="C337" t="s">
        <v>27</v>
      </c>
      <c r="D337" t="s">
        <v>5593</v>
      </c>
      <c r="E337" t="s">
        <v>1453</v>
      </c>
      <c r="F337" s="5">
        <v>45512</v>
      </c>
      <c r="G337" t="s">
        <v>126</v>
      </c>
      <c r="H337" t="s">
        <v>5592</v>
      </c>
      <c r="I337" t="s">
        <v>28</v>
      </c>
      <c r="J337" t="s">
        <v>45</v>
      </c>
      <c r="K337" t="s">
        <v>45</v>
      </c>
      <c r="L337" t="s">
        <v>37</v>
      </c>
      <c r="M337" t="s">
        <v>20</v>
      </c>
      <c r="N337">
        <v>1</v>
      </c>
      <c r="O337">
        <v>896</v>
      </c>
      <c r="P337">
        <v>1599</v>
      </c>
      <c r="Q337">
        <v>5</v>
      </c>
      <c r="R337">
        <v>100</v>
      </c>
      <c r="S337">
        <v>1499</v>
      </c>
      <c r="T337">
        <v>603</v>
      </c>
      <c r="U337">
        <v>40.229999999999997</v>
      </c>
      <c r="V337" t="s">
        <v>21</v>
      </c>
    </row>
    <row r="338" spans="1:22" x14ac:dyDescent="0.35">
      <c r="A338" t="s">
        <v>5591</v>
      </c>
      <c r="B338" t="s">
        <v>88</v>
      </c>
      <c r="C338" t="s">
        <v>27</v>
      </c>
      <c r="D338" t="s">
        <v>5590</v>
      </c>
      <c r="E338" t="s">
        <v>5589</v>
      </c>
      <c r="F338" s="5">
        <v>45579</v>
      </c>
      <c r="G338" t="s">
        <v>126</v>
      </c>
      <c r="H338" t="s">
        <v>1777</v>
      </c>
      <c r="I338" t="s">
        <v>28</v>
      </c>
      <c r="J338" t="s">
        <v>45</v>
      </c>
      <c r="K338" t="s">
        <v>45</v>
      </c>
      <c r="L338" t="s">
        <v>19</v>
      </c>
      <c r="M338" t="s">
        <v>19</v>
      </c>
      <c r="N338">
        <v>1</v>
      </c>
      <c r="O338">
        <v>889</v>
      </c>
      <c r="P338">
        <v>1699</v>
      </c>
      <c r="Q338">
        <v>10</v>
      </c>
      <c r="R338">
        <v>200</v>
      </c>
      <c r="S338">
        <v>1499</v>
      </c>
      <c r="T338">
        <v>610</v>
      </c>
      <c r="U338">
        <v>40.69</v>
      </c>
      <c r="V338" t="s">
        <v>21</v>
      </c>
    </row>
    <row r="339" spans="1:22" x14ac:dyDescent="0.35">
      <c r="A339" t="s">
        <v>5588</v>
      </c>
      <c r="B339" t="s">
        <v>57</v>
      </c>
      <c r="C339" t="s">
        <v>27</v>
      </c>
      <c r="D339" t="s">
        <v>5587</v>
      </c>
      <c r="E339" t="s">
        <v>5586</v>
      </c>
      <c r="F339" s="5">
        <v>45536</v>
      </c>
      <c r="G339" t="s">
        <v>126</v>
      </c>
      <c r="H339" t="s">
        <v>2072</v>
      </c>
      <c r="I339" t="s">
        <v>23</v>
      </c>
      <c r="J339" t="s">
        <v>164</v>
      </c>
      <c r="K339" t="s">
        <v>24</v>
      </c>
      <c r="L339" t="s">
        <v>19</v>
      </c>
      <c r="M339" t="s">
        <v>19</v>
      </c>
      <c r="N339">
        <v>2</v>
      </c>
      <c r="O339">
        <v>1661</v>
      </c>
      <c r="P339">
        <v>2399</v>
      </c>
      <c r="Q339">
        <v>15</v>
      </c>
      <c r="R339">
        <v>800</v>
      </c>
      <c r="S339">
        <v>3998</v>
      </c>
      <c r="T339">
        <v>676</v>
      </c>
      <c r="U339">
        <v>16.91</v>
      </c>
      <c r="V339" t="s">
        <v>21</v>
      </c>
    </row>
    <row r="340" spans="1:22" x14ac:dyDescent="0.35">
      <c r="A340" t="s">
        <v>5585</v>
      </c>
      <c r="B340" t="s">
        <v>63</v>
      </c>
      <c r="C340" t="s">
        <v>27</v>
      </c>
      <c r="D340" t="s">
        <v>5584</v>
      </c>
      <c r="E340" t="s">
        <v>5583</v>
      </c>
      <c r="F340" s="5">
        <v>45619</v>
      </c>
      <c r="G340" t="s">
        <v>126</v>
      </c>
      <c r="H340" t="s">
        <v>1679</v>
      </c>
      <c r="I340" t="s">
        <v>31</v>
      </c>
      <c r="J340" t="s">
        <v>32</v>
      </c>
      <c r="K340" t="s">
        <v>32</v>
      </c>
      <c r="L340" t="s">
        <v>25</v>
      </c>
      <c r="M340" t="s">
        <v>19</v>
      </c>
      <c r="N340">
        <v>1</v>
      </c>
      <c r="O340">
        <v>541</v>
      </c>
      <c r="P340">
        <v>899</v>
      </c>
      <c r="Q340">
        <v>0</v>
      </c>
      <c r="R340">
        <v>0</v>
      </c>
      <c r="S340">
        <v>899</v>
      </c>
      <c r="T340">
        <v>358</v>
      </c>
      <c r="U340">
        <v>39.82</v>
      </c>
      <c r="V340" t="s">
        <v>33</v>
      </c>
    </row>
    <row r="341" spans="1:22" x14ac:dyDescent="0.35">
      <c r="A341" t="s">
        <v>5582</v>
      </c>
      <c r="B341" t="s">
        <v>67</v>
      </c>
      <c r="C341" t="s">
        <v>27</v>
      </c>
      <c r="D341" t="s">
        <v>5581</v>
      </c>
      <c r="E341" t="s">
        <v>5580</v>
      </c>
      <c r="F341" s="5">
        <v>45584</v>
      </c>
      <c r="G341" t="s">
        <v>126</v>
      </c>
      <c r="H341" t="s">
        <v>5579</v>
      </c>
      <c r="I341" t="s">
        <v>23</v>
      </c>
      <c r="J341" t="s">
        <v>142</v>
      </c>
      <c r="K341" t="s">
        <v>43</v>
      </c>
      <c r="L341" t="s">
        <v>25</v>
      </c>
      <c r="M341" t="s">
        <v>19</v>
      </c>
      <c r="N341">
        <v>1</v>
      </c>
      <c r="O341">
        <v>2601</v>
      </c>
      <c r="P341">
        <v>3799</v>
      </c>
      <c r="Q341">
        <v>20</v>
      </c>
      <c r="R341">
        <v>800</v>
      </c>
      <c r="S341">
        <v>2999</v>
      </c>
      <c r="T341">
        <v>398</v>
      </c>
      <c r="U341">
        <v>13.27</v>
      </c>
      <c r="V341" t="s">
        <v>21</v>
      </c>
    </row>
    <row r="342" spans="1:22" x14ac:dyDescent="0.35">
      <c r="A342" t="s">
        <v>5578</v>
      </c>
      <c r="B342" t="s">
        <v>63</v>
      </c>
      <c r="C342" t="s">
        <v>27</v>
      </c>
      <c r="D342" t="s">
        <v>5577</v>
      </c>
      <c r="E342" t="s">
        <v>5576</v>
      </c>
      <c r="F342" s="5">
        <v>45586</v>
      </c>
      <c r="G342" t="s">
        <v>126</v>
      </c>
      <c r="H342" t="s">
        <v>395</v>
      </c>
      <c r="I342" t="s">
        <v>35</v>
      </c>
      <c r="J342" t="s">
        <v>214</v>
      </c>
      <c r="K342" t="s">
        <v>50</v>
      </c>
      <c r="L342" t="s">
        <v>19</v>
      </c>
      <c r="M342" t="s">
        <v>20</v>
      </c>
      <c r="N342">
        <v>4</v>
      </c>
      <c r="O342">
        <v>493</v>
      </c>
      <c r="P342">
        <v>899</v>
      </c>
      <c r="Q342">
        <v>5</v>
      </c>
      <c r="R342">
        <v>400</v>
      </c>
      <c r="S342">
        <v>3196</v>
      </c>
      <c r="T342">
        <v>1224</v>
      </c>
      <c r="U342">
        <v>38.299999999999997</v>
      </c>
      <c r="V342" t="s">
        <v>21</v>
      </c>
    </row>
    <row r="343" spans="1:22" x14ac:dyDescent="0.35">
      <c r="A343" t="s">
        <v>5575</v>
      </c>
      <c r="B343" t="s">
        <v>106</v>
      </c>
      <c r="C343" t="s">
        <v>27</v>
      </c>
      <c r="D343" t="s">
        <v>5574</v>
      </c>
      <c r="E343" t="s">
        <v>5573</v>
      </c>
      <c r="F343" s="5">
        <v>45657</v>
      </c>
      <c r="G343" t="s">
        <v>126</v>
      </c>
      <c r="H343" t="s">
        <v>1968</v>
      </c>
      <c r="I343" t="s">
        <v>31</v>
      </c>
      <c r="J343" t="s">
        <v>32</v>
      </c>
      <c r="K343" t="s">
        <v>32</v>
      </c>
      <c r="L343" t="s">
        <v>25</v>
      </c>
      <c r="M343" t="s">
        <v>19</v>
      </c>
      <c r="N343">
        <v>1</v>
      </c>
      <c r="O343">
        <v>654</v>
      </c>
      <c r="P343">
        <v>899</v>
      </c>
      <c r="Q343">
        <v>0</v>
      </c>
      <c r="R343">
        <v>0</v>
      </c>
      <c r="S343">
        <v>899</v>
      </c>
      <c r="T343">
        <v>245</v>
      </c>
      <c r="U343">
        <v>27.25</v>
      </c>
      <c r="V343" t="s">
        <v>21</v>
      </c>
    </row>
    <row r="344" spans="1:22" x14ac:dyDescent="0.35">
      <c r="A344" t="s">
        <v>5572</v>
      </c>
      <c r="B344" t="s">
        <v>66</v>
      </c>
      <c r="C344" t="s">
        <v>27</v>
      </c>
      <c r="D344" t="s">
        <v>5571</v>
      </c>
      <c r="E344" t="s">
        <v>5570</v>
      </c>
      <c r="F344" s="5">
        <v>45606</v>
      </c>
      <c r="G344" t="s">
        <v>126</v>
      </c>
      <c r="H344" t="s">
        <v>956</v>
      </c>
      <c r="I344" t="s">
        <v>17</v>
      </c>
      <c r="J344" t="s">
        <v>253</v>
      </c>
      <c r="K344" t="s">
        <v>72</v>
      </c>
      <c r="L344" t="s">
        <v>25</v>
      </c>
      <c r="M344" t="s">
        <v>20</v>
      </c>
      <c r="N344">
        <v>3</v>
      </c>
      <c r="O344">
        <v>276</v>
      </c>
      <c r="P344">
        <v>399</v>
      </c>
      <c r="Q344">
        <v>0</v>
      </c>
      <c r="R344">
        <v>0</v>
      </c>
      <c r="S344">
        <v>1197</v>
      </c>
      <c r="T344">
        <v>369</v>
      </c>
      <c r="U344">
        <v>30.83</v>
      </c>
      <c r="V344" t="s">
        <v>21</v>
      </c>
    </row>
    <row r="345" spans="1:22" x14ac:dyDescent="0.35">
      <c r="A345" t="s">
        <v>5569</v>
      </c>
      <c r="B345" t="s">
        <v>42</v>
      </c>
      <c r="C345" t="s">
        <v>27</v>
      </c>
      <c r="D345" t="s">
        <v>5568</v>
      </c>
      <c r="E345" t="s">
        <v>5567</v>
      </c>
      <c r="F345" s="5">
        <v>45561</v>
      </c>
      <c r="G345" t="s">
        <v>126</v>
      </c>
      <c r="H345" t="s">
        <v>1337</v>
      </c>
      <c r="I345" t="s">
        <v>23</v>
      </c>
      <c r="J345" t="s">
        <v>142</v>
      </c>
      <c r="K345" t="s">
        <v>43</v>
      </c>
      <c r="L345" t="s">
        <v>25</v>
      </c>
      <c r="M345" t="s">
        <v>20</v>
      </c>
      <c r="N345">
        <v>1</v>
      </c>
      <c r="O345">
        <v>1380</v>
      </c>
      <c r="P345">
        <v>1999</v>
      </c>
      <c r="Q345">
        <v>5</v>
      </c>
      <c r="R345">
        <v>100</v>
      </c>
      <c r="S345">
        <v>1899</v>
      </c>
      <c r="T345">
        <v>519</v>
      </c>
      <c r="U345">
        <v>27.33</v>
      </c>
      <c r="V345" t="s">
        <v>21</v>
      </c>
    </row>
    <row r="346" spans="1:22" x14ac:dyDescent="0.35">
      <c r="A346" t="s">
        <v>5566</v>
      </c>
      <c r="B346" t="s">
        <v>102</v>
      </c>
      <c r="C346" t="s">
        <v>27</v>
      </c>
      <c r="D346" t="s">
        <v>5565</v>
      </c>
      <c r="E346" t="s">
        <v>5564</v>
      </c>
      <c r="F346" s="5">
        <v>45536</v>
      </c>
      <c r="G346" t="s">
        <v>126</v>
      </c>
      <c r="H346" t="s">
        <v>2730</v>
      </c>
      <c r="I346" t="s">
        <v>31</v>
      </c>
      <c r="J346" t="s">
        <v>76</v>
      </c>
      <c r="K346" t="s">
        <v>76</v>
      </c>
      <c r="L346" t="s">
        <v>25</v>
      </c>
      <c r="M346" t="s">
        <v>20</v>
      </c>
      <c r="N346">
        <v>5</v>
      </c>
      <c r="O346">
        <v>586</v>
      </c>
      <c r="P346">
        <v>799</v>
      </c>
      <c r="Q346">
        <v>0</v>
      </c>
      <c r="R346">
        <v>0</v>
      </c>
      <c r="S346">
        <v>3995</v>
      </c>
      <c r="T346">
        <v>1065</v>
      </c>
      <c r="U346">
        <v>26.66</v>
      </c>
      <c r="V346" t="s">
        <v>33</v>
      </c>
    </row>
    <row r="347" spans="1:22" x14ac:dyDescent="0.35">
      <c r="A347" t="s">
        <v>5563</v>
      </c>
      <c r="B347" t="s">
        <v>78</v>
      </c>
      <c r="C347" t="s">
        <v>16</v>
      </c>
      <c r="D347" t="s">
        <v>5562</v>
      </c>
      <c r="E347" t="s">
        <v>5561</v>
      </c>
      <c r="F347" s="5">
        <v>45635</v>
      </c>
      <c r="G347" t="s">
        <v>126</v>
      </c>
      <c r="H347" t="s">
        <v>4496</v>
      </c>
      <c r="I347" t="s">
        <v>23</v>
      </c>
      <c r="J347" t="s">
        <v>142</v>
      </c>
      <c r="K347" t="s">
        <v>43</v>
      </c>
      <c r="L347" t="s">
        <v>25</v>
      </c>
      <c r="M347" t="s">
        <v>19</v>
      </c>
      <c r="N347">
        <v>1</v>
      </c>
      <c r="O347">
        <v>1872</v>
      </c>
      <c r="P347">
        <v>3199</v>
      </c>
      <c r="Q347">
        <v>20</v>
      </c>
      <c r="R347">
        <v>700</v>
      </c>
      <c r="S347">
        <v>2499</v>
      </c>
      <c r="T347">
        <v>627</v>
      </c>
      <c r="U347">
        <v>25.09</v>
      </c>
      <c r="V347" t="s">
        <v>33</v>
      </c>
    </row>
    <row r="348" spans="1:22" x14ac:dyDescent="0.35">
      <c r="A348" t="s">
        <v>5560</v>
      </c>
      <c r="B348" t="s">
        <v>85</v>
      </c>
      <c r="C348" t="s">
        <v>27</v>
      </c>
      <c r="D348" t="s">
        <v>5559</v>
      </c>
      <c r="E348" t="s">
        <v>5558</v>
      </c>
      <c r="F348" s="5">
        <v>45650</v>
      </c>
      <c r="G348" t="s">
        <v>126</v>
      </c>
      <c r="H348" t="s">
        <v>3313</v>
      </c>
      <c r="I348" t="s">
        <v>31</v>
      </c>
      <c r="J348" t="s">
        <v>76</v>
      </c>
      <c r="K348" t="s">
        <v>76</v>
      </c>
      <c r="L348" t="s">
        <v>37</v>
      </c>
      <c r="M348" t="s">
        <v>19</v>
      </c>
      <c r="N348">
        <v>1</v>
      </c>
      <c r="O348">
        <v>637</v>
      </c>
      <c r="P348">
        <v>999</v>
      </c>
      <c r="Q348">
        <v>0</v>
      </c>
      <c r="R348">
        <v>0</v>
      </c>
      <c r="S348">
        <v>999</v>
      </c>
      <c r="T348">
        <v>362</v>
      </c>
      <c r="U348">
        <v>36.24</v>
      </c>
      <c r="V348" t="s">
        <v>21</v>
      </c>
    </row>
    <row r="349" spans="1:22" x14ac:dyDescent="0.35">
      <c r="A349" t="s">
        <v>5557</v>
      </c>
      <c r="B349" t="s">
        <v>94</v>
      </c>
      <c r="C349" t="s">
        <v>16</v>
      </c>
      <c r="D349" t="s">
        <v>5556</v>
      </c>
      <c r="E349" t="s">
        <v>5555</v>
      </c>
      <c r="F349" s="5">
        <v>45512</v>
      </c>
      <c r="G349" t="s">
        <v>126</v>
      </c>
      <c r="H349" t="s">
        <v>2304</v>
      </c>
      <c r="I349" t="s">
        <v>23</v>
      </c>
      <c r="J349" t="s">
        <v>164</v>
      </c>
      <c r="K349" t="s">
        <v>24</v>
      </c>
      <c r="L349" t="s">
        <v>37</v>
      </c>
      <c r="M349" t="s">
        <v>19</v>
      </c>
      <c r="N349">
        <v>4</v>
      </c>
      <c r="O349">
        <v>626</v>
      </c>
      <c r="P349">
        <v>899</v>
      </c>
      <c r="Q349">
        <v>10</v>
      </c>
      <c r="R349">
        <v>400</v>
      </c>
      <c r="S349">
        <v>3196</v>
      </c>
      <c r="T349">
        <v>692</v>
      </c>
      <c r="U349">
        <v>21.65</v>
      </c>
      <c r="V349" t="s">
        <v>33</v>
      </c>
    </row>
    <row r="350" spans="1:22" x14ac:dyDescent="0.35">
      <c r="A350" t="s">
        <v>5554</v>
      </c>
      <c r="B350" t="s">
        <v>61</v>
      </c>
      <c r="C350" t="s">
        <v>27</v>
      </c>
      <c r="D350" t="s">
        <v>5553</v>
      </c>
      <c r="E350" t="s">
        <v>5552</v>
      </c>
      <c r="F350" s="5">
        <v>45645</v>
      </c>
      <c r="G350" t="s">
        <v>126</v>
      </c>
      <c r="H350" t="s">
        <v>5442</v>
      </c>
      <c r="I350" t="s">
        <v>23</v>
      </c>
      <c r="J350" t="s">
        <v>164</v>
      </c>
      <c r="K350" t="s">
        <v>24</v>
      </c>
      <c r="L350" t="s">
        <v>37</v>
      </c>
      <c r="M350" t="s">
        <v>20</v>
      </c>
      <c r="N350">
        <v>1</v>
      </c>
      <c r="O350">
        <v>599</v>
      </c>
      <c r="P350">
        <v>1099</v>
      </c>
      <c r="Q350">
        <v>5</v>
      </c>
      <c r="R350">
        <v>100</v>
      </c>
      <c r="S350">
        <v>999</v>
      </c>
      <c r="T350">
        <v>400</v>
      </c>
      <c r="U350">
        <v>40.04</v>
      </c>
      <c r="V350" t="s">
        <v>21</v>
      </c>
    </row>
    <row r="351" spans="1:22" x14ac:dyDescent="0.35">
      <c r="A351" t="s">
        <v>5551</v>
      </c>
      <c r="B351" t="s">
        <v>83</v>
      </c>
      <c r="C351" t="s">
        <v>27</v>
      </c>
      <c r="D351" t="s">
        <v>5550</v>
      </c>
      <c r="E351" t="s">
        <v>2820</v>
      </c>
      <c r="F351" s="5">
        <v>45554</v>
      </c>
      <c r="G351" t="s">
        <v>126</v>
      </c>
      <c r="H351" t="s">
        <v>2861</v>
      </c>
      <c r="I351" t="s">
        <v>23</v>
      </c>
      <c r="J351" t="s">
        <v>142</v>
      </c>
      <c r="K351" t="s">
        <v>43</v>
      </c>
      <c r="L351" t="s">
        <v>19</v>
      </c>
      <c r="M351" t="s">
        <v>19</v>
      </c>
      <c r="N351">
        <v>3</v>
      </c>
      <c r="O351">
        <v>1432</v>
      </c>
      <c r="P351">
        <v>2599</v>
      </c>
      <c r="Q351">
        <v>15</v>
      </c>
      <c r="R351">
        <v>1200</v>
      </c>
      <c r="S351">
        <v>6597</v>
      </c>
      <c r="T351">
        <v>2301</v>
      </c>
      <c r="U351">
        <v>34.880000000000003</v>
      </c>
      <c r="V351" t="s">
        <v>21</v>
      </c>
    </row>
    <row r="352" spans="1:22" x14ac:dyDescent="0.35">
      <c r="A352" t="s">
        <v>5549</v>
      </c>
      <c r="B352" t="s">
        <v>47</v>
      </c>
      <c r="C352" t="s">
        <v>16</v>
      </c>
      <c r="D352" t="s">
        <v>5548</v>
      </c>
      <c r="E352" t="s">
        <v>5547</v>
      </c>
      <c r="F352" s="5">
        <v>45563</v>
      </c>
      <c r="G352" t="s">
        <v>126</v>
      </c>
      <c r="H352" t="s">
        <v>5546</v>
      </c>
      <c r="I352" t="s">
        <v>28</v>
      </c>
      <c r="J352" t="s">
        <v>201</v>
      </c>
      <c r="K352" t="s">
        <v>29</v>
      </c>
      <c r="L352" t="s">
        <v>25</v>
      </c>
      <c r="M352" t="s">
        <v>20</v>
      </c>
      <c r="N352">
        <v>1</v>
      </c>
      <c r="O352">
        <v>448</v>
      </c>
      <c r="P352">
        <v>599</v>
      </c>
      <c r="Q352">
        <v>10</v>
      </c>
      <c r="R352">
        <v>100</v>
      </c>
      <c r="S352">
        <v>499</v>
      </c>
      <c r="T352">
        <v>51</v>
      </c>
      <c r="U352">
        <v>10.220000000000001</v>
      </c>
      <c r="V352" t="s">
        <v>21</v>
      </c>
    </row>
    <row r="353" spans="1:22" x14ac:dyDescent="0.35">
      <c r="A353" t="s">
        <v>5545</v>
      </c>
      <c r="B353" t="s">
        <v>96</v>
      </c>
      <c r="C353" t="s">
        <v>16</v>
      </c>
      <c r="D353" t="s">
        <v>5544</v>
      </c>
      <c r="E353" t="s">
        <v>5543</v>
      </c>
      <c r="F353" s="5">
        <v>45541</v>
      </c>
      <c r="G353" t="s">
        <v>126</v>
      </c>
      <c r="H353" t="s">
        <v>2687</v>
      </c>
      <c r="I353" t="s">
        <v>35</v>
      </c>
      <c r="J353" t="s">
        <v>159</v>
      </c>
      <c r="K353" t="s">
        <v>100</v>
      </c>
      <c r="L353" t="s">
        <v>19</v>
      </c>
      <c r="M353" t="s">
        <v>19</v>
      </c>
      <c r="N353">
        <v>3</v>
      </c>
      <c r="O353">
        <v>766</v>
      </c>
      <c r="P353">
        <v>1299</v>
      </c>
      <c r="Q353">
        <v>20</v>
      </c>
      <c r="R353">
        <v>900</v>
      </c>
      <c r="S353">
        <v>2997</v>
      </c>
      <c r="T353">
        <v>699</v>
      </c>
      <c r="U353">
        <v>23.32</v>
      </c>
      <c r="V353" t="s">
        <v>21</v>
      </c>
    </row>
    <row r="354" spans="1:22" x14ac:dyDescent="0.35">
      <c r="A354" t="s">
        <v>5542</v>
      </c>
      <c r="B354" t="s">
        <v>54</v>
      </c>
      <c r="C354" t="s">
        <v>27</v>
      </c>
      <c r="D354" t="s">
        <v>5541</v>
      </c>
      <c r="E354" t="s">
        <v>5540</v>
      </c>
      <c r="F354" s="5">
        <v>45480</v>
      </c>
      <c r="G354" t="s">
        <v>126</v>
      </c>
      <c r="H354" t="s">
        <v>333</v>
      </c>
      <c r="I354" t="s">
        <v>35</v>
      </c>
      <c r="J354" t="s">
        <v>214</v>
      </c>
      <c r="K354" t="s">
        <v>50</v>
      </c>
      <c r="L354" t="s">
        <v>25</v>
      </c>
      <c r="M354" t="s">
        <v>20</v>
      </c>
      <c r="N354">
        <v>1</v>
      </c>
      <c r="O354">
        <v>917</v>
      </c>
      <c r="P354">
        <v>1799</v>
      </c>
      <c r="Q354">
        <v>15</v>
      </c>
      <c r="R354">
        <v>300</v>
      </c>
      <c r="S354">
        <v>1499</v>
      </c>
      <c r="T354">
        <v>582</v>
      </c>
      <c r="U354">
        <v>38.83</v>
      </c>
      <c r="V354" t="s">
        <v>33</v>
      </c>
    </row>
    <row r="355" spans="1:22" x14ac:dyDescent="0.35">
      <c r="A355" t="s">
        <v>5539</v>
      </c>
      <c r="B355" t="s">
        <v>69</v>
      </c>
      <c r="C355" t="s">
        <v>16</v>
      </c>
      <c r="D355" t="s">
        <v>5538</v>
      </c>
      <c r="E355" t="s">
        <v>5537</v>
      </c>
      <c r="F355" s="5">
        <v>45541</v>
      </c>
      <c r="G355" t="s">
        <v>126</v>
      </c>
      <c r="H355" t="s">
        <v>1142</v>
      </c>
      <c r="I355" t="s">
        <v>31</v>
      </c>
      <c r="J355" t="s">
        <v>76</v>
      </c>
      <c r="K355" t="s">
        <v>76</v>
      </c>
      <c r="L355" t="s">
        <v>37</v>
      </c>
      <c r="M355" t="s">
        <v>20</v>
      </c>
      <c r="N355">
        <v>1</v>
      </c>
      <c r="O355">
        <v>679</v>
      </c>
      <c r="P355">
        <v>1199</v>
      </c>
      <c r="Q355">
        <v>0</v>
      </c>
      <c r="R355">
        <v>0</v>
      </c>
      <c r="S355">
        <v>1199</v>
      </c>
      <c r="T355">
        <v>520</v>
      </c>
      <c r="U355">
        <v>43.37</v>
      </c>
      <c r="V355" t="s">
        <v>21</v>
      </c>
    </row>
    <row r="356" spans="1:22" x14ac:dyDescent="0.35">
      <c r="A356" t="s">
        <v>5536</v>
      </c>
      <c r="B356" t="s">
        <v>81</v>
      </c>
      <c r="C356" t="s">
        <v>27</v>
      </c>
      <c r="D356" t="s">
        <v>5535</v>
      </c>
      <c r="E356" t="s">
        <v>3901</v>
      </c>
      <c r="F356" s="5">
        <v>45535</v>
      </c>
      <c r="G356" t="s">
        <v>126</v>
      </c>
      <c r="H356" t="s">
        <v>2370</v>
      </c>
      <c r="I356" t="s">
        <v>17</v>
      </c>
      <c r="J356" t="s">
        <v>235</v>
      </c>
      <c r="K356" t="s">
        <v>18</v>
      </c>
      <c r="L356" t="s">
        <v>25</v>
      </c>
      <c r="M356" t="s">
        <v>19</v>
      </c>
      <c r="N356">
        <v>1</v>
      </c>
      <c r="O356">
        <v>447</v>
      </c>
      <c r="P356">
        <v>599</v>
      </c>
      <c r="Q356">
        <v>0</v>
      </c>
      <c r="R356">
        <v>0</v>
      </c>
      <c r="S356">
        <v>599</v>
      </c>
      <c r="T356">
        <v>152</v>
      </c>
      <c r="U356">
        <v>25.38</v>
      </c>
      <c r="V356" t="s">
        <v>33</v>
      </c>
    </row>
    <row r="357" spans="1:22" x14ac:dyDescent="0.35">
      <c r="A357" t="s">
        <v>5534</v>
      </c>
      <c r="B357" t="s">
        <v>52</v>
      </c>
      <c r="C357" t="s">
        <v>27</v>
      </c>
      <c r="D357" t="s">
        <v>5533</v>
      </c>
      <c r="E357" t="s">
        <v>5532</v>
      </c>
      <c r="F357" s="5">
        <v>45532</v>
      </c>
      <c r="G357" t="s">
        <v>126</v>
      </c>
      <c r="H357" t="s">
        <v>5531</v>
      </c>
      <c r="I357" t="s">
        <v>31</v>
      </c>
      <c r="J357" t="s">
        <v>32</v>
      </c>
      <c r="K357" t="s">
        <v>32</v>
      </c>
      <c r="L357" t="s">
        <v>25</v>
      </c>
      <c r="M357" t="s">
        <v>19</v>
      </c>
      <c r="N357">
        <v>1</v>
      </c>
      <c r="O357">
        <v>709</v>
      </c>
      <c r="P357">
        <v>999</v>
      </c>
      <c r="Q357">
        <v>0</v>
      </c>
      <c r="R357">
        <v>0</v>
      </c>
      <c r="S357">
        <v>999</v>
      </c>
      <c r="T357">
        <v>290</v>
      </c>
      <c r="U357">
        <v>29.03</v>
      </c>
      <c r="V357" t="s">
        <v>33</v>
      </c>
    </row>
    <row r="358" spans="1:22" x14ac:dyDescent="0.35">
      <c r="A358" t="s">
        <v>5530</v>
      </c>
      <c r="B358" t="s">
        <v>63</v>
      </c>
      <c r="C358" t="s">
        <v>27</v>
      </c>
      <c r="D358" t="s">
        <v>5529</v>
      </c>
      <c r="E358" t="s">
        <v>5528</v>
      </c>
      <c r="F358" s="5">
        <v>45623</v>
      </c>
      <c r="G358" t="s">
        <v>126</v>
      </c>
      <c r="H358" t="s">
        <v>5341</v>
      </c>
      <c r="I358" t="s">
        <v>35</v>
      </c>
      <c r="J358" t="s">
        <v>214</v>
      </c>
      <c r="K358" t="s">
        <v>87</v>
      </c>
      <c r="L358" t="s">
        <v>25</v>
      </c>
      <c r="M358" t="s">
        <v>20</v>
      </c>
      <c r="N358">
        <v>3</v>
      </c>
      <c r="O358">
        <v>1283</v>
      </c>
      <c r="P358">
        <v>2299</v>
      </c>
      <c r="Q358">
        <v>10</v>
      </c>
      <c r="R358">
        <v>900</v>
      </c>
      <c r="S358">
        <v>5997</v>
      </c>
      <c r="T358">
        <v>2148</v>
      </c>
      <c r="U358">
        <v>35.82</v>
      </c>
      <c r="V358" t="s">
        <v>21</v>
      </c>
    </row>
    <row r="359" spans="1:22" x14ac:dyDescent="0.35">
      <c r="A359" t="s">
        <v>5527</v>
      </c>
      <c r="B359" t="s">
        <v>88</v>
      </c>
      <c r="C359" t="s">
        <v>27</v>
      </c>
      <c r="D359" t="s">
        <v>5526</v>
      </c>
      <c r="E359" t="s">
        <v>5525</v>
      </c>
      <c r="F359" s="5">
        <v>45461</v>
      </c>
      <c r="G359" t="s">
        <v>126</v>
      </c>
      <c r="H359" t="s">
        <v>2946</v>
      </c>
      <c r="I359" t="s">
        <v>17</v>
      </c>
      <c r="J359" t="s">
        <v>55</v>
      </c>
      <c r="K359" t="s">
        <v>55</v>
      </c>
      <c r="L359" t="s">
        <v>37</v>
      </c>
      <c r="M359" t="s">
        <v>19</v>
      </c>
      <c r="N359">
        <v>3</v>
      </c>
      <c r="O359">
        <v>410</v>
      </c>
      <c r="P359">
        <v>799</v>
      </c>
      <c r="Q359">
        <v>0</v>
      </c>
      <c r="R359">
        <v>0</v>
      </c>
      <c r="S359">
        <v>2397</v>
      </c>
      <c r="T359">
        <v>1167</v>
      </c>
      <c r="U359">
        <v>48.69</v>
      </c>
      <c r="V359" t="s">
        <v>21</v>
      </c>
    </row>
    <row r="360" spans="1:22" x14ac:dyDescent="0.35">
      <c r="A360" t="s">
        <v>5524</v>
      </c>
      <c r="B360" t="s">
        <v>106</v>
      </c>
      <c r="C360" t="s">
        <v>27</v>
      </c>
      <c r="D360" t="s">
        <v>5523</v>
      </c>
      <c r="E360" t="s">
        <v>5522</v>
      </c>
      <c r="F360" s="5">
        <v>45525</v>
      </c>
      <c r="G360" t="s">
        <v>126</v>
      </c>
      <c r="H360" t="s">
        <v>810</v>
      </c>
      <c r="I360" t="s">
        <v>35</v>
      </c>
      <c r="J360" t="s">
        <v>39</v>
      </c>
      <c r="K360" t="s">
        <v>39</v>
      </c>
      <c r="L360" t="s">
        <v>19</v>
      </c>
      <c r="M360" t="s">
        <v>20</v>
      </c>
      <c r="N360">
        <v>2</v>
      </c>
      <c r="O360">
        <v>914</v>
      </c>
      <c r="P360">
        <v>1299</v>
      </c>
      <c r="Q360">
        <v>20</v>
      </c>
      <c r="R360">
        <v>600</v>
      </c>
      <c r="S360">
        <v>1998</v>
      </c>
      <c r="T360">
        <v>170</v>
      </c>
      <c r="U360">
        <v>8.51</v>
      </c>
      <c r="V360" t="s">
        <v>33</v>
      </c>
    </row>
    <row r="361" spans="1:22" x14ac:dyDescent="0.35">
      <c r="A361" t="s">
        <v>5521</v>
      </c>
      <c r="B361" t="s">
        <v>90</v>
      </c>
      <c r="C361" t="s">
        <v>27</v>
      </c>
      <c r="D361" t="s">
        <v>5520</v>
      </c>
      <c r="E361" t="s">
        <v>5519</v>
      </c>
      <c r="F361" s="5">
        <v>45573</v>
      </c>
      <c r="G361" t="s">
        <v>126</v>
      </c>
      <c r="H361" t="s">
        <v>2318</v>
      </c>
      <c r="I361" t="s">
        <v>23</v>
      </c>
      <c r="J361" t="s">
        <v>142</v>
      </c>
      <c r="K361" t="s">
        <v>43</v>
      </c>
      <c r="L361" t="s">
        <v>25</v>
      </c>
      <c r="M361" t="s">
        <v>19</v>
      </c>
      <c r="N361">
        <v>1</v>
      </c>
      <c r="O361">
        <v>2317</v>
      </c>
      <c r="P361">
        <v>3399</v>
      </c>
      <c r="Q361">
        <v>10</v>
      </c>
      <c r="R361">
        <v>400</v>
      </c>
      <c r="S361">
        <v>2999</v>
      </c>
      <c r="T361">
        <v>682</v>
      </c>
      <c r="U361">
        <v>22.74</v>
      </c>
      <c r="V361" t="s">
        <v>21</v>
      </c>
    </row>
    <row r="362" spans="1:22" x14ac:dyDescent="0.35">
      <c r="A362" t="s">
        <v>5518</v>
      </c>
      <c r="B362" t="s">
        <v>67</v>
      </c>
      <c r="C362" t="s">
        <v>27</v>
      </c>
      <c r="D362" t="s">
        <v>5517</v>
      </c>
      <c r="E362" t="s">
        <v>5516</v>
      </c>
      <c r="F362" s="5">
        <v>45527</v>
      </c>
      <c r="G362" t="s">
        <v>126</v>
      </c>
      <c r="H362" t="s">
        <v>1492</v>
      </c>
      <c r="I362" t="s">
        <v>35</v>
      </c>
      <c r="J362" t="s">
        <v>214</v>
      </c>
      <c r="K362" t="s">
        <v>87</v>
      </c>
      <c r="L362" t="s">
        <v>25</v>
      </c>
      <c r="M362" t="s">
        <v>20</v>
      </c>
      <c r="N362">
        <v>2</v>
      </c>
      <c r="O362">
        <v>2120</v>
      </c>
      <c r="P362">
        <v>3799</v>
      </c>
      <c r="Q362">
        <v>20</v>
      </c>
      <c r="R362">
        <v>1600</v>
      </c>
      <c r="S362">
        <v>5998</v>
      </c>
      <c r="T362">
        <v>1758</v>
      </c>
      <c r="U362">
        <v>29.31</v>
      </c>
      <c r="V362" t="s">
        <v>21</v>
      </c>
    </row>
    <row r="363" spans="1:22" x14ac:dyDescent="0.35">
      <c r="A363" t="s">
        <v>5515</v>
      </c>
      <c r="B363" t="s">
        <v>95</v>
      </c>
      <c r="C363" t="s">
        <v>27</v>
      </c>
      <c r="D363" t="s">
        <v>5514</v>
      </c>
      <c r="E363" t="s">
        <v>774</v>
      </c>
      <c r="F363" s="5">
        <v>45444</v>
      </c>
      <c r="G363" t="s">
        <v>126</v>
      </c>
      <c r="H363" t="s">
        <v>5513</v>
      </c>
      <c r="I363" t="s">
        <v>28</v>
      </c>
      <c r="J363" t="s">
        <v>45</v>
      </c>
      <c r="K363" t="s">
        <v>45</v>
      </c>
      <c r="L363" t="s">
        <v>19</v>
      </c>
      <c r="M363" t="s">
        <v>19</v>
      </c>
      <c r="N363">
        <v>5</v>
      </c>
      <c r="O363">
        <v>794</v>
      </c>
      <c r="P363">
        <v>1099</v>
      </c>
      <c r="Q363">
        <v>5</v>
      </c>
      <c r="R363">
        <v>500</v>
      </c>
      <c r="S363">
        <v>4995</v>
      </c>
      <c r="T363">
        <v>1025</v>
      </c>
      <c r="U363">
        <v>20.52</v>
      </c>
      <c r="V363" t="s">
        <v>21</v>
      </c>
    </row>
    <row r="364" spans="1:22" x14ac:dyDescent="0.35">
      <c r="A364" t="s">
        <v>5512</v>
      </c>
      <c r="B364" t="s">
        <v>54</v>
      </c>
      <c r="C364" t="s">
        <v>27</v>
      </c>
      <c r="D364" t="s">
        <v>5511</v>
      </c>
      <c r="E364" t="s">
        <v>5510</v>
      </c>
      <c r="F364" s="5">
        <v>45468</v>
      </c>
      <c r="G364" t="s">
        <v>126</v>
      </c>
      <c r="H364" t="s">
        <v>262</v>
      </c>
      <c r="I364" t="s">
        <v>35</v>
      </c>
      <c r="J364" t="s">
        <v>159</v>
      </c>
      <c r="K364" t="s">
        <v>100</v>
      </c>
      <c r="L364" t="s">
        <v>19</v>
      </c>
      <c r="M364" t="s">
        <v>20</v>
      </c>
      <c r="N364">
        <v>1</v>
      </c>
      <c r="O364">
        <v>1303</v>
      </c>
      <c r="P364">
        <v>1799</v>
      </c>
      <c r="Q364">
        <v>15</v>
      </c>
      <c r="R364">
        <v>300</v>
      </c>
      <c r="S364">
        <v>1499</v>
      </c>
      <c r="T364">
        <v>196</v>
      </c>
      <c r="U364">
        <v>13.08</v>
      </c>
      <c r="V364" t="s">
        <v>21</v>
      </c>
    </row>
    <row r="365" spans="1:22" x14ac:dyDescent="0.35">
      <c r="A365" t="s">
        <v>5509</v>
      </c>
      <c r="B365" t="s">
        <v>104</v>
      </c>
      <c r="C365" t="s">
        <v>27</v>
      </c>
      <c r="D365" t="s">
        <v>5508</v>
      </c>
      <c r="E365" t="s">
        <v>5507</v>
      </c>
      <c r="F365" s="5">
        <v>45522</v>
      </c>
      <c r="G365" t="s">
        <v>126</v>
      </c>
      <c r="H365" t="s">
        <v>5187</v>
      </c>
      <c r="I365" t="s">
        <v>28</v>
      </c>
      <c r="J365" t="s">
        <v>201</v>
      </c>
      <c r="K365" t="s">
        <v>29</v>
      </c>
      <c r="L365" t="s">
        <v>19</v>
      </c>
      <c r="M365" t="s">
        <v>19</v>
      </c>
      <c r="N365">
        <v>2</v>
      </c>
      <c r="O365">
        <v>524</v>
      </c>
      <c r="P365">
        <v>799</v>
      </c>
      <c r="Q365">
        <v>15</v>
      </c>
      <c r="R365">
        <v>400</v>
      </c>
      <c r="S365">
        <v>1198</v>
      </c>
      <c r="T365">
        <v>150</v>
      </c>
      <c r="U365">
        <v>12.52</v>
      </c>
      <c r="V365" t="s">
        <v>33</v>
      </c>
    </row>
    <row r="366" spans="1:22" x14ac:dyDescent="0.35">
      <c r="A366" t="s">
        <v>5506</v>
      </c>
      <c r="B366" t="s">
        <v>63</v>
      </c>
      <c r="C366" t="s">
        <v>27</v>
      </c>
      <c r="D366" t="s">
        <v>5505</v>
      </c>
      <c r="E366" t="s">
        <v>1959</v>
      </c>
      <c r="F366" s="5">
        <v>45588</v>
      </c>
      <c r="G366" t="s">
        <v>126</v>
      </c>
      <c r="H366" t="s">
        <v>2185</v>
      </c>
      <c r="I366" t="s">
        <v>23</v>
      </c>
      <c r="J366" t="s">
        <v>164</v>
      </c>
      <c r="K366" t="s">
        <v>24</v>
      </c>
      <c r="L366" t="s">
        <v>19</v>
      </c>
      <c r="M366" t="s">
        <v>19</v>
      </c>
      <c r="N366">
        <v>2</v>
      </c>
      <c r="O366">
        <v>1016</v>
      </c>
      <c r="P366">
        <v>1399</v>
      </c>
      <c r="Q366">
        <v>10</v>
      </c>
      <c r="R366">
        <v>400</v>
      </c>
      <c r="S366">
        <v>2398</v>
      </c>
      <c r="T366">
        <v>366</v>
      </c>
      <c r="U366">
        <v>15.26</v>
      </c>
      <c r="V366" t="s">
        <v>21</v>
      </c>
    </row>
    <row r="367" spans="1:22" x14ac:dyDescent="0.35">
      <c r="A367" t="s">
        <v>5504</v>
      </c>
      <c r="B367" t="s">
        <v>52</v>
      </c>
      <c r="C367" t="s">
        <v>27</v>
      </c>
      <c r="D367" t="s">
        <v>5503</v>
      </c>
      <c r="E367" t="s">
        <v>969</v>
      </c>
      <c r="F367" s="5">
        <v>45498</v>
      </c>
      <c r="G367" t="s">
        <v>126</v>
      </c>
      <c r="H367" t="s">
        <v>5502</v>
      </c>
      <c r="I367" t="s">
        <v>28</v>
      </c>
      <c r="J367" t="s">
        <v>201</v>
      </c>
      <c r="K367" t="s">
        <v>29</v>
      </c>
      <c r="L367" t="s">
        <v>25</v>
      </c>
      <c r="M367" t="s">
        <v>19</v>
      </c>
      <c r="N367">
        <v>4</v>
      </c>
      <c r="O367">
        <v>361</v>
      </c>
      <c r="P367">
        <v>499</v>
      </c>
      <c r="Q367">
        <v>5</v>
      </c>
      <c r="R367">
        <v>200</v>
      </c>
      <c r="S367">
        <v>1796</v>
      </c>
      <c r="T367">
        <v>352</v>
      </c>
      <c r="U367">
        <v>19.600000000000001</v>
      </c>
      <c r="V367" t="s">
        <v>21</v>
      </c>
    </row>
    <row r="368" spans="1:22" x14ac:dyDescent="0.35">
      <c r="A368" t="s">
        <v>5501</v>
      </c>
      <c r="B368" t="s">
        <v>34</v>
      </c>
      <c r="C368" t="s">
        <v>27</v>
      </c>
      <c r="D368" t="s">
        <v>5500</v>
      </c>
      <c r="E368" t="s">
        <v>5499</v>
      </c>
      <c r="F368" s="5">
        <v>45603</v>
      </c>
      <c r="G368" t="s">
        <v>126</v>
      </c>
      <c r="H368" t="s">
        <v>512</v>
      </c>
      <c r="I368" t="s">
        <v>31</v>
      </c>
      <c r="J368" t="s">
        <v>32</v>
      </c>
      <c r="K368" t="s">
        <v>32</v>
      </c>
      <c r="L368" t="s">
        <v>25</v>
      </c>
      <c r="M368" t="s">
        <v>20</v>
      </c>
      <c r="N368">
        <v>3</v>
      </c>
      <c r="O368">
        <v>565</v>
      </c>
      <c r="P368">
        <v>899</v>
      </c>
      <c r="Q368">
        <v>0</v>
      </c>
      <c r="R368">
        <v>0</v>
      </c>
      <c r="S368">
        <v>2697</v>
      </c>
      <c r="T368">
        <v>1002</v>
      </c>
      <c r="U368">
        <v>37.15</v>
      </c>
      <c r="V368" t="s">
        <v>33</v>
      </c>
    </row>
    <row r="369" spans="1:22" x14ac:dyDescent="0.35">
      <c r="A369" t="s">
        <v>5498</v>
      </c>
      <c r="B369" t="s">
        <v>71</v>
      </c>
      <c r="C369" t="s">
        <v>16</v>
      </c>
      <c r="D369" t="s">
        <v>5497</v>
      </c>
      <c r="E369" t="s">
        <v>139</v>
      </c>
      <c r="F369" s="5">
        <v>45584</v>
      </c>
      <c r="G369" t="s">
        <v>126</v>
      </c>
      <c r="H369" t="s">
        <v>2454</v>
      </c>
      <c r="I369" t="s">
        <v>17</v>
      </c>
      <c r="J369" t="s">
        <v>55</v>
      </c>
      <c r="K369" t="s">
        <v>55</v>
      </c>
      <c r="L369" t="s">
        <v>37</v>
      </c>
      <c r="M369" t="s">
        <v>19</v>
      </c>
      <c r="N369">
        <v>4</v>
      </c>
      <c r="O369">
        <v>403</v>
      </c>
      <c r="P369">
        <v>699</v>
      </c>
      <c r="Q369">
        <v>0</v>
      </c>
      <c r="R369">
        <v>0</v>
      </c>
      <c r="S369">
        <v>2796</v>
      </c>
      <c r="T369">
        <v>1184</v>
      </c>
      <c r="U369">
        <v>42.35</v>
      </c>
      <c r="V369" t="s">
        <v>33</v>
      </c>
    </row>
    <row r="370" spans="1:22" x14ac:dyDescent="0.35">
      <c r="A370" t="s">
        <v>5496</v>
      </c>
      <c r="B370" t="s">
        <v>42</v>
      </c>
      <c r="C370" t="s">
        <v>27</v>
      </c>
      <c r="D370" t="s">
        <v>5495</v>
      </c>
      <c r="E370" t="s">
        <v>5494</v>
      </c>
      <c r="F370" s="5">
        <v>45601</v>
      </c>
      <c r="G370" t="s">
        <v>126</v>
      </c>
      <c r="H370" t="s">
        <v>738</v>
      </c>
      <c r="I370" t="s">
        <v>35</v>
      </c>
      <c r="J370" t="s">
        <v>39</v>
      </c>
      <c r="K370" t="s">
        <v>39</v>
      </c>
      <c r="L370" t="s">
        <v>37</v>
      </c>
      <c r="M370" t="s">
        <v>19</v>
      </c>
      <c r="N370">
        <v>2</v>
      </c>
      <c r="O370">
        <v>847</v>
      </c>
      <c r="P370">
        <v>1199</v>
      </c>
      <c r="Q370">
        <v>10</v>
      </c>
      <c r="R370">
        <v>400</v>
      </c>
      <c r="S370">
        <v>1998</v>
      </c>
      <c r="T370">
        <v>304</v>
      </c>
      <c r="U370">
        <v>15.22</v>
      </c>
      <c r="V370" t="s">
        <v>33</v>
      </c>
    </row>
    <row r="371" spans="1:22" x14ac:dyDescent="0.35">
      <c r="A371" t="s">
        <v>5493</v>
      </c>
      <c r="B371" t="s">
        <v>82</v>
      </c>
      <c r="C371" t="s">
        <v>27</v>
      </c>
      <c r="D371" t="s">
        <v>5492</v>
      </c>
      <c r="E371" t="s">
        <v>5491</v>
      </c>
      <c r="F371" s="5">
        <v>45456</v>
      </c>
      <c r="G371" t="s">
        <v>126</v>
      </c>
      <c r="H371" t="s">
        <v>1414</v>
      </c>
      <c r="I371" t="s">
        <v>17</v>
      </c>
      <c r="J371" t="s">
        <v>55</v>
      </c>
      <c r="K371" t="s">
        <v>55</v>
      </c>
      <c r="L371" t="s">
        <v>19</v>
      </c>
      <c r="M371" t="s">
        <v>19</v>
      </c>
      <c r="N371">
        <v>1</v>
      </c>
      <c r="O371">
        <v>267</v>
      </c>
      <c r="P371">
        <v>399</v>
      </c>
      <c r="Q371">
        <v>0</v>
      </c>
      <c r="R371">
        <v>0</v>
      </c>
      <c r="S371">
        <v>399</v>
      </c>
      <c r="T371">
        <v>132</v>
      </c>
      <c r="U371">
        <v>33.08</v>
      </c>
      <c r="V371" t="s">
        <v>33</v>
      </c>
    </row>
    <row r="372" spans="1:22" x14ac:dyDescent="0.35">
      <c r="A372" t="s">
        <v>5490</v>
      </c>
      <c r="B372" t="s">
        <v>54</v>
      </c>
      <c r="C372" t="s">
        <v>27</v>
      </c>
      <c r="D372" t="s">
        <v>5489</v>
      </c>
      <c r="E372" t="s">
        <v>5488</v>
      </c>
      <c r="F372" s="5">
        <v>45620</v>
      </c>
      <c r="G372" t="s">
        <v>126</v>
      </c>
      <c r="H372" t="s">
        <v>652</v>
      </c>
      <c r="I372" t="s">
        <v>28</v>
      </c>
      <c r="J372" t="s">
        <v>201</v>
      </c>
      <c r="K372" t="s">
        <v>29</v>
      </c>
      <c r="L372" t="s">
        <v>37</v>
      </c>
      <c r="M372" t="s">
        <v>19</v>
      </c>
      <c r="N372">
        <v>1</v>
      </c>
      <c r="O372">
        <v>330</v>
      </c>
      <c r="P372">
        <v>499</v>
      </c>
      <c r="Q372">
        <v>15</v>
      </c>
      <c r="R372">
        <v>100</v>
      </c>
      <c r="S372">
        <v>399</v>
      </c>
      <c r="T372">
        <v>69</v>
      </c>
      <c r="U372">
        <v>17.29</v>
      </c>
      <c r="V372" t="s">
        <v>33</v>
      </c>
    </row>
    <row r="373" spans="1:22" x14ac:dyDescent="0.35">
      <c r="A373" t="s">
        <v>5487</v>
      </c>
      <c r="B373" t="s">
        <v>69</v>
      </c>
      <c r="C373" t="s">
        <v>16</v>
      </c>
      <c r="D373" t="s">
        <v>5486</v>
      </c>
      <c r="E373" t="s">
        <v>5485</v>
      </c>
      <c r="F373" s="5">
        <v>45598</v>
      </c>
      <c r="G373" t="s">
        <v>126</v>
      </c>
      <c r="H373" t="s">
        <v>5484</v>
      </c>
      <c r="I373" t="s">
        <v>31</v>
      </c>
      <c r="J373" t="s">
        <v>32</v>
      </c>
      <c r="K373" t="s">
        <v>32</v>
      </c>
      <c r="L373" t="s">
        <v>19</v>
      </c>
      <c r="M373" t="s">
        <v>20</v>
      </c>
      <c r="N373">
        <v>4</v>
      </c>
      <c r="O373">
        <v>801</v>
      </c>
      <c r="P373">
        <v>1199</v>
      </c>
      <c r="Q373">
        <v>0</v>
      </c>
      <c r="R373">
        <v>0</v>
      </c>
      <c r="S373">
        <v>4796</v>
      </c>
      <c r="T373">
        <v>1592</v>
      </c>
      <c r="U373">
        <v>33.19</v>
      </c>
      <c r="V373" t="s">
        <v>21</v>
      </c>
    </row>
    <row r="374" spans="1:22" x14ac:dyDescent="0.35">
      <c r="A374" t="s">
        <v>5483</v>
      </c>
      <c r="B374" t="s">
        <v>51</v>
      </c>
      <c r="C374" t="s">
        <v>16</v>
      </c>
      <c r="D374" t="s">
        <v>5482</v>
      </c>
      <c r="E374" t="s">
        <v>5481</v>
      </c>
      <c r="F374" s="5">
        <v>45646</v>
      </c>
      <c r="G374" t="s">
        <v>126</v>
      </c>
      <c r="H374" t="s">
        <v>3954</v>
      </c>
      <c r="I374" t="s">
        <v>17</v>
      </c>
      <c r="J374" t="s">
        <v>235</v>
      </c>
      <c r="K374" t="s">
        <v>18</v>
      </c>
      <c r="L374" t="s">
        <v>19</v>
      </c>
      <c r="M374" t="s">
        <v>19</v>
      </c>
      <c r="N374">
        <v>5</v>
      </c>
      <c r="O374">
        <v>298</v>
      </c>
      <c r="P374">
        <v>399</v>
      </c>
      <c r="Q374">
        <v>0</v>
      </c>
      <c r="R374">
        <v>0</v>
      </c>
      <c r="S374">
        <v>1995</v>
      </c>
      <c r="T374">
        <v>505</v>
      </c>
      <c r="U374">
        <v>25.31</v>
      </c>
      <c r="V374" t="s">
        <v>21</v>
      </c>
    </row>
    <row r="375" spans="1:22" x14ac:dyDescent="0.35">
      <c r="A375" t="s">
        <v>5480</v>
      </c>
      <c r="B375" t="s">
        <v>88</v>
      </c>
      <c r="C375" t="s">
        <v>27</v>
      </c>
      <c r="D375" t="s">
        <v>5479</v>
      </c>
      <c r="E375" t="s">
        <v>5478</v>
      </c>
      <c r="F375" s="5">
        <v>45632</v>
      </c>
      <c r="G375" t="s">
        <v>126</v>
      </c>
      <c r="H375" t="s">
        <v>921</v>
      </c>
      <c r="I375" t="s">
        <v>23</v>
      </c>
      <c r="J375" t="s">
        <v>142</v>
      </c>
      <c r="K375" t="s">
        <v>43</v>
      </c>
      <c r="L375" t="s">
        <v>25</v>
      </c>
      <c r="M375" t="s">
        <v>19</v>
      </c>
      <c r="N375">
        <v>2</v>
      </c>
      <c r="O375">
        <v>1440</v>
      </c>
      <c r="P375">
        <v>2199</v>
      </c>
      <c r="Q375">
        <v>10</v>
      </c>
      <c r="R375">
        <v>600</v>
      </c>
      <c r="S375">
        <v>3798</v>
      </c>
      <c r="T375">
        <v>918</v>
      </c>
      <c r="U375">
        <v>24.17</v>
      </c>
      <c r="V375" t="s">
        <v>21</v>
      </c>
    </row>
    <row r="376" spans="1:22" x14ac:dyDescent="0.35">
      <c r="A376" t="s">
        <v>5477</v>
      </c>
      <c r="B376" t="s">
        <v>80</v>
      </c>
      <c r="C376" t="s">
        <v>27</v>
      </c>
      <c r="D376" t="s">
        <v>5476</v>
      </c>
      <c r="E376" t="s">
        <v>5475</v>
      </c>
      <c r="F376" s="5">
        <v>45544</v>
      </c>
      <c r="G376" t="s">
        <v>126</v>
      </c>
      <c r="H376" t="s">
        <v>2300</v>
      </c>
      <c r="I376" t="s">
        <v>31</v>
      </c>
      <c r="J376" t="s">
        <v>76</v>
      </c>
      <c r="K376" t="s">
        <v>76</v>
      </c>
      <c r="L376" t="s">
        <v>25</v>
      </c>
      <c r="M376" t="s">
        <v>20</v>
      </c>
      <c r="N376">
        <v>5</v>
      </c>
      <c r="O376">
        <v>580</v>
      </c>
      <c r="P376">
        <v>999</v>
      </c>
      <c r="Q376">
        <v>0</v>
      </c>
      <c r="R376">
        <v>0</v>
      </c>
      <c r="S376">
        <v>4995</v>
      </c>
      <c r="T376">
        <v>2095</v>
      </c>
      <c r="U376">
        <v>41.94</v>
      </c>
      <c r="V376" t="s">
        <v>33</v>
      </c>
    </row>
    <row r="377" spans="1:22" x14ac:dyDescent="0.35">
      <c r="A377" t="s">
        <v>5474</v>
      </c>
      <c r="B377" t="s">
        <v>75</v>
      </c>
      <c r="C377" t="s">
        <v>27</v>
      </c>
      <c r="D377" t="s">
        <v>5473</v>
      </c>
      <c r="E377" t="s">
        <v>2391</v>
      </c>
      <c r="F377" s="5">
        <v>45517</v>
      </c>
      <c r="G377" t="s">
        <v>126</v>
      </c>
      <c r="H377" t="s">
        <v>5159</v>
      </c>
      <c r="I377" t="s">
        <v>31</v>
      </c>
      <c r="J377" t="s">
        <v>32</v>
      </c>
      <c r="K377" t="s">
        <v>32</v>
      </c>
      <c r="L377" t="s">
        <v>19</v>
      </c>
      <c r="M377" t="s">
        <v>19</v>
      </c>
      <c r="N377">
        <v>2</v>
      </c>
      <c r="O377">
        <v>553</v>
      </c>
      <c r="P377">
        <v>899</v>
      </c>
      <c r="Q377">
        <v>0</v>
      </c>
      <c r="R377">
        <v>0</v>
      </c>
      <c r="S377">
        <v>1798</v>
      </c>
      <c r="T377">
        <v>692</v>
      </c>
      <c r="U377">
        <v>38.49</v>
      </c>
      <c r="V377" t="s">
        <v>33</v>
      </c>
    </row>
    <row r="378" spans="1:22" x14ac:dyDescent="0.35">
      <c r="A378" t="s">
        <v>5472</v>
      </c>
      <c r="B378" t="s">
        <v>94</v>
      </c>
      <c r="C378" t="s">
        <v>16</v>
      </c>
      <c r="D378" t="s">
        <v>5471</v>
      </c>
      <c r="E378" t="s">
        <v>5470</v>
      </c>
      <c r="F378" s="5">
        <v>45574</v>
      </c>
      <c r="G378" t="s">
        <v>126</v>
      </c>
      <c r="H378" t="s">
        <v>1553</v>
      </c>
      <c r="I378" t="s">
        <v>31</v>
      </c>
      <c r="J378" t="s">
        <v>32</v>
      </c>
      <c r="K378" t="s">
        <v>32</v>
      </c>
      <c r="L378" t="s">
        <v>19</v>
      </c>
      <c r="M378" t="s">
        <v>20</v>
      </c>
      <c r="N378">
        <v>2</v>
      </c>
      <c r="O378">
        <v>515</v>
      </c>
      <c r="P378">
        <v>999</v>
      </c>
      <c r="Q378">
        <v>0</v>
      </c>
      <c r="R378">
        <v>0</v>
      </c>
      <c r="S378">
        <v>1998</v>
      </c>
      <c r="T378">
        <v>968</v>
      </c>
      <c r="U378">
        <v>48.45</v>
      </c>
      <c r="V378" t="s">
        <v>21</v>
      </c>
    </row>
    <row r="379" spans="1:22" x14ac:dyDescent="0.35">
      <c r="A379" t="s">
        <v>5469</v>
      </c>
      <c r="B379" t="s">
        <v>40</v>
      </c>
      <c r="C379" t="s">
        <v>27</v>
      </c>
      <c r="D379" t="s">
        <v>5468</v>
      </c>
      <c r="E379" t="s">
        <v>3148</v>
      </c>
      <c r="F379" s="5">
        <v>45507</v>
      </c>
      <c r="G379" t="s">
        <v>126</v>
      </c>
      <c r="H379" t="s">
        <v>1285</v>
      </c>
      <c r="I379" t="s">
        <v>31</v>
      </c>
      <c r="J379" t="s">
        <v>76</v>
      </c>
      <c r="K379" t="s">
        <v>76</v>
      </c>
      <c r="L379" t="s">
        <v>25</v>
      </c>
      <c r="M379" t="s">
        <v>20</v>
      </c>
      <c r="N379">
        <v>5</v>
      </c>
      <c r="O379">
        <v>553</v>
      </c>
      <c r="P379">
        <v>999</v>
      </c>
      <c r="Q379">
        <v>0</v>
      </c>
      <c r="R379">
        <v>0</v>
      </c>
      <c r="S379">
        <v>4995</v>
      </c>
      <c r="T379">
        <v>2230</v>
      </c>
      <c r="U379">
        <v>44.64</v>
      </c>
      <c r="V379" t="s">
        <v>33</v>
      </c>
    </row>
    <row r="380" spans="1:22" x14ac:dyDescent="0.35">
      <c r="A380" t="s">
        <v>5467</v>
      </c>
      <c r="B380" t="s">
        <v>68</v>
      </c>
      <c r="C380" t="s">
        <v>16</v>
      </c>
      <c r="D380" t="s">
        <v>5466</v>
      </c>
      <c r="E380" t="s">
        <v>5465</v>
      </c>
      <c r="F380" s="5">
        <v>45542</v>
      </c>
      <c r="G380" t="s">
        <v>126</v>
      </c>
      <c r="H380" t="s">
        <v>3900</v>
      </c>
      <c r="I380" t="s">
        <v>17</v>
      </c>
      <c r="J380" t="s">
        <v>253</v>
      </c>
      <c r="K380" t="s">
        <v>72</v>
      </c>
      <c r="L380" t="s">
        <v>19</v>
      </c>
      <c r="M380" t="s">
        <v>19</v>
      </c>
      <c r="N380">
        <v>1</v>
      </c>
      <c r="O380">
        <v>205</v>
      </c>
      <c r="P380">
        <v>399</v>
      </c>
      <c r="Q380">
        <v>0</v>
      </c>
      <c r="R380">
        <v>0</v>
      </c>
      <c r="S380">
        <v>399</v>
      </c>
      <c r="T380">
        <v>194</v>
      </c>
      <c r="U380">
        <v>48.62</v>
      </c>
      <c r="V380" t="s">
        <v>21</v>
      </c>
    </row>
    <row r="381" spans="1:22" x14ac:dyDescent="0.35">
      <c r="A381" t="s">
        <v>5464</v>
      </c>
      <c r="B381" t="s">
        <v>73</v>
      </c>
      <c r="C381" t="s">
        <v>16</v>
      </c>
      <c r="D381" t="s">
        <v>5463</v>
      </c>
      <c r="E381" t="s">
        <v>5462</v>
      </c>
      <c r="F381" s="5">
        <v>45614</v>
      </c>
      <c r="G381" t="s">
        <v>126</v>
      </c>
      <c r="H381" t="s">
        <v>5226</v>
      </c>
      <c r="I381" t="s">
        <v>31</v>
      </c>
      <c r="J381" t="s">
        <v>76</v>
      </c>
      <c r="K381" t="s">
        <v>76</v>
      </c>
      <c r="L381" t="s">
        <v>37</v>
      </c>
      <c r="M381" t="s">
        <v>19</v>
      </c>
      <c r="N381">
        <v>1</v>
      </c>
      <c r="O381">
        <v>703</v>
      </c>
      <c r="P381">
        <v>1199</v>
      </c>
      <c r="Q381">
        <v>0</v>
      </c>
      <c r="R381">
        <v>0</v>
      </c>
      <c r="S381">
        <v>1199</v>
      </c>
      <c r="T381">
        <v>496</v>
      </c>
      <c r="U381">
        <v>41.37</v>
      </c>
      <c r="V381" t="s">
        <v>33</v>
      </c>
    </row>
    <row r="382" spans="1:22" x14ac:dyDescent="0.35">
      <c r="A382" t="s">
        <v>5461</v>
      </c>
      <c r="B382" t="s">
        <v>93</v>
      </c>
      <c r="C382" t="s">
        <v>16</v>
      </c>
      <c r="D382" t="s">
        <v>5460</v>
      </c>
      <c r="E382" t="s">
        <v>5459</v>
      </c>
      <c r="F382" s="5">
        <v>45565</v>
      </c>
      <c r="G382" t="s">
        <v>126</v>
      </c>
      <c r="H382" t="s">
        <v>5458</v>
      </c>
      <c r="I382" t="s">
        <v>31</v>
      </c>
      <c r="J382" t="s">
        <v>32</v>
      </c>
      <c r="K382" t="s">
        <v>32</v>
      </c>
      <c r="L382" t="s">
        <v>37</v>
      </c>
      <c r="M382" t="s">
        <v>19</v>
      </c>
      <c r="N382">
        <v>1</v>
      </c>
      <c r="O382">
        <v>780</v>
      </c>
      <c r="P382">
        <v>1199</v>
      </c>
      <c r="Q382">
        <v>0</v>
      </c>
      <c r="R382">
        <v>0</v>
      </c>
      <c r="S382">
        <v>1199</v>
      </c>
      <c r="T382">
        <v>419</v>
      </c>
      <c r="U382">
        <v>34.950000000000003</v>
      </c>
      <c r="V382" t="s">
        <v>21</v>
      </c>
    </row>
    <row r="383" spans="1:22" x14ac:dyDescent="0.35">
      <c r="A383" t="s">
        <v>5457</v>
      </c>
      <c r="B383" t="s">
        <v>63</v>
      </c>
      <c r="C383" t="s">
        <v>27</v>
      </c>
      <c r="D383" t="s">
        <v>5456</v>
      </c>
      <c r="E383" t="s">
        <v>5455</v>
      </c>
      <c r="F383" s="5">
        <v>45445</v>
      </c>
      <c r="G383" t="s">
        <v>126</v>
      </c>
      <c r="H383" t="s">
        <v>1404</v>
      </c>
      <c r="I383" t="s">
        <v>28</v>
      </c>
      <c r="J383" t="s">
        <v>45</v>
      </c>
      <c r="K383" t="s">
        <v>45</v>
      </c>
      <c r="L383" t="s">
        <v>25</v>
      </c>
      <c r="M383" t="s">
        <v>20</v>
      </c>
      <c r="N383">
        <v>4</v>
      </c>
      <c r="O383">
        <v>505</v>
      </c>
      <c r="P383">
        <v>699</v>
      </c>
      <c r="Q383">
        <v>10</v>
      </c>
      <c r="R383">
        <v>400</v>
      </c>
      <c r="S383">
        <v>2396</v>
      </c>
      <c r="T383">
        <v>376</v>
      </c>
      <c r="U383">
        <v>15.69</v>
      </c>
      <c r="V383" t="s">
        <v>21</v>
      </c>
    </row>
    <row r="384" spans="1:22" x14ac:dyDescent="0.35">
      <c r="A384" t="s">
        <v>5454</v>
      </c>
      <c r="B384" t="s">
        <v>109</v>
      </c>
      <c r="C384" t="s">
        <v>16</v>
      </c>
      <c r="D384" t="s">
        <v>5453</v>
      </c>
      <c r="E384" t="s">
        <v>203</v>
      </c>
      <c r="F384" s="5">
        <v>45459</v>
      </c>
      <c r="G384" t="s">
        <v>126</v>
      </c>
      <c r="H384" t="s">
        <v>2450</v>
      </c>
      <c r="I384" t="s">
        <v>35</v>
      </c>
      <c r="J384" t="s">
        <v>39</v>
      </c>
      <c r="K384" t="s">
        <v>39</v>
      </c>
      <c r="L384" t="s">
        <v>37</v>
      </c>
      <c r="M384" t="s">
        <v>20</v>
      </c>
      <c r="N384">
        <v>1</v>
      </c>
      <c r="O384">
        <v>527</v>
      </c>
      <c r="P384">
        <v>899</v>
      </c>
      <c r="Q384">
        <v>15</v>
      </c>
      <c r="R384">
        <v>200</v>
      </c>
      <c r="S384">
        <v>699</v>
      </c>
      <c r="T384">
        <v>172</v>
      </c>
      <c r="U384">
        <v>24.61</v>
      </c>
      <c r="V384" t="s">
        <v>33</v>
      </c>
    </row>
    <row r="385" spans="1:22" x14ac:dyDescent="0.35">
      <c r="A385" t="s">
        <v>5452</v>
      </c>
      <c r="B385" t="s">
        <v>15</v>
      </c>
      <c r="C385" t="s">
        <v>16</v>
      </c>
      <c r="D385" t="s">
        <v>5451</v>
      </c>
      <c r="E385" t="s">
        <v>5450</v>
      </c>
      <c r="F385" s="5">
        <v>45567</v>
      </c>
      <c r="G385" t="s">
        <v>126</v>
      </c>
      <c r="H385" t="s">
        <v>2026</v>
      </c>
      <c r="I385" t="s">
        <v>23</v>
      </c>
      <c r="J385" t="s">
        <v>142</v>
      </c>
      <c r="K385" t="s">
        <v>43</v>
      </c>
      <c r="L385" t="s">
        <v>25</v>
      </c>
      <c r="M385" t="s">
        <v>20</v>
      </c>
      <c r="N385">
        <v>1</v>
      </c>
      <c r="O385">
        <v>1354</v>
      </c>
      <c r="P385">
        <v>2299</v>
      </c>
      <c r="Q385">
        <v>15</v>
      </c>
      <c r="R385">
        <v>400</v>
      </c>
      <c r="S385">
        <v>1899</v>
      </c>
      <c r="T385">
        <v>545</v>
      </c>
      <c r="U385">
        <v>28.7</v>
      </c>
      <c r="V385" t="s">
        <v>21</v>
      </c>
    </row>
    <row r="386" spans="1:22" x14ac:dyDescent="0.35">
      <c r="A386" t="s">
        <v>5449</v>
      </c>
      <c r="B386" t="s">
        <v>107</v>
      </c>
      <c r="C386" t="s">
        <v>27</v>
      </c>
      <c r="D386" t="s">
        <v>5448</v>
      </c>
      <c r="E386" t="s">
        <v>5447</v>
      </c>
      <c r="F386" s="5">
        <v>45553</v>
      </c>
      <c r="G386" t="s">
        <v>126</v>
      </c>
      <c r="H386" t="s">
        <v>5446</v>
      </c>
      <c r="I386" t="s">
        <v>28</v>
      </c>
      <c r="J386" t="s">
        <v>201</v>
      </c>
      <c r="K386" t="s">
        <v>29</v>
      </c>
      <c r="L386" t="s">
        <v>19</v>
      </c>
      <c r="M386" t="s">
        <v>19</v>
      </c>
      <c r="N386">
        <v>2</v>
      </c>
      <c r="O386">
        <v>356</v>
      </c>
      <c r="P386">
        <v>599</v>
      </c>
      <c r="Q386">
        <v>15</v>
      </c>
      <c r="R386">
        <v>200</v>
      </c>
      <c r="S386">
        <v>998</v>
      </c>
      <c r="T386">
        <v>286</v>
      </c>
      <c r="U386">
        <v>28.66</v>
      </c>
      <c r="V386" t="s">
        <v>21</v>
      </c>
    </row>
    <row r="387" spans="1:22" x14ac:dyDescent="0.35">
      <c r="A387" t="s">
        <v>5445</v>
      </c>
      <c r="B387" t="s">
        <v>47</v>
      </c>
      <c r="C387" t="s">
        <v>16</v>
      </c>
      <c r="D387" t="s">
        <v>5444</v>
      </c>
      <c r="E387" t="s">
        <v>5443</v>
      </c>
      <c r="F387" s="5">
        <v>45556</v>
      </c>
      <c r="G387" t="s">
        <v>126</v>
      </c>
      <c r="H387" t="s">
        <v>5442</v>
      </c>
      <c r="I387" t="s">
        <v>17</v>
      </c>
      <c r="J387" t="s">
        <v>48</v>
      </c>
      <c r="K387" t="s">
        <v>48</v>
      </c>
      <c r="L387" t="s">
        <v>19</v>
      </c>
      <c r="M387" t="s">
        <v>20</v>
      </c>
      <c r="N387">
        <v>3</v>
      </c>
      <c r="O387">
        <v>178</v>
      </c>
      <c r="P387">
        <v>299</v>
      </c>
      <c r="Q387">
        <v>0</v>
      </c>
      <c r="R387">
        <v>0</v>
      </c>
      <c r="S387">
        <v>897</v>
      </c>
      <c r="T387">
        <v>363</v>
      </c>
      <c r="U387">
        <v>40.47</v>
      </c>
      <c r="V387" t="s">
        <v>33</v>
      </c>
    </row>
    <row r="388" spans="1:22" x14ac:dyDescent="0.35">
      <c r="A388" t="s">
        <v>5441</v>
      </c>
      <c r="B388" t="s">
        <v>78</v>
      </c>
      <c r="C388" t="s">
        <v>16</v>
      </c>
      <c r="D388" t="s">
        <v>5440</v>
      </c>
      <c r="E388" t="s">
        <v>5439</v>
      </c>
      <c r="F388" s="5">
        <v>45648</v>
      </c>
      <c r="G388" t="s">
        <v>126</v>
      </c>
      <c r="H388" t="s">
        <v>3536</v>
      </c>
      <c r="I388" t="s">
        <v>17</v>
      </c>
      <c r="J388" t="s">
        <v>48</v>
      </c>
      <c r="K388" t="s">
        <v>48</v>
      </c>
      <c r="L388" t="s">
        <v>19</v>
      </c>
      <c r="M388" t="s">
        <v>20</v>
      </c>
      <c r="N388">
        <v>2</v>
      </c>
      <c r="O388">
        <v>150</v>
      </c>
      <c r="P388">
        <v>299</v>
      </c>
      <c r="Q388">
        <v>0</v>
      </c>
      <c r="R388">
        <v>0</v>
      </c>
      <c r="S388">
        <v>598</v>
      </c>
      <c r="T388">
        <v>298</v>
      </c>
      <c r="U388">
        <v>49.83</v>
      </c>
      <c r="V388" t="s">
        <v>21</v>
      </c>
    </row>
    <row r="389" spans="1:22" x14ac:dyDescent="0.35">
      <c r="A389" t="s">
        <v>5438</v>
      </c>
      <c r="B389" t="s">
        <v>56</v>
      </c>
      <c r="C389" t="s">
        <v>27</v>
      </c>
      <c r="D389" t="s">
        <v>5437</v>
      </c>
      <c r="E389" t="s">
        <v>5436</v>
      </c>
      <c r="F389" s="5">
        <v>45499</v>
      </c>
      <c r="G389" t="s">
        <v>126</v>
      </c>
      <c r="H389" t="s">
        <v>3378</v>
      </c>
      <c r="I389" t="s">
        <v>23</v>
      </c>
      <c r="J389" t="s">
        <v>142</v>
      </c>
      <c r="K389" t="s">
        <v>43</v>
      </c>
      <c r="L389" t="s">
        <v>25</v>
      </c>
      <c r="M389" t="s">
        <v>20</v>
      </c>
      <c r="N389">
        <v>2</v>
      </c>
      <c r="O389">
        <v>1168</v>
      </c>
      <c r="P389">
        <v>1999</v>
      </c>
      <c r="Q389">
        <v>5</v>
      </c>
      <c r="R389">
        <v>200</v>
      </c>
      <c r="S389">
        <v>3798</v>
      </c>
      <c r="T389">
        <v>1462</v>
      </c>
      <c r="U389">
        <v>38.49</v>
      </c>
      <c r="V389" t="s">
        <v>33</v>
      </c>
    </row>
    <row r="390" spans="1:22" x14ac:dyDescent="0.35">
      <c r="A390" t="s">
        <v>5435</v>
      </c>
      <c r="B390" t="s">
        <v>60</v>
      </c>
      <c r="C390" t="s">
        <v>27</v>
      </c>
      <c r="D390" t="s">
        <v>5434</v>
      </c>
      <c r="E390" t="s">
        <v>815</v>
      </c>
      <c r="F390" s="5">
        <v>45482</v>
      </c>
      <c r="G390" t="s">
        <v>126</v>
      </c>
      <c r="H390" t="s">
        <v>1235</v>
      </c>
      <c r="I390" t="s">
        <v>23</v>
      </c>
      <c r="J390" t="s">
        <v>164</v>
      </c>
      <c r="K390" t="s">
        <v>24</v>
      </c>
      <c r="L390" t="s">
        <v>37</v>
      </c>
      <c r="M390" t="s">
        <v>19</v>
      </c>
      <c r="N390">
        <v>4</v>
      </c>
      <c r="O390">
        <v>568</v>
      </c>
      <c r="P390">
        <v>899</v>
      </c>
      <c r="Q390">
        <v>10</v>
      </c>
      <c r="R390">
        <v>400</v>
      </c>
      <c r="S390">
        <v>3196</v>
      </c>
      <c r="T390">
        <v>924</v>
      </c>
      <c r="U390">
        <v>28.91</v>
      </c>
      <c r="V390" t="s">
        <v>21</v>
      </c>
    </row>
    <row r="391" spans="1:22" x14ac:dyDescent="0.35">
      <c r="A391" t="s">
        <v>5433</v>
      </c>
      <c r="B391" t="s">
        <v>93</v>
      </c>
      <c r="C391" t="s">
        <v>16</v>
      </c>
      <c r="D391" t="s">
        <v>5432</v>
      </c>
      <c r="E391" t="s">
        <v>3923</v>
      </c>
      <c r="F391" s="5">
        <v>45535</v>
      </c>
      <c r="G391" t="s">
        <v>126</v>
      </c>
      <c r="H391" t="s">
        <v>2464</v>
      </c>
      <c r="I391" t="s">
        <v>17</v>
      </c>
      <c r="J391" t="s">
        <v>48</v>
      </c>
      <c r="K391" t="s">
        <v>48</v>
      </c>
      <c r="L391" t="s">
        <v>25</v>
      </c>
      <c r="M391" t="s">
        <v>19</v>
      </c>
      <c r="N391">
        <v>1</v>
      </c>
      <c r="O391">
        <v>307</v>
      </c>
      <c r="P391">
        <v>599</v>
      </c>
      <c r="Q391">
        <v>0</v>
      </c>
      <c r="R391">
        <v>0</v>
      </c>
      <c r="S391">
        <v>599</v>
      </c>
      <c r="T391">
        <v>292</v>
      </c>
      <c r="U391">
        <v>48.75</v>
      </c>
      <c r="V391" t="s">
        <v>33</v>
      </c>
    </row>
    <row r="392" spans="1:22" x14ac:dyDescent="0.35">
      <c r="A392" t="s">
        <v>5431</v>
      </c>
      <c r="B392" t="s">
        <v>57</v>
      </c>
      <c r="C392" t="s">
        <v>27</v>
      </c>
      <c r="D392" t="s">
        <v>5430</v>
      </c>
      <c r="E392" t="s">
        <v>5429</v>
      </c>
      <c r="F392" s="5">
        <v>45584</v>
      </c>
      <c r="G392" t="s">
        <v>126</v>
      </c>
      <c r="H392" t="s">
        <v>4960</v>
      </c>
      <c r="I392" t="s">
        <v>17</v>
      </c>
      <c r="J392" t="s">
        <v>55</v>
      </c>
      <c r="K392" t="s">
        <v>55</v>
      </c>
      <c r="L392" t="s">
        <v>37</v>
      </c>
      <c r="M392" t="s">
        <v>20</v>
      </c>
      <c r="N392">
        <v>2</v>
      </c>
      <c r="O392">
        <v>294</v>
      </c>
      <c r="P392">
        <v>399</v>
      </c>
      <c r="Q392">
        <v>0</v>
      </c>
      <c r="R392">
        <v>0</v>
      </c>
      <c r="S392">
        <v>798</v>
      </c>
      <c r="T392">
        <v>210</v>
      </c>
      <c r="U392">
        <v>26.32</v>
      </c>
      <c r="V392" t="s">
        <v>21</v>
      </c>
    </row>
    <row r="393" spans="1:22" x14ac:dyDescent="0.35">
      <c r="A393" t="s">
        <v>5428</v>
      </c>
      <c r="B393" t="s">
        <v>97</v>
      </c>
      <c r="C393" t="s">
        <v>16</v>
      </c>
      <c r="D393" t="s">
        <v>5427</v>
      </c>
      <c r="E393" t="s">
        <v>5426</v>
      </c>
      <c r="F393" s="5">
        <v>45473</v>
      </c>
      <c r="G393" t="s">
        <v>126</v>
      </c>
      <c r="H393" t="s">
        <v>2740</v>
      </c>
      <c r="I393" t="s">
        <v>17</v>
      </c>
      <c r="J393" t="s">
        <v>253</v>
      </c>
      <c r="K393" t="s">
        <v>72</v>
      </c>
      <c r="L393" t="s">
        <v>37</v>
      </c>
      <c r="M393" t="s">
        <v>20</v>
      </c>
      <c r="N393">
        <v>5</v>
      </c>
      <c r="O393">
        <v>253</v>
      </c>
      <c r="P393">
        <v>399</v>
      </c>
      <c r="Q393">
        <v>0</v>
      </c>
      <c r="R393">
        <v>0</v>
      </c>
      <c r="S393">
        <v>1995</v>
      </c>
      <c r="T393">
        <v>730</v>
      </c>
      <c r="U393">
        <v>36.590000000000003</v>
      </c>
      <c r="V393" t="s">
        <v>21</v>
      </c>
    </row>
    <row r="394" spans="1:22" x14ac:dyDescent="0.35">
      <c r="A394" t="s">
        <v>5425</v>
      </c>
      <c r="B394" t="s">
        <v>109</v>
      </c>
      <c r="C394" t="s">
        <v>16</v>
      </c>
      <c r="D394" t="s">
        <v>5424</v>
      </c>
      <c r="E394" t="s">
        <v>5423</v>
      </c>
      <c r="F394" s="5">
        <v>45465</v>
      </c>
      <c r="G394" t="s">
        <v>126</v>
      </c>
      <c r="H394" t="s">
        <v>5422</v>
      </c>
      <c r="I394" t="s">
        <v>31</v>
      </c>
      <c r="J394" t="s">
        <v>32</v>
      </c>
      <c r="K394" t="s">
        <v>32</v>
      </c>
      <c r="L394" t="s">
        <v>19</v>
      </c>
      <c r="M394" t="s">
        <v>20</v>
      </c>
      <c r="N394">
        <v>5</v>
      </c>
      <c r="O394">
        <v>867</v>
      </c>
      <c r="P394">
        <v>1399</v>
      </c>
      <c r="Q394">
        <v>0</v>
      </c>
      <c r="R394">
        <v>0</v>
      </c>
      <c r="S394">
        <v>6995</v>
      </c>
      <c r="T394">
        <v>2660</v>
      </c>
      <c r="U394">
        <v>38.03</v>
      </c>
      <c r="V394" t="s">
        <v>21</v>
      </c>
    </row>
    <row r="395" spans="1:22" x14ac:dyDescent="0.35">
      <c r="A395" t="s">
        <v>5421</v>
      </c>
      <c r="B395" t="s">
        <v>40</v>
      </c>
      <c r="C395" t="s">
        <v>27</v>
      </c>
      <c r="D395" t="s">
        <v>5420</v>
      </c>
      <c r="E395" t="s">
        <v>5419</v>
      </c>
      <c r="F395" s="5">
        <v>45454</v>
      </c>
      <c r="G395" t="s">
        <v>126</v>
      </c>
      <c r="H395" t="s">
        <v>762</v>
      </c>
      <c r="I395" t="s">
        <v>35</v>
      </c>
      <c r="J395" t="s">
        <v>41</v>
      </c>
      <c r="K395" t="s">
        <v>41</v>
      </c>
      <c r="L395" t="s">
        <v>19</v>
      </c>
      <c r="M395" t="s">
        <v>19</v>
      </c>
      <c r="N395">
        <v>1</v>
      </c>
      <c r="O395">
        <v>611</v>
      </c>
      <c r="P395">
        <v>999</v>
      </c>
      <c r="Q395">
        <v>15</v>
      </c>
      <c r="R395">
        <v>200</v>
      </c>
      <c r="S395">
        <v>799</v>
      </c>
      <c r="T395">
        <v>188</v>
      </c>
      <c r="U395">
        <v>23.53</v>
      </c>
      <c r="V395" t="s">
        <v>21</v>
      </c>
    </row>
    <row r="396" spans="1:22" x14ac:dyDescent="0.35">
      <c r="A396" t="s">
        <v>5418</v>
      </c>
      <c r="B396" t="s">
        <v>51</v>
      </c>
      <c r="C396" t="s">
        <v>16</v>
      </c>
      <c r="D396" t="s">
        <v>5417</v>
      </c>
      <c r="E396" t="s">
        <v>5416</v>
      </c>
      <c r="F396" s="5">
        <v>45593</v>
      </c>
      <c r="G396" t="s">
        <v>126</v>
      </c>
      <c r="H396" t="s">
        <v>936</v>
      </c>
      <c r="I396" t="s">
        <v>31</v>
      </c>
      <c r="J396" t="s">
        <v>76</v>
      </c>
      <c r="K396" t="s">
        <v>76</v>
      </c>
      <c r="L396" t="s">
        <v>25</v>
      </c>
      <c r="M396" t="s">
        <v>19</v>
      </c>
      <c r="N396">
        <v>2</v>
      </c>
      <c r="O396">
        <v>470</v>
      </c>
      <c r="P396">
        <v>799</v>
      </c>
      <c r="Q396">
        <v>0</v>
      </c>
      <c r="R396">
        <v>0</v>
      </c>
      <c r="S396">
        <v>1598</v>
      </c>
      <c r="T396">
        <v>658</v>
      </c>
      <c r="U396">
        <v>41.18</v>
      </c>
      <c r="V396" t="s">
        <v>21</v>
      </c>
    </row>
    <row r="397" spans="1:22" x14ac:dyDescent="0.35">
      <c r="A397" t="s">
        <v>5415</v>
      </c>
      <c r="B397" t="s">
        <v>71</v>
      </c>
      <c r="C397" t="s">
        <v>16</v>
      </c>
      <c r="D397" t="s">
        <v>5414</v>
      </c>
      <c r="E397" t="s">
        <v>5413</v>
      </c>
      <c r="F397" s="5">
        <v>45455</v>
      </c>
      <c r="G397" t="s">
        <v>126</v>
      </c>
      <c r="H397" t="s">
        <v>1355</v>
      </c>
      <c r="I397" t="s">
        <v>17</v>
      </c>
      <c r="J397" t="s">
        <v>253</v>
      </c>
      <c r="K397" t="s">
        <v>72</v>
      </c>
      <c r="L397" t="s">
        <v>25</v>
      </c>
      <c r="M397" t="s">
        <v>20</v>
      </c>
      <c r="N397">
        <v>1</v>
      </c>
      <c r="O397">
        <v>296</v>
      </c>
      <c r="P397">
        <v>499</v>
      </c>
      <c r="Q397">
        <v>0</v>
      </c>
      <c r="R397">
        <v>0</v>
      </c>
      <c r="S397">
        <v>499</v>
      </c>
      <c r="T397">
        <v>203</v>
      </c>
      <c r="U397">
        <v>40.68</v>
      </c>
      <c r="V397" t="s">
        <v>21</v>
      </c>
    </row>
    <row r="398" spans="1:22" x14ac:dyDescent="0.35">
      <c r="A398" t="s">
        <v>5412</v>
      </c>
      <c r="B398" t="s">
        <v>94</v>
      </c>
      <c r="C398" t="s">
        <v>16</v>
      </c>
      <c r="D398" t="s">
        <v>5411</v>
      </c>
      <c r="E398" t="s">
        <v>3360</v>
      </c>
      <c r="F398" s="5">
        <v>45530</v>
      </c>
      <c r="G398" t="s">
        <v>126</v>
      </c>
      <c r="H398" t="s">
        <v>3011</v>
      </c>
      <c r="I398" t="s">
        <v>23</v>
      </c>
      <c r="J398" t="s">
        <v>164</v>
      </c>
      <c r="K398" t="s">
        <v>24</v>
      </c>
      <c r="L398" t="s">
        <v>37</v>
      </c>
      <c r="M398" t="s">
        <v>19</v>
      </c>
      <c r="N398">
        <v>1</v>
      </c>
      <c r="O398">
        <v>1073</v>
      </c>
      <c r="P398">
        <v>1899</v>
      </c>
      <c r="Q398">
        <v>20</v>
      </c>
      <c r="R398">
        <v>400</v>
      </c>
      <c r="S398">
        <v>1499</v>
      </c>
      <c r="T398">
        <v>426</v>
      </c>
      <c r="U398">
        <v>28.42</v>
      </c>
      <c r="V398" t="s">
        <v>33</v>
      </c>
    </row>
    <row r="399" spans="1:22" x14ac:dyDescent="0.35">
      <c r="A399" t="s">
        <v>5410</v>
      </c>
      <c r="B399" t="s">
        <v>103</v>
      </c>
      <c r="C399" t="s">
        <v>16</v>
      </c>
      <c r="D399" t="s">
        <v>5409</v>
      </c>
      <c r="E399" t="s">
        <v>5073</v>
      </c>
      <c r="F399" s="5">
        <v>45569</v>
      </c>
      <c r="G399" t="s">
        <v>126</v>
      </c>
      <c r="H399" t="s">
        <v>718</v>
      </c>
      <c r="I399" t="s">
        <v>35</v>
      </c>
      <c r="J399" t="s">
        <v>214</v>
      </c>
      <c r="K399" t="s">
        <v>50</v>
      </c>
      <c r="L399" t="s">
        <v>25</v>
      </c>
      <c r="M399" t="s">
        <v>20</v>
      </c>
      <c r="N399">
        <v>1</v>
      </c>
      <c r="O399">
        <v>517</v>
      </c>
      <c r="P399">
        <v>999</v>
      </c>
      <c r="Q399">
        <v>15</v>
      </c>
      <c r="R399">
        <v>200</v>
      </c>
      <c r="S399">
        <v>799</v>
      </c>
      <c r="T399">
        <v>282</v>
      </c>
      <c r="U399">
        <v>35.29</v>
      </c>
      <c r="V399" t="s">
        <v>21</v>
      </c>
    </row>
    <row r="400" spans="1:22" x14ac:dyDescent="0.35">
      <c r="A400" t="s">
        <v>5408</v>
      </c>
      <c r="B400" t="s">
        <v>56</v>
      </c>
      <c r="C400" t="s">
        <v>27</v>
      </c>
      <c r="D400" t="s">
        <v>5407</v>
      </c>
      <c r="E400" t="s">
        <v>5406</v>
      </c>
      <c r="F400" s="5">
        <v>45498</v>
      </c>
      <c r="G400" t="s">
        <v>126</v>
      </c>
      <c r="H400" t="s">
        <v>5405</v>
      </c>
      <c r="I400" t="s">
        <v>28</v>
      </c>
      <c r="J400" t="s">
        <v>45</v>
      </c>
      <c r="K400" t="s">
        <v>45</v>
      </c>
      <c r="L400" t="s">
        <v>25</v>
      </c>
      <c r="M400" t="s">
        <v>19</v>
      </c>
      <c r="N400">
        <v>1</v>
      </c>
      <c r="O400">
        <v>846</v>
      </c>
      <c r="P400">
        <v>1199</v>
      </c>
      <c r="Q400">
        <v>10</v>
      </c>
      <c r="R400">
        <v>200</v>
      </c>
      <c r="S400">
        <v>999</v>
      </c>
      <c r="T400">
        <v>153</v>
      </c>
      <c r="U400">
        <v>15.32</v>
      </c>
      <c r="V400" t="s">
        <v>21</v>
      </c>
    </row>
    <row r="401" spans="1:22" x14ac:dyDescent="0.35">
      <c r="A401" t="s">
        <v>5404</v>
      </c>
      <c r="B401" t="s">
        <v>34</v>
      </c>
      <c r="C401" t="s">
        <v>27</v>
      </c>
      <c r="D401" t="s">
        <v>5403</v>
      </c>
      <c r="E401" t="s">
        <v>5402</v>
      </c>
      <c r="F401" s="5">
        <v>45481</v>
      </c>
      <c r="G401" t="s">
        <v>126</v>
      </c>
      <c r="H401" t="s">
        <v>4288</v>
      </c>
      <c r="I401" t="s">
        <v>23</v>
      </c>
      <c r="J401" t="s">
        <v>142</v>
      </c>
      <c r="K401" t="s">
        <v>43</v>
      </c>
      <c r="L401" t="s">
        <v>37</v>
      </c>
      <c r="M401" t="s">
        <v>20</v>
      </c>
      <c r="N401">
        <v>3</v>
      </c>
      <c r="O401">
        <v>2937</v>
      </c>
      <c r="P401">
        <v>4199</v>
      </c>
      <c r="Q401">
        <v>15</v>
      </c>
      <c r="R401">
        <v>2100</v>
      </c>
      <c r="S401">
        <v>10497</v>
      </c>
      <c r="T401">
        <v>1686</v>
      </c>
      <c r="U401">
        <v>16.059999999999999</v>
      </c>
      <c r="V401" t="s">
        <v>21</v>
      </c>
    </row>
    <row r="402" spans="1:22" x14ac:dyDescent="0.35">
      <c r="A402" t="s">
        <v>5401</v>
      </c>
      <c r="B402" t="s">
        <v>82</v>
      </c>
      <c r="C402" t="s">
        <v>27</v>
      </c>
      <c r="D402" t="s">
        <v>5400</v>
      </c>
      <c r="E402" t="s">
        <v>5399</v>
      </c>
      <c r="F402" s="5">
        <v>45576</v>
      </c>
      <c r="G402" t="s">
        <v>126</v>
      </c>
      <c r="H402" t="s">
        <v>1777</v>
      </c>
      <c r="I402" t="s">
        <v>17</v>
      </c>
      <c r="J402" t="s">
        <v>48</v>
      </c>
      <c r="K402" t="s">
        <v>48</v>
      </c>
      <c r="L402" t="s">
        <v>37</v>
      </c>
      <c r="M402" t="s">
        <v>19</v>
      </c>
      <c r="N402">
        <v>1</v>
      </c>
      <c r="O402">
        <v>261</v>
      </c>
      <c r="P402">
        <v>499</v>
      </c>
      <c r="Q402">
        <v>0</v>
      </c>
      <c r="R402">
        <v>0</v>
      </c>
      <c r="S402">
        <v>499</v>
      </c>
      <c r="T402">
        <v>238</v>
      </c>
      <c r="U402">
        <v>47.7</v>
      </c>
      <c r="V402" t="s">
        <v>21</v>
      </c>
    </row>
    <row r="403" spans="1:22" x14ac:dyDescent="0.35">
      <c r="A403" t="s">
        <v>5398</v>
      </c>
      <c r="B403" t="s">
        <v>85</v>
      </c>
      <c r="C403" t="s">
        <v>27</v>
      </c>
      <c r="D403" t="s">
        <v>5397</v>
      </c>
      <c r="E403" t="s">
        <v>5396</v>
      </c>
      <c r="F403" s="5">
        <v>45609</v>
      </c>
      <c r="G403" t="s">
        <v>126</v>
      </c>
      <c r="H403" t="s">
        <v>1978</v>
      </c>
      <c r="I403" t="s">
        <v>17</v>
      </c>
      <c r="J403" t="s">
        <v>235</v>
      </c>
      <c r="K403" t="s">
        <v>18</v>
      </c>
      <c r="L403" t="s">
        <v>25</v>
      </c>
      <c r="M403" t="s">
        <v>20</v>
      </c>
      <c r="N403">
        <v>1</v>
      </c>
      <c r="O403">
        <v>380</v>
      </c>
      <c r="P403">
        <v>599</v>
      </c>
      <c r="Q403">
        <v>0</v>
      </c>
      <c r="R403">
        <v>0</v>
      </c>
      <c r="S403">
        <v>599</v>
      </c>
      <c r="T403">
        <v>219</v>
      </c>
      <c r="U403">
        <v>36.56</v>
      </c>
      <c r="V403" t="s">
        <v>33</v>
      </c>
    </row>
    <row r="404" spans="1:22" x14ac:dyDescent="0.35">
      <c r="A404" t="s">
        <v>5395</v>
      </c>
      <c r="B404" t="s">
        <v>81</v>
      </c>
      <c r="C404" t="s">
        <v>27</v>
      </c>
      <c r="D404" t="s">
        <v>5394</v>
      </c>
      <c r="E404" t="s">
        <v>5393</v>
      </c>
      <c r="F404" s="5">
        <v>45546</v>
      </c>
      <c r="G404" t="s">
        <v>126</v>
      </c>
      <c r="H404" t="s">
        <v>249</v>
      </c>
      <c r="I404" t="s">
        <v>31</v>
      </c>
      <c r="J404" t="s">
        <v>76</v>
      </c>
      <c r="K404" t="s">
        <v>76</v>
      </c>
      <c r="L404" t="s">
        <v>37</v>
      </c>
      <c r="M404" t="s">
        <v>20</v>
      </c>
      <c r="N404">
        <v>1</v>
      </c>
      <c r="O404">
        <v>872</v>
      </c>
      <c r="P404">
        <v>1499</v>
      </c>
      <c r="Q404">
        <v>0</v>
      </c>
      <c r="R404">
        <v>0</v>
      </c>
      <c r="S404">
        <v>1499</v>
      </c>
      <c r="T404">
        <v>627</v>
      </c>
      <c r="U404">
        <v>41.83</v>
      </c>
      <c r="V404" t="s">
        <v>21</v>
      </c>
    </row>
    <row r="405" spans="1:22" x14ac:dyDescent="0.35">
      <c r="A405" t="s">
        <v>5392</v>
      </c>
      <c r="B405" t="s">
        <v>68</v>
      </c>
      <c r="C405" t="s">
        <v>16</v>
      </c>
      <c r="D405" t="s">
        <v>5391</v>
      </c>
      <c r="E405" t="s">
        <v>5390</v>
      </c>
      <c r="F405" s="5">
        <v>45610</v>
      </c>
      <c r="G405" t="s">
        <v>126</v>
      </c>
      <c r="H405" t="s">
        <v>473</v>
      </c>
      <c r="I405" t="s">
        <v>35</v>
      </c>
      <c r="J405" t="s">
        <v>244</v>
      </c>
      <c r="K405" t="s">
        <v>58</v>
      </c>
      <c r="L405" t="s">
        <v>37</v>
      </c>
      <c r="M405" t="s">
        <v>20</v>
      </c>
      <c r="N405">
        <v>5</v>
      </c>
      <c r="O405">
        <v>1531</v>
      </c>
      <c r="P405">
        <v>2499</v>
      </c>
      <c r="Q405">
        <v>20</v>
      </c>
      <c r="R405">
        <v>2500</v>
      </c>
      <c r="S405">
        <v>9995</v>
      </c>
      <c r="T405">
        <v>2340</v>
      </c>
      <c r="U405">
        <v>23.41</v>
      </c>
      <c r="V405" t="s">
        <v>33</v>
      </c>
    </row>
    <row r="406" spans="1:22" x14ac:dyDescent="0.35">
      <c r="A406" t="s">
        <v>5389</v>
      </c>
      <c r="B406" t="s">
        <v>98</v>
      </c>
      <c r="C406" t="s">
        <v>16</v>
      </c>
      <c r="D406" t="s">
        <v>5388</v>
      </c>
      <c r="E406" t="s">
        <v>5387</v>
      </c>
      <c r="F406" s="5">
        <v>45579</v>
      </c>
      <c r="G406" t="s">
        <v>126</v>
      </c>
      <c r="H406" t="s">
        <v>5386</v>
      </c>
      <c r="I406" t="s">
        <v>31</v>
      </c>
      <c r="J406" t="s">
        <v>32</v>
      </c>
      <c r="K406" t="s">
        <v>32</v>
      </c>
      <c r="L406" t="s">
        <v>37</v>
      </c>
      <c r="M406" t="s">
        <v>19</v>
      </c>
      <c r="N406">
        <v>1</v>
      </c>
      <c r="O406">
        <v>1066</v>
      </c>
      <c r="P406">
        <v>1499</v>
      </c>
      <c r="Q406">
        <v>0</v>
      </c>
      <c r="R406">
        <v>0</v>
      </c>
      <c r="S406">
        <v>1499</v>
      </c>
      <c r="T406">
        <v>433</v>
      </c>
      <c r="U406">
        <v>28.89</v>
      </c>
      <c r="V406" t="s">
        <v>33</v>
      </c>
    </row>
    <row r="407" spans="1:22" x14ac:dyDescent="0.35">
      <c r="A407" t="s">
        <v>5385</v>
      </c>
      <c r="B407" t="s">
        <v>77</v>
      </c>
      <c r="C407" t="s">
        <v>27</v>
      </c>
      <c r="D407" t="s">
        <v>5384</v>
      </c>
      <c r="E407" t="s">
        <v>5383</v>
      </c>
      <c r="F407" s="5">
        <v>45606</v>
      </c>
      <c r="G407" t="s">
        <v>126</v>
      </c>
      <c r="H407" t="s">
        <v>5382</v>
      </c>
      <c r="I407" t="s">
        <v>31</v>
      </c>
      <c r="J407" t="s">
        <v>76</v>
      </c>
      <c r="K407" t="s">
        <v>76</v>
      </c>
      <c r="L407" t="s">
        <v>19</v>
      </c>
      <c r="M407" t="s">
        <v>19</v>
      </c>
      <c r="N407">
        <v>1</v>
      </c>
      <c r="O407">
        <v>689</v>
      </c>
      <c r="P407">
        <v>1199</v>
      </c>
      <c r="Q407">
        <v>0</v>
      </c>
      <c r="R407">
        <v>0</v>
      </c>
      <c r="S407">
        <v>1199</v>
      </c>
      <c r="T407">
        <v>510</v>
      </c>
      <c r="U407">
        <v>42.54</v>
      </c>
      <c r="V407" t="s">
        <v>33</v>
      </c>
    </row>
    <row r="408" spans="1:22" x14ac:dyDescent="0.35">
      <c r="A408" t="s">
        <v>5381</v>
      </c>
      <c r="B408" t="s">
        <v>84</v>
      </c>
      <c r="C408" t="s">
        <v>27</v>
      </c>
      <c r="D408" t="s">
        <v>5380</v>
      </c>
      <c r="E408" t="s">
        <v>5379</v>
      </c>
      <c r="F408" s="5">
        <v>45563</v>
      </c>
      <c r="G408" t="s">
        <v>126</v>
      </c>
      <c r="H408" t="s">
        <v>2386</v>
      </c>
      <c r="I408" t="s">
        <v>17</v>
      </c>
      <c r="J408" t="s">
        <v>235</v>
      </c>
      <c r="K408" t="s">
        <v>18</v>
      </c>
      <c r="L408" t="s">
        <v>25</v>
      </c>
      <c r="M408" t="s">
        <v>20</v>
      </c>
      <c r="N408">
        <v>2</v>
      </c>
      <c r="O408">
        <v>210</v>
      </c>
      <c r="P408">
        <v>399</v>
      </c>
      <c r="Q408">
        <v>0</v>
      </c>
      <c r="R408">
        <v>0</v>
      </c>
      <c r="S408">
        <v>798</v>
      </c>
      <c r="T408">
        <v>378</v>
      </c>
      <c r="U408">
        <v>47.37</v>
      </c>
      <c r="V408" t="s">
        <v>21</v>
      </c>
    </row>
    <row r="409" spans="1:22" x14ac:dyDescent="0.35">
      <c r="A409" t="s">
        <v>5378</v>
      </c>
      <c r="B409" t="s">
        <v>88</v>
      </c>
      <c r="C409" t="s">
        <v>27</v>
      </c>
      <c r="D409" t="s">
        <v>5377</v>
      </c>
      <c r="E409" t="s">
        <v>5376</v>
      </c>
      <c r="F409" s="5">
        <v>45651</v>
      </c>
      <c r="G409" t="s">
        <v>126</v>
      </c>
      <c r="H409" t="s">
        <v>2871</v>
      </c>
      <c r="I409" t="s">
        <v>28</v>
      </c>
      <c r="J409" t="s">
        <v>201</v>
      </c>
      <c r="K409" t="s">
        <v>29</v>
      </c>
      <c r="L409" t="s">
        <v>19</v>
      </c>
      <c r="M409" t="s">
        <v>19</v>
      </c>
      <c r="N409">
        <v>1</v>
      </c>
      <c r="O409">
        <v>312</v>
      </c>
      <c r="P409">
        <v>499</v>
      </c>
      <c r="Q409">
        <v>15</v>
      </c>
      <c r="R409">
        <v>100</v>
      </c>
      <c r="S409">
        <v>399</v>
      </c>
      <c r="T409">
        <v>87</v>
      </c>
      <c r="U409">
        <v>21.8</v>
      </c>
      <c r="V409" t="s">
        <v>33</v>
      </c>
    </row>
    <row r="410" spans="1:22" x14ac:dyDescent="0.35">
      <c r="A410" t="s">
        <v>5375</v>
      </c>
      <c r="B410" t="s">
        <v>42</v>
      </c>
      <c r="C410" t="s">
        <v>27</v>
      </c>
      <c r="D410" t="s">
        <v>5374</v>
      </c>
      <c r="E410" t="s">
        <v>5373</v>
      </c>
      <c r="F410" s="5">
        <v>45452</v>
      </c>
      <c r="G410" t="s">
        <v>126</v>
      </c>
      <c r="H410" t="s">
        <v>684</v>
      </c>
      <c r="I410" t="s">
        <v>28</v>
      </c>
      <c r="J410" t="s">
        <v>201</v>
      </c>
      <c r="K410" t="s">
        <v>29</v>
      </c>
      <c r="L410" t="s">
        <v>19</v>
      </c>
      <c r="M410" t="s">
        <v>19</v>
      </c>
      <c r="N410">
        <v>1</v>
      </c>
      <c r="O410">
        <v>523</v>
      </c>
      <c r="P410">
        <v>699</v>
      </c>
      <c r="Q410">
        <v>10</v>
      </c>
      <c r="R410">
        <v>100</v>
      </c>
      <c r="S410">
        <v>599</v>
      </c>
      <c r="T410">
        <v>76</v>
      </c>
      <c r="U410">
        <v>12.69</v>
      </c>
      <c r="V410" t="s">
        <v>21</v>
      </c>
    </row>
    <row r="411" spans="1:22" x14ac:dyDescent="0.35">
      <c r="A411" t="s">
        <v>5372</v>
      </c>
      <c r="B411" t="s">
        <v>15</v>
      </c>
      <c r="C411" t="s">
        <v>16</v>
      </c>
      <c r="D411" t="s">
        <v>5371</v>
      </c>
      <c r="E411" t="s">
        <v>5370</v>
      </c>
      <c r="F411" s="5">
        <v>45553</v>
      </c>
      <c r="G411" t="s">
        <v>126</v>
      </c>
      <c r="H411" t="s">
        <v>906</v>
      </c>
      <c r="I411" t="s">
        <v>23</v>
      </c>
      <c r="J411" t="s">
        <v>164</v>
      </c>
      <c r="K411" t="s">
        <v>24</v>
      </c>
      <c r="L411" t="s">
        <v>19</v>
      </c>
      <c r="M411" t="s">
        <v>20</v>
      </c>
      <c r="N411">
        <v>1</v>
      </c>
      <c r="O411">
        <v>730</v>
      </c>
      <c r="P411">
        <v>1199</v>
      </c>
      <c r="Q411">
        <v>15</v>
      </c>
      <c r="R411">
        <v>200</v>
      </c>
      <c r="S411">
        <v>999</v>
      </c>
      <c r="T411">
        <v>269</v>
      </c>
      <c r="U411">
        <v>26.93</v>
      </c>
      <c r="V411" t="s">
        <v>21</v>
      </c>
    </row>
    <row r="412" spans="1:22" x14ac:dyDescent="0.35">
      <c r="A412" t="s">
        <v>5369</v>
      </c>
      <c r="B412" t="s">
        <v>53</v>
      </c>
      <c r="C412" t="s">
        <v>27</v>
      </c>
      <c r="D412" t="s">
        <v>5368</v>
      </c>
      <c r="E412" t="s">
        <v>5367</v>
      </c>
      <c r="F412" s="5">
        <v>45550</v>
      </c>
      <c r="G412" t="s">
        <v>126</v>
      </c>
      <c r="H412" t="s">
        <v>3336</v>
      </c>
      <c r="I412" t="s">
        <v>28</v>
      </c>
      <c r="J412" t="s">
        <v>201</v>
      </c>
      <c r="K412" t="s">
        <v>29</v>
      </c>
      <c r="L412" t="s">
        <v>25</v>
      </c>
      <c r="M412" t="s">
        <v>19</v>
      </c>
      <c r="N412">
        <v>2</v>
      </c>
      <c r="O412">
        <v>438</v>
      </c>
      <c r="P412">
        <v>599</v>
      </c>
      <c r="Q412">
        <v>15</v>
      </c>
      <c r="R412">
        <v>200</v>
      </c>
      <c r="S412">
        <v>998</v>
      </c>
      <c r="T412">
        <v>122</v>
      </c>
      <c r="U412">
        <v>12.22</v>
      </c>
      <c r="V412" t="s">
        <v>21</v>
      </c>
    </row>
    <row r="413" spans="1:22" x14ac:dyDescent="0.35">
      <c r="A413" t="s">
        <v>5366</v>
      </c>
      <c r="B413" t="s">
        <v>98</v>
      </c>
      <c r="C413" t="s">
        <v>16</v>
      </c>
      <c r="D413" t="s">
        <v>5365</v>
      </c>
      <c r="E413" t="s">
        <v>5364</v>
      </c>
      <c r="F413" s="5">
        <v>45509</v>
      </c>
      <c r="G413" t="s">
        <v>126</v>
      </c>
      <c r="H413" t="s">
        <v>5363</v>
      </c>
      <c r="I413" t="s">
        <v>35</v>
      </c>
      <c r="J413" t="s">
        <v>159</v>
      </c>
      <c r="K413" t="s">
        <v>36</v>
      </c>
      <c r="L413" t="s">
        <v>37</v>
      </c>
      <c r="M413" t="s">
        <v>19</v>
      </c>
      <c r="N413">
        <v>3</v>
      </c>
      <c r="O413">
        <v>372</v>
      </c>
      <c r="P413">
        <v>499</v>
      </c>
      <c r="Q413">
        <v>20</v>
      </c>
      <c r="R413">
        <v>300</v>
      </c>
      <c r="S413">
        <v>1197</v>
      </c>
      <c r="T413">
        <v>81</v>
      </c>
      <c r="U413">
        <v>6.77</v>
      </c>
      <c r="V413" t="s">
        <v>21</v>
      </c>
    </row>
    <row r="414" spans="1:22" x14ac:dyDescent="0.35">
      <c r="A414" t="s">
        <v>5362</v>
      </c>
      <c r="B414" t="s">
        <v>108</v>
      </c>
      <c r="C414" t="s">
        <v>27</v>
      </c>
      <c r="D414" t="s">
        <v>5361</v>
      </c>
      <c r="E414" t="s">
        <v>5360</v>
      </c>
      <c r="F414" s="5">
        <v>45444</v>
      </c>
      <c r="G414" t="s">
        <v>126</v>
      </c>
      <c r="H414" t="s">
        <v>2185</v>
      </c>
      <c r="I414" t="s">
        <v>35</v>
      </c>
      <c r="J414" t="s">
        <v>244</v>
      </c>
      <c r="K414" t="s">
        <v>58</v>
      </c>
      <c r="L414" t="s">
        <v>25</v>
      </c>
      <c r="M414" t="s">
        <v>20</v>
      </c>
      <c r="N414">
        <v>1</v>
      </c>
      <c r="O414">
        <v>1278</v>
      </c>
      <c r="P414">
        <v>2499</v>
      </c>
      <c r="Q414">
        <v>20</v>
      </c>
      <c r="R414">
        <v>500</v>
      </c>
      <c r="S414">
        <v>1999</v>
      </c>
      <c r="T414">
        <v>721</v>
      </c>
      <c r="U414">
        <v>36.07</v>
      </c>
      <c r="V414" t="s">
        <v>21</v>
      </c>
    </row>
    <row r="415" spans="1:22" x14ac:dyDescent="0.35">
      <c r="A415" t="s">
        <v>5359</v>
      </c>
      <c r="B415" t="s">
        <v>30</v>
      </c>
      <c r="C415" t="s">
        <v>16</v>
      </c>
      <c r="D415" t="s">
        <v>5358</v>
      </c>
      <c r="E415" t="s">
        <v>3141</v>
      </c>
      <c r="F415" s="5">
        <v>45517</v>
      </c>
      <c r="G415" t="s">
        <v>126</v>
      </c>
      <c r="H415" t="s">
        <v>718</v>
      </c>
      <c r="I415" t="s">
        <v>31</v>
      </c>
      <c r="J415" t="s">
        <v>76</v>
      </c>
      <c r="K415" t="s">
        <v>76</v>
      </c>
      <c r="L415" t="s">
        <v>25</v>
      </c>
      <c r="M415" t="s">
        <v>19</v>
      </c>
      <c r="N415">
        <v>1</v>
      </c>
      <c r="O415">
        <v>512</v>
      </c>
      <c r="P415">
        <v>999</v>
      </c>
      <c r="Q415">
        <v>0</v>
      </c>
      <c r="R415">
        <v>0</v>
      </c>
      <c r="S415">
        <v>999</v>
      </c>
      <c r="T415">
        <v>487</v>
      </c>
      <c r="U415">
        <v>48.75</v>
      </c>
      <c r="V415" t="s">
        <v>21</v>
      </c>
    </row>
    <row r="416" spans="1:22" x14ac:dyDescent="0.35">
      <c r="A416" t="s">
        <v>5357</v>
      </c>
      <c r="B416" t="s">
        <v>92</v>
      </c>
      <c r="C416" t="s">
        <v>27</v>
      </c>
      <c r="D416" t="s">
        <v>5356</v>
      </c>
      <c r="E416" t="s">
        <v>5355</v>
      </c>
      <c r="F416" s="5">
        <v>45554</v>
      </c>
      <c r="G416" t="s">
        <v>126</v>
      </c>
      <c r="H416" t="s">
        <v>3307</v>
      </c>
      <c r="I416" t="s">
        <v>35</v>
      </c>
      <c r="J416" t="s">
        <v>39</v>
      </c>
      <c r="K416" t="s">
        <v>39</v>
      </c>
      <c r="L416" t="s">
        <v>19</v>
      </c>
      <c r="M416" t="s">
        <v>19</v>
      </c>
      <c r="N416">
        <v>5</v>
      </c>
      <c r="O416">
        <v>854</v>
      </c>
      <c r="P416">
        <v>1699</v>
      </c>
      <c r="Q416">
        <v>20</v>
      </c>
      <c r="R416">
        <v>2000</v>
      </c>
      <c r="S416">
        <v>6495</v>
      </c>
      <c r="T416">
        <v>2225</v>
      </c>
      <c r="U416">
        <v>34.26</v>
      </c>
      <c r="V416" t="s">
        <v>33</v>
      </c>
    </row>
    <row r="417" spans="1:22" x14ac:dyDescent="0.35">
      <c r="A417" t="s">
        <v>5354</v>
      </c>
      <c r="B417" t="s">
        <v>82</v>
      </c>
      <c r="C417" t="s">
        <v>27</v>
      </c>
      <c r="D417" t="s">
        <v>5353</v>
      </c>
      <c r="E417" t="s">
        <v>5352</v>
      </c>
      <c r="F417" s="5">
        <v>45545</v>
      </c>
      <c r="G417" t="s">
        <v>126</v>
      </c>
      <c r="H417" t="s">
        <v>5239</v>
      </c>
      <c r="I417" t="s">
        <v>23</v>
      </c>
      <c r="J417" t="s">
        <v>142</v>
      </c>
      <c r="K417" t="s">
        <v>43</v>
      </c>
      <c r="L417" t="s">
        <v>37</v>
      </c>
      <c r="M417" t="s">
        <v>20</v>
      </c>
      <c r="N417">
        <v>5</v>
      </c>
      <c r="O417">
        <v>2006</v>
      </c>
      <c r="P417">
        <v>3199</v>
      </c>
      <c r="Q417">
        <v>5</v>
      </c>
      <c r="R417">
        <v>1000</v>
      </c>
      <c r="S417">
        <v>14995</v>
      </c>
      <c r="T417">
        <v>4965</v>
      </c>
      <c r="U417">
        <v>33.11</v>
      </c>
      <c r="V417" t="s">
        <v>21</v>
      </c>
    </row>
    <row r="418" spans="1:22" x14ac:dyDescent="0.35">
      <c r="A418" t="s">
        <v>5351</v>
      </c>
      <c r="B418" t="s">
        <v>65</v>
      </c>
      <c r="C418" t="s">
        <v>16</v>
      </c>
      <c r="D418" t="s">
        <v>5350</v>
      </c>
      <c r="E418" t="s">
        <v>1040</v>
      </c>
      <c r="F418" s="5">
        <v>45528</v>
      </c>
      <c r="G418" t="s">
        <v>126</v>
      </c>
      <c r="H418" t="s">
        <v>2434</v>
      </c>
      <c r="I418" t="s">
        <v>35</v>
      </c>
      <c r="J418" t="s">
        <v>244</v>
      </c>
      <c r="K418" t="s">
        <v>58</v>
      </c>
      <c r="L418" t="s">
        <v>19</v>
      </c>
      <c r="M418" t="s">
        <v>20</v>
      </c>
      <c r="N418">
        <v>3</v>
      </c>
      <c r="O418">
        <v>612</v>
      </c>
      <c r="P418">
        <v>1099</v>
      </c>
      <c r="Q418">
        <v>5</v>
      </c>
      <c r="R418">
        <v>300</v>
      </c>
      <c r="S418">
        <v>2997</v>
      </c>
      <c r="T418">
        <v>1161</v>
      </c>
      <c r="U418">
        <v>38.74</v>
      </c>
      <c r="V418" t="s">
        <v>21</v>
      </c>
    </row>
    <row r="419" spans="1:22" x14ac:dyDescent="0.35">
      <c r="A419" t="s">
        <v>5349</v>
      </c>
      <c r="B419" t="s">
        <v>74</v>
      </c>
      <c r="C419" t="s">
        <v>16</v>
      </c>
      <c r="D419" t="s">
        <v>5348</v>
      </c>
      <c r="E419" t="s">
        <v>5347</v>
      </c>
      <c r="F419" s="5">
        <v>45600</v>
      </c>
      <c r="G419" t="s">
        <v>126</v>
      </c>
      <c r="H419" t="s">
        <v>1660</v>
      </c>
      <c r="I419" t="s">
        <v>31</v>
      </c>
      <c r="J419" t="s">
        <v>32</v>
      </c>
      <c r="K419" t="s">
        <v>32</v>
      </c>
      <c r="L419" t="s">
        <v>19</v>
      </c>
      <c r="M419" t="s">
        <v>20</v>
      </c>
      <c r="N419">
        <v>1</v>
      </c>
      <c r="O419">
        <v>945</v>
      </c>
      <c r="P419">
        <v>1499</v>
      </c>
      <c r="Q419">
        <v>0</v>
      </c>
      <c r="R419">
        <v>0</v>
      </c>
      <c r="S419">
        <v>1499</v>
      </c>
      <c r="T419">
        <v>554</v>
      </c>
      <c r="U419">
        <v>36.96</v>
      </c>
      <c r="V419" t="s">
        <v>21</v>
      </c>
    </row>
    <row r="420" spans="1:22" x14ac:dyDescent="0.35">
      <c r="A420" t="s">
        <v>5346</v>
      </c>
      <c r="B420" t="s">
        <v>42</v>
      </c>
      <c r="C420" t="s">
        <v>27</v>
      </c>
      <c r="D420" t="s">
        <v>5345</v>
      </c>
      <c r="E420" t="s">
        <v>5344</v>
      </c>
      <c r="F420" s="5">
        <v>45600</v>
      </c>
      <c r="G420" t="s">
        <v>126</v>
      </c>
      <c r="H420" t="s">
        <v>1492</v>
      </c>
      <c r="I420" t="s">
        <v>31</v>
      </c>
      <c r="J420" t="s">
        <v>32</v>
      </c>
      <c r="K420" t="s">
        <v>32</v>
      </c>
      <c r="L420" t="s">
        <v>19</v>
      </c>
      <c r="M420" t="s">
        <v>19</v>
      </c>
      <c r="N420">
        <v>5</v>
      </c>
      <c r="O420">
        <v>874</v>
      </c>
      <c r="P420">
        <v>1199</v>
      </c>
      <c r="Q420">
        <v>0</v>
      </c>
      <c r="R420">
        <v>0</v>
      </c>
      <c r="S420">
        <v>5995</v>
      </c>
      <c r="T420">
        <v>1625</v>
      </c>
      <c r="U420">
        <v>27.11</v>
      </c>
      <c r="V420" t="s">
        <v>21</v>
      </c>
    </row>
    <row r="421" spans="1:22" x14ac:dyDescent="0.35">
      <c r="A421" t="s">
        <v>5343</v>
      </c>
      <c r="B421" t="s">
        <v>95</v>
      </c>
      <c r="C421" t="s">
        <v>27</v>
      </c>
      <c r="D421" t="s">
        <v>5342</v>
      </c>
      <c r="E421" t="s">
        <v>929</v>
      </c>
      <c r="F421" s="5">
        <v>45591</v>
      </c>
      <c r="G421" t="s">
        <v>126</v>
      </c>
      <c r="H421" t="s">
        <v>5341</v>
      </c>
      <c r="I421" t="s">
        <v>31</v>
      </c>
      <c r="J421" t="s">
        <v>32</v>
      </c>
      <c r="K421" t="s">
        <v>32</v>
      </c>
      <c r="L421" t="s">
        <v>19</v>
      </c>
      <c r="M421" t="s">
        <v>20</v>
      </c>
      <c r="N421">
        <v>1</v>
      </c>
      <c r="O421">
        <v>758</v>
      </c>
      <c r="P421">
        <v>1499</v>
      </c>
      <c r="Q421">
        <v>0</v>
      </c>
      <c r="R421">
        <v>0</v>
      </c>
      <c r="S421">
        <v>1499</v>
      </c>
      <c r="T421">
        <v>741</v>
      </c>
      <c r="U421">
        <v>49.43</v>
      </c>
      <c r="V421" t="s">
        <v>21</v>
      </c>
    </row>
    <row r="422" spans="1:22" x14ac:dyDescent="0.35">
      <c r="A422" t="s">
        <v>5340</v>
      </c>
      <c r="B422" t="s">
        <v>107</v>
      </c>
      <c r="C422" t="s">
        <v>27</v>
      </c>
      <c r="D422" t="s">
        <v>5339</v>
      </c>
      <c r="E422" t="s">
        <v>5338</v>
      </c>
      <c r="F422" s="5">
        <v>45522</v>
      </c>
      <c r="G422" t="s">
        <v>126</v>
      </c>
      <c r="H422" t="s">
        <v>1292</v>
      </c>
      <c r="I422" t="s">
        <v>31</v>
      </c>
      <c r="J422" t="s">
        <v>76</v>
      </c>
      <c r="K422" t="s">
        <v>76</v>
      </c>
      <c r="L422" t="s">
        <v>19</v>
      </c>
      <c r="M422" t="s">
        <v>19</v>
      </c>
      <c r="N422">
        <v>2</v>
      </c>
      <c r="O422">
        <v>716</v>
      </c>
      <c r="P422">
        <v>999</v>
      </c>
      <c r="Q422">
        <v>0</v>
      </c>
      <c r="R422">
        <v>0</v>
      </c>
      <c r="S422">
        <v>1998</v>
      </c>
      <c r="T422">
        <v>566</v>
      </c>
      <c r="U422">
        <v>28.33</v>
      </c>
      <c r="V422" t="s">
        <v>33</v>
      </c>
    </row>
    <row r="423" spans="1:22" x14ac:dyDescent="0.35">
      <c r="A423" t="s">
        <v>5337</v>
      </c>
      <c r="B423" t="s">
        <v>92</v>
      </c>
      <c r="C423" t="s">
        <v>27</v>
      </c>
      <c r="D423" t="s">
        <v>5336</v>
      </c>
      <c r="E423" t="s">
        <v>5335</v>
      </c>
      <c r="F423" s="5">
        <v>45484</v>
      </c>
      <c r="G423" t="s">
        <v>126</v>
      </c>
      <c r="H423" t="s">
        <v>473</v>
      </c>
      <c r="I423" t="s">
        <v>23</v>
      </c>
      <c r="J423" t="s">
        <v>142</v>
      </c>
      <c r="K423" t="s">
        <v>43</v>
      </c>
      <c r="L423" t="s">
        <v>25</v>
      </c>
      <c r="M423" t="s">
        <v>20</v>
      </c>
      <c r="N423">
        <v>1</v>
      </c>
      <c r="O423">
        <v>1842</v>
      </c>
      <c r="P423">
        <v>2699</v>
      </c>
      <c r="Q423">
        <v>5</v>
      </c>
      <c r="R423">
        <v>200</v>
      </c>
      <c r="S423">
        <v>2499</v>
      </c>
      <c r="T423">
        <v>657</v>
      </c>
      <c r="U423">
        <v>26.29</v>
      </c>
      <c r="V423" t="s">
        <v>21</v>
      </c>
    </row>
    <row r="424" spans="1:22" x14ac:dyDescent="0.35">
      <c r="A424" t="s">
        <v>5334</v>
      </c>
      <c r="B424" t="s">
        <v>105</v>
      </c>
      <c r="C424" t="s">
        <v>16</v>
      </c>
      <c r="D424" t="s">
        <v>5333</v>
      </c>
      <c r="E424" t="s">
        <v>5332</v>
      </c>
      <c r="F424" s="5">
        <v>45615</v>
      </c>
      <c r="G424" t="s">
        <v>126</v>
      </c>
      <c r="H424" t="s">
        <v>552</v>
      </c>
      <c r="I424" t="s">
        <v>17</v>
      </c>
      <c r="J424" t="s">
        <v>253</v>
      </c>
      <c r="K424" t="s">
        <v>72</v>
      </c>
      <c r="L424" t="s">
        <v>25</v>
      </c>
      <c r="M424" t="s">
        <v>20</v>
      </c>
      <c r="N424">
        <v>3</v>
      </c>
      <c r="O424">
        <v>214</v>
      </c>
      <c r="P424">
        <v>399</v>
      </c>
      <c r="Q424">
        <v>0</v>
      </c>
      <c r="R424">
        <v>0</v>
      </c>
      <c r="S424">
        <v>1197</v>
      </c>
      <c r="T424">
        <v>555</v>
      </c>
      <c r="U424">
        <v>46.37</v>
      </c>
      <c r="V424" t="s">
        <v>21</v>
      </c>
    </row>
    <row r="425" spans="1:22" x14ac:dyDescent="0.35">
      <c r="A425" t="s">
        <v>5331</v>
      </c>
      <c r="B425" t="s">
        <v>53</v>
      </c>
      <c r="C425" t="s">
        <v>27</v>
      </c>
      <c r="D425" t="s">
        <v>5330</v>
      </c>
      <c r="E425" t="s">
        <v>5329</v>
      </c>
      <c r="F425" s="5">
        <v>45449</v>
      </c>
      <c r="G425" t="s">
        <v>126</v>
      </c>
      <c r="H425" t="s">
        <v>193</v>
      </c>
      <c r="I425" t="s">
        <v>23</v>
      </c>
      <c r="J425" t="s">
        <v>164</v>
      </c>
      <c r="K425" t="s">
        <v>24</v>
      </c>
      <c r="L425" t="s">
        <v>25</v>
      </c>
      <c r="M425" t="s">
        <v>19</v>
      </c>
      <c r="N425">
        <v>2</v>
      </c>
      <c r="O425">
        <v>1415</v>
      </c>
      <c r="P425">
        <v>2399</v>
      </c>
      <c r="Q425">
        <v>15</v>
      </c>
      <c r="R425">
        <v>800</v>
      </c>
      <c r="S425">
        <v>3998</v>
      </c>
      <c r="T425">
        <v>1168</v>
      </c>
      <c r="U425">
        <v>29.21</v>
      </c>
      <c r="V425" t="s">
        <v>33</v>
      </c>
    </row>
    <row r="426" spans="1:22" x14ac:dyDescent="0.35">
      <c r="A426" t="s">
        <v>5328</v>
      </c>
      <c r="B426" t="s">
        <v>77</v>
      </c>
      <c r="C426" t="s">
        <v>27</v>
      </c>
      <c r="D426" t="s">
        <v>5327</v>
      </c>
      <c r="E426" t="s">
        <v>5326</v>
      </c>
      <c r="F426" s="5">
        <v>45561</v>
      </c>
      <c r="G426" t="s">
        <v>126</v>
      </c>
      <c r="H426" t="s">
        <v>1834</v>
      </c>
      <c r="I426" t="s">
        <v>35</v>
      </c>
      <c r="J426" t="s">
        <v>214</v>
      </c>
      <c r="K426" t="s">
        <v>50</v>
      </c>
      <c r="L426" t="s">
        <v>25</v>
      </c>
      <c r="M426" t="s">
        <v>19</v>
      </c>
      <c r="N426">
        <v>3</v>
      </c>
      <c r="O426">
        <v>1017</v>
      </c>
      <c r="P426">
        <v>1599</v>
      </c>
      <c r="Q426">
        <v>5</v>
      </c>
      <c r="R426">
        <v>300</v>
      </c>
      <c r="S426">
        <v>4497</v>
      </c>
      <c r="T426">
        <v>1446</v>
      </c>
      <c r="U426">
        <v>32.15</v>
      </c>
      <c r="V426" t="s">
        <v>21</v>
      </c>
    </row>
    <row r="427" spans="1:22" x14ac:dyDescent="0.35">
      <c r="A427" t="s">
        <v>5325</v>
      </c>
      <c r="B427" t="s">
        <v>26</v>
      </c>
      <c r="C427" t="s">
        <v>27</v>
      </c>
      <c r="D427" t="s">
        <v>5324</v>
      </c>
      <c r="E427" t="s">
        <v>5323</v>
      </c>
      <c r="F427" s="5">
        <v>45505</v>
      </c>
      <c r="G427" t="s">
        <v>126</v>
      </c>
      <c r="H427" t="s">
        <v>4680</v>
      </c>
      <c r="I427" t="s">
        <v>31</v>
      </c>
      <c r="J427" t="s">
        <v>32</v>
      </c>
      <c r="K427" t="s">
        <v>32</v>
      </c>
      <c r="L427" t="s">
        <v>25</v>
      </c>
      <c r="M427" t="s">
        <v>19</v>
      </c>
      <c r="N427">
        <v>1</v>
      </c>
      <c r="O427">
        <v>984</v>
      </c>
      <c r="P427">
        <v>1499</v>
      </c>
      <c r="Q427">
        <v>0</v>
      </c>
      <c r="R427">
        <v>0</v>
      </c>
      <c r="S427">
        <v>1499</v>
      </c>
      <c r="T427">
        <v>515</v>
      </c>
      <c r="U427">
        <v>34.36</v>
      </c>
      <c r="V427" t="s">
        <v>21</v>
      </c>
    </row>
    <row r="428" spans="1:22" x14ac:dyDescent="0.35">
      <c r="A428" t="s">
        <v>5322</v>
      </c>
      <c r="B428" t="s">
        <v>80</v>
      </c>
      <c r="C428" t="s">
        <v>27</v>
      </c>
      <c r="D428" t="s">
        <v>5321</v>
      </c>
      <c r="E428" t="s">
        <v>5320</v>
      </c>
      <c r="F428" s="5">
        <v>45541</v>
      </c>
      <c r="G428" t="s">
        <v>126</v>
      </c>
      <c r="H428" t="s">
        <v>500</v>
      </c>
      <c r="I428" t="s">
        <v>17</v>
      </c>
      <c r="J428" t="s">
        <v>55</v>
      </c>
      <c r="K428" t="s">
        <v>55</v>
      </c>
      <c r="L428" t="s">
        <v>25</v>
      </c>
      <c r="M428" t="s">
        <v>20</v>
      </c>
      <c r="N428">
        <v>4</v>
      </c>
      <c r="O428">
        <v>158</v>
      </c>
      <c r="P428">
        <v>299</v>
      </c>
      <c r="Q428">
        <v>0</v>
      </c>
      <c r="R428">
        <v>0</v>
      </c>
      <c r="S428">
        <v>1196</v>
      </c>
      <c r="T428">
        <v>564</v>
      </c>
      <c r="U428">
        <v>47.16</v>
      </c>
      <c r="V428" t="s">
        <v>21</v>
      </c>
    </row>
    <row r="429" spans="1:22" x14ac:dyDescent="0.35">
      <c r="A429" t="s">
        <v>5319</v>
      </c>
      <c r="B429" t="s">
        <v>95</v>
      </c>
      <c r="C429" t="s">
        <v>27</v>
      </c>
      <c r="D429" t="s">
        <v>5318</v>
      </c>
      <c r="E429" t="s">
        <v>5317</v>
      </c>
      <c r="F429" s="5">
        <v>45539</v>
      </c>
      <c r="G429" t="s">
        <v>126</v>
      </c>
      <c r="H429" t="s">
        <v>5316</v>
      </c>
      <c r="I429" t="s">
        <v>28</v>
      </c>
      <c r="J429" t="s">
        <v>201</v>
      </c>
      <c r="K429" t="s">
        <v>29</v>
      </c>
      <c r="L429" t="s">
        <v>19</v>
      </c>
      <c r="M429" t="s">
        <v>19</v>
      </c>
      <c r="N429">
        <v>4</v>
      </c>
      <c r="O429">
        <v>263</v>
      </c>
      <c r="P429">
        <v>499</v>
      </c>
      <c r="Q429">
        <v>20</v>
      </c>
      <c r="R429">
        <v>400</v>
      </c>
      <c r="S429">
        <v>1596</v>
      </c>
      <c r="T429">
        <v>544</v>
      </c>
      <c r="U429">
        <v>34.090000000000003</v>
      </c>
      <c r="V429" t="s">
        <v>21</v>
      </c>
    </row>
    <row r="430" spans="1:22" x14ac:dyDescent="0.35">
      <c r="A430" t="s">
        <v>5315</v>
      </c>
      <c r="B430" t="s">
        <v>109</v>
      </c>
      <c r="C430" t="s">
        <v>16</v>
      </c>
      <c r="D430" t="s">
        <v>5314</v>
      </c>
      <c r="E430" t="s">
        <v>5313</v>
      </c>
      <c r="F430" s="5">
        <v>45605</v>
      </c>
      <c r="G430" t="s">
        <v>126</v>
      </c>
      <c r="H430" t="s">
        <v>143</v>
      </c>
      <c r="I430" t="s">
        <v>35</v>
      </c>
      <c r="J430" t="s">
        <v>159</v>
      </c>
      <c r="K430" t="s">
        <v>36</v>
      </c>
      <c r="L430" t="s">
        <v>25</v>
      </c>
      <c r="M430" t="s">
        <v>20</v>
      </c>
      <c r="N430">
        <v>1</v>
      </c>
      <c r="O430">
        <v>273</v>
      </c>
      <c r="P430">
        <v>399</v>
      </c>
      <c r="Q430">
        <v>10</v>
      </c>
      <c r="R430">
        <v>100</v>
      </c>
      <c r="S430">
        <v>299</v>
      </c>
      <c r="T430">
        <v>26</v>
      </c>
      <c r="U430">
        <v>8.6999999999999993</v>
      </c>
      <c r="V430" t="s">
        <v>21</v>
      </c>
    </row>
    <row r="431" spans="1:22" x14ac:dyDescent="0.35">
      <c r="A431" t="s">
        <v>5312</v>
      </c>
      <c r="B431" t="s">
        <v>78</v>
      </c>
      <c r="C431" t="s">
        <v>16</v>
      </c>
      <c r="D431" t="s">
        <v>5311</v>
      </c>
      <c r="E431" t="s">
        <v>5310</v>
      </c>
      <c r="F431" s="5">
        <v>45544</v>
      </c>
      <c r="G431" t="s">
        <v>126</v>
      </c>
      <c r="H431" t="s">
        <v>2250</v>
      </c>
      <c r="I431" t="s">
        <v>28</v>
      </c>
      <c r="J431" t="s">
        <v>201</v>
      </c>
      <c r="K431" t="s">
        <v>29</v>
      </c>
      <c r="L431" t="s">
        <v>19</v>
      </c>
      <c r="M431" t="s">
        <v>19</v>
      </c>
      <c r="N431">
        <v>1</v>
      </c>
      <c r="O431">
        <v>420</v>
      </c>
      <c r="P431">
        <v>599</v>
      </c>
      <c r="Q431">
        <v>15</v>
      </c>
      <c r="R431">
        <v>150</v>
      </c>
      <c r="S431">
        <v>449</v>
      </c>
      <c r="T431">
        <v>29</v>
      </c>
      <c r="U431">
        <v>6.46</v>
      </c>
      <c r="V431" t="s">
        <v>21</v>
      </c>
    </row>
    <row r="432" spans="1:22" x14ac:dyDescent="0.35">
      <c r="A432" t="s">
        <v>5309</v>
      </c>
      <c r="B432" t="s">
        <v>51</v>
      </c>
      <c r="C432" t="s">
        <v>16</v>
      </c>
      <c r="D432" t="s">
        <v>5308</v>
      </c>
      <c r="E432" t="s">
        <v>4954</v>
      </c>
      <c r="F432" s="5">
        <v>45627</v>
      </c>
      <c r="G432" t="s">
        <v>126</v>
      </c>
      <c r="H432" t="s">
        <v>446</v>
      </c>
      <c r="I432" t="s">
        <v>28</v>
      </c>
      <c r="J432" t="s">
        <v>45</v>
      </c>
      <c r="K432" t="s">
        <v>45</v>
      </c>
      <c r="L432" t="s">
        <v>19</v>
      </c>
      <c r="M432" t="s">
        <v>20</v>
      </c>
      <c r="N432">
        <v>1</v>
      </c>
      <c r="O432">
        <v>492</v>
      </c>
      <c r="P432">
        <v>699</v>
      </c>
      <c r="Q432">
        <v>5</v>
      </c>
      <c r="R432">
        <v>100</v>
      </c>
      <c r="S432">
        <v>599</v>
      </c>
      <c r="T432">
        <v>107</v>
      </c>
      <c r="U432">
        <v>17.86</v>
      </c>
      <c r="V432" t="s">
        <v>21</v>
      </c>
    </row>
    <row r="433" spans="1:22" x14ac:dyDescent="0.35">
      <c r="A433" t="s">
        <v>5307</v>
      </c>
      <c r="B433" t="s">
        <v>86</v>
      </c>
      <c r="C433" t="s">
        <v>27</v>
      </c>
      <c r="D433" t="s">
        <v>5306</v>
      </c>
      <c r="E433" t="s">
        <v>2858</v>
      </c>
      <c r="F433" s="5">
        <v>45644</v>
      </c>
      <c r="G433" t="s">
        <v>126</v>
      </c>
      <c r="H433" t="s">
        <v>5305</v>
      </c>
      <c r="I433" t="s">
        <v>28</v>
      </c>
      <c r="J433" t="s">
        <v>45</v>
      </c>
      <c r="K433" t="s">
        <v>45</v>
      </c>
      <c r="L433" t="s">
        <v>25</v>
      </c>
      <c r="M433" t="s">
        <v>19</v>
      </c>
      <c r="N433">
        <v>2</v>
      </c>
      <c r="O433">
        <v>783</v>
      </c>
      <c r="P433">
        <v>1299</v>
      </c>
      <c r="Q433">
        <v>20</v>
      </c>
      <c r="R433">
        <v>600</v>
      </c>
      <c r="S433">
        <v>1998</v>
      </c>
      <c r="T433">
        <v>432</v>
      </c>
      <c r="U433">
        <v>21.62</v>
      </c>
      <c r="V433" t="s">
        <v>21</v>
      </c>
    </row>
    <row r="434" spans="1:22" x14ac:dyDescent="0.35">
      <c r="A434" t="s">
        <v>5304</v>
      </c>
      <c r="B434" t="s">
        <v>91</v>
      </c>
      <c r="C434" t="s">
        <v>16</v>
      </c>
      <c r="D434" t="s">
        <v>5303</v>
      </c>
      <c r="E434" t="s">
        <v>5302</v>
      </c>
      <c r="F434" s="5">
        <v>45639</v>
      </c>
      <c r="G434" t="s">
        <v>126</v>
      </c>
      <c r="H434" t="s">
        <v>1527</v>
      </c>
      <c r="I434" t="s">
        <v>17</v>
      </c>
      <c r="J434" t="s">
        <v>48</v>
      </c>
      <c r="K434" t="s">
        <v>48</v>
      </c>
      <c r="L434" t="s">
        <v>25</v>
      </c>
      <c r="M434" t="s">
        <v>19</v>
      </c>
      <c r="N434">
        <v>1</v>
      </c>
      <c r="O434">
        <v>338</v>
      </c>
      <c r="P434">
        <v>599</v>
      </c>
      <c r="Q434">
        <v>0</v>
      </c>
      <c r="R434">
        <v>0</v>
      </c>
      <c r="S434">
        <v>599</v>
      </c>
      <c r="T434">
        <v>261</v>
      </c>
      <c r="U434">
        <v>43.57</v>
      </c>
      <c r="V434" t="s">
        <v>33</v>
      </c>
    </row>
    <row r="435" spans="1:22" x14ac:dyDescent="0.35">
      <c r="A435" t="s">
        <v>5301</v>
      </c>
      <c r="B435" t="s">
        <v>53</v>
      </c>
      <c r="C435" t="s">
        <v>27</v>
      </c>
      <c r="D435" t="s">
        <v>5300</v>
      </c>
      <c r="E435" t="s">
        <v>5299</v>
      </c>
      <c r="F435" s="5">
        <v>45476</v>
      </c>
      <c r="G435" t="s">
        <v>126</v>
      </c>
      <c r="H435" t="s">
        <v>2193</v>
      </c>
      <c r="I435" t="s">
        <v>17</v>
      </c>
      <c r="J435" t="s">
        <v>235</v>
      </c>
      <c r="K435" t="s">
        <v>18</v>
      </c>
      <c r="L435" t="s">
        <v>25</v>
      </c>
      <c r="M435" t="s">
        <v>19</v>
      </c>
      <c r="N435">
        <v>3</v>
      </c>
      <c r="O435">
        <v>252</v>
      </c>
      <c r="P435">
        <v>499</v>
      </c>
      <c r="Q435">
        <v>0</v>
      </c>
      <c r="R435">
        <v>0</v>
      </c>
      <c r="S435">
        <v>1497</v>
      </c>
      <c r="T435">
        <v>741</v>
      </c>
      <c r="U435">
        <v>49.5</v>
      </c>
      <c r="V435" t="s">
        <v>33</v>
      </c>
    </row>
    <row r="436" spans="1:22" x14ac:dyDescent="0.35">
      <c r="A436" t="s">
        <v>5298</v>
      </c>
      <c r="B436" t="s">
        <v>26</v>
      </c>
      <c r="C436" t="s">
        <v>27</v>
      </c>
      <c r="D436" t="s">
        <v>5297</v>
      </c>
      <c r="E436" t="s">
        <v>5296</v>
      </c>
      <c r="F436" s="5">
        <v>45648</v>
      </c>
      <c r="G436" t="s">
        <v>126</v>
      </c>
      <c r="H436" t="s">
        <v>249</v>
      </c>
      <c r="I436" t="s">
        <v>28</v>
      </c>
      <c r="J436" t="s">
        <v>201</v>
      </c>
      <c r="K436" t="s">
        <v>29</v>
      </c>
      <c r="L436" t="s">
        <v>25</v>
      </c>
      <c r="M436" t="s">
        <v>19</v>
      </c>
      <c r="N436">
        <v>1</v>
      </c>
      <c r="O436">
        <v>273</v>
      </c>
      <c r="P436">
        <v>499</v>
      </c>
      <c r="Q436">
        <v>10</v>
      </c>
      <c r="R436">
        <v>50</v>
      </c>
      <c r="S436">
        <v>449</v>
      </c>
      <c r="T436">
        <v>176</v>
      </c>
      <c r="U436">
        <v>39.200000000000003</v>
      </c>
      <c r="V436" t="s">
        <v>33</v>
      </c>
    </row>
    <row r="437" spans="1:22" x14ac:dyDescent="0.35">
      <c r="A437" t="s">
        <v>5295</v>
      </c>
      <c r="B437" t="s">
        <v>93</v>
      </c>
      <c r="C437" t="s">
        <v>16</v>
      </c>
      <c r="D437" t="s">
        <v>5294</v>
      </c>
      <c r="E437" t="s">
        <v>5293</v>
      </c>
      <c r="F437" s="5">
        <v>45544</v>
      </c>
      <c r="G437" t="s">
        <v>126</v>
      </c>
      <c r="H437" t="s">
        <v>431</v>
      </c>
      <c r="I437" t="s">
        <v>31</v>
      </c>
      <c r="J437" t="s">
        <v>32</v>
      </c>
      <c r="K437" t="s">
        <v>32</v>
      </c>
      <c r="L437" t="s">
        <v>19</v>
      </c>
      <c r="M437" t="s">
        <v>19</v>
      </c>
      <c r="N437">
        <v>4</v>
      </c>
      <c r="O437">
        <v>840</v>
      </c>
      <c r="P437">
        <v>1499</v>
      </c>
      <c r="Q437">
        <v>0</v>
      </c>
      <c r="R437">
        <v>0</v>
      </c>
      <c r="S437">
        <v>5996</v>
      </c>
      <c r="T437">
        <v>2636</v>
      </c>
      <c r="U437">
        <v>43.96</v>
      </c>
      <c r="V437" t="s">
        <v>21</v>
      </c>
    </row>
    <row r="438" spans="1:22" x14ac:dyDescent="0.35">
      <c r="A438" t="s">
        <v>5292</v>
      </c>
      <c r="B438" t="s">
        <v>57</v>
      </c>
      <c r="C438" t="s">
        <v>27</v>
      </c>
      <c r="D438" t="s">
        <v>5291</v>
      </c>
      <c r="E438" t="s">
        <v>5290</v>
      </c>
      <c r="F438" s="5">
        <v>45506</v>
      </c>
      <c r="G438" t="s">
        <v>126</v>
      </c>
      <c r="H438" t="s">
        <v>3207</v>
      </c>
      <c r="I438" t="s">
        <v>23</v>
      </c>
      <c r="J438" t="s">
        <v>164</v>
      </c>
      <c r="K438" t="s">
        <v>24</v>
      </c>
      <c r="L438" t="s">
        <v>19</v>
      </c>
      <c r="M438" t="s">
        <v>20</v>
      </c>
      <c r="N438">
        <v>2</v>
      </c>
      <c r="O438">
        <v>453</v>
      </c>
      <c r="P438">
        <v>899</v>
      </c>
      <c r="Q438">
        <v>5</v>
      </c>
      <c r="R438">
        <v>200</v>
      </c>
      <c r="S438">
        <v>1598</v>
      </c>
      <c r="T438">
        <v>692</v>
      </c>
      <c r="U438">
        <v>43.3</v>
      </c>
      <c r="V438" t="s">
        <v>21</v>
      </c>
    </row>
    <row r="439" spans="1:22" x14ac:dyDescent="0.35">
      <c r="A439" t="s">
        <v>5289</v>
      </c>
      <c r="B439" t="s">
        <v>78</v>
      </c>
      <c r="C439" t="s">
        <v>16</v>
      </c>
      <c r="D439" t="s">
        <v>5288</v>
      </c>
      <c r="E439" t="s">
        <v>5287</v>
      </c>
      <c r="F439" s="5">
        <v>45573</v>
      </c>
      <c r="G439" t="s">
        <v>126</v>
      </c>
      <c r="H439" t="s">
        <v>5286</v>
      </c>
      <c r="I439" t="s">
        <v>31</v>
      </c>
      <c r="J439" t="s">
        <v>32</v>
      </c>
      <c r="K439" t="s">
        <v>32</v>
      </c>
      <c r="L439" t="s">
        <v>19</v>
      </c>
      <c r="M439" t="s">
        <v>19</v>
      </c>
      <c r="N439">
        <v>4</v>
      </c>
      <c r="O439">
        <v>1057</v>
      </c>
      <c r="P439">
        <v>1499</v>
      </c>
      <c r="Q439">
        <v>0</v>
      </c>
      <c r="R439">
        <v>0</v>
      </c>
      <c r="S439">
        <v>5996</v>
      </c>
      <c r="T439">
        <v>1768</v>
      </c>
      <c r="U439">
        <v>29.49</v>
      </c>
      <c r="V439" t="s">
        <v>33</v>
      </c>
    </row>
    <row r="440" spans="1:22" x14ac:dyDescent="0.35">
      <c r="A440" t="s">
        <v>5285</v>
      </c>
      <c r="B440" t="s">
        <v>67</v>
      </c>
      <c r="C440" t="s">
        <v>27</v>
      </c>
      <c r="D440" t="s">
        <v>5284</v>
      </c>
      <c r="E440" t="s">
        <v>5283</v>
      </c>
      <c r="F440" s="5">
        <v>45530</v>
      </c>
      <c r="G440" t="s">
        <v>126</v>
      </c>
      <c r="H440" t="s">
        <v>5282</v>
      </c>
      <c r="I440" t="s">
        <v>23</v>
      </c>
      <c r="J440" t="s">
        <v>164</v>
      </c>
      <c r="K440" t="s">
        <v>24</v>
      </c>
      <c r="L440" t="s">
        <v>25</v>
      </c>
      <c r="M440" t="s">
        <v>19</v>
      </c>
      <c r="N440">
        <v>2</v>
      </c>
      <c r="O440">
        <v>834</v>
      </c>
      <c r="P440">
        <v>1299</v>
      </c>
      <c r="Q440">
        <v>5</v>
      </c>
      <c r="R440">
        <v>200</v>
      </c>
      <c r="S440">
        <v>2398</v>
      </c>
      <c r="T440">
        <v>730</v>
      </c>
      <c r="U440">
        <v>30.44</v>
      </c>
      <c r="V440" t="s">
        <v>21</v>
      </c>
    </row>
    <row r="441" spans="1:22" x14ac:dyDescent="0.35">
      <c r="A441" t="s">
        <v>5281</v>
      </c>
      <c r="B441" t="s">
        <v>69</v>
      </c>
      <c r="C441" t="s">
        <v>16</v>
      </c>
      <c r="D441" t="s">
        <v>5280</v>
      </c>
      <c r="E441" t="s">
        <v>5279</v>
      </c>
      <c r="F441" s="5">
        <v>45638</v>
      </c>
      <c r="G441" t="s">
        <v>126</v>
      </c>
      <c r="H441" t="s">
        <v>3378</v>
      </c>
      <c r="I441" t="s">
        <v>35</v>
      </c>
      <c r="J441" t="s">
        <v>159</v>
      </c>
      <c r="K441" t="s">
        <v>100</v>
      </c>
      <c r="L441" t="s">
        <v>37</v>
      </c>
      <c r="M441" t="s">
        <v>20</v>
      </c>
      <c r="N441">
        <v>1</v>
      </c>
      <c r="O441">
        <v>1398</v>
      </c>
      <c r="P441">
        <v>2299</v>
      </c>
      <c r="Q441">
        <v>10</v>
      </c>
      <c r="R441">
        <v>300</v>
      </c>
      <c r="S441">
        <v>1999</v>
      </c>
      <c r="T441">
        <v>601</v>
      </c>
      <c r="U441">
        <v>30.07</v>
      </c>
      <c r="V441" t="s">
        <v>33</v>
      </c>
    </row>
    <row r="442" spans="1:22" x14ac:dyDescent="0.35">
      <c r="A442" t="s">
        <v>5278</v>
      </c>
      <c r="B442" t="s">
        <v>54</v>
      </c>
      <c r="C442" t="s">
        <v>27</v>
      </c>
      <c r="D442" t="s">
        <v>5277</v>
      </c>
      <c r="E442" t="s">
        <v>5276</v>
      </c>
      <c r="F442" s="5">
        <v>45452</v>
      </c>
      <c r="G442" t="s">
        <v>126</v>
      </c>
      <c r="H442" t="s">
        <v>909</v>
      </c>
      <c r="I442" t="s">
        <v>35</v>
      </c>
      <c r="J442" t="s">
        <v>39</v>
      </c>
      <c r="K442" t="s">
        <v>39</v>
      </c>
      <c r="L442" t="s">
        <v>25</v>
      </c>
      <c r="M442" t="s">
        <v>20</v>
      </c>
      <c r="N442">
        <v>1</v>
      </c>
      <c r="O442">
        <v>698</v>
      </c>
      <c r="P442">
        <v>1099</v>
      </c>
      <c r="Q442">
        <v>5</v>
      </c>
      <c r="R442">
        <v>100</v>
      </c>
      <c r="S442">
        <v>999</v>
      </c>
      <c r="T442">
        <v>301</v>
      </c>
      <c r="U442">
        <v>30.13</v>
      </c>
      <c r="V442" t="s">
        <v>33</v>
      </c>
    </row>
    <row r="443" spans="1:22" x14ac:dyDescent="0.35">
      <c r="A443" t="s">
        <v>5275</v>
      </c>
      <c r="B443" t="s">
        <v>81</v>
      </c>
      <c r="C443" t="s">
        <v>27</v>
      </c>
      <c r="D443" t="s">
        <v>5274</v>
      </c>
      <c r="E443" t="s">
        <v>5273</v>
      </c>
      <c r="F443" s="5">
        <v>45481</v>
      </c>
      <c r="G443" t="s">
        <v>126</v>
      </c>
      <c r="H443" t="s">
        <v>2464</v>
      </c>
      <c r="I443" t="s">
        <v>23</v>
      </c>
      <c r="J443" t="s">
        <v>164</v>
      </c>
      <c r="K443" t="s">
        <v>24</v>
      </c>
      <c r="L443" t="s">
        <v>19</v>
      </c>
      <c r="M443" t="s">
        <v>19</v>
      </c>
      <c r="N443">
        <v>1</v>
      </c>
      <c r="O443">
        <v>1224</v>
      </c>
      <c r="P443">
        <v>2199</v>
      </c>
      <c r="Q443">
        <v>5</v>
      </c>
      <c r="R443">
        <v>200</v>
      </c>
      <c r="S443">
        <v>1999</v>
      </c>
      <c r="T443">
        <v>775</v>
      </c>
      <c r="U443">
        <v>38.770000000000003</v>
      </c>
      <c r="V443" t="s">
        <v>21</v>
      </c>
    </row>
    <row r="444" spans="1:22" x14ac:dyDescent="0.35">
      <c r="A444" t="s">
        <v>5272</v>
      </c>
      <c r="B444" t="s">
        <v>97</v>
      </c>
      <c r="C444" t="s">
        <v>16</v>
      </c>
      <c r="D444" t="s">
        <v>5271</v>
      </c>
      <c r="E444" t="s">
        <v>2206</v>
      </c>
      <c r="F444" s="5">
        <v>45619</v>
      </c>
      <c r="G444" t="s">
        <v>126</v>
      </c>
      <c r="H444" t="s">
        <v>3265</v>
      </c>
      <c r="I444" t="s">
        <v>31</v>
      </c>
      <c r="J444" t="s">
        <v>76</v>
      </c>
      <c r="K444" t="s">
        <v>76</v>
      </c>
      <c r="L444" t="s">
        <v>25</v>
      </c>
      <c r="M444" t="s">
        <v>19</v>
      </c>
      <c r="N444">
        <v>1</v>
      </c>
      <c r="O444">
        <v>596</v>
      </c>
      <c r="P444">
        <v>999</v>
      </c>
      <c r="Q444">
        <v>0</v>
      </c>
      <c r="R444">
        <v>0</v>
      </c>
      <c r="S444">
        <v>999</v>
      </c>
      <c r="T444">
        <v>403</v>
      </c>
      <c r="U444">
        <v>40.340000000000003</v>
      </c>
      <c r="V444" t="s">
        <v>21</v>
      </c>
    </row>
    <row r="445" spans="1:22" x14ac:dyDescent="0.35">
      <c r="A445" t="s">
        <v>5270</v>
      </c>
      <c r="B445" t="s">
        <v>92</v>
      </c>
      <c r="C445" t="s">
        <v>27</v>
      </c>
      <c r="D445" t="s">
        <v>5269</v>
      </c>
      <c r="E445" t="s">
        <v>3720</v>
      </c>
      <c r="F445" s="5">
        <v>45453</v>
      </c>
      <c r="G445" t="s">
        <v>126</v>
      </c>
      <c r="H445" t="s">
        <v>5268</v>
      </c>
      <c r="I445" t="s">
        <v>31</v>
      </c>
      <c r="J445" t="s">
        <v>76</v>
      </c>
      <c r="K445" t="s">
        <v>76</v>
      </c>
      <c r="L445" t="s">
        <v>37</v>
      </c>
      <c r="M445" t="s">
        <v>19</v>
      </c>
      <c r="N445">
        <v>1</v>
      </c>
      <c r="O445">
        <v>401</v>
      </c>
      <c r="P445">
        <v>799</v>
      </c>
      <c r="Q445">
        <v>0</v>
      </c>
      <c r="R445">
        <v>0</v>
      </c>
      <c r="S445">
        <v>799</v>
      </c>
      <c r="T445">
        <v>398</v>
      </c>
      <c r="U445">
        <v>49.81</v>
      </c>
      <c r="V445" t="s">
        <v>21</v>
      </c>
    </row>
    <row r="446" spans="1:22" x14ac:dyDescent="0.35">
      <c r="A446" t="s">
        <v>5267</v>
      </c>
      <c r="B446" t="s">
        <v>109</v>
      </c>
      <c r="C446" t="s">
        <v>16</v>
      </c>
      <c r="D446" t="s">
        <v>5266</v>
      </c>
      <c r="E446" t="s">
        <v>5265</v>
      </c>
      <c r="F446" s="5">
        <v>45618</v>
      </c>
      <c r="G446" t="s">
        <v>126</v>
      </c>
      <c r="H446" t="s">
        <v>1826</v>
      </c>
      <c r="I446" t="s">
        <v>31</v>
      </c>
      <c r="J446" t="s">
        <v>32</v>
      </c>
      <c r="K446" t="s">
        <v>32</v>
      </c>
      <c r="L446" t="s">
        <v>19</v>
      </c>
      <c r="M446" t="s">
        <v>20</v>
      </c>
      <c r="N446">
        <v>1</v>
      </c>
      <c r="O446">
        <v>937</v>
      </c>
      <c r="P446">
        <v>1499</v>
      </c>
      <c r="Q446">
        <v>0</v>
      </c>
      <c r="R446">
        <v>0</v>
      </c>
      <c r="S446">
        <v>1499</v>
      </c>
      <c r="T446">
        <v>562</v>
      </c>
      <c r="U446">
        <v>37.49</v>
      </c>
      <c r="V446" t="s">
        <v>21</v>
      </c>
    </row>
    <row r="447" spans="1:22" x14ac:dyDescent="0.35">
      <c r="A447" t="s">
        <v>5264</v>
      </c>
      <c r="B447" t="s">
        <v>92</v>
      </c>
      <c r="C447" t="s">
        <v>27</v>
      </c>
      <c r="D447" t="s">
        <v>5263</v>
      </c>
      <c r="E447" t="s">
        <v>4047</v>
      </c>
      <c r="F447" s="5">
        <v>45633</v>
      </c>
      <c r="G447" t="s">
        <v>126</v>
      </c>
      <c r="H447" t="s">
        <v>4676</v>
      </c>
      <c r="I447" t="s">
        <v>23</v>
      </c>
      <c r="J447" t="s">
        <v>142</v>
      </c>
      <c r="K447" t="s">
        <v>43</v>
      </c>
      <c r="L447" t="s">
        <v>37</v>
      </c>
      <c r="M447" t="s">
        <v>19</v>
      </c>
      <c r="N447">
        <v>1</v>
      </c>
      <c r="O447">
        <v>1704</v>
      </c>
      <c r="P447">
        <v>3399</v>
      </c>
      <c r="Q447">
        <v>10</v>
      </c>
      <c r="R447">
        <v>400</v>
      </c>
      <c r="S447">
        <v>2999</v>
      </c>
      <c r="T447">
        <v>1295</v>
      </c>
      <c r="U447">
        <v>43.18</v>
      </c>
      <c r="V447" t="s">
        <v>33</v>
      </c>
    </row>
    <row r="448" spans="1:22" x14ac:dyDescent="0.35">
      <c r="A448" t="s">
        <v>5262</v>
      </c>
      <c r="B448" t="s">
        <v>60</v>
      </c>
      <c r="C448" t="s">
        <v>27</v>
      </c>
      <c r="D448" t="s">
        <v>5261</v>
      </c>
      <c r="E448" t="s">
        <v>5260</v>
      </c>
      <c r="F448" s="5">
        <v>45478</v>
      </c>
      <c r="G448" t="s">
        <v>126</v>
      </c>
      <c r="H448" t="s">
        <v>3453</v>
      </c>
      <c r="I448" t="s">
        <v>31</v>
      </c>
      <c r="J448" t="s">
        <v>76</v>
      </c>
      <c r="K448" t="s">
        <v>76</v>
      </c>
      <c r="L448" t="s">
        <v>37</v>
      </c>
      <c r="M448" t="s">
        <v>19</v>
      </c>
      <c r="N448">
        <v>1</v>
      </c>
      <c r="O448">
        <v>824</v>
      </c>
      <c r="P448">
        <v>1499</v>
      </c>
      <c r="Q448">
        <v>0</v>
      </c>
      <c r="R448">
        <v>0</v>
      </c>
      <c r="S448">
        <v>1499</v>
      </c>
      <c r="T448">
        <v>675</v>
      </c>
      <c r="U448">
        <v>45.03</v>
      </c>
      <c r="V448" t="s">
        <v>21</v>
      </c>
    </row>
    <row r="449" spans="1:22" x14ac:dyDescent="0.35">
      <c r="A449" t="s">
        <v>5259</v>
      </c>
      <c r="B449" t="s">
        <v>101</v>
      </c>
      <c r="C449" t="s">
        <v>16</v>
      </c>
      <c r="D449" t="s">
        <v>5258</v>
      </c>
      <c r="E449" t="s">
        <v>5257</v>
      </c>
      <c r="F449" s="5">
        <v>45607</v>
      </c>
      <c r="G449" t="s">
        <v>126</v>
      </c>
      <c r="H449" t="s">
        <v>317</v>
      </c>
      <c r="I449" t="s">
        <v>28</v>
      </c>
      <c r="J449" t="s">
        <v>45</v>
      </c>
      <c r="K449" t="s">
        <v>45</v>
      </c>
      <c r="L449" t="s">
        <v>37</v>
      </c>
      <c r="M449" t="s">
        <v>20</v>
      </c>
      <c r="N449">
        <v>1</v>
      </c>
      <c r="O449">
        <v>579</v>
      </c>
      <c r="P449">
        <v>899</v>
      </c>
      <c r="Q449">
        <v>5</v>
      </c>
      <c r="R449">
        <v>100</v>
      </c>
      <c r="S449">
        <v>799</v>
      </c>
      <c r="T449">
        <v>220</v>
      </c>
      <c r="U449">
        <v>27.53</v>
      </c>
      <c r="V449" t="s">
        <v>33</v>
      </c>
    </row>
    <row r="450" spans="1:22" x14ac:dyDescent="0.35">
      <c r="A450" t="s">
        <v>5256</v>
      </c>
      <c r="B450" t="s">
        <v>91</v>
      </c>
      <c r="C450" t="s">
        <v>16</v>
      </c>
      <c r="D450" t="s">
        <v>5255</v>
      </c>
      <c r="E450" t="s">
        <v>5254</v>
      </c>
      <c r="F450" s="5">
        <v>45527</v>
      </c>
      <c r="G450" t="s">
        <v>126</v>
      </c>
      <c r="H450" t="s">
        <v>5253</v>
      </c>
      <c r="I450" t="s">
        <v>17</v>
      </c>
      <c r="J450" t="s">
        <v>235</v>
      </c>
      <c r="K450" t="s">
        <v>18</v>
      </c>
      <c r="L450" t="s">
        <v>25</v>
      </c>
      <c r="M450" t="s">
        <v>20</v>
      </c>
      <c r="N450">
        <v>1</v>
      </c>
      <c r="O450">
        <v>363</v>
      </c>
      <c r="P450">
        <v>499</v>
      </c>
      <c r="Q450">
        <v>0</v>
      </c>
      <c r="R450">
        <v>0</v>
      </c>
      <c r="S450">
        <v>499</v>
      </c>
      <c r="T450">
        <v>136</v>
      </c>
      <c r="U450">
        <v>27.25</v>
      </c>
      <c r="V450" t="s">
        <v>21</v>
      </c>
    </row>
    <row r="451" spans="1:22" x14ac:dyDescent="0.35">
      <c r="A451" t="s">
        <v>5252</v>
      </c>
      <c r="B451" t="s">
        <v>75</v>
      </c>
      <c r="C451" t="s">
        <v>27</v>
      </c>
      <c r="D451" t="s">
        <v>5251</v>
      </c>
      <c r="E451" t="s">
        <v>5250</v>
      </c>
      <c r="F451" s="5">
        <v>45551</v>
      </c>
      <c r="G451" t="s">
        <v>126</v>
      </c>
      <c r="H451" t="s">
        <v>223</v>
      </c>
      <c r="I451" t="s">
        <v>35</v>
      </c>
      <c r="J451" t="s">
        <v>41</v>
      </c>
      <c r="K451" t="s">
        <v>41</v>
      </c>
      <c r="L451" t="s">
        <v>37</v>
      </c>
      <c r="M451" t="s">
        <v>20</v>
      </c>
      <c r="N451">
        <v>3</v>
      </c>
      <c r="O451">
        <v>662</v>
      </c>
      <c r="P451">
        <v>899</v>
      </c>
      <c r="Q451">
        <v>10</v>
      </c>
      <c r="R451">
        <v>300</v>
      </c>
      <c r="S451">
        <v>2397</v>
      </c>
      <c r="T451">
        <v>411</v>
      </c>
      <c r="U451">
        <v>17.149999999999999</v>
      </c>
      <c r="V451" t="s">
        <v>21</v>
      </c>
    </row>
    <row r="452" spans="1:22" x14ac:dyDescent="0.35">
      <c r="A452" t="s">
        <v>5249</v>
      </c>
      <c r="B452" t="s">
        <v>38</v>
      </c>
      <c r="C452" t="s">
        <v>27</v>
      </c>
      <c r="D452" t="s">
        <v>5248</v>
      </c>
      <c r="E452" t="s">
        <v>5247</v>
      </c>
      <c r="F452" s="5">
        <v>45564</v>
      </c>
      <c r="G452" t="s">
        <v>126</v>
      </c>
      <c r="H452" t="s">
        <v>5246</v>
      </c>
      <c r="I452" t="s">
        <v>28</v>
      </c>
      <c r="J452" t="s">
        <v>201</v>
      </c>
      <c r="K452" t="s">
        <v>29</v>
      </c>
      <c r="L452" t="s">
        <v>19</v>
      </c>
      <c r="M452" t="s">
        <v>19</v>
      </c>
      <c r="N452">
        <v>1</v>
      </c>
      <c r="O452">
        <v>333</v>
      </c>
      <c r="P452">
        <v>599</v>
      </c>
      <c r="Q452">
        <v>20</v>
      </c>
      <c r="R452">
        <v>150</v>
      </c>
      <c r="S452">
        <v>449</v>
      </c>
      <c r="T452">
        <v>116</v>
      </c>
      <c r="U452">
        <v>25.84</v>
      </c>
      <c r="V452" t="s">
        <v>21</v>
      </c>
    </row>
    <row r="453" spans="1:22" x14ac:dyDescent="0.35">
      <c r="A453" t="s">
        <v>5245</v>
      </c>
      <c r="B453" t="s">
        <v>54</v>
      </c>
      <c r="C453" t="s">
        <v>27</v>
      </c>
      <c r="D453" t="s">
        <v>5244</v>
      </c>
      <c r="E453" t="s">
        <v>5243</v>
      </c>
      <c r="F453" s="5">
        <v>45551</v>
      </c>
      <c r="G453" t="s">
        <v>126</v>
      </c>
      <c r="H453" t="s">
        <v>833</v>
      </c>
      <c r="I453" t="s">
        <v>23</v>
      </c>
      <c r="J453" t="s">
        <v>164</v>
      </c>
      <c r="K453" t="s">
        <v>24</v>
      </c>
      <c r="L453" t="s">
        <v>25</v>
      </c>
      <c r="M453" t="s">
        <v>19</v>
      </c>
      <c r="N453">
        <v>1</v>
      </c>
      <c r="O453">
        <v>958</v>
      </c>
      <c r="P453">
        <v>1699</v>
      </c>
      <c r="Q453">
        <v>10</v>
      </c>
      <c r="R453">
        <v>200</v>
      </c>
      <c r="S453">
        <v>1499</v>
      </c>
      <c r="T453">
        <v>541</v>
      </c>
      <c r="U453">
        <v>36.090000000000003</v>
      </c>
      <c r="V453" t="s">
        <v>21</v>
      </c>
    </row>
    <row r="454" spans="1:22" x14ac:dyDescent="0.35">
      <c r="A454" t="s">
        <v>5242</v>
      </c>
      <c r="B454" t="s">
        <v>81</v>
      </c>
      <c r="C454" t="s">
        <v>27</v>
      </c>
      <c r="D454" t="s">
        <v>5241</v>
      </c>
      <c r="E454" t="s">
        <v>5240</v>
      </c>
      <c r="F454" s="5">
        <v>45654</v>
      </c>
      <c r="G454" t="s">
        <v>126</v>
      </c>
      <c r="H454" t="s">
        <v>5239</v>
      </c>
      <c r="I454" t="s">
        <v>28</v>
      </c>
      <c r="J454" t="s">
        <v>201</v>
      </c>
      <c r="K454" t="s">
        <v>29</v>
      </c>
      <c r="L454" t="s">
        <v>37</v>
      </c>
      <c r="M454" t="s">
        <v>19</v>
      </c>
      <c r="N454">
        <v>1</v>
      </c>
      <c r="O454">
        <v>532</v>
      </c>
      <c r="P454">
        <v>799</v>
      </c>
      <c r="Q454">
        <v>15</v>
      </c>
      <c r="R454">
        <v>200</v>
      </c>
      <c r="S454">
        <v>599</v>
      </c>
      <c r="T454">
        <v>67</v>
      </c>
      <c r="U454">
        <v>11.19</v>
      </c>
      <c r="V454" t="s">
        <v>33</v>
      </c>
    </row>
    <row r="455" spans="1:22" x14ac:dyDescent="0.35">
      <c r="A455" t="s">
        <v>5238</v>
      </c>
      <c r="B455" t="s">
        <v>78</v>
      </c>
      <c r="C455" t="s">
        <v>16</v>
      </c>
      <c r="D455" t="s">
        <v>5237</v>
      </c>
      <c r="E455" t="s">
        <v>5236</v>
      </c>
      <c r="F455" s="5">
        <v>45521</v>
      </c>
      <c r="G455" t="s">
        <v>126</v>
      </c>
      <c r="H455" t="s">
        <v>2849</v>
      </c>
      <c r="I455" t="s">
        <v>17</v>
      </c>
      <c r="J455" t="s">
        <v>235</v>
      </c>
      <c r="K455" t="s">
        <v>18</v>
      </c>
      <c r="L455" t="s">
        <v>25</v>
      </c>
      <c r="M455" t="s">
        <v>20</v>
      </c>
      <c r="N455">
        <v>1</v>
      </c>
      <c r="O455">
        <v>214</v>
      </c>
      <c r="P455">
        <v>299</v>
      </c>
      <c r="Q455">
        <v>0</v>
      </c>
      <c r="R455">
        <v>0</v>
      </c>
      <c r="S455">
        <v>299</v>
      </c>
      <c r="T455">
        <v>85</v>
      </c>
      <c r="U455">
        <v>28.43</v>
      </c>
      <c r="V455" t="s">
        <v>33</v>
      </c>
    </row>
    <row r="456" spans="1:22" x14ac:dyDescent="0.35">
      <c r="A456" t="s">
        <v>5235</v>
      </c>
      <c r="B456" t="s">
        <v>54</v>
      </c>
      <c r="C456" t="s">
        <v>27</v>
      </c>
      <c r="D456" t="s">
        <v>5234</v>
      </c>
      <c r="E456" t="s">
        <v>3478</v>
      </c>
      <c r="F456" s="5">
        <v>45649</v>
      </c>
      <c r="G456" t="s">
        <v>126</v>
      </c>
      <c r="H456" t="s">
        <v>3961</v>
      </c>
      <c r="I456" t="s">
        <v>28</v>
      </c>
      <c r="J456" t="s">
        <v>45</v>
      </c>
      <c r="K456" t="s">
        <v>45</v>
      </c>
      <c r="L456" t="s">
        <v>25</v>
      </c>
      <c r="M456" t="s">
        <v>20</v>
      </c>
      <c r="N456">
        <v>2</v>
      </c>
      <c r="O456">
        <v>1011</v>
      </c>
      <c r="P456">
        <v>1499</v>
      </c>
      <c r="Q456">
        <v>20</v>
      </c>
      <c r="R456">
        <v>600</v>
      </c>
      <c r="S456">
        <v>2398</v>
      </c>
      <c r="T456">
        <v>376</v>
      </c>
      <c r="U456">
        <v>15.68</v>
      </c>
      <c r="V456" t="s">
        <v>21</v>
      </c>
    </row>
    <row r="457" spans="1:22" x14ac:dyDescent="0.35">
      <c r="A457" t="s">
        <v>5233</v>
      </c>
      <c r="B457" t="s">
        <v>84</v>
      </c>
      <c r="C457" t="s">
        <v>27</v>
      </c>
      <c r="D457" t="s">
        <v>5232</v>
      </c>
      <c r="E457" t="s">
        <v>5231</v>
      </c>
      <c r="F457" s="5">
        <v>45526</v>
      </c>
      <c r="G457" t="s">
        <v>126</v>
      </c>
      <c r="H457" t="s">
        <v>5230</v>
      </c>
      <c r="I457" t="s">
        <v>35</v>
      </c>
      <c r="J457" t="s">
        <v>159</v>
      </c>
      <c r="K457" t="s">
        <v>36</v>
      </c>
      <c r="L457" t="s">
        <v>37</v>
      </c>
      <c r="M457" t="s">
        <v>20</v>
      </c>
      <c r="N457">
        <v>1</v>
      </c>
      <c r="O457">
        <v>390</v>
      </c>
      <c r="P457">
        <v>699</v>
      </c>
      <c r="Q457">
        <v>20</v>
      </c>
      <c r="R457">
        <v>200</v>
      </c>
      <c r="S457">
        <v>499</v>
      </c>
      <c r="T457">
        <v>109</v>
      </c>
      <c r="U457">
        <v>21.84</v>
      </c>
      <c r="V457" t="s">
        <v>21</v>
      </c>
    </row>
    <row r="458" spans="1:22" x14ac:dyDescent="0.35">
      <c r="A458" t="s">
        <v>5229</v>
      </c>
      <c r="B458" t="s">
        <v>97</v>
      </c>
      <c r="C458" t="s">
        <v>16</v>
      </c>
      <c r="D458" t="s">
        <v>5228</v>
      </c>
      <c r="E458" t="s">
        <v>5227</v>
      </c>
      <c r="F458" s="5">
        <v>45484</v>
      </c>
      <c r="G458" t="s">
        <v>126</v>
      </c>
      <c r="H458" t="s">
        <v>5226</v>
      </c>
      <c r="I458" t="s">
        <v>28</v>
      </c>
      <c r="J458" t="s">
        <v>201</v>
      </c>
      <c r="K458" t="s">
        <v>29</v>
      </c>
      <c r="L458" t="s">
        <v>25</v>
      </c>
      <c r="M458" t="s">
        <v>20</v>
      </c>
      <c r="N458">
        <v>1</v>
      </c>
      <c r="O458">
        <v>351</v>
      </c>
      <c r="P458">
        <v>599</v>
      </c>
      <c r="Q458">
        <v>10</v>
      </c>
      <c r="R458">
        <v>100</v>
      </c>
      <c r="S458">
        <v>499</v>
      </c>
      <c r="T458">
        <v>148</v>
      </c>
      <c r="U458">
        <v>29.66</v>
      </c>
      <c r="V458" t="s">
        <v>33</v>
      </c>
    </row>
    <row r="459" spans="1:22" x14ac:dyDescent="0.35">
      <c r="A459" t="s">
        <v>5225</v>
      </c>
      <c r="B459" t="s">
        <v>78</v>
      </c>
      <c r="C459" t="s">
        <v>16</v>
      </c>
      <c r="D459" t="s">
        <v>5224</v>
      </c>
      <c r="E459" t="s">
        <v>991</v>
      </c>
      <c r="F459" s="5">
        <v>45539</v>
      </c>
      <c r="G459" t="s">
        <v>126</v>
      </c>
      <c r="H459" t="s">
        <v>668</v>
      </c>
      <c r="I459" t="s">
        <v>35</v>
      </c>
      <c r="J459" t="s">
        <v>244</v>
      </c>
      <c r="K459" t="s">
        <v>58</v>
      </c>
      <c r="L459" t="s">
        <v>37</v>
      </c>
      <c r="M459" t="s">
        <v>19</v>
      </c>
      <c r="N459">
        <v>1</v>
      </c>
      <c r="O459">
        <v>1154</v>
      </c>
      <c r="P459">
        <v>1699</v>
      </c>
      <c r="Q459">
        <v>10</v>
      </c>
      <c r="R459">
        <v>200</v>
      </c>
      <c r="S459">
        <v>1499</v>
      </c>
      <c r="T459">
        <v>345</v>
      </c>
      <c r="U459">
        <v>23.02</v>
      </c>
      <c r="V459" t="s">
        <v>21</v>
      </c>
    </row>
    <row r="460" spans="1:22" x14ac:dyDescent="0.35">
      <c r="A460" t="s">
        <v>5223</v>
      </c>
      <c r="B460" t="s">
        <v>78</v>
      </c>
      <c r="C460" t="s">
        <v>16</v>
      </c>
      <c r="D460" t="s">
        <v>5222</v>
      </c>
      <c r="E460" t="s">
        <v>4488</v>
      </c>
      <c r="F460" s="5">
        <v>45597</v>
      </c>
      <c r="G460" t="s">
        <v>126</v>
      </c>
      <c r="H460" t="s">
        <v>928</v>
      </c>
      <c r="I460" t="s">
        <v>35</v>
      </c>
      <c r="J460" t="s">
        <v>244</v>
      </c>
      <c r="K460" t="s">
        <v>58</v>
      </c>
      <c r="L460" t="s">
        <v>19</v>
      </c>
      <c r="M460" t="s">
        <v>19</v>
      </c>
      <c r="N460">
        <v>2</v>
      </c>
      <c r="O460">
        <v>919</v>
      </c>
      <c r="P460">
        <v>1599</v>
      </c>
      <c r="Q460">
        <v>5</v>
      </c>
      <c r="R460">
        <v>200</v>
      </c>
      <c r="S460">
        <v>2998</v>
      </c>
      <c r="T460">
        <v>1160</v>
      </c>
      <c r="U460">
        <v>38.69</v>
      </c>
      <c r="V460" t="s">
        <v>21</v>
      </c>
    </row>
    <row r="461" spans="1:22" x14ac:dyDescent="0.35">
      <c r="A461" t="s">
        <v>5221</v>
      </c>
      <c r="B461" t="s">
        <v>98</v>
      </c>
      <c r="C461" t="s">
        <v>16</v>
      </c>
      <c r="D461" t="s">
        <v>5220</v>
      </c>
      <c r="E461" t="s">
        <v>5219</v>
      </c>
      <c r="F461" s="5">
        <v>45522</v>
      </c>
      <c r="G461" t="s">
        <v>126</v>
      </c>
      <c r="H461" t="s">
        <v>872</v>
      </c>
      <c r="I461" t="s">
        <v>31</v>
      </c>
      <c r="J461" t="s">
        <v>32</v>
      </c>
      <c r="K461" t="s">
        <v>32</v>
      </c>
      <c r="L461" t="s">
        <v>19</v>
      </c>
      <c r="M461" t="s">
        <v>19</v>
      </c>
      <c r="N461">
        <v>1</v>
      </c>
      <c r="O461">
        <v>538</v>
      </c>
      <c r="P461">
        <v>899</v>
      </c>
      <c r="Q461">
        <v>0</v>
      </c>
      <c r="R461">
        <v>0</v>
      </c>
      <c r="S461">
        <v>899</v>
      </c>
      <c r="T461">
        <v>361</v>
      </c>
      <c r="U461">
        <v>40.159999999999997</v>
      </c>
      <c r="V461" t="s">
        <v>21</v>
      </c>
    </row>
    <row r="462" spans="1:22" x14ac:dyDescent="0.35">
      <c r="A462" t="s">
        <v>5218</v>
      </c>
      <c r="B462" t="s">
        <v>75</v>
      </c>
      <c r="C462" t="s">
        <v>27</v>
      </c>
      <c r="D462" t="s">
        <v>5217</v>
      </c>
      <c r="E462" t="s">
        <v>5216</v>
      </c>
      <c r="F462" s="5">
        <v>45521</v>
      </c>
      <c r="G462" t="s">
        <v>126</v>
      </c>
      <c r="H462" t="s">
        <v>3712</v>
      </c>
      <c r="I462" t="s">
        <v>23</v>
      </c>
      <c r="J462" t="s">
        <v>142</v>
      </c>
      <c r="K462" t="s">
        <v>43</v>
      </c>
      <c r="L462" t="s">
        <v>19</v>
      </c>
      <c r="M462" t="s">
        <v>19</v>
      </c>
      <c r="N462">
        <v>1</v>
      </c>
      <c r="O462">
        <v>1637</v>
      </c>
      <c r="P462">
        <v>2199</v>
      </c>
      <c r="Q462">
        <v>10</v>
      </c>
      <c r="R462">
        <v>300</v>
      </c>
      <c r="S462">
        <v>1899</v>
      </c>
      <c r="T462">
        <v>262</v>
      </c>
      <c r="U462">
        <v>13.8</v>
      </c>
      <c r="V462" t="s">
        <v>21</v>
      </c>
    </row>
    <row r="463" spans="1:22" x14ac:dyDescent="0.35">
      <c r="A463" t="s">
        <v>5215</v>
      </c>
      <c r="B463" t="s">
        <v>44</v>
      </c>
      <c r="C463" t="s">
        <v>16</v>
      </c>
      <c r="D463" t="s">
        <v>5214</v>
      </c>
      <c r="E463" t="s">
        <v>5213</v>
      </c>
      <c r="F463" s="5">
        <v>45643</v>
      </c>
      <c r="G463" t="s">
        <v>126</v>
      </c>
      <c r="H463" t="s">
        <v>5212</v>
      </c>
      <c r="I463" t="s">
        <v>17</v>
      </c>
      <c r="J463" t="s">
        <v>253</v>
      </c>
      <c r="K463" t="s">
        <v>72</v>
      </c>
      <c r="L463" t="s">
        <v>37</v>
      </c>
      <c r="M463" t="s">
        <v>20</v>
      </c>
      <c r="N463">
        <v>3</v>
      </c>
      <c r="O463">
        <v>323</v>
      </c>
      <c r="P463">
        <v>499</v>
      </c>
      <c r="Q463">
        <v>0</v>
      </c>
      <c r="R463">
        <v>0</v>
      </c>
      <c r="S463">
        <v>1497</v>
      </c>
      <c r="T463">
        <v>528</v>
      </c>
      <c r="U463">
        <v>35.270000000000003</v>
      </c>
      <c r="V463" t="s">
        <v>21</v>
      </c>
    </row>
    <row r="464" spans="1:22" x14ac:dyDescent="0.35">
      <c r="A464" t="s">
        <v>5211</v>
      </c>
      <c r="B464" t="s">
        <v>52</v>
      </c>
      <c r="C464" t="s">
        <v>27</v>
      </c>
      <c r="D464" t="s">
        <v>5210</v>
      </c>
      <c r="E464" t="s">
        <v>5209</v>
      </c>
      <c r="F464" s="5">
        <v>45592</v>
      </c>
      <c r="G464" t="s">
        <v>126</v>
      </c>
      <c r="H464" t="s">
        <v>1508</v>
      </c>
      <c r="I464" t="s">
        <v>28</v>
      </c>
      <c r="J464" t="s">
        <v>201</v>
      </c>
      <c r="K464" t="s">
        <v>29</v>
      </c>
      <c r="L464" t="s">
        <v>37</v>
      </c>
      <c r="M464" t="s">
        <v>19</v>
      </c>
      <c r="N464">
        <v>1</v>
      </c>
      <c r="O464">
        <v>550</v>
      </c>
      <c r="P464">
        <v>799</v>
      </c>
      <c r="Q464">
        <v>20</v>
      </c>
      <c r="R464">
        <v>200</v>
      </c>
      <c r="S464">
        <v>599</v>
      </c>
      <c r="T464">
        <v>49</v>
      </c>
      <c r="U464">
        <v>8.18</v>
      </c>
      <c r="V464" t="s">
        <v>33</v>
      </c>
    </row>
    <row r="465" spans="1:22" x14ac:dyDescent="0.35">
      <c r="A465" t="s">
        <v>5208</v>
      </c>
      <c r="B465" t="s">
        <v>88</v>
      </c>
      <c r="C465" t="s">
        <v>27</v>
      </c>
      <c r="D465" t="s">
        <v>5207</v>
      </c>
      <c r="E465" t="s">
        <v>5206</v>
      </c>
      <c r="F465" s="5">
        <v>45531</v>
      </c>
      <c r="G465" t="s">
        <v>126</v>
      </c>
      <c r="H465" t="s">
        <v>282</v>
      </c>
      <c r="I465" t="s">
        <v>23</v>
      </c>
      <c r="J465" t="s">
        <v>142</v>
      </c>
      <c r="K465" t="s">
        <v>43</v>
      </c>
      <c r="L465" t="s">
        <v>37</v>
      </c>
      <c r="M465" t="s">
        <v>20</v>
      </c>
      <c r="N465">
        <v>1</v>
      </c>
      <c r="O465">
        <v>1878</v>
      </c>
      <c r="P465">
        <v>2599</v>
      </c>
      <c r="Q465">
        <v>15</v>
      </c>
      <c r="R465">
        <v>400</v>
      </c>
      <c r="S465">
        <v>2199</v>
      </c>
      <c r="T465">
        <v>321</v>
      </c>
      <c r="U465">
        <v>14.6</v>
      </c>
      <c r="V465" t="s">
        <v>21</v>
      </c>
    </row>
    <row r="466" spans="1:22" x14ac:dyDescent="0.35">
      <c r="A466" t="s">
        <v>5205</v>
      </c>
      <c r="B466" t="s">
        <v>95</v>
      </c>
      <c r="C466" t="s">
        <v>27</v>
      </c>
      <c r="D466" t="s">
        <v>5204</v>
      </c>
      <c r="E466" t="s">
        <v>2015</v>
      </c>
      <c r="F466" s="5">
        <v>45569</v>
      </c>
      <c r="G466" t="s">
        <v>126</v>
      </c>
      <c r="H466" t="s">
        <v>5197</v>
      </c>
      <c r="I466" t="s">
        <v>31</v>
      </c>
      <c r="J466" t="s">
        <v>32</v>
      </c>
      <c r="K466" t="s">
        <v>32</v>
      </c>
      <c r="L466" t="s">
        <v>19</v>
      </c>
      <c r="M466" t="s">
        <v>19</v>
      </c>
      <c r="N466">
        <v>1</v>
      </c>
      <c r="O466">
        <v>605</v>
      </c>
      <c r="P466">
        <v>1199</v>
      </c>
      <c r="Q466">
        <v>0</v>
      </c>
      <c r="R466">
        <v>0</v>
      </c>
      <c r="S466">
        <v>1199</v>
      </c>
      <c r="T466">
        <v>594</v>
      </c>
      <c r="U466">
        <v>49.54</v>
      </c>
      <c r="V466" t="s">
        <v>21</v>
      </c>
    </row>
    <row r="467" spans="1:22" x14ac:dyDescent="0.35">
      <c r="A467" t="s">
        <v>5203</v>
      </c>
      <c r="B467" t="s">
        <v>15</v>
      </c>
      <c r="C467" t="s">
        <v>16</v>
      </c>
      <c r="D467" t="s">
        <v>5202</v>
      </c>
      <c r="E467" t="s">
        <v>5201</v>
      </c>
      <c r="F467" s="5">
        <v>45543</v>
      </c>
      <c r="G467" t="s">
        <v>126</v>
      </c>
      <c r="H467" t="s">
        <v>2300</v>
      </c>
      <c r="I467" t="s">
        <v>23</v>
      </c>
      <c r="J467" t="s">
        <v>164</v>
      </c>
      <c r="K467" t="s">
        <v>24</v>
      </c>
      <c r="L467" t="s">
        <v>19</v>
      </c>
      <c r="M467" t="s">
        <v>19</v>
      </c>
      <c r="N467">
        <v>2</v>
      </c>
      <c r="O467">
        <v>1659</v>
      </c>
      <c r="P467">
        <v>2299</v>
      </c>
      <c r="Q467">
        <v>10</v>
      </c>
      <c r="R467">
        <v>600</v>
      </c>
      <c r="S467">
        <v>3998</v>
      </c>
      <c r="T467">
        <v>680</v>
      </c>
      <c r="U467">
        <v>17.010000000000002</v>
      </c>
      <c r="V467" t="s">
        <v>21</v>
      </c>
    </row>
    <row r="468" spans="1:22" x14ac:dyDescent="0.35">
      <c r="A468" t="s">
        <v>5200</v>
      </c>
      <c r="B468" t="s">
        <v>96</v>
      </c>
      <c r="C468" t="s">
        <v>16</v>
      </c>
      <c r="D468" t="s">
        <v>5199</v>
      </c>
      <c r="E468" t="s">
        <v>5198</v>
      </c>
      <c r="F468" s="5">
        <v>45514</v>
      </c>
      <c r="G468" t="s">
        <v>126</v>
      </c>
      <c r="H468" t="s">
        <v>5197</v>
      </c>
      <c r="I468" t="s">
        <v>28</v>
      </c>
      <c r="J468" t="s">
        <v>201</v>
      </c>
      <c r="K468" t="s">
        <v>29</v>
      </c>
      <c r="L468" t="s">
        <v>25</v>
      </c>
      <c r="M468" t="s">
        <v>19</v>
      </c>
      <c r="N468">
        <v>2</v>
      </c>
      <c r="O468">
        <v>353</v>
      </c>
      <c r="P468">
        <v>499</v>
      </c>
      <c r="Q468">
        <v>15</v>
      </c>
      <c r="R468">
        <v>200</v>
      </c>
      <c r="S468">
        <v>798</v>
      </c>
      <c r="T468">
        <v>92</v>
      </c>
      <c r="U468">
        <v>11.53</v>
      </c>
      <c r="V468" t="s">
        <v>21</v>
      </c>
    </row>
    <row r="469" spans="1:22" x14ac:dyDescent="0.35">
      <c r="A469" t="s">
        <v>5196</v>
      </c>
      <c r="B469" t="s">
        <v>15</v>
      </c>
      <c r="C469" t="s">
        <v>16</v>
      </c>
      <c r="D469" t="s">
        <v>5195</v>
      </c>
      <c r="E469" t="s">
        <v>5194</v>
      </c>
      <c r="F469" s="5">
        <v>45602</v>
      </c>
      <c r="G469" t="s">
        <v>126</v>
      </c>
      <c r="H469" t="s">
        <v>193</v>
      </c>
      <c r="I469" t="s">
        <v>31</v>
      </c>
      <c r="J469" t="s">
        <v>76</v>
      </c>
      <c r="K469" t="s">
        <v>76</v>
      </c>
      <c r="L469" t="s">
        <v>19</v>
      </c>
      <c r="M469" t="s">
        <v>20</v>
      </c>
      <c r="N469">
        <v>1</v>
      </c>
      <c r="O469">
        <v>446</v>
      </c>
      <c r="P469">
        <v>799</v>
      </c>
      <c r="Q469">
        <v>0</v>
      </c>
      <c r="R469">
        <v>0</v>
      </c>
      <c r="S469">
        <v>799</v>
      </c>
      <c r="T469">
        <v>353</v>
      </c>
      <c r="U469">
        <v>44.18</v>
      </c>
      <c r="V469" t="s">
        <v>21</v>
      </c>
    </row>
    <row r="470" spans="1:22" x14ac:dyDescent="0.35">
      <c r="A470" t="s">
        <v>5193</v>
      </c>
      <c r="B470" t="s">
        <v>64</v>
      </c>
      <c r="C470" t="s">
        <v>16</v>
      </c>
      <c r="D470" t="s">
        <v>5192</v>
      </c>
      <c r="E470" t="s">
        <v>5191</v>
      </c>
      <c r="F470" s="5">
        <v>45605</v>
      </c>
      <c r="G470" t="s">
        <v>126</v>
      </c>
      <c r="H470" t="s">
        <v>587</v>
      </c>
      <c r="I470" t="s">
        <v>31</v>
      </c>
      <c r="J470" t="s">
        <v>76</v>
      </c>
      <c r="K470" t="s">
        <v>76</v>
      </c>
      <c r="L470" t="s">
        <v>19</v>
      </c>
      <c r="M470" t="s">
        <v>19</v>
      </c>
      <c r="N470">
        <v>1</v>
      </c>
      <c r="O470">
        <v>442</v>
      </c>
      <c r="P470">
        <v>699</v>
      </c>
      <c r="Q470">
        <v>0</v>
      </c>
      <c r="R470">
        <v>0</v>
      </c>
      <c r="S470">
        <v>699</v>
      </c>
      <c r="T470">
        <v>257</v>
      </c>
      <c r="U470">
        <v>36.770000000000003</v>
      </c>
      <c r="V470" t="s">
        <v>21</v>
      </c>
    </row>
    <row r="471" spans="1:22" x14ac:dyDescent="0.35">
      <c r="A471" t="s">
        <v>5190</v>
      </c>
      <c r="B471" t="s">
        <v>78</v>
      </c>
      <c r="C471" t="s">
        <v>16</v>
      </c>
      <c r="D471" t="s">
        <v>5189</v>
      </c>
      <c r="E471" t="s">
        <v>5188</v>
      </c>
      <c r="F471" s="5">
        <v>45637</v>
      </c>
      <c r="G471" t="s">
        <v>126</v>
      </c>
      <c r="H471" t="s">
        <v>5187</v>
      </c>
      <c r="I471" t="s">
        <v>23</v>
      </c>
      <c r="J471" t="s">
        <v>142</v>
      </c>
      <c r="K471" t="s">
        <v>43</v>
      </c>
      <c r="L471" t="s">
        <v>19</v>
      </c>
      <c r="M471" t="s">
        <v>20</v>
      </c>
      <c r="N471">
        <v>1</v>
      </c>
      <c r="O471">
        <v>1167</v>
      </c>
      <c r="P471">
        <v>2299</v>
      </c>
      <c r="Q471">
        <v>15</v>
      </c>
      <c r="R471">
        <v>400</v>
      </c>
      <c r="S471">
        <v>1899</v>
      </c>
      <c r="T471">
        <v>732</v>
      </c>
      <c r="U471">
        <v>38.549999999999997</v>
      </c>
      <c r="V471" t="s">
        <v>21</v>
      </c>
    </row>
    <row r="472" spans="1:22" x14ac:dyDescent="0.35">
      <c r="A472" t="s">
        <v>5186</v>
      </c>
      <c r="B472" t="s">
        <v>38</v>
      </c>
      <c r="C472" t="s">
        <v>27</v>
      </c>
      <c r="D472" t="s">
        <v>5185</v>
      </c>
      <c r="E472" t="s">
        <v>5184</v>
      </c>
      <c r="F472" s="5">
        <v>45467</v>
      </c>
      <c r="G472" t="s">
        <v>126</v>
      </c>
      <c r="H472" t="s">
        <v>5183</v>
      </c>
      <c r="I472" t="s">
        <v>31</v>
      </c>
      <c r="J472" t="s">
        <v>32</v>
      </c>
      <c r="K472" t="s">
        <v>32</v>
      </c>
      <c r="L472" t="s">
        <v>37</v>
      </c>
      <c r="M472" t="s">
        <v>20</v>
      </c>
      <c r="N472">
        <v>3</v>
      </c>
      <c r="O472">
        <v>758</v>
      </c>
      <c r="P472">
        <v>1499</v>
      </c>
      <c r="Q472">
        <v>0</v>
      </c>
      <c r="R472">
        <v>0</v>
      </c>
      <c r="S472">
        <v>4497</v>
      </c>
      <c r="T472">
        <v>2223</v>
      </c>
      <c r="U472">
        <v>49.43</v>
      </c>
      <c r="V472" t="s">
        <v>21</v>
      </c>
    </row>
    <row r="473" spans="1:22" x14ac:dyDescent="0.35">
      <c r="A473" t="s">
        <v>5182</v>
      </c>
      <c r="B473" t="s">
        <v>26</v>
      </c>
      <c r="C473" t="s">
        <v>27</v>
      </c>
      <c r="D473" t="s">
        <v>5181</v>
      </c>
      <c r="E473" t="s">
        <v>5180</v>
      </c>
      <c r="F473" s="5">
        <v>45581</v>
      </c>
      <c r="G473" t="s">
        <v>126</v>
      </c>
      <c r="H473" t="s">
        <v>964</v>
      </c>
      <c r="I473" t="s">
        <v>35</v>
      </c>
      <c r="J473" t="s">
        <v>41</v>
      </c>
      <c r="K473" t="s">
        <v>41</v>
      </c>
      <c r="L473" t="s">
        <v>37</v>
      </c>
      <c r="M473" t="s">
        <v>19</v>
      </c>
      <c r="N473">
        <v>1</v>
      </c>
      <c r="O473">
        <v>785</v>
      </c>
      <c r="P473">
        <v>1099</v>
      </c>
      <c r="Q473">
        <v>5</v>
      </c>
      <c r="R473">
        <v>100</v>
      </c>
      <c r="S473">
        <v>999</v>
      </c>
      <c r="T473">
        <v>214</v>
      </c>
      <c r="U473">
        <v>21.42</v>
      </c>
      <c r="V473" t="s">
        <v>21</v>
      </c>
    </row>
    <row r="474" spans="1:22" x14ac:dyDescent="0.35">
      <c r="A474" t="s">
        <v>5179</v>
      </c>
      <c r="B474" t="s">
        <v>78</v>
      </c>
      <c r="C474" t="s">
        <v>16</v>
      </c>
      <c r="D474" t="s">
        <v>5178</v>
      </c>
      <c r="E474" t="s">
        <v>5177</v>
      </c>
      <c r="F474" s="5">
        <v>45637</v>
      </c>
      <c r="G474" t="s">
        <v>126</v>
      </c>
      <c r="H474" t="s">
        <v>215</v>
      </c>
      <c r="I474" t="s">
        <v>31</v>
      </c>
      <c r="J474" t="s">
        <v>32</v>
      </c>
      <c r="K474" t="s">
        <v>32</v>
      </c>
      <c r="L474" t="s">
        <v>19</v>
      </c>
      <c r="M474" t="s">
        <v>19</v>
      </c>
      <c r="N474">
        <v>1</v>
      </c>
      <c r="O474">
        <v>836</v>
      </c>
      <c r="P474">
        <v>1399</v>
      </c>
      <c r="Q474">
        <v>0</v>
      </c>
      <c r="R474">
        <v>0</v>
      </c>
      <c r="S474">
        <v>1399</v>
      </c>
      <c r="T474">
        <v>563</v>
      </c>
      <c r="U474">
        <v>40.24</v>
      </c>
      <c r="V474" t="s">
        <v>33</v>
      </c>
    </row>
    <row r="475" spans="1:22" x14ac:dyDescent="0.35">
      <c r="A475" t="s">
        <v>5176</v>
      </c>
      <c r="B475" t="s">
        <v>51</v>
      </c>
      <c r="C475" t="s">
        <v>16</v>
      </c>
      <c r="D475" t="s">
        <v>5175</v>
      </c>
      <c r="E475" t="s">
        <v>584</v>
      </c>
      <c r="F475" s="5">
        <v>45579</v>
      </c>
      <c r="G475" t="s">
        <v>126</v>
      </c>
      <c r="H475" t="s">
        <v>206</v>
      </c>
      <c r="I475" t="s">
        <v>17</v>
      </c>
      <c r="J475" t="s">
        <v>253</v>
      </c>
      <c r="K475" t="s">
        <v>72</v>
      </c>
      <c r="L475" t="s">
        <v>37</v>
      </c>
      <c r="M475" t="s">
        <v>19</v>
      </c>
      <c r="N475">
        <v>3</v>
      </c>
      <c r="O475">
        <v>268</v>
      </c>
      <c r="P475">
        <v>499</v>
      </c>
      <c r="Q475">
        <v>0</v>
      </c>
      <c r="R475">
        <v>0</v>
      </c>
      <c r="S475">
        <v>1497</v>
      </c>
      <c r="T475">
        <v>693</v>
      </c>
      <c r="U475">
        <v>46.29</v>
      </c>
      <c r="V475" t="s">
        <v>33</v>
      </c>
    </row>
    <row r="476" spans="1:22" x14ac:dyDescent="0.35">
      <c r="A476" t="s">
        <v>5174</v>
      </c>
      <c r="B476" t="s">
        <v>71</v>
      </c>
      <c r="C476" t="s">
        <v>16</v>
      </c>
      <c r="D476" t="s">
        <v>5173</v>
      </c>
      <c r="E476" t="s">
        <v>5172</v>
      </c>
      <c r="F476" s="5">
        <v>45518</v>
      </c>
      <c r="G476" t="s">
        <v>126</v>
      </c>
      <c r="H476" t="s">
        <v>2378</v>
      </c>
      <c r="I476" t="s">
        <v>31</v>
      </c>
      <c r="J476" t="s">
        <v>32</v>
      </c>
      <c r="K476" t="s">
        <v>32</v>
      </c>
      <c r="L476" t="s">
        <v>37</v>
      </c>
      <c r="M476" t="s">
        <v>19</v>
      </c>
      <c r="N476">
        <v>1</v>
      </c>
      <c r="O476">
        <v>588</v>
      </c>
      <c r="P476">
        <v>899</v>
      </c>
      <c r="Q476">
        <v>0</v>
      </c>
      <c r="R476">
        <v>0</v>
      </c>
      <c r="S476">
        <v>899</v>
      </c>
      <c r="T476">
        <v>311</v>
      </c>
      <c r="U476">
        <v>34.590000000000003</v>
      </c>
      <c r="V476" t="s">
        <v>33</v>
      </c>
    </row>
    <row r="477" spans="1:22" x14ac:dyDescent="0.35">
      <c r="A477" t="s">
        <v>5171</v>
      </c>
      <c r="B477" t="s">
        <v>67</v>
      </c>
      <c r="C477" t="s">
        <v>27</v>
      </c>
      <c r="D477" t="s">
        <v>5170</v>
      </c>
      <c r="E477" t="s">
        <v>5169</v>
      </c>
      <c r="F477" s="5">
        <v>45593</v>
      </c>
      <c r="G477" t="s">
        <v>126</v>
      </c>
      <c r="H477" t="s">
        <v>1013</v>
      </c>
      <c r="I477" t="s">
        <v>17</v>
      </c>
      <c r="J477" t="s">
        <v>48</v>
      </c>
      <c r="K477" t="s">
        <v>48</v>
      </c>
      <c r="L477" t="s">
        <v>19</v>
      </c>
      <c r="M477" t="s">
        <v>20</v>
      </c>
      <c r="N477">
        <v>4</v>
      </c>
      <c r="O477">
        <v>265</v>
      </c>
      <c r="P477">
        <v>399</v>
      </c>
      <c r="Q477">
        <v>0</v>
      </c>
      <c r="R477">
        <v>0</v>
      </c>
      <c r="S477">
        <v>1596</v>
      </c>
      <c r="T477">
        <v>536</v>
      </c>
      <c r="U477">
        <v>33.58</v>
      </c>
      <c r="V477" t="s">
        <v>21</v>
      </c>
    </row>
    <row r="478" spans="1:22" x14ac:dyDescent="0.35">
      <c r="A478" t="s">
        <v>5168</v>
      </c>
      <c r="B478" t="s">
        <v>69</v>
      </c>
      <c r="C478" t="s">
        <v>16</v>
      </c>
      <c r="D478" t="s">
        <v>5167</v>
      </c>
      <c r="E478" t="s">
        <v>5166</v>
      </c>
      <c r="F478" s="5">
        <v>45471</v>
      </c>
      <c r="G478" t="s">
        <v>126</v>
      </c>
      <c r="H478" t="s">
        <v>1541</v>
      </c>
      <c r="I478" t="s">
        <v>17</v>
      </c>
      <c r="J478" t="s">
        <v>253</v>
      </c>
      <c r="K478" t="s">
        <v>72</v>
      </c>
      <c r="L478" t="s">
        <v>25</v>
      </c>
      <c r="M478" t="s">
        <v>19</v>
      </c>
      <c r="N478">
        <v>5</v>
      </c>
      <c r="O478">
        <v>256</v>
      </c>
      <c r="P478">
        <v>399</v>
      </c>
      <c r="Q478">
        <v>0</v>
      </c>
      <c r="R478">
        <v>0</v>
      </c>
      <c r="S478">
        <v>1995</v>
      </c>
      <c r="T478">
        <v>715</v>
      </c>
      <c r="U478">
        <v>35.840000000000003</v>
      </c>
      <c r="V478" t="s">
        <v>21</v>
      </c>
    </row>
    <row r="479" spans="1:22" x14ac:dyDescent="0.35">
      <c r="A479" t="s">
        <v>5165</v>
      </c>
      <c r="B479" t="s">
        <v>34</v>
      </c>
      <c r="C479" t="s">
        <v>27</v>
      </c>
      <c r="D479" t="s">
        <v>5164</v>
      </c>
      <c r="E479" t="s">
        <v>5163</v>
      </c>
      <c r="F479" s="5">
        <v>45506</v>
      </c>
      <c r="G479" t="s">
        <v>126</v>
      </c>
      <c r="H479" t="s">
        <v>1404</v>
      </c>
      <c r="I479" t="s">
        <v>17</v>
      </c>
      <c r="J479" t="s">
        <v>235</v>
      </c>
      <c r="K479" t="s">
        <v>18</v>
      </c>
      <c r="L479" t="s">
        <v>25</v>
      </c>
      <c r="M479" t="s">
        <v>19</v>
      </c>
      <c r="N479">
        <v>2</v>
      </c>
      <c r="O479">
        <v>299</v>
      </c>
      <c r="P479">
        <v>399</v>
      </c>
      <c r="Q479">
        <v>0</v>
      </c>
      <c r="R479">
        <v>0</v>
      </c>
      <c r="S479">
        <v>798</v>
      </c>
      <c r="T479">
        <v>200</v>
      </c>
      <c r="U479">
        <v>25.06</v>
      </c>
      <c r="V479" t="s">
        <v>21</v>
      </c>
    </row>
    <row r="480" spans="1:22" x14ac:dyDescent="0.35">
      <c r="A480" t="s">
        <v>5162</v>
      </c>
      <c r="B480" t="s">
        <v>52</v>
      </c>
      <c r="C480" t="s">
        <v>27</v>
      </c>
      <c r="D480" t="s">
        <v>5161</v>
      </c>
      <c r="E480" t="s">
        <v>5160</v>
      </c>
      <c r="F480" s="5">
        <v>45611</v>
      </c>
      <c r="G480" t="s">
        <v>126</v>
      </c>
      <c r="H480" t="s">
        <v>5159</v>
      </c>
      <c r="I480" t="s">
        <v>31</v>
      </c>
      <c r="J480" t="s">
        <v>76</v>
      </c>
      <c r="K480" t="s">
        <v>76</v>
      </c>
      <c r="L480" t="s">
        <v>19</v>
      </c>
      <c r="M480" t="s">
        <v>19</v>
      </c>
      <c r="N480">
        <v>1</v>
      </c>
      <c r="O480">
        <v>734</v>
      </c>
      <c r="P480">
        <v>999</v>
      </c>
      <c r="Q480">
        <v>0</v>
      </c>
      <c r="R480">
        <v>0</v>
      </c>
      <c r="S480">
        <v>999</v>
      </c>
      <c r="T480">
        <v>265</v>
      </c>
      <c r="U480">
        <v>26.53</v>
      </c>
      <c r="V480" t="s">
        <v>33</v>
      </c>
    </row>
    <row r="481" spans="1:22" x14ac:dyDescent="0.35">
      <c r="A481" t="s">
        <v>5158</v>
      </c>
      <c r="B481" t="s">
        <v>40</v>
      </c>
      <c r="C481" t="s">
        <v>27</v>
      </c>
      <c r="D481" t="s">
        <v>5157</v>
      </c>
      <c r="E481" t="s">
        <v>5156</v>
      </c>
      <c r="F481" s="5">
        <v>45636</v>
      </c>
      <c r="G481" t="s">
        <v>126</v>
      </c>
      <c r="H481" t="s">
        <v>3553</v>
      </c>
      <c r="I481" t="s">
        <v>35</v>
      </c>
      <c r="J481" t="s">
        <v>244</v>
      </c>
      <c r="K481" t="s">
        <v>58</v>
      </c>
      <c r="L481" t="s">
        <v>25</v>
      </c>
      <c r="M481" t="s">
        <v>19</v>
      </c>
      <c r="N481">
        <v>5</v>
      </c>
      <c r="O481">
        <v>1336</v>
      </c>
      <c r="P481">
        <v>2199</v>
      </c>
      <c r="Q481">
        <v>5</v>
      </c>
      <c r="R481">
        <v>1000</v>
      </c>
      <c r="S481">
        <v>9995</v>
      </c>
      <c r="T481">
        <v>3315</v>
      </c>
      <c r="U481">
        <v>33.17</v>
      </c>
      <c r="V481" t="s">
        <v>21</v>
      </c>
    </row>
    <row r="482" spans="1:22" x14ac:dyDescent="0.35">
      <c r="A482" t="s">
        <v>5155</v>
      </c>
      <c r="B482" t="s">
        <v>42</v>
      </c>
      <c r="C482" t="s">
        <v>27</v>
      </c>
      <c r="D482" t="s">
        <v>5154</v>
      </c>
      <c r="E482" t="s">
        <v>751</v>
      </c>
      <c r="F482" s="5">
        <v>45599</v>
      </c>
      <c r="G482" t="s">
        <v>126</v>
      </c>
      <c r="H482" t="s">
        <v>1801</v>
      </c>
      <c r="I482" t="s">
        <v>23</v>
      </c>
      <c r="J482" t="s">
        <v>164</v>
      </c>
      <c r="K482" t="s">
        <v>24</v>
      </c>
      <c r="L482" t="s">
        <v>37</v>
      </c>
      <c r="M482" t="s">
        <v>19</v>
      </c>
      <c r="N482">
        <v>1</v>
      </c>
      <c r="O482">
        <v>591</v>
      </c>
      <c r="P482">
        <v>999</v>
      </c>
      <c r="Q482">
        <v>20</v>
      </c>
      <c r="R482">
        <v>200</v>
      </c>
      <c r="S482">
        <v>799</v>
      </c>
      <c r="T482">
        <v>208</v>
      </c>
      <c r="U482">
        <v>26.03</v>
      </c>
      <c r="V482" t="s">
        <v>21</v>
      </c>
    </row>
    <row r="483" spans="1:22" x14ac:dyDescent="0.35">
      <c r="A483" t="s">
        <v>5153</v>
      </c>
      <c r="B483" t="s">
        <v>104</v>
      </c>
      <c r="C483" t="s">
        <v>27</v>
      </c>
      <c r="D483" t="s">
        <v>5152</v>
      </c>
      <c r="E483" t="s">
        <v>642</v>
      </c>
      <c r="F483" s="5">
        <v>45629</v>
      </c>
      <c r="G483" t="s">
        <v>126</v>
      </c>
      <c r="H483" t="s">
        <v>5151</v>
      </c>
      <c r="I483" t="s">
        <v>17</v>
      </c>
      <c r="J483" t="s">
        <v>253</v>
      </c>
      <c r="K483" t="s">
        <v>72</v>
      </c>
      <c r="L483" t="s">
        <v>19</v>
      </c>
      <c r="M483" t="s">
        <v>19</v>
      </c>
      <c r="N483">
        <v>2</v>
      </c>
      <c r="O483">
        <v>365</v>
      </c>
      <c r="P483">
        <v>499</v>
      </c>
      <c r="Q483">
        <v>0</v>
      </c>
      <c r="R483">
        <v>0</v>
      </c>
      <c r="S483">
        <v>998</v>
      </c>
      <c r="T483">
        <v>268</v>
      </c>
      <c r="U483">
        <v>26.85</v>
      </c>
      <c r="V483" t="s">
        <v>21</v>
      </c>
    </row>
    <row r="484" spans="1:22" x14ac:dyDescent="0.35">
      <c r="A484" t="s">
        <v>5150</v>
      </c>
      <c r="B484" t="s">
        <v>71</v>
      </c>
      <c r="C484" t="s">
        <v>16</v>
      </c>
      <c r="D484" t="s">
        <v>5149</v>
      </c>
      <c r="E484" t="s">
        <v>5148</v>
      </c>
      <c r="F484" s="5">
        <v>45503</v>
      </c>
      <c r="G484" t="s">
        <v>126</v>
      </c>
      <c r="H484" t="s">
        <v>1660</v>
      </c>
      <c r="I484" t="s">
        <v>17</v>
      </c>
      <c r="J484" t="s">
        <v>55</v>
      </c>
      <c r="K484" t="s">
        <v>55</v>
      </c>
      <c r="L484" t="s">
        <v>19</v>
      </c>
      <c r="M484" t="s">
        <v>20</v>
      </c>
      <c r="N484">
        <v>1</v>
      </c>
      <c r="O484">
        <v>315</v>
      </c>
      <c r="P484">
        <v>499</v>
      </c>
      <c r="Q484">
        <v>0</v>
      </c>
      <c r="R484">
        <v>0</v>
      </c>
      <c r="S484">
        <v>499</v>
      </c>
      <c r="T484">
        <v>184</v>
      </c>
      <c r="U484">
        <v>36.869999999999997</v>
      </c>
      <c r="V484" t="s">
        <v>33</v>
      </c>
    </row>
    <row r="485" spans="1:22" x14ac:dyDescent="0.35">
      <c r="A485" t="s">
        <v>5147</v>
      </c>
      <c r="B485" t="s">
        <v>107</v>
      </c>
      <c r="C485" t="s">
        <v>27</v>
      </c>
      <c r="D485" t="s">
        <v>5146</v>
      </c>
      <c r="E485" t="s">
        <v>5145</v>
      </c>
      <c r="F485" s="5">
        <v>45553</v>
      </c>
      <c r="G485" t="s">
        <v>126</v>
      </c>
      <c r="H485" t="s">
        <v>282</v>
      </c>
      <c r="I485" t="s">
        <v>23</v>
      </c>
      <c r="J485" t="s">
        <v>164</v>
      </c>
      <c r="K485" t="s">
        <v>24</v>
      </c>
      <c r="L485" t="s">
        <v>19</v>
      </c>
      <c r="M485" t="s">
        <v>20</v>
      </c>
      <c r="N485">
        <v>1</v>
      </c>
      <c r="O485">
        <v>1365</v>
      </c>
      <c r="P485">
        <v>1899</v>
      </c>
      <c r="Q485">
        <v>20</v>
      </c>
      <c r="R485">
        <v>400</v>
      </c>
      <c r="S485">
        <v>1499</v>
      </c>
      <c r="T485">
        <v>134</v>
      </c>
      <c r="U485">
        <v>8.94</v>
      </c>
      <c r="V485" t="s">
        <v>21</v>
      </c>
    </row>
    <row r="486" spans="1:22" x14ac:dyDescent="0.35">
      <c r="A486" t="s">
        <v>5144</v>
      </c>
      <c r="B486" t="s">
        <v>60</v>
      </c>
      <c r="C486" t="s">
        <v>27</v>
      </c>
      <c r="D486" t="s">
        <v>5143</v>
      </c>
      <c r="E486" t="s">
        <v>203</v>
      </c>
      <c r="F486" s="5">
        <v>45488</v>
      </c>
      <c r="G486" t="s">
        <v>126</v>
      </c>
      <c r="H486" t="s">
        <v>1446</v>
      </c>
      <c r="I486" t="s">
        <v>31</v>
      </c>
      <c r="J486" t="s">
        <v>32</v>
      </c>
      <c r="K486" t="s">
        <v>32</v>
      </c>
      <c r="L486" t="s">
        <v>19</v>
      </c>
      <c r="M486" t="s">
        <v>20</v>
      </c>
      <c r="N486">
        <v>4</v>
      </c>
      <c r="O486">
        <v>1006</v>
      </c>
      <c r="P486">
        <v>1399</v>
      </c>
      <c r="Q486">
        <v>0</v>
      </c>
      <c r="R486">
        <v>0</v>
      </c>
      <c r="S486">
        <v>5596</v>
      </c>
      <c r="T486">
        <v>1572</v>
      </c>
      <c r="U486">
        <v>28.09</v>
      </c>
      <c r="V486" t="s">
        <v>21</v>
      </c>
    </row>
    <row r="487" spans="1:22" x14ac:dyDescent="0.35">
      <c r="A487" t="s">
        <v>5142</v>
      </c>
      <c r="B487" t="s">
        <v>63</v>
      </c>
      <c r="C487" t="s">
        <v>27</v>
      </c>
      <c r="D487" t="s">
        <v>5141</v>
      </c>
      <c r="E487" t="s">
        <v>3876</v>
      </c>
      <c r="F487" s="5">
        <v>45602</v>
      </c>
      <c r="G487" t="s">
        <v>126</v>
      </c>
      <c r="H487" t="s">
        <v>2867</v>
      </c>
      <c r="I487" t="s">
        <v>31</v>
      </c>
      <c r="J487" t="s">
        <v>76</v>
      </c>
      <c r="K487" t="s">
        <v>76</v>
      </c>
      <c r="L487" t="s">
        <v>19</v>
      </c>
      <c r="M487" t="s">
        <v>20</v>
      </c>
      <c r="N487">
        <v>1</v>
      </c>
      <c r="O487">
        <v>601</v>
      </c>
      <c r="P487">
        <v>999</v>
      </c>
      <c r="Q487">
        <v>0</v>
      </c>
      <c r="R487">
        <v>0</v>
      </c>
      <c r="S487">
        <v>999</v>
      </c>
      <c r="T487">
        <v>398</v>
      </c>
      <c r="U487">
        <v>39.840000000000003</v>
      </c>
      <c r="V487" t="s">
        <v>21</v>
      </c>
    </row>
    <row r="488" spans="1:22" x14ac:dyDescent="0.35">
      <c r="A488" t="s">
        <v>5140</v>
      </c>
      <c r="B488" t="s">
        <v>84</v>
      </c>
      <c r="C488" t="s">
        <v>27</v>
      </c>
      <c r="D488" t="s">
        <v>5139</v>
      </c>
      <c r="E488" t="s">
        <v>5138</v>
      </c>
      <c r="F488" s="5">
        <v>45645</v>
      </c>
      <c r="G488" t="s">
        <v>126</v>
      </c>
      <c r="H488" t="s">
        <v>2679</v>
      </c>
      <c r="I488" t="s">
        <v>23</v>
      </c>
      <c r="J488" t="s">
        <v>142</v>
      </c>
      <c r="K488" t="s">
        <v>43</v>
      </c>
      <c r="L488" t="s">
        <v>25</v>
      </c>
      <c r="M488" t="s">
        <v>19</v>
      </c>
      <c r="N488">
        <v>1</v>
      </c>
      <c r="O488">
        <v>2179</v>
      </c>
      <c r="P488">
        <v>4199</v>
      </c>
      <c r="Q488">
        <v>15</v>
      </c>
      <c r="R488">
        <v>700</v>
      </c>
      <c r="S488">
        <v>3499</v>
      </c>
      <c r="T488">
        <v>1320</v>
      </c>
      <c r="U488">
        <v>37.729999999999997</v>
      </c>
      <c r="V488" t="s">
        <v>21</v>
      </c>
    </row>
    <row r="489" spans="1:22" x14ac:dyDescent="0.35">
      <c r="A489" t="s">
        <v>5137</v>
      </c>
      <c r="B489" t="s">
        <v>85</v>
      </c>
      <c r="C489" t="s">
        <v>27</v>
      </c>
      <c r="D489" t="s">
        <v>5136</v>
      </c>
      <c r="E489" t="s">
        <v>5135</v>
      </c>
      <c r="F489" s="5">
        <v>45576</v>
      </c>
      <c r="G489" t="s">
        <v>126</v>
      </c>
      <c r="H489" t="s">
        <v>1888</v>
      </c>
      <c r="I489" t="s">
        <v>28</v>
      </c>
      <c r="J489" t="s">
        <v>201</v>
      </c>
      <c r="K489" t="s">
        <v>29</v>
      </c>
      <c r="L489" t="s">
        <v>37</v>
      </c>
      <c r="M489" t="s">
        <v>20</v>
      </c>
      <c r="N489">
        <v>3</v>
      </c>
      <c r="O489">
        <v>387</v>
      </c>
      <c r="P489">
        <v>599</v>
      </c>
      <c r="Q489">
        <v>15</v>
      </c>
      <c r="R489">
        <v>450</v>
      </c>
      <c r="S489">
        <v>1347</v>
      </c>
      <c r="T489">
        <v>186</v>
      </c>
      <c r="U489">
        <v>13.81</v>
      </c>
      <c r="V489" t="s">
        <v>21</v>
      </c>
    </row>
    <row r="490" spans="1:22" x14ac:dyDescent="0.35">
      <c r="A490" t="s">
        <v>5134</v>
      </c>
      <c r="B490" t="s">
        <v>82</v>
      </c>
      <c r="C490" t="s">
        <v>27</v>
      </c>
      <c r="D490" t="s">
        <v>5133</v>
      </c>
      <c r="E490" t="s">
        <v>5132</v>
      </c>
      <c r="F490" s="5">
        <v>45485</v>
      </c>
      <c r="G490" t="s">
        <v>126</v>
      </c>
      <c r="H490" t="s">
        <v>1002</v>
      </c>
      <c r="I490" t="s">
        <v>35</v>
      </c>
      <c r="J490" t="s">
        <v>41</v>
      </c>
      <c r="K490" t="s">
        <v>41</v>
      </c>
      <c r="L490" t="s">
        <v>25</v>
      </c>
      <c r="M490" t="s">
        <v>20</v>
      </c>
      <c r="N490">
        <v>4</v>
      </c>
      <c r="O490">
        <v>396</v>
      </c>
      <c r="P490">
        <v>599</v>
      </c>
      <c r="Q490">
        <v>5</v>
      </c>
      <c r="R490">
        <v>400</v>
      </c>
      <c r="S490">
        <v>1996</v>
      </c>
      <c r="T490">
        <v>412</v>
      </c>
      <c r="U490">
        <v>20.64</v>
      </c>
      <c r="V490" t="s">
        <v>33</v>
      </c>
    </row>
    <row r="491" spans="1:22" x14ac:dyDescent="0.35">
      <c r="A491" t="s">
        <v>5131</v>
      </c>
      <c r="B491" t="s">
        <v>79</v>
      </c>
      <c r="C491" t="s">
        <v>16</v>
      </c>
      <c r="D491" t="s">
        <v>5130</v>
      </c>
      <c r="E491" t="s">
        <v>5129</v>
      </c>
      <c r="F491" s="5">
        <v>45517</v>
      </c>
      <c r="G491" t="s">
        <v>126</v>
      </c>
      <c r="H491" t="s">
        <v>1043</v>
      </c>
      <c r="I491" t="s">
        <v>17</v>
      </c>
      <c r="J491" t="s">
        <v>48</v>
      </c>
      <c r="K491" t="s">
        <v>48</v>
      </c>
      <c r="L491" t="s">
        <v>37</v>
      </c>
      <c r="M491" t="s">
        <v>20</v>
      </c>
      <c r="N491">
        <v>1</v>
      </c>
      <c r="O491">
        <v>270</v>
      </c>
      <c r="P491">
        <v>499</v>
      </c>
      <c r="Q491">
        <v>0</v>
      </c>
      <c r="R491">
        <v>0</v>
      </c>
      <c r="S491">
        <v>499</v>
      </c>
      <c r="T491">
        <v>229</v>
      </c>
      <c r="U491">
        <v>45.89</v>
      </c>
      <c r="V491" t="s">
        <v>21</v>
      </c>
    </row>
    <row r="492" spans="1:22" x14ac:dyDescent="0.35">
      <c r="A492" t="s">
        <v>5128</v>
      </c>
      <c r="B492" t="s">
        <v>44</v>
      </c>
      <c r="C492" t="s">
        <v>16</v>
      </c>
      <c r="D492" t="s">
        <v>5127</v>
      </c>
      <c r="E492" t="s">
        <v>4301</v>
      </c>
      <c r="F492" s="5">
        <v>45573</v>
      </c>
      <c r="G492" t="s">
        <v>126</v>
      </c>
      <c r="H492" t="s">
        <v>1594</v>
      </c>
      <c r="I492" t="s">
        <v>35</v>
      </c>
      <c r="J492" t="s">
        <v>159</v>
      </c>
      <c r="K492" t="s">
        <v>100</v>
      </c>
      <c r="L492" t="s">
        <v>19</v>
      </c>
      <c r="M492" t="s">
        <v>20</v>
      </c>
      <c r="N492">
        <v>2</v>
      </c>
      <c r="O492">
        <v>672</v>
      </c>
      <c r="P492">
        <v>1299</v>
      </c>
      <c r="Q492">
        <v>20</v>
      </c>
      <c r="R492">
        <v>600</v>
      </c>
      <c r="S492">
        <v>1998</v>
      </c>
      <c r="T492">
        <v>654</v>
      </c>
      <c r="U492">
        <v>32.729999999999997</v>
      </c>
      <c r="V492" t="s">
        <v>21</v>
      </c>
    </row>
    <row r="493" spans="1:22" x14ac:dyDescent="0.35">
      <c r="A493" t="s">
        <v>5126</v>
      </c>
      <c r="B493" t="s">
        <v>59</v>
      </c>
      <c r="C493" t="s">
        <v>27</v>
      </c>
      <c r="D493" t="s">
        <v>5125</v>
      </c>
      <c r="E493" t="s">
        <v>5124</v>
      </c>
      <c r="F493" s="5">
        <v>45613</v>
      </c>
      <c r="G493" t="s">
        <v>126</v>
      </c>
      <c r="H493" t="s">
        <v>5123</v>
      </c>
      <c r="I493" t="s">
        <v>17</v>
      </c>
      <c r="J493" t="s">
        <v>55</v>
      </c>
      <c r="K493" t="s">
        <v>55</v>
      </c>
      <c r="L493" t="s">
        <v>19</v>
      </c>
      <c r="M493" t="s">
        <v>20</v>
      </c>
      <c r="N493">
        <v>2</v>
      </c>
      <c r="O493">
        <v>216</v>
      </c>
      <c r="P493">
        <v>299</v>
      </c>
      <c r="Q493">
        <v>0</v>
      </c>
      <c r="R493">
        <v>0</v>
      </c>
      <c r="S493">
        <v>598</v>
      </c>
      <c r="T493">
        <v>166</v>
      </c>
      <c r="U493">
        <v>27.76</v>
      </c>
      <c r="V493" t="s">
        <v>21</v>
      </c>
    </row>
    <row r="494" spans="1:22" x14ac:dyDescent="0.35">
      <c r="A494" t="s">
        <v>5122</v>
      </c>
      <c r="B494" t="s">
        <v>67</v>
      </c>
      <c r="C494" t="s">
        <v>27</v>
      </c>
      <c r="D494" t="s">
        <v>5121</v>
      </c>
      <c r="E494" t="s">
        <v>416</v>
      </c>
      <c r="F494" s="5">
        <v>45484</v>
      </c>
      <c r="G494" t="s">
        <v>126</v>
      </c>
      <c r="H494" t="s">
        <v>5120</v>
      </c>
      <c r="I494" t="s">
        <v>28</v>
      </c>
      <c r="J494" t="s">
        <v>45</v>
      </c>
      <c r="K494" t="s">
        <v>45</v>
      </c>
      <c r="L494" t="s">
        <v>25</v>
      </c>
      <c r="M494" t="s">
        <v>19</v>
      </c>
      <c r="N494">
        <v>1</v>
      </c>
      <c r="O494">
        <v>889</v>
      </c>
      <c r="P494">
        <v>1599</v>
      </c>
      <c r="Q494">
        <v>5</v>
      </c>
      <c r="R494">
        <v>100</v>
      </c>
      <c r="S494">
        <v>1499</v>
      </c>
      <c r="T494">
        <v>610</v>
      </c>
      <c r="U494">
        <v>40.69</v>
      </c>
      <c r="V494" t="s">
        <v>21</v>
      </c>
    </row>
    <row r="495" spans="1:22" x14ac:dyDescent="0.35">
      <c r="A495" t="s">
        <v>5119</v>
      </c>
      <c r="B495" t="s">
        <v>42</v>
      </c>
      <c r="C495" t="s">
        <v>27</v>
      </c>
      <c r="D495" t="s">
        <v>5118</v>
      </c>
      <c r="E495" t="s">
        <v>5117</v>
      </c>
      <c r="F495" s="5">
        <v>45581</v>
      </c>
      <c r="G495" t="s">
        <v>126</v>
      </c>
      <c r="H495" t="s">
        <v>2987</v>
      </c>
      <c r="I495" t="s">
        <v>23</v>
      </c>
      <c r="J495" t="s">
        <v>142</v>
      </c>
      <c r="K495" t="s">
        <v>43</v>
      </c>
      <c r="L495" t="s">
        <v>19</v>
      </c>
      <c r="M495" t="s">
        <v>20</v>
      </c>
      <c r="N495">
        <v>2</v>
      </c>
      <c r="O495">
        <v>1203</v>
      </c>
      <c r="P495">
        <v>1999</v>
      </c>
      <c r="Q495">
        <v>5</v>
      </c>
      <c r="R495">
        <v>200</v>
      </c>
      <c r="S495">
        <v>3798</v>
      </c>
      <c r="T495">
        <v>1392</v>
      </c>
      <c r="U495">
        <v>36.65</v>
      </c>
      <c r="V495" t="s">
        <v>21</v>
      </c>
    </row>
    <row r="496" spans="1:22" x14ac:dyDescent="0.35">
      <c r="A496" t="s">
        <v>5116</v>
      </c>
      <c r="B496" t="s">
        <v>109</v>
      </c>
      <c r="C496" t="s">
        <v>16</v>
      </c>
      <c r="D496" t="s">
        <v>5115</v>
      </c>
      <c r="E496" t="s">
        <v>5114</v>
      </c>
      <c r="F496" s="5">
        <v>45573</v>
      </c>
      <c r="G496" t="s">
        <v>126</v>
      </c>
      <c r="H496" t="s">
        <v>2072</v>
      </c>
      <c r="I496" t="s">
        <v>28</v>
      </c>
      <c r="J496" t="s">
        <v>45</v>
      </c>
      <c r="K496" t="s">
        <v>45</v>
      </c>
      <c r="L496" t="s">
        <v>25</v>
      </c>
      <c r="M496" t="s">
        <v>20</v>
      </c>
      <c r="N496">
        <v>4</v>
      </c>
      <c r="O496">
        <v>741</v>
      </c>
      <c r="P496">
        <v>1299</v>
      </c>
      <c r="Q496">
        <v>20</v>
      </c>
      <c r="R496">
        <v>1200</v>
      </c>
      <c r="S496">
        <v>3996</v>
      </c>
      <c r="T496">
        <v>1032</v>
      </c>
      <c r="U496">
        <v>25.83</v>
      </c>
      <c r="V496" t="s">
        <v>33</v>
      </c>
    </row>
    <row r="497" spans="1:22" x14ac:dyDescent="0.35">
      <c r="A497" t="s">
        <v>5113</v>
      </c>
      <c r="B497" t="s">
        <v>80</v>
      </c>
      <c r="C497" t="s">
        <v>27</v>
      </c>
      <c r="D497" t="s">
        <v>5112</v>
      </c>
      <c r="E497" t="s">
        <v>1135</v>
      </c>
      <c r="F497" s="5">
        <v>45451</v>
      </c>
      <c r="G497" t="s">
        <v>126</v>
      </c>
      <c r="H497" t="s">
        <v>2318</v>
      </c>
      <c r="I497" t="s">
        <v>28</v>
      </c>
      <c r="J497" t="s">
        <v>201</v>
      </c>
      <c r="K497" t="s">
        <v>29</v>
      </c>
      <c r="L497" t="s">
        <v>37</v>
      </c>
      <c r="M497" t="s">
        <v>20</v>
      </c>
      <c r="N497">
        <v>1</v>
      </c>
      <c r="O497">
        <v>539</v>
      </c>
      <c r="P497">
        <v>799</v>
      </c>
      <c r="Q497">
        <v>15</v>
      </c>
      <c r="R497">
        <v>200</v>
      </c>
      <c r="S497">
        <v>599</v>
      </c>
      <c r="T497">
        <v>60</v>
      </c>
      <c r="U497">
        <v>10.02</v>
      </c>
      <c r="V497" t="s">
        <v>21</v>
      </c>
    </row>
    <row r="498" spans="1:22" x14ac:dyDescent="0.35">
      <c r="A498" t="s">
        <v>5111</v>
      </c>
      <c r="B498" t="s">
        <v>47</v>
      </c>
      <c r="C498" t="s">
        <v>16</v>
      </c>
      <c r="D498" t="s">
        <v>5110</v>
      </c>
      <c r="E498" t="s">
        <v>5109</v>
      </c>
      <c r="F498" s="5">
        <v>45557</v>
      </c>
      <c r="G498" t="s">
        <v>126</v>
      </c>
      <c r="H498" t="s">
        <v>197</v>
      </c>
      <c r="I498" t="s">
        <v>35</v>
      </c>
      <c r="J498" t="s">
        <v>159</v>
      </c>
      <c r="K498" t="s">
        <v>100</v>
      </c>
      <c r="L498" t="s">
        <v>19</v>
      </c>
      <c r="M498" t="s">
        <v>20</v>
      </c>
      <c r="N498">
        <v>1</v>
      </c>
      <c r="O498">
        <v>1266</v>
      </c>
      <c r="P498">
        <v>1799</v>
      </c>
      <c r="Q498">
        <v>15</v>
      </c>
      <c r="R498">
        <v>300</v>
      </c>
      <c r="S498">
        <v>1499</v>
      </c>
      <c r="T498">
        <v>233</v>
      </c>
      <c r="U498">
        <v>15.54</v>
      </c>
      <c r="V498" t="s">
        <v>21</v>
      </c>
    </row>
    <row r="499" spans="1:22" x14ac:dyDescent="0.35">
      <c r="A499" t="s">
        <v>5108</v>
      </c>
      <c r="B499" t="s">
        <v>63</v>
      </c>
      <c r="C499" t="s">
        <v>27</v>
      </c>
      <c r="D499" t="s">
        <v>5107</v>
      </c>
      <c r="E499" t="s">
        <v>5106</v>
      </c>
      <c r="F499" s="5">
        <v>45606</v>
      </c>
      <c r="G499" t="s">
        <v>126</v>
      </c>
      <c r="H499" t="s">
        <v>4227</v>
      </c>
      <c r="I499" t="s">
        <v>35</v>
      </c>
      <c r="J499" t="s">
        <v>214</v>
      </c>
      <c r="K499" t="s">
        <v>50</v>
      </c>
      <c r="L499" t="s">
        <v>19</v>
      </c>
      <c r="M499" t="s">
        <v>20</v>
      </c>
      <c r="N499">
        <v>1</v>
      </c>
      <c r="O499">
        <v>625</v>
      </c>
      <c r="P499">
        <v>1099</v>
      </c>
      <c r="Q499">
        <v>5</v>
      </c>
      <c r="R499">
        <v>100</v>
      </c>
      <c r="S499">
        <v>999</v>
      </c>
      <c r="T499">
        <v>374</v>
      </c>
      <c r="U499">
        <v>37.44</v>
      </c>
      <c r="V499" t="s">
        <v>21</v>
      </c>
    </row>
    <row r="500" spans="1:22" x14ac:dyDescent="0.35">
      <c r="A500" t="s">
        <v>5105</v>
      </c>
      <c r="B500" t="s">
        <v>94</v>
      </c>
      <c r="C500" t="s">
        <v>16</v>
      </c>
      <c r="D500" t="s">
        <v>5104</v>
      </c>
      <c r="E500" t="s">
        <v>5103</v>
      </c>
      <c r="F500" s="5">
        <v>45630</v>
      </c>
      <c r="G500" t="s">
        <v>126</v>
      </c>
      <c r="H500" t="s">
        <v>2079</v>
      </c>
      <c r="I500" t="s">
        <v>31</v>
      </c>
      <c r="J500" t="s">
        <v>76</v>
      </c>
      <c r="K500" t="s">
        <v>76</v>
      </c>
      <c r="L500" t="s">
        <v>25</v>
      </c>
      <c r="M500" t="s">
        <v>20</v>
      </c>
      <c r="N500">
        <v>5</v>
      </c>
      <c r="O500">
        <v>874</v>
      </c>
      <c r="P500">
        <v>1199</v>
      </c>
      <c r="Q500">
        <v>0</v>
      </c>
      <c r="R500">
        <v>0</v>
      </c>
      <c r="S500">
        <v>5995</v>
      </c>
      <c r="T500">
        <v>1625</v>
      </c>
      <c r="U500">
        <v>27.11</v>
      </c>
      <c r="V500" t="s">
        <v>21</v>
      </c>
    </row>
    <row r="501" spans="1:22" x14ac:dyDescent="0.35">
      <c r="A501" t="s">
        <v>5102</v>
      </c>
      <c r="B501" t="s">
        <v>81</v>
      </c>
      <c r="C501" t="s">
        <v>27</v>
      </c>
      <c r="D501" t="s">
        <v>5101</v>
      </c>
      <c r="E501" t="s">
        <v>5100</v>
      </c>
      <c r="F501" s="5">
        <v>45548</v>
      </c>
      <c r="G501" t="s">
        <v>126</v>
      </c>
      <c r="H501" t="s">
        <v>5099</v>
      </c>
      <c r="I501" t="s">
        <v>35</v>
      </c>
      <c r="J501" t="s">
        <v>214</v>
      </c>
      <c r="K501" t="s">
        <v>87</v>
      </c>
      <c r="L501" t="s">
        <v>19</v>
      </c>
      <c r="M501" t="s">
        <v>20</v>
      </c>
      <c r="N501">
        <v>2</v>
      </c>
      <c r="O501">
        <v>1570</v>
      </c>
      <c r="P501">
        <v>2699</v>
      </c>
      <c r="Q501">
        <v>5</v>
      </c>
      <c r="R501">
        <v>400</v>
      </c>
      <c r="S501">
        <v>4998</v>
      </c>
      <c r="T501">
        <v>1858</v>
      </c>
      <c r="U501">
        <v>37.17</v>
      </c>
      <c r="V501" t="s">
        <v>21</v>
      </c>
    </row>
    <row r="502" spans="1:22" x14ac:dyDescent="0.35">
      <c r="A502" t="s">
        <v>5098</v>
      </c>
      <c r="B502" t="s">
        <v>61</v>
      </c>
      <c r="C502" t="s">
        <v>27</v>
      </c>
      <c r="D502" t="s">
        <v>5097</v>
      </c>
      <c r="E502" t="s">
        <v>5096</v>
      </c>
      <c r="F502" s="5">
        <v>45518</v>
      </c>
      <c r="G502" t="s">
        <v>126</v>
      </c>
      <c r="H502" t="s">
        <v>202</v>
      </c>
      <c r="I502" t="s">
        <v>31</v>
      </c>
      <c r="J502" t="s">
        <v>32</v>
      </c>
      <c r="K502" t="s">
        <v>32</v>
      </c>
      <c r="L502" t="s">
        <v>19</v>
      </c>
      <c r="M502" t="s">
        <v>20</v>
      </c>
      <c r="N502">
        <v>1</v>
      </c>
      <c r="O502">
        <v>544</v>
      </c>
      <c r="P502">
        <v>999</v>
      </c>
      <c r="Q502">
        <v>0</v>
      </c>
      <c r="R502">
        <v>0</v>
      </c>
      <c r="S502">
        <v>999</v>
      </c>
      <c r="T502">
        <v>455</v>
      </c>
      <c r="U502">
        <v>45.55</v>
      </c>
      <c r="V502" t="s">
        <v>33</v>
      </c>
    </row>
    <row r="503" spans="1:22" x14ac:dyDescent="0.35">
      <c r="A503" t="s">
        <v>5095</v>
      </c>
      <c r="B503" t="s">
        <v>84</v>
      </c>
      <c r="C503" t="s">
        <v>27</v>
      </c>
      <c r="D503" t="s">
        <v>5094</v>
      </c>
      <c r="E503" t="s">
        <v>3023</v>
      </c>
      <c r="F503" s="5">
        <v>45605</v>
      </c>
      <c r="G503" t="s">
        <v>126</v>
      </c>
      <c r="H503" t="s">
        <v>1749</v>
      </c>
      <c r="I503" t="s">
        <v>23</v>
      </c>
      <c r="J503" t="s">
        <v>142</v>
      </c>
      <c r="K503" t="s">
        <v>43</v>
      </c>
      <c r="L503" t="s">
        <v>37</v>
      </c>
      <c r="M503" t="s">
        <v>20</v>
      </c>
      <c r="N503">
        <v>5</v>
      </c>
      <c r="O503">
        <v>1564</v>
      </c>
      <c r="P503">
        <v>2799</v>
      </c>
      <c r="Q503">
        <v>10</v>
      </c>
      <c r="R503">
        <v>1500</v>
      </c>
      <c r="S503">
        <v>12495</v>
      </c>
      <c r="T503">
        <v>4675</v>
      </c>
      <c r="U503">
        <v>37.409999999999997</v>
      </c>
      <c r="V503" t="s">
        <v>33</v>
      </c>
    </row>
    <row r="504" spans="1:22" x14ac:dyDescent="0.35">
      <c r="A504" t="s">
        <v>5093</v>
      </c>
      <c r="B504" t="s">
        <v>44</v>
      </c>
      <c r="C504" t="s">
        <v>16</v>
      </c>
      <c r="D504" t="s">
        <v>5092</v>
      </c>
      <c r="E504" t="s">
        <v>5091</v>
      </c>
      <c r="F504" s="5">
        <v>45557</v>
      </c>
      <c r="G504" t="s">
        <v>126</v>
      </c>
      <c r="H504" t="s">
        <v>1337</v>
      </c>
      <c r="I504" t="s">
        <v>31</v>
      </c>
      <c r="J504" t="s">
        <v>76</v>
      </c>
      <c r="K504" t="s">
        <v>76</v>
      </c>
      <c r="L504" t="s">
        <v>25</v>
      </c>
      <c r="M504" t="s">
        <v>20</v>
      </c>
      <c r="N504">
        <v>1</v>
      </c>
      <c r="O504">
        <v>627</v>
      </c>
      <c r="P504">
        <v>999</v>
      </c>
      <c r="Q504">
        <v>0</v>
      </c>
      <c r="R504">
        <v>0</v>
      </c>
      <c r="S504">
        <v>999</v>
      </c>
      <c r="T504">
        <v>372</v>
      </c>
      <c r="U504">
        <v>37.24</v>
      </c>
      <c r="V504" t="s">
        <v>21</v>
      </c>
    </row>
    <row r="505" spans="1:22" x14ac:dyDescent="0.35">
      <c r="A505" t="s">
        <v>5090</v>
      </c>
      <c r="B505" t="s">
        <v>97</v>
      </c>
      <c r="C505" t="s">
        <v>16</v>
      </c>
      <c r="D505" t="s">
        <v>5089</v>
      </c>
      <c r="E505" t="s">
        <v>5088</v>
      </c>
      <c r="F505" s="5">
        <v>45525</v>
      </c>
      <c r="G505" t="s">
        <v>126</v>
      </c>
      <c r="H505" t="s">
        <v>3526</v>
      </c>
      <c r="I505" t="s">
        <v>23</v>
      </c>
      <c r="J505" t="s">
        <v>164</v>
      </c>
      <c r="K505" t="s">
        <v>24</v>
      </c>
      <c r="L505" t="s">
        <v>25</v>
      </c>
      <c r="M505" t="s">
        <v>19</v>
      </c>
      <c r="N505">
        <v>2</v>
      </c>
      <c r="O505">
        <v>1154</v>
      </c>
      <c r="P505">
        <v>2199</v>
      </c>
      <c r="Q505">
        <v>5</v>
      </c>
      <c r="R505">
        <v>400</v>
      </c>
      <c r="S505">
        <v>3998</v>
      </c>
      <c r="T505">
        <v>1690</v>
      </c>
      <c r="U505">
        <v>42.27</v>
      </c>
      <c r="V505" t="s">
        <v>21</v>
      </c>
    </row>
    <row r="506" spans="1:22" x14ac:dyDescent="0.35">
      <c r="A506" t="s">
        <v>5087</v>
      </c>
      <c r="B506" t="s">
        <v>66</v>
      </c>
      <c r="C506" t="s">
        <v>27</v>
      </c>
      <c r="D506" t="s">
        <v>5086</v>
      </c>
      <c r="E506" t="s">
        <v>3482</v>
      </c>
      <c r="F506" s="5">
        <v>45590</v>
      </c>
      <c r="G506" t="s">
        <v>126</v>
      </c>
      <c r="H506" t="s">
        <v>1390</v>
      </c>
      <c r="I506" t="s">
        <v>23</v>
      </c>
      <c r="J506" t="s">
        <v>142</v>
      </c>
      <c r="K506" t="s">
        <v>43</v>
      </c>
      <c r="L506" t="s">
        <v>37</v>
      </c>
      <c r="M506" t="s">
        <v>20</v>
      </c>
      <c r="N506">
        <v>1</v>
      </c>
      <c r="O506">
        <v>2414</v>
      </c>
      <c r="P506">
        <v>4199</v>
      </c>
      <c r="Q506">
        <v>15</v>
      </c>
      <c r="R506">
        <v>700</v>
      </c>
      <c r="S506">
        <v>3499</v>
      </c>
      <c r="T506">
        <v>1085</v>
      </c>
      <c r="U506">
        <v>31.01</v>
      </c>
      <c r="V506" t="s">
        <v>21</v>
      </c>
    </row>
    <row r="507" spans="1:22" x14ac:dyDescent="0.35">
      <c r="A507" t="s">
        <v>5085</v>
      </c>
      <c r="B507" t="s">
        <v>44</v>
      </c>
      <c r="C507" t="s">
        <v>16</v>
      </c>
      <c r="D507" t="s">
        <v>5084</v>
      </c>
      <c r="E507" t="s">
        <v>5083</v>
      </c>
      <c r="F507" s="5">
        <v>45479</v>
      </c>
      <c r="G507" t="s">
        <v>126</v>
      </c>
      <c r="H507" t="s">
        <v>5082</v>
      </c>
      <c r="I507" t="s">
        <v>31</v>
      </c>
      <c r="J507" t="s">
        <v>76</v>
      </c>
      <c r="K507" t="s">
        <v>76</v>
      </c>
      <c r="L507" t="s">
        <v>19</v>
      </c>
      <c r="M507" t="s">
        <v>19</v>
      </c>
      <c r="N507">
        <v>1</v>
      </c>
      <c r="O507">
        <v>474</v>
      </c>
      <c r="P507">
        <v>799</v>
      </c>
      <c r="Q507">
        <v>0</v>
      </c>
      <c r="R507">
        <v>0</v>
      </c>
      <c r="S507">
        <v>799</v>
      </c>
      <c r="T507">
        <v>325</v>
      </c>
      <c r="U507">
        <v>40.68</v>
      </c>
      <c r="V507" t="s">
        <v>21</v>
      </c>
    </row>
    <row r="508" spans="1:22" x14ac:dyDescent="0.35">
      <c r="A508" t="s">
        <v>5081</v>
      </c>
      <c r="B508" t="s">
        <v>94</v>
      </c>
      <c r="C508" t="s">
        <v>16</v>
      </c>
      <c r="D508" t="s">
        <v>5080</v>
      </c>
      <c r="E508" t="s">
        <v>5079</v>
      </c>
      <c r="F508" s="5">
        <v>45630</v>
      </c>
      <c r="G508" t="s">
        <v>126</v>
      </c>
      <c r="H508" t="s">
        <v>872</v>
      </c>
      <c r="I508" t="s">
        <v>35</v>
      </c>
      <c r="J508" t="s">
        <v>244</v>
      </c>
      <c r="K508" t="s">
        <v>58</v>
      </c>
      <c r="L508" t="s">
        <v>19</v>
      </c>
      <c r="M508" t="s">
        <v>19</v>
      </c>
      <c r="N508">
        <v>5</v>
      </c>
      <c r="O508">
        <v>962</v>
      </c>
      <c r="P508">
        <v>1799</v>
      </c>
      <c r="Q508">
        <v>15</v>
      </c>
      <c r="R508">
        <v>1500</v>
      </c>
      <c r="S508">
        <v>7495</v>
      </c>
      <c r="T508">
        <v>2685</v>
      </c>
      <c r="U508">
        <v>35.82</v>
      </c>
      <c r="V508" t="s">
        <v>33</v>
      </c>
    </row>
    <row r="509" spans="1:22" x14ac:dyDescent="0.35">
      <c r="A509" t="s">
        <v>5078</v>
      </c>
      <c r="B509" t="s">
        <v>88</v>
      </c>
      <c r="C509" t="s">
        <v>27</v>
      </c>
      <c r="D509" t="s">
        <v>5077</v>
      </c>
      <c r="E509" t="s">
        <v>5076</v>
      </c>
      <c r="F509" s="5">
        <v>45583</v>
      </c>
      <c r="G509" t="s">
        <v>126</v>
      </c>
      <c r="H509" t="s">
        <v>2740</v>
      </c>
      <c r="I509" t="s">
        <v>23</v>
      </c>
      <c r="J509" t="s">
        <v>142</v>
      </c>
      <c r="K509" t="s">
        <v>43</v>
      </c>
      <c r="L509" t="s">
        <v>25</v>
      </c>
      <c r="M509" t="s">
        <v>19</v>
      </c>
      <c r="N509">
        <v>2</v>
      </c>
      <c r="O509">
        <v>2971</v>
      </c>
      <c r="P509">
        <v>4399</v>
      </c>
      <c r="Q509">
        <v>20</v>
      </c>
      <c r="R509">
        <v>1800</v>
      </c>
      <c r="S509">
        <v>6998</v>
      </c>
      <c r="T509">
        <v>1056</v>
      </c>
      <c r="U509">
        <v>15.09</v>
      </c>
      <c r="V509" t="s">
        <v>21</v>
      </c>
    </row>
    <row r="510" spans="1:22" x14ac:dyDescent="0.35">
      <c r="A510" t="s">
        <v>5075</v>
      </c>
      <c r="B510" t="s">
        <v>78</v>
      </c>
      <c r="C510" t="s">
        <v>16</v>
      </c>
      <c r="D510" t="s">
        <v>5074</v>
      </c>
      <c r="E510" t="s">
        <v>5073</v>
      </c>
      <c r="F510" s="5">
        <v>45528</v>
      </c>
      <c r="G510" t="s">
        <v>126</v>
      </c>
      <c r="H510" t="s">
        <v>138</v>
      </c>
      <c r="I510" t="s">
        <v>28</v>
      </c>
      <c r="J510" t="s">
        <v>201</v>
      </c>
      <c r="K510" t="s">
        <v>29</v>
      </c>
      <c r="L510" t="s">
        <v>37</v>
      </c>
      <c r="M510" t="s">
        <v>19</v>
      </c>
      <c r="N510">
        <v>1</v>
      </c>
      <c r="O510">
        <v>324</v>
      </c>
      <c r="P510">
        <v>499</v>
      </c>
      <c r="Q510">
        <v>5</v>
      </c>
      <c r="R510">
        <v>100</v>
      </c>
      <c r="S510">
        <v>399</v>
      </c>
      <c r="T510">
        <v>75</v>
      </c>
      <c r="U510">
        <v>18.8</v>
      </c>
      <c r="V510" t="s">
        <v>33</v>
      </c>
    </row>
    <row r="511" spans="1:22" x14ac:dyDescent="0.35">
      <c r="A511" t="s">
        <v>5072</v>
      </c>
      <c r="B511" t="s">
        <v>92</v>
      </c>
      <c r="C511" t="s">
        <v>27</v>
      </c>
      <c r="D511" t="s">
        <v>5071</v>
      </c>
      <c r="E511" t="s">
        <v>5070</v>
      </c>
      <c r="F511" s="5">
        <v>45571</v>
      </c>
      <c r="G511" t="s">
        <v>126</v>
      </c>
      <c r="H511" t="s">
        <v>1281</v>
      </c>
      <c r="I511" t="s">
        <v>17</v>
      </c>
      <c r="J511" t="s">
        <v>55</v>
      </c>
      <c r="K511" t="s">
        <v>55</v>
      </c>
      <c r="L511" t="s">
        <v>19</v>
      </c>
      <c r="M511" t="s">
        <v>20</v>
      </c>
      <c r="N511">
        <v>2</v>
      </c>
      <c r="O511">
        <v>358</v>
      </c>
      <c r="P511">
        <v>499</v>
      </c>
      <c r="Q511">
        <v>0</v>
      </c>
      <c r="R511">
        <v>0</v>
      </c>
      <c r="S511">
        <v>998</v>
      </c>
      <c r="T511">
        <v>282</v>
      </c>
      <c r="U511">
        <v>28.26</v>
      </c>
      <c r="V511" t="s">
        <v>21</v>
      </c>
    </row>
    <row r="512" spans="1:22" x14ac:dyDescent="0.35">
      <c r="A512" t="s">
        <v>5069</v>
      </c>
      <c r="B512" t="s">
        <v>38</v>
      </c>
      <c r="C512" t="s">
        <v>27</v>
      </c>
      <c r="D512" t="s">
        <v>5068</v>
      </c>
      <c r="E512" t="s">
        <v>5067</v>
      </c>
      <c r="F512" s="5">
        <v>45457</v>
      </c>
      <c r="G512" t="s">
        <v>126</v>
      </c>
      <c r="H512" t="s">
        <v>403</v>
      </c>
      <c r="I512" t="s">
        <v>35</v>
      </c>
      <c r="J512" t="s">
        <v>159</v>
      </c>
      <c r="K512" t="s">
        <v>36</v>
      </c>
      <c r="L512" t="s">
        <v>37</v>
      </c>
      <c r="M512" t="s">
        <v>20</v>
      </c>
      <c r="N512">
        <v>1</v>
      </c>
      <c r="O512">
        <v>237</v>
      </c>
      <c r="P512">
        <v>399</v>
      </c>
      <c r="Q512">
        <v>5</v>
      </c>
      <c r="R512">
        <v>100</v>
      </c>
      <c r="S512">
        <v>299</v>
      </c>
      <c r="T512">
        <v>62</v>
      </c>
      <c r="U512">
        <v>20.74</v>
      </c>
      <c r="V512" t="s">
        <v>21</v>
      </c>
    </row>
    <row r="513" spans="1:22" x14ac:dyDescent="0.35">
      <c r="A513" t="s">
        <v>5066</v>
      </c>
      <c r="B513" t="s">
        <v>66</v>
      </c>
      <c r="C513" t="s">
        <v>27</v>
      </c>
      <c r="D513" t="s">
        <v>5065</v>
      </c>
      <c r="E513" t="s">
        <v>5064</v>
      </c>
      <c r="F513" s="5">
        <v>45562</v>
      </c>
      <c r="G513" t="s">
        <v>126</v>
      </c>
      <c r="H513" t="s">
        <v>3103</v>
      </c>
      <c r="I513" t="s">
        <v>28</v>
      </c>
      <c r="J513" t="s">
        <v>201</v>
      </c>
      <c r="K513" t="s">
        <v>29</v>
      </c>
      <c r="L513" t="s">
        <v>37</v>
      </c>
      <c r="M513" t="s">
        <v>20</v>
      </c>
      <c r="N513">
        <v>4</v>
      </c>
      <c r="O513">
        <v>302</v>
      </c>
      <c r="P513">
        <v>499</v>
      </c>
      <c r="Q513">
        <v>5</v>
      </c>
      <c r="R513">
        <v>400</v>
      </c>
      <c r="S513">
        <v>1596</v>
      </c>
      <c r="T513">
        <v>388</v>
      </c>
      <c r="U513">
        <v>24.31</v>
      </c>
      <c r="V513" t="s">
        <v>21</v>
      </c>
    </row>
    <row r="514" spans="1:22" x14ac:dyDescent="0.35">
      <c r="A514" t="s">
        <v>5063</v>
      </c>
      <c r="B514" t="s">
        <v>26</v>
      </c>
      <c r="C514" t="s">
        <v>27</v>
      </c>
      <c r="D514" t="s">
        <v>5062</v>
      </c>
      <c r="E514" t="s">
        <v>5061</v>
      </c>
      <c r="F514" s="5">
        <v>45454</v>
      </c>
      <c r="G514" t="s">
        <v>126</v>
      </c>
      <c r="H514" t="s">
        <v>2278</v>
      </c>
      <c r="I514" t="s">
        <v>31</v>
      </c>
      <c r="J514" t="s">
        <v>76</v>
      </c>
      <c r="K514" t="s">
        <v>76</v>
      </c>
      <c r="L514" t="s">
        <v>25</v>
      </c>
      <c r="M514" t="s">
        <v>20</v>
      </c>
      <c r="N514">
        <v>1</v>
      </c>
      <c r="O514">
        <v>547</v>
      </c>
      <c r="P514">
        <v>799</v>
      </c>
      <c r="Q514">
        <v>0</v>
      </c>
      <c r="R514">
        <v>0</v>
      </c>
      <c r="S514">
        <v>799</v>
      </c>
      <c r="T514">
        <v>252</v>
      </c>
      <c r="U514">
        <v>31.54</v>
      </c>
      <c r="V514" t="s">
        <v>21</v>
      </c>
    </row>
    <row r="515" spans="1:22" x14ac:dyDescent="0.35">
      <c r="A515" t="s">
        <v>5060</v>
      </c>
      <c r="B515" t="s">
        <v>53</v>
      </c>
      <c r="C515" t="s">
        <v>27</v>
      </c>
      <c r="D515" t="s">
        <v>5059</v>
      </c>
      <c r="E515" t="s">
        <v>5058</v>
      </c>
      <c r="F515" s="5">
        <v>45607</v>
      </c>
      <c r="G515" t="s">
        <v>126</v>
      </c>
      <c r="H515" t="s">
        <v>4304</v>
      </c>
      <c r="I515" t="s">
        <v>28</v>
      </c>
      <c r="J515" t="s">
        <v>45</v>
      </c>
      <c r="K515" t="s">
        <v>45</v>
      </c>
      <c r="L515" t="s">
        <v>19</v>
      </c>
      <c r="M515" t="s">
        <v>20</v>
      </c>
      <c r="N515">
        <v>4</v>
      </c>
      <c r="O515">
        <v>1093</v>
      </c>
      <c r="P515">
        <v>1799</v>
      </c>
      <c r="Q515">
        <v>15</v>
      </c>
      <c r="R515">
        <v>1200</v>
      </c>
      <c r="S515">
        <v>5996</v>
      </c>
      <c r="T515">
        <v>1624</v>
      </c>
      <c r="U515">
        <v>27.08</v>
      </c>
      <c r="V515" t="s">
        <v>21</v>
      </c>
    </row>
    <row r="516" spans="1:22" x14ac:dyDescent="0.35">
      <c r="A516" t="s">
        <v>5057</v>
      </c>
      <c r="B516" t="s">
        <v>81</v>
      </c>
      <c r="C516" t="s">
        <v>27</v>
      </c>
      <c r="D516" t="s">
        <v>5056</v>
      </c>
      <c r="E516" t="s">
        <v>5055</v>
      </c>
      <c r="F516" s="5">
        <v>45548</v>
      </c>
      <c r="G516" t="s">
        <v>126</v>
      </c>
      <c r="H516" t="s">
        <v>3056</v>
      </c>
      <c r="I516" t="s">
        <v>17</v>
      </c>
      <c r="J516" t="s">
        <v>253</v>
      </c>
      <c r="K516" t="s">
        <v>72</v>
      </c>
      <c r="L516" t="s">
        <v>19</v>
      </c>
      <c r="M516" t="s">
        <v>20</v>
      </c>
      <c r="N516">
        <v>1</v>
      </c>
      <c r="O516">
        <v>316</v>
      </c>
      <c r="P516">
        <v>499</v>
      </c>
      <c r="Q516">
        <v>0</v>
      </c>
      <c r="R516">
        <v>0</v>
      </c>
      <c r="S516">
        <v>499</v>
      </c>
      <c r="T516">
        <v>183</v>
      </c>
      <c r="U516">
        <v>36.67</v>
      </c>
      <c r="V516" t="s">
        <v>21</v>
      </c>
    </row>
    <row r="517" spans="1:22" x14ac:dyDescent="0.35">
      <c r="A517" t="s">
        <v>5054</v>
      </c>
      <c r="B517" t="s">
        <v>85</v>
      </c>
      <c r="C517" t="s">
        <v>27</v>
      </c>
      <c r="D517" t="s">
        <v>5053</v>
      </c>
      <c r="E517" t="s">
        <v>1282</v>
      </c>
      <c r="F517" s="5">
        <v>45581</v>
      </c>
      <c r="G517" t="s">
        <v>126</v>
      </c>
      <c r="H517" t="s">
        <v>3389</v>
      </c>
      <c r="I517" t="s">
        <v>17</v>
      </c>
      <c r="J517" t="s">
        <v>253</v>
      </c>
      <c r="K517" t="s">
        <v>72</v>
      </c>
      <c r="L517" t="s">
        <v>37</v>
      </c>
      <c r="M517" t="s">
        <v>20</v>
      </c>
      <c r="N517">
        <v>2</v>
      </c>
      <c r="O517">
        <v>276</v>
      </c>
      <c r="P517">
        <v>399</v>
      </c>
      <c r="Q517">
        <v>0</v>
      </c>
      <c r="R517">
        <v>0</v>
      </c>
      <c r="S517">
        <v>798</v>
      </c>
      <c r="T517">
        <v>246</v>
      </c>
      <c r="U517">
        <v>30.83</v>
      </c>
      <c r="V517" t="s">
        <v>33</v>
      </c>
    </row>
    <row r="518" spans="1:22" x14ac:dyDescent="0.35">
      <c r="A518" t="s">
        <v>5052</v>
      </c>
      <c r="B518" t="s">
        <v>71</v>
      </c>
      <c r="C518" t="s">
        <v>16</v>
      </c>
      <c r="D518" t="s">
        <v>5051</v>
      </c>
      <c r="E518" t="s">
        <v>5050</v>
      </c>
      <c r="F518" s="5">
        <v>45592</v>
      </c>
      <c r="G518" t="s">
        <v>126</v>
      </c>
      <c r="H518" t="s">
        <v>524</v>
      </c>
      <c r="I518" t="s">
        <v>28</v>
      </c>
      <c r="J518" t="s">
        <v>45</v>
      </c>
      <c r="K518" t="s">
        <v>45</v>
      </c>
      <c r="L518" t="s">
        <v>37</v>
      </c>
      <c r="M518" t="s">
        <v>20</v>
      </c>
      <c r="N518">
        <v>3</v>
      </c>
      <c r="O518">
        <v>746</v>
      </c>
      <c r="P518">
        <v>1099</v>
      </c>
      <c r="Q518">
        <v>5</v>
      </c>
      <c r="R518">
        <v>300</v>
      </c>
      <c r="S518">
        <v>2997</v>
      </c>
      <c r="T518">
        <v>759</v>
      </c>
      <c r="U518">
        <v>25.33</v>
      </c>
      <c r="V518" t="s">
        <v>21</v>
      </c>
    </row>
    <row r="519" spans="1:22" x14ac:dyDescent="0.35">
      <c r="A519" t="s">
        <v>5049</v>
      </c>
      <c r="B519" t="s">
        <v>60</v>
      </c>
      <c r="C519" t="s">
        <v>27</v>
      </c>
      <c r="D519" t="s">
        <v>5048</v>
      </c>
      <c r="E519" t="s">
        <v>5047</v>
      </c>
      <c r="F519" s="5">
        <v>45538</v>
      </c>
      <c r="G519" t="s">
        <v>126</v>
      </c>
      <c r="H519" t="s">
        <v>5046</v>
      </c>
      <c r="I519" t="s">
        <v>17</v>
      </c>
      <c r="J519" t="s">
        <v>55</v>
      </c>
      <c r="K519" t="s">
        <v>55</v>
      </c>
      <c r="L519" t="s">
        <v>37</v>
      </c>
      <c r="M519" t="s">
        <v>19</v>
      </c>
      <c r="N519">
        <v>1</v>
      </c>
      <c r="O519">
        <v>324</v>
      </c>
      <c r="P519">
        <v>599</v>
      </c>
      <c r="Q519">
        <v>0</v>
      </c>
      <c r="R519">
        <v>0</v>
      </c>
      <c r="S519">
        <v>599</v>
      </c>
      <c r="T519">
        <v>275</v>
      </c>
      <c r="U519">
        <v>45.91</v>
      </c>
      <c r="V519" t="s">
        <v>21</v>
      </c>
    </row>
    <row r="520" spans="1:22" x14ac:dyDescent="0.35">
      <c r="A520" t="s">
        <v>5045</v>
      </c>
      <c r="B520" t="s">
        <v>86</v>
      </c>
      <c r="C520" t="s">
        <v>27</v>
      </c>
      <c r="D520" t="s">
        <v>5044</v>
      </c>
      <c r="E520" t="s">
        <v>5043</v>
      </c>
      <c r="F520" s="5">
        <v>45575</v>
      </c>
      <c r="G520" t="s">
        <v>126</v>
      </c>
      <c r="H520" t="s">
        <v>5042</v>
      </c>
      <c r="I520" t="s">
        <v>17</v>
      </c>
      <c r="J520" t="s">
        <v>253</v>
      </c>
      <c r="K520" t="s">
        <v>72</v>
      </c>
      <c r="L520" t="s">
        <v>37</v>
      </c>
      <c r="M520" t="s">
        <v>19</v>
      </c>
      <c r="N520">
        <v>1</v>
      </c>
      <c r="O520">
        <v>310</v>
      </c>
      <c r="P520">
        <v>499</v>
      </c>
      <c r="Q520">
        <v>0</v>
      </c>
      <c r="R520">
        <v>0</v>
      </c>
      <c r="S520">
        <v>499</v>
      </c>
      <c r="T520">
        <v>189</v>
      </c>
      <c r="U520">
        <v>37.880000000000003</v>
      </c>
      <c r="V520" t="s">
        <v>33</v>
      </c>
    </row>
    <row r="521" spans="1:22" x14ac:dyDescent="0.35">
      <c r="A521" t="s">
        <v>5041</v>
      </c>
      <c r="B521" t="s">
        <v>91</v>
      </c>
      <c r="C521" t="s">
        <v>16</v>
      </c>
      <c r="D521" t="s">
        <v>5040</v>
      </c>
      <c r="E521" t="s">
        <v>5039</v>
      </c>
      <c r="F521" s="5">
        <v>45554</v>
      </c>
      <c r="G521" t="s">
        <v>126</v>
      </c>
      <c r="H521" t="s">
        <v>4496</v>
      </c>
      <c r="I521" t="s">
        <v>17</v>
      </c>
      <c r="J521" t="s">
        <v>235</v>
      </c>
      <c r="K521" t="s">
        <v>18</v>
      </c>
      <c r="L521" t="s">
        <v>25</v>
      </c>
      <c r="M521" t="s">
        <v>19</v>
      </c>
      <c r="N521">
        <v>1</v>
      </c>
      <c r="O521">
        <v>168</v>
      </c>
      <c r="P521">
        <v>299</v>
      </c>
      <c r="Q521">
        <v>0</v>
      </c>
      <c r="R521">
        <v>0</v>
      </c>
      <c r="S521">
        <v>299</v>
      </c>
      <c r="T521">
        <v>131</v>
      </c>
      <c r="U521">
        <v>43.81</v>
      </c>
      <c r="V521" t="s">
        <v>33</v>
      </c>
    </row>
    <row r="522" spans="1:22" x14ac:dyDescent="0.35">
      <c r="A522" t="s">
        <v>5038</v>
      </c>
      <c r="B522" t="s">
        <v>81</v>
      </c>
      <c r="C522" t="s">
        <v>27</v>
      </c>
      <c r="D522" t="s">
        <v>5037</v>
      </c>
      <c r="E522" t="s">
        <v>5036</v>
      </c>
      <c r="F522" s="5">
        <v>45498</v>
      </c>
      <c r="G522" t="s">
        <v>126</v>
      </c>
      <c r="H522" t="s">
        <v>294</v>
      </c>
      <c r="I522" t="s">
        <v>31</v>
      </c>
      <c r="J522" t="s">
        <v>76</v>
      </c>
      <c r="K522" t="s">
        <v>76</v>
      </c>
      <c r="L522" t="s">
        <v>25</v>
      </c>
      <c r="M522" t="s">
        <v>20</v>
      </c>
      <c r="N522">
        <v>1</v>
      </c>
      <c r="O522">
        <v>538</v>
      </c>
      <c r="P522">
        <v>799</v>
      </c>
      <c r="Q522">
        <v>0</v>
      </c>
      <c r="R522">
        <v>0</v>
      </c>
      <c r="S522">
        <v>799</v>
      </c>
      <c r="T522">
        <v>261</v>
      </c>
      <c r="U522">
        <v>32.67</v>
      </c>
      <c r="V522" t="s">
        <v>21</v>
      </c>
    </row>
    <row r="523" spans="1:22" x14ac:dyDescent="0.35">
      <c r="A523" t="s">
        <v>5035</v>
      </c>
      <c r="B523" t="s">
        <v>66</v>
      </c>
      <c r="C523" t="s">
        <v>27</v>
      </c>
      <c r="D523" t="s">
        <v>5034</v>
      </c>
      <c r="E523" t="s">
        <v>5033</v>
      </c>
      <c r="F523" s="5">
        <v>45474</v>
      </c>
      <c r="G523" t="s">
        <v>126</v>
      </c>
      <c r="H523" t="s">
        <v>3863</v>
      </c>
      <c r="I523" t="s">
        <v>17</v>
      </c>
      <c r="J523" t="s">
        <v>253</v>
      </c>
      <c r="K523" t="s">
        <v>72</v>
      </c>
      <c r="L523" t="s">
        <v>25</v>
      </c>
      <c r="M523" t="s">
        <v>20</v>
      </c>
      <c r="N523">
        <v>1</v>
      </c>
      <c r="O523">
        <v>207</v>
      </c>
      <c r="P523">
        <v>399</v>
      </c>
      <c r="Q523">
        <v>0</v>
      </c>
      <c r="R523">
        <v>0</v>
      </c>
      <c r="S523">
        <v>399</v>
      </c>
      <c r="T523">
        <v>192</v>
      </c>
      <c r="U523">
        <v>48.12</v>
      </c>
      <c r="V523" t="s">
        <v>33</v>
      </c>
    </row>
    <row r="524" spans="1:22" x14ac:dyDescent="0.35">
      <c r="A524" t="s">
        <v>5032</v>
      </c>
      <c r="B524" t="s">
        <v>83</v>
      </c>
      <c r="C524" t="s">
        <v>27</v>
      </c>
      <c r="D524" t="s">
        <v>5031</v>
      </c>
      <c r="E524" t="s">
        <v>5030</v>
      </c>
      <c r="F524" s="5">
        <v>45451</v>
      </c>
      <c r="G524" t="s">
        <v>126</v>
      </c>
      <c r="H524" t="s">
        <v>3513</v>
      </c>
      <c r="I524" t="s">
        <v>23</v>
      </c>
      <c r="J524" t="s">
        <v>164</v>
      </c>
      <c r="K524" t="s">
        <v>24</v>
      </c>
      <c r="L524" t="s">
        <v>19</v>
      </c>
      <c r="M524" t="s">
        <v>19</v>
      </c>
      <c r="N524">
        <v>4</v>
      </c>
      <c r="O524">
        <v>974</v>
      </c>
      <c r="P524">
        <v>1499</v>
      </c>
      <c r="Q524">
        <v>15</v>
      </c>
      <c r="R524">
        <v>1200</v>
      </c>
      <c r="S524">
        <v>4796</v>
      </c>
      <c r="T524">
        <v>900</v>
      </c>
      <c r="U524">
        <v>18.77</v>
      </c>
      <c r="V524" t="s">
        <v>21</v>
      </c>
    </row>
    <row r="525" spans="1:22" x14ac:dyDescent="0.35">
      <c r="A525" t="s">
        <v>5029</v>
      </c>
      <c r="B525" t="s">
        <v>91</v>
      </c>
      <c r="C525" t="s">
        <v>16</v>
      </c>
      <c r="D525" t="s">
        <v>5028</v>
      </c>
      <c r="E525" t="s">
        <v>5027</v>
      </c>
      <c r="F525" s="5">
        <v>45620</v>
      </c>
      <c r="G525" t="s">
        <v>126</v>
      </c>
      <c r="H525" t="s">
        <v>4257</v>
      </c>
      <c r="I525" t="s">
        <v>28</v>
      </c>
      <c r="J525" t="s">
        <v>45</v>
      </c>
      <c r="K525" t="s">
        <v>45</v>
      </c>
      <c r="L525" t="s">
        <v>37</v>
      </c>
      <c r="M525" t="s">
        <v>19</v>
      </c>
      <c r="N525">
        <v>2</v>
      </c>
      <c r="O525">
        <v>994</v>
      </c>
      <c r="P525">
        <v>1699</v>
      </c>
      <c r="Q525">
        <v>10</v>
      </c>
      <c r="R525">
        <v>400</v>
      </c>
      <c r="S525">
        <v>2998</v>
      </c>
      <c r="T525">
        <v>1010</v>
      </c>
      <c r="U525">
        <v>33.69</v>
      </c>
      <c r="V525" t="s">
        <v>33</v>
      </c>
    </row>
    <row r="526" spans="1:22" x14ac:dyDescent="0.35">
      <c r="A526" t="s">
        <v>5026</v>
      </c>
      <c r="B526" t="s">
        <v>103</v>
      </c>
      <c r="C526" t="s">
        <v>16</v>
      </c>
      <c r="D526" t="s">
        <v>5025</v>
      </c>
      <c r="E526" t="s">
        <v>5024</v>
      </c>
      <c r="F526" s="5">
        <v>45626</v>
      </c>
      <c r="G526" t="s">
        <v>126</v>
      </c>
      <c r="H526" t="s">
        <v>3408</v>
      </c>
      <c r="I526" t="s">
        <v>28</v>
      </c>
      <c r="J526" t="s">
        <v>45</v>
      </c>
      <c r="K526" t="s">
        <v>45</v>
      </c>
      <c r="L526" t="s">
        <v>25</v>
      </c>
      <c r="M526" t="s">
        <v>20</v>
      </c>
      <c r="N526">
        <v>3</v>
      </c>
      <c r="O526">
        <v>805</v>
      </c>
      <c r="P526">
        <v>1199</v>
      </c>
      <c r="Q526">
        <v>10</v>
      </c>
      <c r="R526">
        <v>600</v>
      </c>
      <c r="S526">
        <v>2997</v>
      </c>
      <c r="T526">
        <v>582</v>
      </c>
      <c r="U526">
        <v>19.420000000000002</v>
      </c>
      <c r="V526" t="s">
        <v>33</v>
      </c>
    </row>
    <row r="527" spans="1:22" x14ac:dyDescent="0.35">
      <c r="A527" t="s">
        <v>5023</v>
      </c>
      <c r="B527" t="s">
        <v>22</v>
      </c>
      <c r="C527" t="s">
        <v>16</v>
      </c>
      <c r="D527" t="s">
        <v>5022</v>
      </c>
      <c r="E527" t="s">
        <v>5021</v>
      </c>
      <c r="F527" s="5">
        <v>45511</v>
      </c>
      <c r="G527" t="s">
        <v>126</v>
      </c>
      <c r="H527" t="s">
        <v>329</v>
      </c>
      <c r="I527" t="s">
        <v>31</v>
      </c>
      <c r="J527" t="s">
        <v>32</v>
      </c>
      <c r="K527" t="s">
        <v>32</v>
      </c>
      <c r="L527" t="s">
        <v>25</v>
      </c>
      <c r="M527" t="s">
        <v>20</v>
      </c>
      <c r="N527">
        <v>2</v>
      </c>
      <c r="O527">
        <v>668</v>
      </c>
      <c r="P527">
        <v>899</v>
      </c>
      <c r="Q527">
        <v>0</v>
      </c>
      <c r="R527">
        <v>0</v>
      </c>
      <c r="S527">
        <v>1798</v>
      </c>
      <c r="T527">
        <v>462</v>
      </c>
      <c r="U527">
        <v>25.7</v>
      </c>
      <c r="V527" t="s">
        <v>21</v>
      </c>
    </row>
    <row r="528" spans="1:22" x14ac:dyDescent="0.35">
      <c r="A528" t="s">
        <v>5020</v>
      </c>
      <c r="B528" t="s">
        <v>49</v>
      </c>
      <c r="C528" t="s">
        <v>27</v>
      </c>
      <c r="D528" t="s">
        <v>5019</v>
      </c>
      <c r="E528" t="s">
        <v>5018</v>
      </c>
      <c r="F528" s="5">
        <v>45631</v>
      </c>
      <c r="G528" t="s">
        <v>126</v>
      </c>
      <c r="H528" t="s">
        <v>5017</v>
      </c>
      <c r="I528" t="s">
        <v>35</v>
      </c>
      <c r="J528" t="s">
        <v>41</v>
      </c>
      <c r="K528" t="s">
        <v>41</v>
      </c>
      <c r="L528" t="s">
        <v>37</v>
      </c>
      <c r="M528" t="s">
        <v>20</v>
      </c>
      <c r="N528">
        <v>1</v>
      </c>
      <c r="O528">
        <v>661</v>
      </c>
      <c r="P528">
        <v>1099</v>
      </c>
      <c r="Q528">
        <v>5</v>
      </c>
      <c r="R528">
        <v>100</v>
      </c>
      <c r="S528">
        <v>999</v>
      </c>
      <c r="T528">
        <v>338</v>
      </c>
      <c r="U528">
        <v>33.83</v>
      </c>
      <c r="V528" t="s">
        <v>33</v>
      </c>
    </row>
    <row r="529" spans="1:22" x14ac:dyDescent="0.35">
      <c r="A529" t="s">
        <v>5016</v>
      </c>
      <c r="B529" t="s">
        <v>56</v>
      </c>
      <c r="C529" t="s">
        <v>27</v>
      </c>
      <c r="D529" t="s">
        <v>5015</v>
      </c>
      <c r="E529" t="s">
        <v>5014</v>
      </c>
      <c r="F529" s="5">
        <v>45625</v>
      </c>
      <c r="G529" t="s">
        <v>126</v>
      </c>
      <c r="H529" t="s">
        <v>2891</v>
      </c>
      <c r="I529" t="s">
        <v>28</v>
      </c>
      <c r="J529" t="s">
        <v>45</v>
      </c>
      <c r="K529" t="s">
        <v>45</v>
      </c>
      <c r="L529" t="s">
        <v>37</v>
      </c>
      <c r="M529" t="s">
        <v>19</v>
      </c>
      <c r="N529">
        <v>1</v>
      </c>
      <c r="O529">
        <v>1500</v>
      </c>
      <c r="P529">
        <v>2299</v>
      </c>
      <c r="Q529">
        <v>20</v>
      </c>
      <c r="R529">
        <v>500</v>
      </c>
      <c r="S529">
        <v>1799</v>
      </c>
      <c r="T529">
        <v>299</v>
      </c>
      <c r="U529">
        <v>16.62</v>
      </c>
      <c r="V529" t="s">
        <v>21</v>
      </c>
    </row>
    <row r="530" spans="1:22" x14ac:dyDescent="0.35">
      <c r="A530" t="s">
        <v>5013</v>
      </c>
      <c r="B530" t="s">
        <v>95</v>
      </c>
      <c r="C530" t="s">
        <v>27</v>
      </c>
      <c r="D530" t="s">
        <v>5012</v>
      </c>
      <c r="E530" t="s">
        <v>3100</v>
      </c>
      <c r="F530" s="5">
        <v>45483</v>
      </c>
      <c r="G530" t="s">
        <v>126</v>
      </c>
      <c r="H530" t="s">
        <v>3326</v>
      </c>
      <c r="I530" t="s">
        <v>35</v>
      </c>
      <c r="J530" t="s">
        <v>244</v>
      </c>
      <c r="K530" t="s">
        <v>58</v>
      </c>
      <c r="L530" t="s">
        <v>25</v>
      </c>
      <c r="M530" t="s">
        <v>20</v>
      </c>
      <c r="N530">
        <v>5</v>
      </c>
      <c r="O530">
        <v>851</v>
      </c>
      <c r="P530">
        <v>1199</v>
      </c>
      <c r="Q530">
        <v>15</v>
      </c>
      <c r="R530">
        <v>1000</v>
      </c>
      <c r="S530">
        <v>4995</v>
      </c>
      <c r="T530">
        <v>740</v>
      </c>
      <c r="U530">
        <v>14.81</v>
      </c>
      <c r="V530" t="s">
        <v>21</v>
      </c>
    </row>
    <row r="531" spans="1:22" x14ac:dyDescent="0.35">
      <c r="A531" t="s">
        <v>5011</v>
      </c>
      <c r="B531" t="s">
        <v>54</v>
      </c>
      <c r="C531" t="s">
        <v>27</v>
      </c>
      <c r="D531" t="s">
        <v>5010</v>
      </c>
      <c r="E531" t="s">
        <v>5009</v>
      </c>
      <c r="F531" s="5">
        <v>45552</v>
      </c>
      <c r="G531" t="s">
        <v>126</v>
      </c>
      <c r="H531" t="s">
        <v>466</v>
      </c>
      <c r="I531" t="s">
        <v>35</v>
      </c>
      <c r="J531" t="s">
        <v>244</v>
      </c>
      <c r="K531" t="s">
        <v>58</v>
      </c>
      <c r="L531" t="s">
        <v>37</v>
      </c>
      <c r="M531" t="s">
        <v>19</v>
      </c>
      <c r="N531">
        <v>1</v>
      </c>
      <c r="O531">
        <v>1358</v>
      </c>
      <c r="P531">
        <v>2499</v>
      </c>
      <c r="Q531">
        <v>20</v>
      </c>
      <c r="R531">
        <v>500</v>
      </c>
      <c r="S531">
        <v>1999</v>
      </c>
      <c r="T531">
        <v>641</v>
      </c>
      <c r="U531">
        <v>32.07</v>
      </c>
      <c r="V531" t="s">
        <v>21</v>
      </c>
    </row>
    <row r="532" spans="1:22" x14ac:dyDescent="0.35">
      <c r="A532" t="s">
        <v>5008</v>
      </c>
      <c r="B532" t="s">
        <v>83</v>
      </c>
      <c r="C532" t="s">
        <v>27</v>
      </c>
      <c r="D532" t="s">
        <v>5007</v>
      </c>
      <c r="E532" t="s">
        <v>5006</v>
      </c>
      <c r="F532" s="5">
        <v>45625</v>
      </c>
      <c r="G532" t="s">
        <v>126</v>
      </c>
      <c r="H532" t="s">
        <v>707</v>
      </c>
      <c r="I532" t="s">
        <v>31</v>
      </c>
      <c r="J532" t="s">
        <v>76</v>
      </c>
      <c r="K532" t="s">
        <v>76</v>
      </c>
      <c r="L532" t="s">
        <v>37</v>
      </c>
      <c r="M532" t="s">
        <v>19</v>
      </c>
      <c r="N532">
        <v>1</v>
      </c>
      <c r="O532">
        <v>367</v>
      </c>
      <c r="P532">
        <v>699</v>
      </c>
      <c r="Q532">
        <v>0</v>
      </c>
      <c r="R532">
        <v>0</v>
      </c>
      <c r="S532">
        <v>699</v>
      </c>
      <c r="T532">
        <v>332</v>
      </c>
      <c r="U532">
        <v>47.5</v>
      </c>
      <c r="V532" t="s">
        <v>21</v>
      </c>
    </row>
    <row r="533" spans="1:22" x14ac:dyDescent="0.35">
      <c r="A533" t="s">
        <v>5005</v>
      </c>
      <c r="B533" t="s">
        <v>101</v>
      </c>
      <c r="C533" t="s">
        <v>16</v>
      </c>
      <c r="D533" t="s">
        <v>5004</v>
      </c>
      <c r="E533" t="s">
        <v>5003</v>
      </c>
      <c r="F533" s="5">
        <v>45488</v>
      </c>
      <c r="G533" t="s">
        <v>126</v>
      </c>
      <c r="H533" t="s">
        <v>1243</v>
      </c>
      <c r="I533" t="s">
        <v>17</v>
      </c>
      <c r="J533" t="s">
        <v>235</v>
      </c>
      <c r="K533" t="s">
        <v>18</v>
      </c>
      <c r="L533" t="s">
        <v>25</v>
      </c>
      <c r="M533" t="s">
        <v>19</v>
      </c>
      <c r="N533">
        <v>5</v>
      </c>
      <c r="O533">
        <v>311</v>
      </c>
      <c r="P533">
        <v>599</v>
      </c>
      <c r="Q533">
        <v>0</v>
      </c>
      <c r="R533">
        <v>0</v>
      </c>
      <c r="S533">
        <v>2995</v>
      </c>
      <c r="T533">
        <v>1440</v>
      </c>
      <c r="U533">
        <v>48.08</v>
      </c>
      <c r="V533" t="s">
        <v>21</v>
      </c>
    </row>
    <row r="534" spans="1:22" x14ac:dyDescent="0.35">
      <c r="A534" t="s">
        <v>5002</v>
      </c>
      <c r="B534" t="s">
        <v>94</v>
      </c>
      <c r="C534" t="s">
        <v>16</v>
      </c>
      <c r="D534" t="s">
        <v>5001</v>
      </c>
      <c r="E534" t="s">
        <v>5000</v>
      </c>
      <c r="F534" s="5">
        <v>45472</v>
      </c>
      <c r="G534" t="s">
        <v>126</v>
      </c>
      <c r="H534" t="s">
        <v>1553</v>
      </c>
      <c r="I534" t="s">
        <v>23</v>
      </c>
      <c r="J534" t="s">
        <v>164</v>
      </c>
      <c r="K534" t="s">
        <v>24</v>
      </c>
      <c r="L534" t="s">
        <v>37</v>
      </c>
      <c r="M534" t="s">
        <v>20</v>
      </c>
      <c r="N534">
        <v>1</v>
      </c>
      <c r="O534">
        <v>801</v>
      </c>
      <c r="P534">
        <v>1399</v>
      </c>
      <c r="Q534">
        <v>10</v>
      </c>
      <c r="R534">
        <v>200</v>
      </c>
      <c r="S534">
        <v>1199</v>
      </c>
      <c r="T534">
        <v>398</v>
      </c>
      <c r="U534">
        <v>33.19</v>
      </c>
      <c r="V534" t="s">
        <v>21</v>
      </c>
    </row>
    <row r="535" spans="1:22" x14ac:dyDescent="0.35">
      <c r="A535" t="s">
        <v>4999</v>
      </c>
      <c r="B535" t="s">
        <v>68</v>
      </c>
      <c r="C535" t="s">
        <v>16</v>
      </c>
      <c r="D535" t="s">
        <v>4998</v>
      </c>
      <c r="E535" t="s">
        <v>4997</v>
      </c>
      <c r="F535" s="5">
        <v>45618</v>
      </c>
      <c r="G535" t="s">
        <v>126</v>
      </c>
      <c r="H535" t="s">
        <v>4996</v>
      </c>
      <c r="I535" t="s">
        <v>17</v>
      </c>
      <c r="J535" t="s">
        <v>55</v>
      </c>
      <c r="K535" t="s">
        <v>55</v>
      </c>
      <c r="L535" t="s">
        <v>37</v>
      </c>
      <c r="M535" t="s">
        <v>20</v>
      </c>
      <c r="N535">
        <v>2</v>
      </c>
      <c r="O535">
        <v>202</v>
      </c>
      <c r="P535">
        <v>299</v>
      </c>
      <c r="Q535">
        <v>0</v>
      </c>
      <c r="R535">
        <v>0</v>
      </c>
      <c r="S535">
        <v>598</v>
      </c>
      <c r="T535">
        <v>194</v>
      </c>
      <c r="U535">
        <v>32.44</v>
      </c>
      <c r="V535" t="s">
        <v>21</v>
      </c>
    </row>
    <row r="536" spans="1:22" x14ac:dyDescent="0.35">
      <c r="A536" t="s">
        <v>4995</v>
      </c>
      <c r="B536" t="s">
        <v>109</v>
      </c>
      <c r="C536" t="s">
        <v>16</v>
      </c>
      <c r="D536" t="s">
        <v>4994</v>
      </c>
      <c r="E536" t="s">
        <v>4993</v>
      </c>
      <c r="F536" s="5">
        <v>45609</v>
      </c>
      <c r="G536" t="s">
        <v>126</v>
      </c>
      <c r="H536" t="s">
        <v>3418</v>
      </c>
      <c r="I536" t="s">
        <v>23</v>
      </c>
      <c r="J536" t="s">
        <v>142</v>
      </c>
      <c r="K536" t="s">
        <v>43</v>
      </c>
      <c r="L536" t="s">
        <v>25</v>
      </c>
      <c r="M536" t="s">
        <v>19</v>
      </c>
      <c r="N536">
        <v>1</v>
      </c>
      <c r="O536">
        <v>1431</v>
      </c>
      <c r="P536">
        <v>2799</v>
      </c>
      <c r="Q536">
        <v>20</v>
      </c>
      <c r="R536">
        <v>600</v>
      </c>
      <c r="S536">
        <v>2199</v>
      </c>
      <c r="T536">
        <v>768</v>
      </c>
      <c r="U536">
        <v>34.92</v>
      </c>
      <c r="V536" t="s">
        <v>21</v>
      </c>
    </row>
    <row r="537" spans="1:22" x14ac:dyDescent="0.35">
      <c r="A537" t="s">
        <v>4992</v>
      </c>
      <c r="B537" t="s">
        <v>54</v>
      </c>
      <c r="C537" t="s">
        <v>27</v>
      </c>
      <c r="D537" t="s">
        <v>4991</v>
      </c>
      <c r="E537" t="s">
        <v>4990</v>
      </c>
      <c r="F537" s="5">
        <v>45497</v>
      </c>
      <c r="G537" t="s">
        <v>126</v>
      </c>
      <c r="H537" t="s">
        <v>2006</v>
      </c>
      <c r="I537" t="s">
        <v>35</v>
      </c>
      <c r="J537" t="s">
        <v>244</v>
      </c>
      <c r="K537" t="s">
        <v>58</v>
      </c>
      <c r="L537" t="s">
        <v>19</v>
      </c>
      <c r="M537" t="s">
        <v>20</v>
      </c>
      <c r="N537">
        <v>1</v>
      </c>
      <c r="O537">
        <v>872</v>
      </c>
      <c r="P537">
        <v>1199</v>
      </c>
      <c r="Q537">
        <v>10</v>
      </c>
      <c r="R537">
        <v>200</v>
      </c>
      <c r="S537">
        <v>999</v>
      </c>
      <c r="T537">
        <v>127</v>
      </c>
      <c r="U537">
        <v>12.71</v>
      </c>
      <c r="V537" t="s">
        <v>33</v>
      </c>
    </row>
    <row r="538" spans="1:22" x14ac:dyDescent="0.35">
      <c r="A538" t="s">
        <v>4989</v>
      </c>
      <c r="B538" t="s">
        <v>53</v>
      </c>
      <c r="C538" t="s">
        <v>27</v>
      </c>
      <c r="D538" t="s">
        <v>4988</v>
      </c>
      <c r="E538" t="s">
        <v>4987</v>
      </c>
      <c r="F538" s="5">
        <v>45444</v>
      </c>
      <c r="G538" t="s">
        <v>126</v>
      </c>
      <c r="H538" t="s">
        <v>4672</v>
      </c>
      <c r="I538" t="s">
        <v>23</v>
      </c>
      <c r="J538" t="s">
        <v>142</v>
      </c>
      <c r="K538" t="s">
        <v>43</v>
      </c>
      <c r="L538" t="s">
        <v>19</v>
      </c>
      <c r="M538" t="s">
        <v>19</v>
      </c>
      <c r="N538">
        <v>5</v>
      </c>
      <c r="O538">
        <v>2472</v>
      </c>
      <c r="P538">
        <v>4799</v>
      </c>
      <c r="Q538">
        <v>15</v>
      </c>
      <c r="R538">
        <v>4000</v>
      </c>
      <c r="S538">
        <v>19995</v>
      </c>
      <c r="T538">
        <v>7635</v>
      </c>
      <c r="U538">
        <v>38.18</v>
      </c>
      <c r="V538" t="s">
        <v>21</v>
      </c>
    </row>
    <row r="539" spans="1:22" x14ac:dyDescent="0.35">
      <c r="A539" t="s">
        <v>4986</v>
      </c>
      <c r="B539" t="s">
        <v>40</v>
      </c>
      <c r="C539" t="s">
        <v>27</v>
      </c>
      <c r="D539" t="s">
        <v>4985</v>
      </c>
      <c r="E539" t="s">
        <v>4984</v>
      </c>
      <c r="F539" s="5">
        <v>45571</v>
      </c>
      <c r="G539" t="s">
        <v>126</v>
      </c>
      <c r="H539" t="s">
        <v>3408</v>
      </c>
      <c r="I539" t="s">
        <v>28</v>
      </c>
      <c r="J539" t="s">
        <v>201</v>
      </c>
      <c r="K539" t="s">
        <v>29</v>
      </c>
      <c r="L539" t="s">
        <v>25</v>
      </c>
      <c r="M539" t="s">
        <v>20</v>
      </c>
      <c r="N539">
        <v>1</v>
      </c>
      <c r="O539">
        <v>423</v>
      </c>
      <c r="P539">
        <v>599</v>
      </c>
      <c r="Q539">
        <v>15</v>
      </c>
      <c r="R539">
        <v>100</v>
      </c>
      <c r="S539">
        <v>499</v>
      </c>
      <c r="T539">
        <v>76</v>
      </c>
      <c r="U539">
        <v>15.23</v>
      </c>
      <c r="V539" t="s">
        <v>21</v>
      </c>
    </row>
    <row r="540" spans="1:22" x14ac:dyDescent="0.35">
      <c r="A540" t="s">
        <v>4983</v>
      </c>
      <c r="B540" t="s">
        <v>70</v>
      </c>
      <c r="C540" t="s">
        <v>27</v>
      </c>
      <c r="D540" t="s">
        <v>4982</v>
      </c>
      <c r="E540" t="s">
        <v>4981</v>
      </c>
      <c r="F540" s="5">
        <v>45545</v>
      </c>
      <c r="G540" t="s">
        <v>126</v>
      </c>
      <c r="H540" t="s">
        <v>4980</v>
      </c>
      <c r="I540" t="s">
        <v>35</v>
      </c>
      <c r="J540" t="s">
        <v>41</v>
      </c>
      <c r="K540" t="s">
        <v>41</v>
      </c>
      <c r="L540" t="s">
        <v>19</v>
      </c>
      <c r="M540" t="s">
        <v>19</v>
      </c>
      <c r="N540">
        <v>1</v>
      </c>
      <c r="O540">
        <v>535</v>
      </c>
      <c r="P540">
        <v>999</v>
      </c>
      <c r="Q540">
        <v>20</v>
      </c>
      <c r="R540">
        <v>200</v>
      </c>
      <c r="S540">
        <v>799</v>
      </c>
      <c r="T540">
        <v>264</v>
      </c>
      <c r="U540">
        <v>33.04</v>
      </c>
      <c r="V540" t="s">
        <v>21</v>
      </c>
    </row>
    <row r="541" spans="1:22" x14ac:dyDescent="0.35">
      <c r="A541" t="s">
        <v>4979</v>
      </c>
      <c r="B541" t="s">
        <v>104</v>
      </c>
      <c r="C541" t="s">
        <v>27</v>
      </c>
      <c r="D541" t="s">
        <v>4978</v>
      </c>
      <c r="E541" t="s">
        <v>131</v>
      </c>
      <c r="F541" s="5">
        <v>45479</v>
      </c>
      <c r="G541" t="s">
        <v>126</v>
      </c>
      <c r="H541" t="s">
        <v>1773</v>
      </c>
      <c r="I541" t="s">
        <v>35</v>
      </c>
      <c r="J541" t="s">
        <v>214</v>
      </c>
      <c r="K541" t="s">
        <v>50</v>
      </c>
      <c r="L541" t="s">
        <v>37</v>
      </c>
      <c r="M541" t="s">
        <v>20</v>
      </c>
      <c r="N541">
        <v>3</v>
      </c>
      <c r="O541">
        <v>784</v>
      </c>
      <c r="P541">
        <v>1299</v>
      </c>
      <c r="Q541">
        <v>20</v>
      </c>
      <c r="R541">
        <v>900</v>
      </c>
      <c r="S541">
        <v>2997</v>
      </c>
      <c r="T541">
        <v>645</v>
      </c>
      <c r="U541">
        <v>21.52</v>
      </c>
      <c r="V541" t="s">
        <v>21</v>
      </c>
    </row>
    <row r="542" spans="1:22" x14ac:dyDescent="0.35">
      <c r="A542" t="s">
        <v>4977</v>
      </c>
      <c r="B542" t="s">
        <v>52</v>
      </c>
      <c r="C542" t="s">
        <v>27</v>
      </c>
      <c r="D542" t="s">
        <v>4976</v>
      </c>
      <c r="E542" t="s">
        <v>3422</v>
      </c>
      <c r="F542" s="5">
        <v>45572</v>
      </c>
      <c r="G542" t="s">
        <v>126</v>
      </c>
      <c r="H542" t="s">
        <v>1723</v>
      </c>
      <c r="I542" t="s">
        <v>17</v>
      </c>
      <c r="J542" t="s">
        <v>253</v>
      </c>
      <c r="K542" t="s">
        <v>72</v>
      </c>
      <c r="L542" t="s">
        <v>19</v>
      </c>
      <c r="M542" t="s">
        <v>19</v>
      </c>
      <c r="N542">
        <v>3</v>
      </c>
      <c r="O542">
        <v>326</v>
      </c>
      <c r="P542">
        <v>499</v>
      </c>
      <c r="Q542">
        <v>0</v>
      </c>
      <c r="R542">
        <v>0</v>
      </c>
      <c r="S542">
        <v>1497</v>
      </c>
      <c r="T542">
        <v>519</v>
      </c>
      <c r="U542">
        <v>34.67</v>
      </c>
      <c r="V542" t="s">
        <v>21</v>
      </c>
    </row>
    <row r="543" spans="1:22" x14ac:dyDescent="0.35">
      <c r="A543" t="s">
        <v>4975</v>
      </c>
      <c r="B543" t="s">
        <v>98</v>
      </c>
      <c r="C543" t="s">
        <v>16</v>
      </c>
      <c r="D543" t="s">
        <v>4974</v>
      </c>
      <c r="E543" t="s">
        <v>4973</v>
      </c>
      <c r="F543" s="5">
        <v>45596</v>
      </c>
      <c r="G543" t="s">
        <v>126</v>
      </c>
      <c r="H543" t="s">
        <v>784</v>
      </c>
      <c r="I543" t="s">
        <v>31</v>
      </c>
      <c r="J543" t="s">
        <v>32</v>
      </c>
      <c r="K543" t="s">
        <v>32</v>
      </c>
      <c r="L543" t="s">
        <v>25</v>
      </c>
      <c r="M543" t="s">
        <v>20</v>
      </c>
      <c r="N543">
        <v>1</v>
      </c>
      <c r="O543">
        <v>676</v>
      </c>
      <c r="P543">
        <v>999</v>
      </c>
      <c r="Q543">
        <v>0</v>
      </c>
      <c r="R543">
        <v>0</v>
      </c>
      <c r="S543">
        <v>999</v>
      </c>
      <c r="T543">
        <v>323</v>
      </c>
      <c r="U543">
        <v>32.33</v>
      </c>
      <c r="V543" t="s">
        <v>21</v>
      </c>
    </row>
    <row r="544" spans="1:22" x14ac:dyDescent="0.35">
      <c r="A544" t="s">
        <v>4972</v>
      </c>
      <c r="B544" t="s">
        <v>15</v>
      </c>
      <c r="C544" t="s">
        <v>16</v>
      </c>
      <c r="D544" t="s">
        <v>4971</v>
      </c>
      <c r="E544" t="s">
        <v>4970</v>
      </c>
      <c r="F544" s="5">
        <v>45616</v>
      </c>
      <c r="G544" t="s">
        <v>126</v>
      </c>
      <c r="H544" t="s">
        <v>599</v>
      </c>
      <c r="I544" t="s">
        <v>17</v>
      </c>
      <c r="J544" t="s">
        <v>48</v>
      </c>
      <c r="K544" t="s">
        <v>48</v>
      </c>
      <c r="L544" t="s">
        <v>37</v>
      </c>
      <c r="M544" t="s">
        <v>20</v>
      </c>
      <c r="N544">
        <v>2</v>
      </c>
      <c r="O544">
        <v>182</v>
      </c>
      <c r="P544">
        <v>299</v>
      </c>
      <c r="Q544">
        <v>0</v>
      </c>
      <c r="R544">
        <v>0</v>
      </c>
      <c r="S544">
        <v>598</v>
      </c>
      <c r="T544">
        <v>234</v>
      </c>
      <c r="U544">
        <v>39.130000000000003</v>
      </c>
      <c r="V544" t="s">
        <v>33</v>
      </c>
    </row>
    <row r="545" spans="1:22" x14ac:dyDescent="0.35">
      <c r="A545" t="s">
        <v>4969</v>
      </c>
      <c r="B545" t="s">
        <v>57</v>
      </c>
      <c r="C545" t="s">
        <v>27</v>
      </c>
      <c r="D545" t="s">
        <v>4968</v>
      </c>
      <c r="E545" t="s">
        <v>4967</v>
      </c>
      <c r="F545" s="5">
        <v>45654</v>
      </c>
      <c r="G545" t="s">
        <v>126</v>
      </c>
      <c r="H545" t="s">
        <v>4288</v>
      </c>
      <c r="I545" t="s">
        <v>23</v>
      </c>
      <c r="J545" t="s">
        <v>142</v>
      </c>
      <c r="K545" t="s">
        <v>43</v>
      </c>
      <c r="L545" t="s">
        <v>19</v>
      </c>
      <c r="M545" t="s">
        <v>19</v>
      </c>
      <c r="N545">
        <v>2</v>
      </c>
      <c r="O545">
        <v>2223</v>
      </c>
      <c r="P545">
        <v>3199</v>
      </c>
      <c r="Q545">
        <v>5</v>
      </c>
      <c r="R545">
        <v>400</v>
      </c>
      <c r="S545">
        <v>5998</v>
      </c>
      <c r="T545">
        <v>1552</v>
      </c>
      <c r="U545">
        <v>25.88</v>
      </c>
      <c r="V545" t="s">
        <v>33</v>
      </c>
    </row>
    <row r="546" spans="1:22" x14ac:dyDescent="0.35">
      <c r="A546" t="s">
        <v>4966</v>
      </c>
      <c r="B546" t="s">
        <v>71</v>
      </c>
      <c r="C546" t="s">
        <v>16</v>
      </c>
      <c r="D546" t="s">
        <v>4965</v>
      </c>
      <c r="E546" t="s">
        <v>4964</v>
      </c>
      <c r="F546" s="5">
        <v>45586</v>
      </c>
      <c r="G546" t="s">
        <v>126</v>
      </c>
      <c r="H546" t="s">
        <v>1537</v>
      </c>
      <c r="I546" t="s">
        <v>23</v>
      </c>
      <c r="J546" t="s">
        <v>164</v>
      </c>
      <c r="K546" t="s">
        <v>24</v>
      </c>
      <c r="L546" t="s">
        <v>19</v>
      </c>
      <c r="M546" t="s">
        <v>20</v>
      </c>
      <c r="N546">
        <v>4</v>
      </c>
      <c r="O546">
        <v>1002</v>
      </c>
      <c r="P546">
        <v>1399</v>
      </c>
      <c r="Q546">
        <v>10</v>
      </c>
      <c r="R546">
        <v>800</v>
      </c>
      <c r="S546">
        <v>4796</v>
      </c>
      <c r="T546">
        <v>788</v>
      </c>
      <c r="U546">
        <v>16.43</v>
      </c>
      <c r="V546" t="s">
        <v>21</v>
      </c>
    </row>
    <row r="547" spans="1:22" x14ac:dyDescent="0.35">
      <c r="A547" t="s">
        <v>4963</v>
      </c>
      <c r="B547" t="s">
        <v>62</v>
      </c>
      <c r="C547" t="s">
        <v>16</v>
      </c>
      <c r="D547" t="s">
        <v>4962</v>
      </c>
      <c r="E547" t="s">
        <v>4961</v>
      </c>
      <c r="F547" s="5">
        <v>45537</v>
      </c>
      <c r="G547" t="s">
        <v>126</v>
      </c>
      <c r="H547" t="s">
        <v>4960</v>
      </c>
      <c r="I547" t="s">
        <v>23</v>
      </c>
      <c r="J547" t="s">
        <v>142</v>
      </c>
      <c r="K547" t="s">
        <v>43</v>
      </c>
      <c r="L547" t="s">
        <v>25</v>
      </c>
      <c r="M547" t="s">
        <v>19</v>
      </c>
      <c r="N547">
        <v>2</v>
      </c>
      <c r="O547">
        <v>1329</v>
      </c>
      <c r="P547">
        <v>1999</v>
      </c>
      <c r="Q547">
        <v>5</v>
      </c>
      <c r="R547">
        <v>200</v>
      </c>
      <c r="S547">
        <v>3798</v>
      </c>
      <c r="T547">
        <v>1140</v>
      </c>
      <c r="U547">
        <v>30.02</v>
      </c>
      <c r="V547" t="s">
        <v>21</v>
      </c>
    </row>
    <row r="548" spans="1:22" x14ac:dyDescent="0.35">
      <c r="A548" t="s">
        <v>4959</v>
      </c>
      <c r="B548" t="s">
        <v>107</v>
      </c>
      <c r="C548" t="s">
        <v>27</v>
      </c>
      <c r="D548" t="s">
        <v>4958</v>
      </c>
      <c r="E548" t="s">
        <v>4957</v>
      </c>
      <c r="F548" s="5">
        <v>45485</v>
      </c>
      <c r="G548" t="s">
        <v>126</v>
      </c>
      <c r="H548" t="s">
        <v>1844</v>
      </c>
      <c r="I548" t="s">
        <v>17</v>
      </c>
      <c r="J548" t="s">
        <v>48</v>
      </c>
      <c r="K548" t="s">
        <v>48</v>
      </c>
      <c r="L548" t="s">
        <v>25</v>
      </c>
      <c r="M548" t="s">
        <v>19</v>
      </c>
      <c r="N548">
        <v>1</v>
      </c>
      <c r="O548">
        <v>294</v>
      </c>
      <c r="P548">
        <v>399</v>
      </c>
      <c r="Q548">
        <v>0</v>
      </c>
      <c r="R548">
        <v>0</v>
      </c>
      <c r="S548">
        <v>399</v>
      </c>
      <c r="T548">
        <v>105</v>
      </c>
      <c r="U548">
        <v>26.32</v>
      </c>
      <c r="V548" t="s">
        <v>21</v>
      </c>
    </row>
    <row r="549" spans="1:22" x14ac:dyDescent="0.35">
      <c r="A549" t="s">
        <v>4956</v>
      </c>
      <c r="B549" t="s">
        <v>62</v>
      </c>
      <c r="C549" t="s">
        <v>16</v>
      </c>
      <c r="D549" t="s">
        <v>4955</v>
      </c>
      <c r="E549" t="s">
        <v>4954</v>
      </c>
      <c r="F549" s="5">
        <v>45461</v>
      </c>
      <c r="G549" t="s">
        <v>126</v>
      </c>
      <c r="H549" t="s">
        <v>3553</v>
      </c>
      <c r="I549" t="s">
        <v>31</v>
      </c>
      <c r="J549" t="s">
        <v>32</v>
      </c>
      <c r="K549" t="s">
        <v>32</v>
      </c>
      <c r="L549" t="s">
        <v>25</v>
      </c>
      <c r="M549" t="s">
        <v>20</v>
      </c>
      <c r="N549">
        <v>5</v>
      </c>
      <c r="O549">
        <v>831</v>
      </c>
      <c r="P549">
        <v>1499</v>
      </c>
      <c r="Q549">
        <v>0</v>
      </c>
      <c r="R549">
        <v>0</v>
      </c>
      <c r="S549">
        <v>7495</v>
      </c>
      <c r="T549">
        <v>3340</v>
      </c>
      <c r="U549">
        <v>44.56</v>
      </c>
      <c r="V549" t="s">
        <v>21</v>
      </c>
    </row>
    <row r="550" spans="1:22" x14ac:dyDescent="0.35">
      <c r="A550" t="s">
        <v>4953</v>
      </c>
      <c r="B550" t="s">
        <v>75</v>
      </c>
      <c r="C550" t="s">
        <v>27</v>
      </c>
      <c r="D550" t="s">
        <v>4952</v>
      </c>
      <c r="E550" t="s">
        <v>4951</v>
      </c>
      <c r="F550" s="5">
        <v>45527</v>
      </c>
      <c r="G550" t="s">
        <v>126</v>
      </c>
      <c r="H550" t="s">
        <v>1359</v>
      </c>
      <c r="I550" t="s">
        <v>35</v>
      </c>
      <c r="J550" t="s">
        <v>39</v>
      </c>
      <c r="K550" t="s">
        <v>39</v>
      </c>
      <c r="L550" t="s">
        <v>19</v>
      </c>
      <c r="M550" t="s">
        <v>19</v>
      </c>
      <c r="N550">
        <v>1</v>
      </c>
      <c r="O550">
        <v>666</v>
      </c>
      <c r="P550">
        <v>1299</v>
      </c>
      <c r="Q550">
        <v>20</v>
      </c>
      <c r="R550">
        <v>300</v>
      </c>
      <c r="S550">
        <v>999</v>
      </c>
      <c r="T550">
        <v>333</v>
      </c>
      <c r="U550">
        <v>33.33</v>
      </c>
      <c r="V550" t="s">
        <v>21</v>
      </c>
    </row>
    <row r="551" spans="1:22" x14ac:dyDescent="0.35">
      <c r="A551" t="s">
        <v>4950</v>
      </c>
      <c r="B551" t="s">
        <v>95</v>
      </c>
      <c r="C551" t="s">
        <v>27</v>
      </c>
      <c r="D551" t="s">
        <v>4949</v>
      </c>
      <c r="E551" t="s">
        <v>4948</v>
      </c>
      <c r="F551" s="5">
        <v>45450</v>
      </c>
      <c r="G551" t="s">
        <v>126</v>
      </c>
      <c r="H551" t="s">
        <v>2464</v>
      </c>
      <c r="I551" t="s">
        <v>35</v>
      </c>
      <c r="J551" t="s">
        <v>39</v>
      </c>
      <c r="K551" t="s">
        <v>39</v>
      </c>
      <c r="L551" t="s">
        <v>25</v>
      </c>
      <c r="M551" t="s">
        <v>19</v>
      </c>
      <c r="N551">
        <v>4</v>
      </c>
      <c r="O551">
        <v>1105</v>
      </c>
      <c r="P551">
        <v>1499</v>
      </c>
      <c r="Q551">
        <v>10</v>
      </c>
      <c r="R551">
        <v>800</v>
      </c>
      <c r="S551">
        <v>5196</v>
      </c>
      <c r="T551">
        <v>776</v>
      </c>
      <c r="U551">
        <v>14.93</v>
      </c>
      <c r="V551" t="s">
        <v>33</v>
      </c>
    </row>
    <row r="552" spans="1:22" x14ac:dyDescent="0.35">
      <c r="A552" t="s">
        <v>4947</v>
      </c>
      <c r="B552" t="s">
        <v>104</v>
      </c>
      <c r="C552" t="s">
        <v>27</v>
      </c>
      <c r="D552" t="s">
        <v>4946</v>
      </c>
      <c r="E552" t="s">
        <v>4945</v>
      </c>
      <c r="F552" s="5">
        <v>45462</v>
      </c>
      <c r="G552" t="s">
        <v>126</v>
      </c>
      <c r="H552" t="s">
        <v>427</v>
      </c>
      <c r="I552" t="s">
        <v>17</v>
      </c>
      <c r="J552" t="s">
        <v>55</v>
      </c>
      <c r="K552" t="s">
        <v>55</v>
      </c>
      <c r="L552" t="s">
        <v>37</v>
      </c>
      <c r="M552" t="s">
        <v>20</v>
      </c>
      <c r="N552">
        <v>1</v>
      </c>
      <c r="O552">
        <v>503</v>
      </c>
      <c r="P552">
        <v>799</v>
      </c>
      <c r="Q552">
        <v>0</v>
      </c>
      <c r="R552">
        <v>0</v>
      </c>
      <c r="S552">
        <v>799</v>
      </c>
      <c r="T552">
        <v>296</v>
      </c>
      <c r="U552">
        <v>37.049999999999997</v>
      </c>
      <c r="V552" t="s">
        <v>21</v>
      </c>
    </row>
    <row r="553" spans="1:22" x14ac:dyDescent="0.35">
      <c r="A553" t="s">
        <v>4944</v>
      </c>
      <c r="B553" t="s">
        <v>67</v>
      </c>
      <c r="C553" t="s">
        <v>27</v>
      </c>
      <c r="D553" t="s">
        <v>4943</v>
      </c>
      <c r="E553" t="s">
        <v>4942</v>
      </c>
      <c r="F553" s="5">
        <v>45494</v>
      </c>
      <c r="G553" t="s">
        <v>126</v>
      </c>
      <c r="H553" t="s">
        <v>165</v>
      </c>
      <c r="I553" t="s">
        <v>28</v>
      </c>
      <c r="J553" t="s">
        <v>201</v>
      </c>
      <c r="K553" t="s">
        <v>29</v>
      </c>
      <c r="L553" t="s">
        <v>37</v>
      </c>
      <c r="M553" t="s">
        <v>20</v>
      </c>
      <c r="N553">
        <v>5</v>
      </c>
      <c r="O553">
        <v>391</v>
      </c>
      <c r="P553">
        <v>699</v>
      </c>
      <c r="Q553">
        <v>20</v>
      </c>
      <c r="R553">
        <v>1000</v>
      </c>
      <c r="S553">
        <v>2495</v>
      </c>
      <c r="T553">
        <v>540</v>
      </c>
      <c r="U553">
        <v>21.64</v>
      </c>
      <c r="V553" t="s">
        <v>21</v>
      </c>
    </row>
    <row r="554" spans="1:22" x14ac:dyDescent="0.35">
      <c r="A554" t="s">
        <v>4941</v>
      </c>
      <c r="B554" t="s">
        <v>98</v>
      </c>
      <c r="C554" t="s">
        <v>16</v>
      </c>
      <c r="D554" t="s">
        <v>4940</v>
      </c>
      <c r="E554" t="s">
        <v>4939</v>
      </c>
      <c r="F554" s="5">
        <v>45467</v>
      </c>
      <c r="G554" t="s">
        <v>126</v>
      </c>
      <c r="H554" t="s">
        <v>1073</v>
      </c>
      <c r="I554" t="s">
        <v>17</v>
      </c>
      <c r="J554" t="s">
        <v>48</v>
      </c>
      <c r="K554" t="s">
        <v>48</v>
      </c>
      <c r="L554" t="s">
        <v>37</v>
      </c>
      <c r="M554" t="s">
        <v>19</v>
      </c>
      <c r="N554">
        <v>1</v>
      </c>
      <c r="O554">
        <v>312</v>
      </c>
      <c r="P554">
        <v>499</v>
      </c>
      <c r="Q554">
        <v>0</v>
      </c>
      <c r="R554">
        <v>0</v>
      </c>
      <c r="S554">
        <v>499</v>
      </c>
      <c r="T554">
        <v>187</v>
      </c>
      <c r="U554">
        <v>37.47</v>
      </c>
      <c r="V554" t="s">
        <v>21</v>
      </c>
    </row>
    <row r="555" spans="1:22" x14ac:dyDescent="0.35">
      <c r="A555" t="s">
        <v>4938</v>
      </c>
      <c r="B555" t="s">
        <v>79</v>
      </c>
      <c r="C555" t="s">
        <v>16</v>
      </c>
      <c r="D555" t="s">
        <v>4937</v>
      </c>
      <c r="E555" t="s">
        <v>4936</v>
      </c>
      <c r="F555" s="5">
        <v>45614</v>
      </c>
      <c r="G555" t="s">
        <v>126</v>
      </c>
      <c r="H555" t="s">
        <v>4823</v>
      </c>
      <c r="I555" t="s">
        <v>23</v>
      </c>
      <c r="J555" t="s">
        <v>142</v>
      </c>
      <c r="K555" t="s">
        <v>43</v>
      </c>
      <c r="L555" t="s">
        <v>25</v>
      </c>
      <c r="M555" t="s">
        <v>20</v>
      </c>
      <c r="N555">
        <v>1</v>
      </c>
      <c r="O555">
        <v>2512</v>
      </c>
      <c r="P555">
        <v>3699</v>
      </c>
      <c r="Q555">
        <v>5</v>
      </c>
      <c r="R555">
        <v>200</v>
      </c>
      <c r="S555">
        <v>3499</v>
      </c>
      <c r="T555">
        <v>987</v>
      </c>
      <c r="U555">
        <v>28.21</v>
      </c>
      <c r="V555" t="s">
        <v>33</v>
      </c>
    </row>
    <row r="556" spans="1:22" x14ac:dyDescent="0.35">
      <c r="A556" t="s">
        <v>4935</v>
      </c>
      <c r="B556" t="s">
        <v>99</v>
      </c>
      <c r="C556" t="s">
        <v>27</v>
      </c>
      <c r="D556" t="s">
        <v>4934</v>
      </c>
      <c r="E556" t="s">
        <v>584</v>
      </c>
      <c r="F556" s="5">
        <v>45514</v>
      </c>
      <c r="G556" t="s">
        <v>126</v>
      </c>
      <c r="H556" t="s">
        <v>2018</v>
      </c>
      <c r="I556" t="s">
        <v>17</v>
      </c>
      <c r="J556" t="s">
        <v>235</v>
      </c>
      <c r="K556" t="s">
        <v>18</v>
      </c>
      <c r="L556" t="s">
        <v>25</v>
      </c>
      <c r="M556" t="s">
        <v>19</v>
      </c>
      <c r="N556">
        <v>2</v>
      </c>
      <c r="O556">
        <v>340</v>
      </c>
      <c r="P556">
        <v>499</v>
      </c>
      <c r="Q556">
        <v>0</v>
      </c>
      <c r="R556">
        <v>0</v>
      </c>
      <c r="S556">
        <v>998</v>
      </c>
      <c r="T556">
        <v>318</v>
      </c>
      <c r="U556">
        <v>31.86</v>
      </c>
      <c r="V556" t="s">
        <v>33</v>
      </c>
    </row>
    <row r="557" spans="1:22" x14ac:dyDescent="0.35">
      <c r="A557" t="s">
        <v>4933</v>
      </c>
      <c r="B557" t="s">
        <v>97</v>
      </c>
      <c r="C557" t="s">
        <v>16</v>
      </c>
      <c r="D557" t="s">
        <v>4932</v>
      </c>
      <c r="E557" t="s">
        <v>4931</v>
      </c>
      <c r="F557" s="5">
        <v>45509</v>
      </c>
      <c r="G557" t="s">
        <v>126</v>
      </c>
      <c r="H557" t="s">
        <v>3052</v>
      </c>
      <c r="I557" t="s">
        <v>28</v>
      </c>
      <c r="J557" t="s">
        <v>45</v>
      </c>
      <c r="K557" t="s">
        <v>45</v>
      </c>
      <c r="L557" t="s">
        <v>19</v>
      </c>
      <c r="M557" t="s">
        <v>20</v>
      </c>
      <c r="N557">
        <v>1</v>
      </c>
      <c r="O557">
        <v>664</v>
      </c>
      <c r="P557">
        <v>1299</v>
      </c>
      <c r="Q557">
        <v>20</v>
      </c>
      <c r="R557">
        <v>300</v>
      </c>
      <c r="S557">
        <v>999</v>
      </c>
      <c r="T557">
        <v>335</v>
      </c>
      <c r="U557">
        <v>33.53</v>
      </c>
      <c r="V557" t="s">
        <v>21</v>
      </c>
    </row>
    <row r="558" spans="1:22" x14ac:dyDescent="0.35">
      <c r="A558" t="s">
        <v>4930</v>
      </c>
      <c r="B558" t="s">
        <v>61</v>
      </c>
      <c r="C558" t="s">
        <v>27</v>
      </c>
      <c r="D558" t="s">
        <v>4929</v>
      </c>
      <c r="E558" t="s">
        <v>4928</v>
      </c>
      <c r="F558" s="5">
        <v>45526</v>
      </c>
      <c r="G558" t="s">
        <v>126</v>
      </c>
      <c r="H558" t="s">
        <v>3979</v>
      </c>
      <c r="I558" t="s">
        <v>35</v>
      </c>
      <c r="J558" t="s">
        <v>214</v>
      </c>
      <c r="K558" t="s">
        <v>87</v>
      </c>
      <c r="L558" t="s">
        <v>37</v>
      </c>
      <c r="M558" t="s">
        <v>20</v>
      </c>
      <c r="N558">
        <v>1</v>
      </c>
      <c r="O558">
        <v>1619</v>
      </c>
      <c r="P558">
        <v>2199</v>
      </c>
      <c r="Q558">
        <v>5</v>
      </c>
      <c r="R558">
        <v>200</v>
      </c>
      <c r="S558">
        <v>1999</v>
      </c>
      <c r="T558">
        <v>380</v>
      </c>
      <c r="U558">
        <v>19.010000000000002</v>
      </c>
      <c r="V558" t="s">
        <v>21</v>
      </c>
    </row>
    <row r="559" spans="1:22" x14ac:dyDescent="0.35">
      <c r="A559" t="s">
        <v>4927</v>
      </c>
      <c r="B559" t="s">
        <v>38</v>
      </c>
      <c r="C559" t="s">
        <v>27</v>
      </c>
      <c r="D559" t="s">
        <v>4926</v>
      </c>
      <c r="E559" t="s">
        <v>4925</v>
      </c>
      <c r="F559" s="5">
        <v>45474</v>
      </c>
      <c r="G559" t="s">
        <v>126</v>
      </c>
      <c r="H559" t="s">
        <v>4924</v>
      </c>
      <c r="I559" t="s">
        <v>31</v>
      </c>
      <c r="J559" t="s">
        <v>76</v>
      </c>
      <c r="K559" t="s">
        <v>76</v>
      </c>
      <c r="L559" t="s">
        <v>37</v>
      </c>
      <c r="M559" t="s">
        <v>19</v>
      </c>
      <c r="N559">
        <v>1</v>
      </c>
      <c r="O559">
        <v>513</v>
      </c>
      <c r="P559">
        <v>699</v>
      </c>
      <c r="Q559">
        <v>0</v>
      </c>
      <c r="R559">
        <v>0</v>
      </c>
      <c r="S559">
        <v>699</v>
      </c>
      <c r="T559">
        <v>186</v>
      </c>
      <c r="U559">
        <v>26.61</v>
      </c>
      <c r="V559" t="s">
        <v>21</v>
      </c>
    </row>
    <row r="560" spans="1:22" x14ac:dyDescent="0.35">
      <c r="A560" t="s">
        <v>4923</v>
      </c>
      <c r="B560" t="s">
        <v>70</v>
      </c>
      <c r="C560" t="s">
        <v>27</v>
      </c>
      <c r="D560" t="s">
        <v>4922</v>
      </c>
      <c r="E560" t="s">
        <v>4921</v>
      </c>
      <c r="F560" s="5">
        <v>45586</v>
      </c>
      <c r="G560" t="s">
        <v>126</v>
      </c>
      <c r="H560" t="s">
        <v>3824</v>
      </c>
      <c r="I560" t="s">
        <v>35</v>
      </c>
      <c r="J560" t="s">
        <v>214</v>
      </c>
      <c r="K560" t="s">
        <v>50</v>
      </c>
      <c r="L560" t="s">
        <v>37</v>
      </c>
      <c r="M560" t="s">
        <v>20</v>
      </c>
      <c r="N560">
        <v>2</v>
      </c>
      <c r="O560">
        <v>571</v>
      </c>
      <c r="P560">
        <v>899</v>
      </c>
      <c r="Q560">
        <v>10</v>
      </c>
      <c r="R560">
        <v>200</v>
      </c>
      <c r="S560">
        <v>1598</v>
      </c>
      <c r="T560">
        <v>456</v>
      </c>
      <c r="U560">
        <v>28.54</v>
      </c>
      <c r="V560" t="s">
        <v>21</v>
      </c>
    </row>
    <row r="561" spans="1:22" x14ac:dyDescent="0.35">
      <c r="A561" t="s">
        <v>4920</v>
      </c>
      <c r="B561" t="s">
        <v>82</v>
      </c>
      <c r="C561" t="s">
        <v>27</v>
      </c>
      <c r="D561" t="s">
        <v>4919</v>
      </c>
      <c r="E561" t="s">
        <v>4918</v>
      </c>
      <c r="F561" s="5">
        <v>45589</v>
      </c>
      <c r="G561" t="s">
        <v>126</v>
      </c>
      <c r="H561" t="s">
        <v>591</v>
      </c>
      <c r="I561" t="s">
        <v>31</v>
      </c>
      <c r="J561" t="s">
        <v>76</v>
      </c>
      <c r="K561" t="s">
        <v>76</v>
      </c>
      <c r="L561" t="s">
        <v>37</v>
      </c>
      <c r="M561" t="s">
        <v>20</v>
      </c>
      <c r="N561">
        <v>1</v>
      </c>
      <c r="O561">
        <v>709</v>
      </c>
      <c r="P561">
        <v>999</v>
      </c>
      <c r="Q561">
        <v>0</v>
      </c>
      <c r="R561">
        <v>0</v>
      </c>
      <c r="S561">
        <v>999</v>
      </c>
      <c r="T561">
        <v>290</v>
      </c>
      <c r="U561">
        <v>29.03</v>
      </c>
      <c r="V561" t="s">
        <v>21</v>
      </c>
    </row>
    <row r="562" spans="1:22" x14ac:dyDescent="0.35">
      <c r="A562" t="s">
        <v>4917</v>
      </c>
      <c r="B562" t="s">
        <v>34</v>
      </c>
      <c r="C562" t="s">
        <v>27</v>
      </c>
      <c r="D562" t="s">
        <v>4916</v>
      </c>
      <c r="E562" t="s">
        <v>4915</v>
      </c>
      <c r="F562" s="5">
        <v>45571</v>
      </c>
      <c r="G562" t="s">
        <v>126</v>
      </c>
      <c r="H562" t="s">
        <v>2390</v>
      </c>
      <c r="I562" t="s">
        <v>28</v>
      </c>
      <c r="J562" t="s">
        <v>45</v>
      </c>
      <c r="K562" t="s">
        <v>45</v>
      </c>
      <c r="L562" t="s">
        <v>19</v>
      </c>
      <c r="M562" t="s">
        <v>20</v>
      </c>
      <c r="N562">
        <v>1</v>
      </c>
      <c r="O562">
        <v>780</v>
      </c>
      <c r="P562">
        <v>1199</v>
      </c>
      <c r="Q562">
        <v>15</v>
      </c>
      <c r="R562">
        <v>200</v>
      </c>
      <c r="S562">
        <v>999</v>
      </c>
      <c r="T562">
        <v>219</v>
      </c>
      <c r="U562">
        <v>21.92</v>
      </c>
      <c r="V562" t="s">
        <v>21</v>
      </c>
    </row>
    <row r="563" spans="1:22" x14ac:dyDescent="0.35">
      <c r="A563" t="s">
        <v>4914</v>
      </c>
      <c r="B563" t="s">
        <v>62</v>
      </c>
      <c r="C563" t="s">
        <v>16</v>
      </c>
      <c r="D563" t="s">
        <v>4913</v>
      </c>
      <c r="E563" t="s">
        <v>4912</v>
      </c>
      <c r="F563" s="5">
        <v>45586</v>
      </c>
      <c r="G563" t="s">
        <v>126</v>
      </c>
      <c r="H563" t="s">
        <v>2973</v>
      </c>
      <c r="I563" t="s">
        <v>28</v>
      </c>
      <c r="J563" t="s">
        <v>45</v>
      </c>
      <c r="K563" t="s">
        <v>45</v>
      </c>
      <c r="L563" t="s">
        <v>37</v>
      </c>
      <c r="M563" t="s">
        <v>20</v>
      </c>
      <c r="N563">
        <v>2</v>
      </c>
      <c r="O563">
        <v>1201</v>
      </c>
      <c r="P563">
        <v>1799</v>
      </c>
      <c r="Q563">
        <v>15</v>
      </c>
      <c r="R563">
        <v>600</v>
      </c>
      <c r="S563">
        <v>2998</v>
      </c>
      <c r="T563">
        <v>596</v>
      </c>
      <c r="U563">
        <v>19.88</v>
      </c>
      <c r="V563" t="s">
        <v>21</v>
      </c>
    </row>
    <row r="564" spans="1:22" x14ac:dyDescent="0.35">
      <c r="A564" t="s">
        <v>4911</v>
      </c>
      <c r="B564" t="s">
        <v>86</v>
      </c>
      <c r="C564" t="s">
        <v>27</v>
      </c>
      <c r="D564" t="s">
        <v>4910</v>
      </c>
      <c r="E564" t="s">
        <v>4909</v>
      </c>
      <c r="F564" s="5">
        <v>45525</v>
      </c>
      <c r="G564" t="s">
        <v>126</v>
      </c>
      <c r="H564" t="s">
        <v>4908</v>
      </c>
      <c r="I564" t="s">
        <v>35</v>
      </c>
      <c r="J564" t="s">
        <v>214</v>
      </c>
      <c r="K564" t="s">
        <v>50</v>
      </c>
      <c r="L564" t="s">
        <v>37</v>
      </c>
      <c r="M564" t="s">
        <v>20</v>
      </c>
      <c r="N564">
        <v>2</v>
      </c>
      <c r="O564">
        <v>1108</v>
      </c>
      <c r="P564">
        <v>1899</v>
      </c>
      <c r="Q564">
        <v>20</v>
      </c>
      <c r="R564">
        <v>800</v>
      </c>
      <c r="S564">
        <v>2998</v>
      </c>
      <c r="T564">
        <v>782</v>
      </c>
      <c r="U564">
        <v>26.08</v>
      </c>
      <c r="V564" t="s">
        <v>21</v>
      </c>
    </row>
    <row r="565" spans="1:22" x14ac:dyDescent="0.35">
      <c r="A565" t="s">
        <v>4907</v>
      </c>
      <c r="B565" t="s">
        <v>52</v>
      </c>
      <c r="C565" t="s">
        <v>27</v>
      </c>
      <c r="D565" t="s">
        <v>4906</v>
      </c>
      <c r="E565" t="s">
        <v>4905</v>
      </c>
      <c r="F565" s="5">
        <v>45574</v>
      </c>
      <c r="G565" t="s">
        <v>126</v>
      </c>
      <c r="H565" t="s">
        <v>532</v>
      </c>
      <c r="I565" t="s">
        <v>28</v>
      </c>
      <c r="J565" t="s">
        <v>201</v>
      </c>
      <c r="K565" t="s">
        <v>29</v>
      </c>
      <c r="L565" t="s">
        <v>25</v>
      </c>
      <c r="M565" t="s">
        <v>19</v>
      </c>
      <c r="N565">
        <v>3</v>
      </c>
      <c r="O565">
        <v>521</v>
      </c>
      <c r="P565">
        <v>699</v>
      </c>
      <c r="Q565">
        <v>5</v>
      </c>
      <c r="R565">
        <v>300</v>
      </c>
      <c r="S565">
        <v>1797</v>
      </c>
      <c r="T565">
        <v>234</v>
      </c>
      <c r="U565">
        <v>13.02</v>
      </c>
      <c r="V565" t="s">
        <v>21</v>
      </c>
    </row>
    <row r="566" spans="1:22" x14ac:dyDescent="0.35">
      <c r="A566" t="s">
        <v>4904</v>
      </c>
      <c r="B566" t="s">
        <v>108</v>
      </c>
      <c r="C566" t="s">
        <v>27</v>
      </c>
      <c r="D566" t="s">
        <v>4903</v>
      </c>
      <c r="E566" t="s">
        <v>4902</v>
      </c>
      <c r="F566" s="5">
        <v>45593</v>
      </c>
      <c r="G566" t="s">
        <v>126</v>
      </c>
      <c r="H566" t="s">
        <v>2898</v>
      </c>
      <c r="I566" t="s">
        <v>28</v>
      </c>
      <c r="J566" t="s">
        <v>45</v>
      </c>
      <c r="K566" t="s">
        <v>45</v>
      </c>
      <c r="L566" t="s">
        <v>19</v>
      </c>
      <c r="M566" t="s">
        <v>19</v>
      </c>
      <c r="N566">
        <v>1</v>
      </c>
      <c r="O566">
        <v>1616</v>
      </c>
      <c r="P566">
        <v>2199</v>
      </c>
      <c r="Q566">
        <v>15</v>
      </c>
      <c r="R566">
        <v>400</v>
      </c>
      <c r="S566">
        <v>1799</v>
      </c>
      <c r="T566">
        <v>183</v>
      </c>
      <c r="U566">
        <v>10.17</v>
      </c>
      <c r="V566" t="s">
        <v>33</v>
      </c>
    </row>
    <row r="567" spans="1:22" x14ac:dyDescent="0.35">
      <c r="A567" t="s">
        <v>4901</v>
      </c>
      <c r="B567" t="s">
        <v>46</v>
      </c>
      <c r="C567" t="s">
        <v>16</v>
      </c>
      <c r="D567" t="s">
        <v>4900</v>
      </c>
      <c r="E567" t="s">
        <v>4899</v>
      </c>
      <c r="F567" s="5">
        <v>45600</v>
      </c>
      <c r="G567" t="s">
        <v>126</v>
      </c>
      <c r="H567" t="s">
        <v>3505</v>
      </c>
      <c r="I567" t="s">
        <v>23</v>
      </c>
      <c r="J567" t="s">
        <v>142</v>
      </c>
      <c r="K567" t="s">
        <v>43</v>
      </c>
      <c r="L567" t="s">
        <v>19</v>
      </c>
      <c r="M567" t="s">
        <v>20</v>
      </c>
      <c r="N567">
        <v>1</v>
      </c>
      <c r="O567">
        <v>1614</v>
      </c>
      <c r="P567">
        <v>2599</v>
      </c>
      <c r="Q567">
        <v>15</v>
      </c>
      <c r="R567">
        <v>400</v>
      </c>
      <c r="S567">
        <v>2199</v>
      </c>
      <c r="T567">
        <v>585</v>
      </c>
      <c r="U567">
        <v>26.6</v>
      </c>
      <c r="V567" t="s">
        <v>21</v>
      </c>
    </row>
    <row r="568" spans="1:22" x14ac:dyDescent="0.35">
      <c r="A568" t="s">
        <v>4898</v>
      </c>
      <c r="B568" t="s">
        <v>60</v>
      </c>
      <c r="C568" t="s">
        <v>27</v>
      </c>
      <c r="D568" t="s">
        <v>4897</v>
      </c>
      <c r="E568" t="s">
        <v>4896</v>
      </c>
      <c r="F568" s="5">
        <v>45552</v>
      </c>
      <c r="G568" t="s">
        <v>126</v>
      </c>
      <c r="H568" t="s">
        <v>2997</v>
      </c>
      <c r="I568" t="s">
        <v>28</v>
      </c>
      <c r="J568" t="s">
        <v>45</v>
      </c>
      <c r="K568" t="s">
        <v>45</v>
      </c>
      <c r="L568" t="s">
        <v>19</v>
      </c>
      <c r="M568" t="s">
        <v>20</v>
      </c>
      <c r="N568">
        <v>3</v>
      </c>
      <c r="O568">
        <v>602</v>
      </c>
      <c r="P568">
        <v>1099</v>
      </c>
      <c r="Q568">
        <v>5</v>
      </c>
      <c r="R568">
        <v>300</v>
      </c>
      <c r="S568">
        <v>2997</v>
      </c>
      <c r="T568">
        <v>1191</v>
      </c>
      <c r="U568">
        <v>39.74</v>
      </c>
      <c r="V568" t="s">
        <v>21</v>
      </c>
    </row>
    <row r="569" spans="1:22" x14ac:dyDescent="0.35">
      <c r="A569" t="s">
        <v>4895</v>
      </c>
      <c r="B569" t="s">
        <v>101</v>
      </c>
      <c r="C569" t="s">
        <v>16</v>
      </c>
      <c r="D569" t="s">
        <v>4894</v>
      </c>
      <c r="E569" t="s">
        <v>4893</v>
      </c>
      <c r="F569" s="5">
        <v>45511</v>
      </c>
      <c r="G569" t="s">
        <v>126</v>
      </c>
      <c r="H569" t="s">
        <v>3353</v>
      </c>
      <c r="I569" t="s">
        <v>17</v>
      </c>
      <c r="J569" t="s">
        <v>253</v>
      </c>
      <c r="K569" t="s">
        <v>72</v>
      </c>
      <c r="L569" t="s">
        <v>37</v>
      </c>
      <c r="M569" t="s">
        <v>19</v>
      </c>
      <c r="N569">
        <v>3</v>
      </c>
      <c r="O569">
        <v>252</v>
      </c>
      <c r="P569">
        <v>399</v>
      </c>
      <c r="Q569">
        <v>0</v>
      </c>
      <c r="R569">
        <v>0</v>
      </c>
      <c r="S569">
        <v>1197</v>
      </c>
      <c r="T569">
        <v>441</v>
      </c>
      <c r="U569">
        <v>36.840000000000003</v>
      </c>
      <c r="V569" t="s">
        <v>21</v>
      </c>
    </row>
    <row r="570" spans="1:22" x14ac:dyDescent="0.35">
      <c r="A570" t="s">
        <v>4892</v>
      </c>
      <c r="B570" t="s">
        <v>94</v>
      </c>
      <c r="C570" t="s">
        <v>16</v>
      </c>
      <c r="D570" t="s">
        <v>4891</v>
      </c>
      <c r="E570" t="s">
        <v>4890</v>
      </c>
      <c r="F570" s="5">
        <v>45534</v>
      </c>
      <c r="G570" t="s">
        <v>126</v>
      </c>
      <c r="H570" t="s">
        <v>1304</v>
      </c>
      <c r="I570" t="s">
        <v>31</v>
      </c>
      <c r="J570" t="s">
        <v>32</v>
      </c>
      <c r="K570" t="s">
        <v>32</v>
      </c>
      <c r="L570" t="s">
        <v>19</v>
      </c>
      <c r="M570" t="s">
        <v>20</v>
      </c>
      <c r="N570">
        <v>5</v>
      </c>
      <c r="O570">
        <v>584</v>
      </c>
      <c r="P570">
        <v>999</v>
      </c>
      <c r="Q570">
        <v>0</v>
      </c>
      <c r="R570">
        <v>0</v>
      </c>
      <c r="S570">
        <v>4995</v>
      </c>
      <c r="T570">
        <v>2075</v>
      </c>
      <c r="U570">
        <v>41.54</v>
      </c>
      <c r="V570" t="s">
        <v>33</v>
      </c>
    </row>
    <row r="571" spans="1:22" x14ac:dyDescent="0.35">
      <c r="A571" t="s">
        <v>4889</v>
      </c>
      <c r="B571" t="s">
        <v>92</v>
      </c>
      <c r="C571" t="s">
        <v>27</v>
      </c>
      <c r="D571" t="s">
        <v>4888</v>
      </c>
      <c r="E571" t="s">
        <v>4887</v>
      </c>
      <c r="F571" s="5">
        <v>45605</v>
      </c>
      <c r="G571" t="s">
        <v>126</v>
      </c>
      <c r="H571" t="s">
        <v>3820</v>
      </c>
      <c r="I571" t="s">
        <v>17</v>
      </c>
      <c r="J571" t="s">
        <v>48</v>
      </c>
      <c r="K571" t="s">
        <v>48</v>
      </c>
      <c r="L571" t="s">
        <v>25</v>
      </c>
      <c r="M571" t="s">
        <v>20</v>
      </c>
      <c r="N571">
        <v>3</v>
      </c>
      <c r="O571">
        <v>258</v>
      </c>
      <c r="P571">
        <v>499</v>
      </c>
      <c r="Q571">
        <v>0</v>
      </c>
      <c r="R571">
        <v>0</v>
      </c>
      <c r="S571">
        <v>1497</v>
      </c>
      <c r="T571">
        <v>723</v>
      </c>
      <c r="U571">
        <v>48.3</v>
      </c>
      <c r="V571" t="s">
        <v>21</v>
      </c>
    </row>
    <row r="572" spans="1:22" x14ac:dyDescent="0.35">
      <c r="A572" t="s">
        <v>4886</v>
      </c>
      <c r="B572" t="s">
        <v>15</v>
      </c>
      <c r="C572" t="s">
        <v>16</v>
      </c>
      <c r="D572" t="s">
        <v>4885</v>
      </c>
      <c r="E572" t="s">
        <v>4884</v>
      </c>
      <c r="F572" s="5">
        <v>45549</v>
      </c>
      <c r="G572" t="s">
        <v>126</v>
      </c>
      <c r="H572" t="s">
        <v>2723</v>
      </c>
      <c r="I572" t="s">
        <v>31</v>
      </c>
      <c r="J572" t="s">
        <v>32</v>
      </c>
      <c r="K572" t="s">
        <v>32</v>
      </c>
      <c r="L572" t="s">
        <v>25</v>
      </c>
      <c r="M572" t="s">
        <v>20</v>
      </c>
      <c r="N572">
        <v>4</v>
      </c>
      <c r="O572">
        <v>828</v>
      </c>
      <c r="P572">
        <v>1199</v>
      </c>
      <c r="Q572">
        <v>0</v>
      </c>
      <c r="R572">
        <v>0</v>
      </c>
      <c r="S572">
        <v>4796</v>
      </c>
      <c r="T572">
        <v>1484</v>
      </c>
      <c r="U572">
        <v>30.94</v>
      </c>
      <c r="V572" t="s">
        <v>21</v>
      </c>
    </row>
    <row r="573" spans="1:22" x14ac:dyDescent="0.35">
      <c r="A573" t="s">
        <v>4883</v>
      </c>
      <c r="B573" t="s">
        <v>70</v>
      </c>
      <c r="C573" t="s">
        <v>27</v>
      </c>
      <c r="D573" t="s">
        <v>4882</v>
      </c>
      <c r="E573" t="s">
        <v>4881</v>
      </c>
      <c r="F573" s="5">
        <v>45641</v>
      </c>
      <c r="G573" t="s">
        <v>126</v>
      </c>
      <c r="H573" t="s">
        <v>3900</v>
      </c>
      <c r="I573" t="s">
        <v>28</v>
      </c>
      <c r="J573" t="s">
        <v>45</v>
      </c>
      <c r="K573" t="s">
        <v>45</v>
      </c>
      <c r="L573" t="s">
        <v>25</v>
      </c>
      <c r="M573" t="s">
        <v>19</v>
      </c>
      <c r="N573">
        <v>1</v>
      </c>
      <c r="O573">
        <v>1087</v>
      </c>
      <c r="P573">
        <v>1599</v>
      </c>
      <c r="Q573">
        <v>5</v>
      </c>
      <c r="R573">
        <v>100</v>
      </c>
      <c r="S573">
        <v>1499</v>
      </c>
      <c r="T573">
        <v>412</v>
      </c>
      <c r="U573">
        <v>27.48</v>
      </c>
      <c r="V573" t="s">
        <v>21</v>
      </c>
    </row>
    <row r="574" spans="1:22" x14ac:dyDescent="0.35">
      <c r="A574" t="s">
        <v>4880</v>
      </c>
      <c r="B574" t="s">
        <v>89</v>
      </c>
      <c r="C574" t="s">
        <v>16</v>
      </c>
      <c r="D574" t="s">
        <v>4879</v>
      </c>
      <c r="E574" t="s">
        <v>4878</v>
      </c>
      <c r="F574" s="5">
        <v>45496</v>
      </c>
      <c r="G574" t="s">
        <v>126</v>
      </c>
      <c r="H574" t="s">
        <v>4877</v>
      </c>
      <c r="I574" t="s">
        <v>31</v>
      </c>
      <c r="J574" t="s">
        <v>76</v>
      </c>
      <c r="K574" t="s">
        <v>76</v>
      </c>
      <c r="L574" t="s">
        <v>37</v>
      </c>
      <c r="M574" t="s">
        <v>20</v>
      </c>
      <c r="N574">
        <v>2</v>
      </c>
      <c r="O574">
        <v>555</v>
      </c>
      <c r="P574">
        <v>799</v>
      </c>
      <c r="Q574">
        <v>0</v>
      </c>
      <c r="R574">
        <v>0</v>
      </c>
      <c r="S574">
        <v>1598</v>
      </c>
      <c r="T574">
        <v>488</v>
      </c>
      <c r="U574">
        <v>30.54</v>
      </c>
      <c r="V574" t="s">
        <v>33</v>
      </c>
    </row>
    <row r="575" spans="1:22" x14ac:dyDescent="0.35">
      <c r="A575" t="s">
        <v>4876</v>
      </c>
      <c r="B575" t="s">
        <v>103</v>
      </c>
      <c r="C575" t="s">
        <v>16</v>
      </c>
      <c r="D575" t="s">
        <v>4875</v>
      </c>
      <c r="E575" t="s">
        <v>2839</v>
      </c>
      <c r="F575" s="5">
        <v>45466</v>
      </c>
      <c r="G575" t="s">
        <v>126</v>
      </c>
      <c r="H575" t="s">
        <v>1105</v>
      </c>
      <c r="I575" t="s">
        <v>35</v>
      </c>
      <c r="J575" t="s">
        <v>39</v>
      </c>
      <c r="K575" t="s">
        <v>39</v>
      </c>
      <c r="L575" t="s">
        <v>19</v>
      </c>
      <c r="M575" t="s">
        <v>19</v>
      </c>
      <c r="N575">
        <v>1</v>
      </c>
      <c r="O575">
        <v>425</v>
      </c>
      <c r="P575">
        <v>799</v>
      </c>
      <c r="Q575">
        <v>5</v>
      </c>
      <c r="R575">
        <v>100</v>
      </c>
      <c r="S575">
        <v>699</v>
      </c>
      <c r="T575">
        <v>274</v>
      </c>
      <c r="U575">
        <v>39.200000000000003</v>
      </c>
      <c r="V575" t="s">
        <v>21</v>
      </c>
    </row>
    <row r="576" spans="1:22" x14ac:dyDescent="0.35">
      <c r="A576" t="s">
        <v>4874</v>
      </c>
      <c r="B576" t="s">
        <v>90</v>
      </c>
      <c r="C576" t="s">
        <v>27</v>
      </c>
      <c r="D576" t="s">
        <v>4873</v>
      </c>
      <c r="E576" t="s">
        <v>4872</v>
      </c>
      <c r="F576" s="5">
        <v>45480</v>
      </c>
      <c r="G576" t="s">
        <v>126</v>
      </c>
      <c r="H576" t="s">
        <v>2212</v>
      </c>
      <c r="I576" t="s">
        <v>31</v>
      </c>
      <c r="J576" t="s">
        <v>76</v>
      </c>
      <c r="K576" t="s">
        <v>76</v>
      </c>
      <c r="L576" t="s">
        <v>37</v>
      </c>
      <c r="M576" t="s">
        <v>19</v>
      </c>
      <c r="N576">
        <v>1</v>
      </c>
      <c r="O576">
        <v>513</v>
      </c>
      <c r="P576">
        <v>799</v>
      </c>
      <c r="Q576">
        <v>0</v>
      </c>
      <c r="R576">
        <v>0</v>
      </c>
      <c r="S576">
        <v>799</v>
      </c>
      <c r="T576">
        <v>286</v>
      </c>
      <c r="U576">
        <v>35.79</v>
      </c>
      <c r="V576" t="s">
        <v>21</v>
      </c>
    </row>
    <row r="577" spans="1:22" x14ac:dyDescent="0.35">
      <c r="A577" t="s">
        <v>4871</v>
      </c>
      <c r="B577" t="s">
        <v>105</v>
      </c>
      <c r="C577" t="s">
        <v>16</v>
      </c>
      <c r="D577" t="s">
        <v>4870</v>
      </c>
      <c r="E577" t="s">
        <v>4869</v>
      </c>
      <c r="F577" s="5">
        <v>45452</v>
      </c>
      <c r="G577" t="s">
        <v>126</v>
      </c>
      <c r="H577" t="s">
        <v>2500</v>
      </c>
      <c r="I577" t="s">
        <v>17</v>
      </c>
      <c r="J577" t="s">
        <v>48</v>
      </c>
      <c r="K577" t="s">
        <v>48</v>
      </c>
      <c r="L577" t="s">
        <v>19</v>
      </c>
      <c r="M577" t="s">
        <v>19</v>
      </c>
      <c r="N577">
        <v>4</v>
      </c>
      <c r="O577">
        <v>189</v>
      </c>
      <c r="P577">
        <v>299</v>
      </c>
      <c r="Q577">
        <v>0</v>
      </c>
      <c r="R577">
        <v>0</v>
      </c>
      <c r="S577">
        <v>1196</v>
      </c>
      <c r="T577">
        <v>440</v>
      </c>
      <c r="U577">
        <v>36.79</v>
      </c>
      <c r="V577" t="s">
        <v>21</v>
      </c>
    </row>
    <row r="578" spans="1:22" x14ac:dyDescent="0.35">
      <c r="A578" t="s">
        <v>4868</v>
      </c>
      <c r="B578" t="s">
        <v>42</v>
      </c>
      <c r="C578" t="s">
        <v>27</v>
      </c>
      <c r="D578" t="s">
        <v>4867</v>
      </c>
      <c r="E578" t="s">
        <v>3589</v>
      </c>
      <c r="F578" s="5">
        <v>45651</v>
      </c>
      <c r="G578" t="s">
        <v>126</v>
      </c>
      <c r="H578" t="s">
        <v>2490</v>
      </c>
      <c r="I578" t="s">
        <v>28</v>
      </c>
      <c r="J578" t="s">
        <v>45</v>
      </c>
      <c r="K578" t="s">
        <v>45</v>
      </c>
      <c r="L578" t="s">
        <v>25</v>
      </c>
      <c r="M578" t="s">
        <v>20</v>
      </c>
      <c r="N578">
        <v>2</v>
      </c>
      <c r="O578">
        <v>700</v>
      </c>
      <c r="P578">
        <v>1199</v>
      </c>
      <c r="Q578">
        <v>15</v>
      </c>
      <c r="R578">
        <v>400</v>
      </c>
      <c r="S578">
        <v>1998</v>
      </c>
      <c r="T578">
        <v>598</v>
      </c>
      <c r="U578">
        <v>29.93</v>
      </c>
      <c r="V578" t="s">
        <v>21</v>
      </c>
    </row>
    <row r="579" spans="1:22" x14ac:dyDescent="0.35">
      <c r="A579" t="s">
        <v>4866</v>
      </c>
      <c r="B579" t="s">
        <v>101</v>
      </c>
      <c r="C579" t="s">
        <v>16</v>
      </c>
      <c r="D579" t="s">
        <v>4865</v>
      </c>
      <c r="E579" t="s">
        <v>4864</v>
      </c>
      <c r="F579" s="5">
        <v>45627</v>
      </c>
      <c r="G579" t="s">
        <v>126</v>
      </c>
      <c r="H579" t="s">
        <v>913</v>
      </c>
      <c r="I579" t="s">
        <v>35</v>
      </c>
      <c r="J579" t="s">
        <v>244</v>
      </c>
      <c r="K579" t="s">
        <v>58</v>
      </c>
      <c r="L579" t="s">
        <v>25</v>
      </c>
      <c r="M579" t="s">
        <v>19</v>
      </c>
      <c r="N579">
        <v>1</v>
      </c>
      <c r="O579">
        <v>556</v>
      </c>
      <c r="P579">
        <v>1099</v>
      </c>
      <c r="Q579">
        <v>5</v>
      </c>
      <c r="R579">
        <v>100</v>
      </c>
      <c r="S579">
        <v>999</v>
      </c>
      <c r="T579">
        <v>443</v>
      </c>
      <c r="U579">
        <v>44.34</v>
      </c>
      <c r="V579" t="s">
        <v>33</v>
      </c>
    </row>
    <row r="580" spans="1:22" x14ac:dyDescent="0.35">
      <c r="A580" t="s">
        <v>4863</v>
      </c>
      <c r="B580" t="s">
        <v>103</v>
      </c>
      <c r="C580" t="s">
        <v>16</v>
      </c>
      <c r="D580" t="s">
        <v>4862</v>
      </c>
      <c r="E580" t="s">
        <v>4861</v>
      </c>
      <c r="F580" s="5">
        <v>45512</v>
      </c>
      <c r="G580" t="s">
        <v>126</v>
      </c>
      <c r="H580" t="s">
        <v>4384</v>
      </c>
      <c r="I580" t="s">
        <v>23</v>
      </c>
      <c r="J580" t="s">
        <v>142</v>
      </c>
      <c r="K580" t="s">
        <v>43</v>
      </c>
      <c r="L580" t="s">
        <v>25</v>
      </c>
      <c r="M580" t="s">
        <v>20</v>
      </c>
      <c r="N580">
        <v>2</v>
      </c>
      <c r="O580">
        <v>1958</v>
      </c>
      <c r="P580">
        <v>2799</v>
      </c>
      <c r="Q580">
        <v>20</v>
      </c>
      <c r="R580">
        <v>1200</v>
      </c>
      <c r="S580">
        <v>4398</v>
      </c>
      <c r="T580">
        <v>482</v>
      </c>
      <c r="U580">
        <v>10.96</v>
      </c>
      <c r="V580" t="s">
        <v>21</v>
      </c>
    </row>
    <row r="581" spans="1:22" x14ac:dyDescent="0.35">
      <c r="A581" t="s">
        <v>4860</v>
      </c>
      <c r="B581" t="s">
        <v>89</v>
      </c>
      <c r="C581" t="s">
        <v>16</v>
      </c>
      <c r="D581" t="s">
        <v>4859</v>
      </c>
      <c r="E581" t="s">
        <v>596</v>
      </c>
      <c r="F581" s="5">
        <v>45458</v>
      </c>
      <c r="G581" t="s">
        <v>126</v>
      </c>
      <c r="H581" t="s">
        <v>830</v>
      </c>
      <c r="I581" t="s">
        <v>28</v>
      </c>
      <c r="J581" t="s">
        <v>45</v>
      </c>
      <c r="K581" t="s">
        <v>45</v>
      </c>
      <c r="L581" t="s">
        <v>19</v>
      </c>
      <c r="M581" t="s">
        <v>19</v>
      </c>
      <c r="N581">
        <v>2</v>
      </c>
      <c r="O581">
        <v>520</v>
      </c>
      <c r="P581">
        <v>999</v>
      </c>
      <c r="Q581">
        <v>20</v>
      </c>
      <c r="R581">
        <v>400</v>
      </c>
      <c r="S581">
        <v>1598</v>
      </c>
      <c r="T581">
        <v>558</v>
      </c>
      <c r="U581">
        <v>34.92</v>
      </c>
      <c r="V581" t="s">
        <v>21</v>
      </c>
    </row>
    <row r="582" spans="1:22" x14ac:dyDescent="0.35">
      <c r="A582" t="s">
        <v>4858</v>
      </c>
      <c r="B582" t="s">
        <v>90</v>
      </c>
      <c r="C582" t="s">
        <v>27</v>
      </c>
      <c r="D582" t="s">
        <v>4857</v>
      </c>
      <c r="E582" t="s">
        <v>4856</v>
      </c>
      <c r="F582" s="5">
        <v>45458</v>
      </c>
      <c r="G582" t="s">
        <v>126</v>
      </c>
      <c r="H582" t="s">
        <v>2799</v>
      </c>
      <c r="I582" t="s">
        <v>35</v>
      </c>
      <c r="J582" t="s">
        <v>214</v>
      </c>
      <c r="K582" t="s">
        <v>87</v>
      </c>
      <c r="L582" t="s">
        <v>37</v>
      </c>
      <c r="M582" t="s">
        <v>20</v>
      </c>
      <c r="N582">
        <v>1</v>
      </c>
      <c r="O582">
        <v>2668</v>
      </c>
      <c r="P582">
        <v>3799</v>
      </c>
      <c r="Q582">
        <v>20</v>
      </c>
      <c r="R582">
        <v>800</v>
      </c>
      <c r="S582">
        <v>2999</v>
      </c>
      <c r="T582">
        <v>331</v>
      </c>
      <c r="U582">
        <v>11.04</v>
      </c>
      <c r="V582" t="s">
        <v>21</v>
      </c>
    </row>
    <row r="583" spans="1:22" x14ac:dyDescent="0.35">
      <c r="A583" t="s">
        <v>4855</v>
      </c>
      <c r="B583" t="s">
        <v>44</v>
      </c>
      <c r="C583" t="s">
        <v>16</v>
      </c>
      <c r="D583" t="s">
        <v>4854</v>
      </c>
      <c r="E583" t="s">
        <v>4853</v>
      </c>
      <c r="F583" s="5">
        <v>45458</v>
      </c>
      <c r="G583" t="s">
        <v>126</v>
      </c>
      <c r="H583" t="s">
        <v>1006</v>
      </c>
      <c r="I583" t="s">
        <v>28</v>
      </c>
      <c r="J583" t="s">
        <v>45</v>
      </c>
      <c r="K583" t="s">
        <v>45</v>
      </c>
      <c r="L583" t="s">
        <v>37</v>
      </c>
      <c r="M583" t="s">
        <v>19</v>
      </c>
      <c r="N583">
        <v>1</v>
      </c>
      <c r="O583">
        <v>827</v>
      </c>
      <c r="P583">
        <v>1199</v>
      </c>
      <c r="Q583">
        <v>15</v>
      </c>
      <c r="R583">
        <v>200</v>
      </c>
      <c r="S583">
        <v>999</v>
      </c>
      <c r="T583">
        <v>172</v>
      </c>
      <c r="U583">
        <v>17.22</v>
      </c>
      <c r="V583" t="s">
        <v>33</v>
      </c>
    </row>
    <row r="584" spans="1:22" x14ac:dyDescent="0.35">
      <c r="A584" t="s">
        <v>4852</v>
      </c>
      <c r="B584" t="s">
        <v>38</v>
      </c>
      <c r="C584" t="s">
        <v>27</v>
      </c>
      <c r="D584" t="s">
        <v>4851</v>
      </c>
      <c r="E584" t="s">
        <v>4850</v>
      </c>
      <c r="F584" s="5">
        <v>45490</v>
      </c>
      <c r="G584" t="s">
        <v>126</v>
      </c>
      <c r="H584" t="s">
        <v>4849</v>
      </c>
      <c r="I584" t="s">
        <v>35</v>
      </c>
      <c r="J584" t="s">
        <v>41</v>
      </c>
      <c r="K584" t="s">
        <v>41</v>
      </c>
      <c r="L584" t="s">
        <v>25</v>
      </c>
      <c r="M584" t="s">
        <v>20</v>
      </c>
      <c r="N584">
        <v>1</v>
      </c>
      <c r="O584">
        <v>915</v>
      </c>
      <c r="P584">
        <v>1299</v>
      </c>
      <c r="Q584">
        <v>20</v>
      </c>
      <c r="R584">
        <v>300</v>
      </c>
      <c r="S584">
        <v>999</v>
      </c>
      <c r="T584">
        <v>84</v>
      </c>
      <c r="U584">
        <v>8.41</v>
      </c>
      <c r="V584" t="s">
        <v>33</v>
      </c>
    </row>
    <row r="585" spans="1:22" x14ac:dyDescent="0.35">
      <c r="A585" t="s">
        <v>4848</v>
      </c>
      <c r="B585" t="s">
        <v>49</v>
      </c>
      <c r="C585" t="s">
        <v>27</v>
      </c>
      <c r="D585" t="s">
        <v>4847</v>
      </c>
      <c r="E585" t="s">
        <v>811</v>
      </c>
      <c r="F585" s="5">
        <v>45567</v>
      </c>
      <c r="G585" t="s">
        <v>126</v>
      </c>
      <c r="H585" t="s">
        <v>4846</v>
      </c>
      <c r="I585" t="s">
        <v>35</v>
      </c>
      <c r="J585" t="s">
        <v>214</v>
      </c>
      <c r="K585" t="s">
        <v>87</v>
      </c>
      <c r="L585" t="s">
        <v>25</v>
      </c>
      <c r="M585" t="s">
        <v>19</v>
      </c>
      <c r="N585">
        <v>4</v>
      </c>
      <c r="O585">
        <v>1509</v>
      </c>
      <c r="P585">
        <v>2499</v>
      </c>
      <c r="Q585">
        <v>20</v>
      </c>
      <c r="R585">
        <v>2000</v>
      </c>
      <c r="S585">
        <v>7996</v>
      </c>
      <c r="T585">
        <v>1960</v>
      </c>
      <c r="U585">
        <v>24.51</v>
      </c>
      <c r="V585" t="s">
        <v>21</v>
      </c>
    </row>
    <row r="586" spans="1:22" x14ac:dyDescent="0.35">
      <c r="A586" t="s">
        <v>4845</v>
      </c>
      <c r="B586" t="s">
        <v>94</v>
      </c>
      <c r="C586" t="s">
        <v>16</v>
      </c>
      <c r="D586" t="s">
        <v>4844</v>
      </c>
      <c r="E586" t="s">
        <v>4843</v>
      </c>
      <c r="F586" s="5">
        <v>45608</v>
      </c>
      <c r="G586" t="s">
        <v>126</v>
      </c>
      <c r="H586" t="s">
        <v>3011</v>
      </c>
      <c r="I586" t="s">
        <v>35</v>
      </c>
      <c r="J586" t="s">
        <v>41</v>
      </c>
      <c r="K586" t="s">
        <v>41</v>
      </c>
      <c r="L586" t="s">
        <v>37</v>
      </c>
      <c r="M586" t="s">
        <v>19</v>
      </c>
      <c r="N586">
        <v>2</v>
      </c>
      <c r="O586">
        <v>824</v>
      </c>
      <c r="P586">
        <v>1299</v>
      </c>
      <c r="Q586">
        <v>20</v>
      </c>
      <c r="R586">
        <v>600</v>
      </c>
      <c r="S586">
        <v>1998</v>
      </c>
      <c r="T586">
        <v>350</v>
      </c>
      <c r="U586">
        <v>17.52</v>
      </c>
      <c r="V586" t="s">
        <v>33</v>
      </c>
    </row>
    <row r="587" spans="1:22" x14ac:dyDescent="0.35">
      <c r="A587" t="s">
        <v>4842</v>
      </c>
      <c r="B587" t="s">
        <v>60</v>
      </c>
      <c r="C587" t="s">
        <v>27</v>
      </c>
      <c r="D587" t="s">
        <v>4841</v>
      </c>
      <c r="E587" t="s">
        <v>4840</v>
      </c>
      <c r="F587" s="5">
        <v>45569</v>
      </c>
      <c r="G587" t="s">
        <v>126</v>
      </c>
      <c r="H587" t="s">
        <v>3712</v>
      </c>
      <c r="I587" t="s">
        <v>28</v>
      </c>
      <c r="J587" t="s">
        <v>45</v>
      </c>
      <c r="K587" t="s">
        <v>45</v>
      </c>
      <c r="L587" t="s">
        <v>37</v>
      </c>
      <c r="M587" t="s">
        <v>20</v>
      </c>
      <c r="N587">
        <v>5</v>
      </c>
      <c r="O587">
        <v>688</v>
      </c>
      <c r="P587">
        <v>1199</v>
      </c>
      <c r="Q587">
        <v>10</v>
      </c>
      <c r="R587">
        <v>1000</v>
      </c>
      <c r="S587">
        <v>4995</v>
      </c>
      <c r="T587">
        <v>1555</v>
      </c>
      <c r="U587">
        <v>31.13</v>
      </c>
      <c r="V587" t="s">
        <v>21</v>
      </c>
    </row>
    <row r="588" spans="1:22" x14ac:dyDescent="0.35">
      <c r="A588" t="s">
        <v>4839</v>
      </c>
      <c r="B588" t="s">
        <v>52</v>
      </c>
      <c r="C588" t="s">
        <v>27</v>
      </c>
      <c r="D588" t="s">
        <v>4838</v>
      </c>
      <c r="E588" t="s">
        <v>4837</v>
      </c>
      <c r="F588" s="5">
        <v>45561</v>
      </c>
      <c r="G588" t="s">
        <v>126</v>
      </c>
      <c r="H588" t="s">
        <v>810</v>
      </c>
      <c r="I588" t="s">
        <v>17</v>
      </c>
      <c r="J588" t="s">
        <v>253</v>
      </c>
      <c r="K588" t="s">
        <v>72</v>
      </c>
      <c r="L588" t="s">
        <v>37</v>
      </c>
      <c r="M588" t="s">
        <v>20</v>
      </c>
      <c r="N588">
        <v>1</v>
      </c>
      <c r="O588">
        <v>221</v>
      </c>
      <c r="P588">
        <v>399</v>
      </c>
      <c r="Q588">
        <v>0</v>
      </c>
      <c r="R588">
        <v>0</v>
      </c>
      <c r="S588">
        <v>399</v>
      </c>
      <c r="T588">
        <v>178</v>
      </c>
      <c r="U588">
        <v>44.61</v>
      </c>
      <c r="V588" t="s">
        <v>21</v>
      </c>
    </row>
    <row r="589" spans="1:22" x14ac:dyDescent="0.35">
      <c r="A589" t="s">
        <v>4836</v>
      </c>
      <c r="B589" t="s">
        <v>68</v>
      </c>
      <c r="C589" t="s">
        <v>16</v>
      </c>
      <c r="D589" t="s">
        <v>4835</v>
      </c>
      <c r="E589" t="s">
        <v>4834</v>
      </c>
      <c r="F589" s="5">
        <v>45569</v>
      </c>
      <c r="G589" t="s">
        <v>126</v>
      </c>
      <c r="H589" t="s">
        <v>1948</v>
      </c>
      <c r="I589" t="s">
        <v>23</v>
      </c>
      <c r="J589" t="s">
        <v>164</v>
      </c>
      <c r="K589" t="s">
        <v>24</v>
      </c>
      <c r="L589" t="s">
        <v>25</v>
      </c>
      <c r="M589" t="s">
        <v>20</v>
      </c>
      <c r="N589">
        <v>2</v>
      </c>
      <c r="O589">
        <v>1820</v>
      </c>
      <c r="P589">
        <v>2499</v>
      </c>
      <c r="Q589">
        <v>20</v>
      </c>
      <c r="R589">
        <v>1000</v>
      </c>
      <c r="S589">
        <v>3998</v>
      </c>
      <c r="T589">
        <v>358</v>
      </c>
      <c r="U589">
        <v>8.9499999999999993</v>
      </c>
      <c r="V589" t="s">
        <v>21</v>
      </c>
    </row>
    <row r="590" spans="1:22" x14ac:dyDescent="0.35">
      <c r="A590" t="s">
        <v>4833</v>
      </c>
      <c r="B590" t="s">
        <v>107</v>
      </c>
      <c r="C590" t="s">
        <v>27</v>
      </c>
      <c r="D590" t="s">
        <v>4832</v>
      </c>
      <c r="E590" t="s">
        <v>4831</v>
      </c>
      <c r="F590" s="5">
        <v>45498</v>
      </c>
      <c r="G590" t="s">
        <v>126</v>
      </c>
      <c r="H590" t="s">
        <v>399</v>
      </c>
      <c r="I590" t="s">
        <v>23</v>
      </c>
      <c r="J590" t="s">
        <v>142</v>
      </c>
      <c r="K590" t="s">
        <v>43</v>
      </c>
      <c r="L590" t="s">
        <v>19</v>
      </c>
      <c r="M590" t="s">
        <v>20</v>
      </c>
      <c r="N590">
        <v>5</v>
      </c>
      <c r="O590">
        <v>1382</v>
      </c>
      <c r="P590">
        <v>2299</v>
      </c>
      <c r="Q590">
        <v>15</v>
      </c>
      <c r="R590">
        <v>2000</v>
      </c>
      <c r="S590">
        <v>9495</v>
      </c>
      <c r="T590">
        <v>2585</v>
      </c>
      <c r="U590">
        <v>27.22</v>
      </c>
      <c r="V590" t="s">
        <v>21</v>
      </c>
    </row>
    <row r="591" spans="1:22" x14ac:dyDescent="0.35">
      <c r="A591" t="s">
        <v>4830</v>
      </c>
      <c r="B591" t="s">
        <v>106</v>
      </c>
      <c r="C591" t="s">
        <v>27</v>
      </c>
      <c r="D591" t="s">
        <v>4829</v>
      </c>
      <c r="E591" t="s">
        <v>4828</v>
      </c>
      <c r="F591" s="5">
        <v>45563</v>
      </c>
      <c r="G591" t="s">
        <v>126</v>
      </c>
      <c r="H591" t="s">
        <v>4827</v>
      </c>
      <c r="I591" t="s">
        <v>28</v>
      </c>
      <c r="J591" t="s">
        <v>201</v>
      </c>
      <c r="K591" t="s">
        <v>29</v>
      </c>
      <c r="L591" t="s">
        <v>25</v>
      </c>
      <c r="M591" t="s">
        <v>19</v>
      </c>
      <c r="N591">
        <v>1</v>
      </c>
      <c r="O591">
        <v>251</v>
      </c>
      <c r="P591">
        <v>499</v>
      </c>
      <c r="Q591">
        <v>5</v>
      </c>
      <c r="R591">
        <v>50</v>
      </c>
      <c r="S591">
        <v>449</v>
      </c>
      <c r="T591">
        <v>198</v>
      </c>
      <c r="U591">
        <v>44.1</v>
      </c>
      <c r="V591" t="s">
        <v>21</v>
      </c>
    </row>
    <row r="592" spans="1:22" x14ac:dyDescent="0.35">
      <c r="A592" t="s">
        <v>4826</v>
      </c>
      <c r="B592" t="s">
        <v>73</v>
      </c>
      <c r="C592" t="s">
        <v>16</v>
      </c>
      <c r="D592" t="s">
        <v>4825</v>
      </c>
      <c r="E592" t="s">
        <v>4824</v>
      </c>
      <c r="F592" s="5">
        <v>45616</v>
      </c>
      <c r="G592" t="s">
        <v>126</v>
      </c>
      <c r="H592" t="s">
        <v>4823</v>
      </c>
      <c r="I592" t="s">
        <v>35</v>
      </c>
      <c r="J592" t="s">
        <v>159</v>
      </c>
      <c r="K592" t="s">
        <v>36</v>
      </c>
      <c r="L592" t="s">
        <v>37</v>
      </c>
      <c r="M592" t="s">
        <v>20</v>
      </c>
      <c r="N592">
        <v>1</v>
      </c>
      <c r="O592">
        <v>269</v>
      </c>
      <c r="P592">
        <v>499</v>
      </c>
      <c r="Q592">
        <v>15</v>
      </c>
      <c r="R592">
        <v>100</v>
      </c>
      <c r="S592">
        <v>399</v>
      </c>
      <c r="T592">
        <v>130</v>
      </c>
      <c r="U592">
        <v>32.58</v>
      </c>
      <c r="V592" t="s">
        <v>21</v>
      </c>
    </row>
    <row r="593" spans="1:22" x14ac:dyDescent="0.35">
      <c r="A593" t="s">
        <v>4822</v>
      </c>
      <c r="B593" t="s">
        <v>70</v>
      </c>
      <c r="C593" t="s">
        <v>27</v>
      </c>
      <c r="D593" t="s">
        <v>4821</v>
      </c>
      <c r="E593" t="s">
        <v>4820</v>
      </c>
      <c r="F593" s="5">
        <v>45546</v>
      </c>
      <c r="G593" t="s">
        <v>126</v>
      </c>
      <c r="H593" t="s">
        <v>3998</v>
      </c>
      <c r="I593" t="s">
        <v>35</v>
      </c>
      <c r="J593" t="s">
        <v>39</v>
      </c>
      <c r="K593" t="s">
        <v>39</v>
      </c>
      <c r="L593" t="s">
        <v>37</v>
      </c>
      <c r="M593" t="s">
        <v>20</v>
      </c>
      <c r="N593">
        <v>2</v>
      </c>
      <c r="O593">
        <v>988</v>
      </c>
      <c r="P593">
        <v>1699</v>
      </c>
      <c r="Q593">
        <v>20</v>
      </c>
      <c r="R593">
        <v>800</v>
      </c>
      <c r="S593">
        <v>2598</v>
      </c>
      <c r="T593">
        <v>622</v>
      </c>
      <c r="U593">
        <v>23.94</v>
      </c>
      <c r="V593" t="s">
        <v>21</v>
      </c>
    </row>
    <row r="594" spans="1:22" x14ac:dyDescent="0.35">
      <c r="A594" t="s">
        <v>4819</v>
      </c>
      <c r="B594" t="s">
        <v>47</v>
      </c>
      <c r="C594" t="s">
        <v>16</v>
      </c>
      <c r="D594" t="s">
        <v>4818</v>
      </c>
      <c r="E594" t="s">
        <v>4817</v>
      </c>
      <c r="F594" s="5">
        <v>45629</v>
      </c>
      <c r="G594" t="s">
        <v>126</v>
      </c>
      <c r="H594" t="s">
        <v>637</v>
      </c>
      <c r="I594" t="s">
        <v>28</v>
      </c>
      <c r="J594" t="s">
        <v>45</v>
      </c>
      <c r="K594" t="s">
        <v>45</v>
      </c>
      <c r="L594" t="s">
        <v>25</v>
      </c>
      <c r="M594" t="s">
        <v>20</v>
      </c>
      <c r="N594">
        <v>3</v>
      </c>
      <c r="O594">
        <v>766</v>
      </c>
      <c r="P594">
        <v>1499</v>
      </c>
      <c r="Q594">
        <v>20</v>
      </c>
      <c r="R594">
        <v>900</v>
      </c>
      <c r="S594">
        <v>3597</v>
      </c>
      <c r="T594">
        <v>1299</v>
      </c>
      <c r="U594">
        <v>36.11</v>
      </c>
      <c r="V594" t="s">
        <v>21</v>
      </c>
    </row>
    <row r="595" spans="1:22" x14ac:dyDescent="0.35">
      <c r="A595" t="s">
        <v>4816</v>
      </c>
      <c r="B595" t="s">
        <v>69</v>
      </c>
      <c r="C595" t="s">
        <v>16</v>
      </c>
      <c r="D595" t="s">
        <v>4815</v>
      </c>
      <c r="E595" t="s">
        <v>4814</v>
      </c>
      <c r="F595" s="5">
        <v>45623</v>
      </c>
      <c r="G595" t="s">
        <v>126</v>
      </c>
      <c r="H595" t="s">
        <v>4813</v>
      </c>
      <c r="I595" t="s">
        <v>35</v>
      </c>
      <c r="J595" t="s">
        <v>244</v>
      </c>
      <c r="K595" t="s">
        <v>58</v>
      </c>
      <c r="L595" t="s">
        <v>25</v>
      </c>
      <c r="M595" t="s">
        <v>19</v>
      </c>
      <c r="N595">
        <v>2</v>
      </c>
      <c r="O595">
        <v>746</v>
      </c>
      <c r="P595">
        <v>1199</v>
      </c>
      <c r="Q595">
        <v>10</v>
      </c>
      <c r="R595">
        <v>400</v>
      </c>
      <c r="S595">
        <v>1998</v>
      </c>
      <c r="T595">
        <v>506</v>
      </c>
      <c r="U595">
        <v>25.33</v>
      </c>
      <c r="V595" t="s">
        <v>21</v>
      </c>
    </row>
    <row r="596" spans="1:22" x14ac:dyDescent="0.35">
      <c r="A596" t="s">
        <v>4812</v>
      </c>
      <c r="B596" t="s">
        <v>22</v>
      </c>
      <c r="C596" t="s">
        <v>16</v>
      </c>
      <c r="D596" t="s">
        <v>4811</v>
      </c>
      <c r="E596" t="s">
        <v>4810</v>
      </c>
      <c r="F596" s="5">
        <v>45533</v>
      </c>
      <c r="G596" t="s">
        <v>126</v>
      </c>
      <c r="H596" t="s">
        <v>4809</v>
      </c>
      <c r="I596" t="s">
        <v>23</v>
      </c>
      <c r="J596" t="s">
        <v>142</v>
      </c>
      <c r="K596" t="s">
        <v>43</v>
      </c>
      <c r="L596" t="s">
        <v>25</v>
      </c>
      <c r="M596" t="s">
        <v>19</v>
      </c>
      <c r="N596">
        <v>2</v>
      </c>
      <c r="O596">
        <v>1508</v>
      </c>
      <c r="P596">
        <v>2299</v>
      </c>
      <c r="Q596">
        <v>15</v>
      </c>
      <c r="R596">
        <v>800</v>
      </c>
      <c r="S596">
        <v>3798</v>
      </c>
      <c r="T596">
        <v>782</v>
      </c>
      <c r="U596">
        <v>20.59</v>
      </c>
      <c r="V596" t="s">
        <v>21</v>
      </c>
    </row>
    <row r="597" spans="1:22" x14ac:dyDescent="0.35">
      <c r="A597" t="s">
        <v>4808</v>
      </c>
      <c r="B597" t="s">
        <v>90</v>
      </c>
      <c r="C597" t="s">
        <v>27</v>
      </c>
      <c r="D597" t="s">
        <v>4807</v>
      </c>
      <c r="E597" t="s">
        <v>2108</v>
      </c>
      <c r="F597" s="5">
        <v>45522</v>
      </c>
      <c r="G597" t="s">
        <v>126</v>
      </c>
      <c r="H597" t="s">
        <v>615</v>
      </c>
      <c r="I597" t="s">
        <v>31</v>
      </c>
      <c r="J597" t="s">
        <v>76</v>
      </c>
      <c r="K597" t="s">
        <v>76</v>
      </c>
      <c r="L597" t="s">
        <v>37</v>
      </c>
      <c r="M597" t="s">
        <v>20</v>
      </c>
      <c r="N597">
        <v>1</v>
      </c>
      <c r="O597">
        <v>1053</v>
      </c>
      <c r="P597">
        <v>1499</v>
      </c>
      <c r="Q597">
        <v>0</v>
      </c>
      <c r="R597">
        <v>0</v>
      </c>
      <c r="S597">
        <v>1499</v>
      </c>
      <c r="T597">
        <v>446</v>
      </c>
      <c r="U597">
        <v>29.75</v>
      </c>
      <c r="V597" t="s">
        <v>21</v>
      </c>
    </row>
    <row r="598" spans="1:22" x14ac:dyDescent="0.35">
      <c r="A598" t="s">
        <v>4806</v>
      </c>
      <c r="B598" t="s">
        <v>84</v>
      </c>
      <c r="C598" t="s">
        <v>27</v>
      </c>
      <c r="D598" t="s">
        <v>4805</v>
      </c>
      <c r="E598" t="s">
        <v>4804</v>
      </c>
      <c r="F598" s="5">
        <v>45560</v>
      </c>
      <c r="G598" t="s">
        <v>126</v>
      </c>
      <c r="H598" t="s">
        <v>3803</v>
      </c>
      <c r="I598" t="s">
        <v>23</v>
      </c>
      <c r="J598" t="s">
        <v>142</v>
      </c>
      <c r="K598" t="s">
        <v>43</v>
      </c>
      <c r="L598" t="s">
        <v>19</v>
      </c>
      <c r="M598" t="s">
        <v>20</v>
      </c>
      <c r="N598">
        <v>2</v>
      </c>
      <c r="O598">
        <v>2302</v>
      </c>
      <c r="P598">
        <v>4499</v>
      </c>
      <c r="Q598">
        <v>10</v>
      </c>
      <c r="R598">
        <v>1000</v>
      </c>
      <c r="S598">
        <v>7998</v>
      </c>
      <c r="T598">
        <v>3394</v>
      </c>
      <c r="U598">
        <v>42.44</v>
      </c>
      <c r="V598" t="s">
        <v>33</v>
      </c>
    </row>
    <row r="599" spans="1:22" x14ac:dyDescent="0.35">
      <c r="A599" t="s">
        <v>4803</v>
      </c>
      <c r="B599" t="s">
        <v>102</v>
      </c>
      <c r="C599" t="s">
        <v>27</v>
      </c>
      <c r="D599" t="s">
        <v>4802</v>
      </c>
      <c r="E599" t="s">
        <v>4801</v>
      </c>
      <c r="F599" s="5">
        <v>45506</v>
      </c>
      <c r="G599" t="s">
        <v>126</v>
      </c>
      <c r="H599" t="s">
        <v>2257</v>
      </c>
      <c r="I599" t="s">
        <v>17</v>
      </c>
      <c r="J599" t="s">
        <v>253</v>
      </c>
      <c r="K599" t="s">
        <v>72</v>
      </c>
      <c r="L599" t="s">
        <v>25</v>
      </c>
      <c r="M599" t="s">
        <v>20</v>
      </c>
      <c r="N599">
        <v>2</v>
      </c>
      <c r="O599">
        <v>243</v>
      </c>
      <c r="P599">
        <v>399</v>
      </c>
      <c r="Q599">
        <v>0</v>
      </c>
      <c r="R599">
        <v>0</v>
      </c>
      <c r="S599">
        <v>798</v>
      </c>
      <c r="T599">
        <v>312</v>
      </c>
      <c r="U599">
        <v>39.1</v>
      </c>
      <c r="V599" t="s">
        <v>33</v>
      </c>
    </row>
    <row r="600" spans="1:22" x14ac:dyDescent="0.35">
      <c r="A600" t="s">
        <v>4800</v>
      </c>
      <c r="B600" t="s">
        <v>85</v>
      </c>
      <c r="C600" t="s">
        <v>27</v>
      </c>
      <c r="D600" t="s">
        <v>4799</v>
      </c>
      <c r="E600" t="s">
        <v>4798</v>
      </c>
      <c r="F600" s="5">
        <v>45642</v>
      </c>
      <c r="G600" t="s">
        <v>126</v>
      </c>
      <c r="H600" t="s">
        <v>4797</v>
      </c>
      <c r="I600" t="s">
        <v>28</v>
      </c>
      <c r="J600" t="s">
        <v>45</v>
      </c>
      <c r="K600" t="s">
        <v>45</v>
      </c>
      <c r="L600" t="s">
        <v>19</v>
      </c>
      <c r="M600" t="s">
        <v>20</v>
      </c>
      <c r="N600">
        <v>1</v>
      </c>
      <c r="O600">
        <v>919</v>
      </c>
      <c r="P600">
        <v>1599</v>
      </c>
      <c r="Q600">
        <v>5</v>
      </c>
      <c r="R600">
        <v>100</v>
      </c>
      <c r="S600">
        <v>1499</v>
      </c>
      <c r="T600">
        <v>580</v>
      </c>
      <c r="U600">
        <v>38.69</v>
      </c>
      <c r="V600" t="s">
        <v>21</v>
      </c>
    </row>
    <row r="601" spans="1:22" x14ac:dyDescent="0.35">
      <c r="A601" t="s">
        <v>4796</v>
      </c>
      <c r="B601" t="s">
        <v>26</v>
      </c>
      <c r="C601" t="s">
        <v>27</v>
      </c>
      <c r="D601" t="s">
        <v>4795</v>
      </c>
      <c r="E601" t="s">
        <v>4794</v>
      </c>
      <c r="F601" s="5">
        <v>45561</v>
      </c>
      <c r="G601" t="s">
        <v>126</v>
      </c>
      <c r="H601" t="s">
        <v>4793</v>
      </c>
      <c r="I601" t="s">
        <v>28</v>
      </c>
      <c r="J601" t="s">
        <v>201</v>
      </c>
      <c r="K601" t="s">
        <v>29</v>
      </c>
      <c r="L601" t="s">
        <v>19</v>
      </c>
      <c r="M601" t="s">
        <v>20</v>
      </c>
      <c r="N601">
        <v>1</v>
      </c>
      <c r="O601">
        <v>301</v>
      </c>
      <c r="P601">
        <v>499</v>
      </c>
      <c r="Q601">
        <v>10</v>
      </c>
      <c r="R601">
        <v>50</v>
      </c>
      <c r="S601">
        <v>449</v>
      </c>
      <c r="T601">
        <v>148</v>
      </c>
      <c r="U601">
        <v>32.96</v>
      </c>
      <c r="V601" t="s">
        <v>21</v>
      </c>
    </row>
    <row r="602" spans="1:22" x14ac:dyDescent="0.35">
      <c r="A602" t="s">
        <v>4792</v>
      </c>
      <c r="B602" t="s">
        <v>34</v>
      </c>
      <c r="C602" t="s">
        <v>27</v>
      </c>
      <c r="D602" t="s">
        <v>4791</v>
      </c>
      <c r="E602" t="s">
        <v>4790</v>
      </c>
      <c r="F602" s="5">
        <v>45492</v>
      </c>
      <c r="G602" t="s">
        <v>126</v>
      </c>
      <c r="H602" t="s">
        <v>902</v>
      </c>
      <c r="I602" t="s">
        <v>17</v>
      </c>
      <c r="J602" t="s">
        <v>235</v>
      </c>
      <c r="K602" t="s">
        <v>18</v>
      </c>
      <c r="L602" t="s">
        <v>25</v>
      </c>
      <c r="M602" t="s">
        <v>19</v>
      </c>
      <c r="N602">
        <v>5</v>
      </c>
      <c r="O602">
        <v>284</v>
      </c>
      <c r="P602">
        <v>499</v>
      </c>
      <c r="Q602">
        <v>0</v>
      </c>
      <c r="R602">
        <v>0</v>
      </c>
      <c r="S602">
        <v>2495</v>
      </c>
      <c r="T602">
        <v>1075</v>
      </c>
      <c r="U602">
        <v>43.09</v>
      </c>
      <c r="V602" t="s">
        <v>33</v>
      </c>
    </row>
    <row r="603" spans="1:22" x14ac:dyDescent="0.35">
      <c r="A603" t="s">
        <v>4789</v>
      </c>
      <c r="B603" t="s">
        <v>94</v>
      </c>
      <c r="C603" t="s">
        <v>16</v>
      </c>
      <c r="D603" t="s">
        <v>4788</v>
      </c>
      <c r="E603" t="s">
        <v>4787</v>
      </c>
      <c r="F603" s="5">
        <v>45507</v>
      </c>
      <c r="G603" t="s">
        <v>126</v>
      </c>
      <c r="H603" t="s">
        <v>1690</v>
      </c>
      <c r="I603" t="s">
        <v>35</v>
      </c>
      <c r="J603" t="s">
        <v>159</v>
      </c>
      <c r="K603" t="s">
        <v>36</v>
      </c>
      <c r="L603" t="s">
        <v>25</v>
      </c>
      <c r="M603" t="s">
        <v>19</v>
      </c>
      <c r="N603">
        <v>2</v>
      </c>
      <c r="O603">
        <v>372</v>
      </c>
      <c r="P603">
        <v>499</v>
      </c>
      <c r="Q603">
        <v>5</v>
      </c>
      <c r="R603">
        <v>200</v>
      </c>
      <c r="S603">
        <v>798</v>
      </c>
      <c r="T603">
        <v>54</v>
      </c>
      <c r="U603">
        <v>6.77</v>
      </c>
      <c r="V603" t="s">
        <v>21</v>
      </c>
    </row>
    <row r="604" spans="1:22" x14ac:dyDescent="0.35">
      <c r="A604" t="s">
        <v>4786</v>
      </c>
      <c r="B604" t="s">
        <v>91</v>
      </c>
      <c r="C604" t="s">
        <v>16</v>
      </c>
      <c r="D604" t="s">
        <v>4785</v>
      </c>
      <c r="E604" t="s">
        <v>4784</v>
      </c>
      <c r="F604" s="5">
        <v>45594</v>
      </c>
      <c r="G604" t="s">
        <v>126</v>
      </c>
      <c r="H604" t="s">
        <v>2382</v>
      </c>
      <c r="I604" t="s">
        <v>23</v>
      </c>
      <c r="J604" t="s">
        <v>142</v>
      </c>
      <c r="K604" t="s">
        <v>43</v>
      </c>
      <c r="L604" t="s">
        <v>19</v>
      </c>
      <c r="M604" t="s">
        <v>19</v>
      </c>
      <c r="N604">
        <v>1</v>
      </c>
      <c r="O604">
        <v>1140</v>
      </c>
      <c r="P604">
        <v>1999</v>
      </c>
      <c r="Q604">
        <v>5</v>
      </c>
      <c r="R604">
        <v>100</v>
      </c>
      <c r="S604">
        <v>1899</v>
      </c>
      <c r="T604">
        <v>759</v>
      </c>
      <c r="U604">
        <v>39.97</v>
      </c>
      <c r="V604" t="s">
        <v>21</v>
      </c>
    </row>
    <row r="605" spans="1:22" x14ac:dyDescent="0.35">
      <c r="A605" t="s">
        <v>4783</v>
      </c>
      <c r="B605" t="s">
        <v>30</v>
      </c>
      <c r="C605" t="s">
        <v>16</v>
      </c>
      <c r="D605" t="s">
        <v>4782</v>
      </c>
      <c r="E605" t="s">
        <v>4121</v>
      </c>
      <c r="F605" s="5">
        <v>45578</v>
      </c>
      <c r="G605" t="s">
        <v>126</v>
      </c>
      <c r="H605" t="s">
        <v>4781</v>
      </c>
      <c r="I605" t="s">
        <v>35</v>
      </c>
      <c r="J605" t="s">
        <v>41</v>
      </c>
      <c r="K605" t="s">
        <v>41</v>
      </c>
      <c r="L605" t="s">
        <v>25</v>
      </c>
      <c r="M605" t="s">
        <v>20</v>
      </c>
      <c r="N605">
        <v>5</v>
      </c>
      <c r="O605">
        <v>714</v>
      </c>
      <c r="P605">
        <v>1099</v>
      </c>
      <c r="Q605">
        <v>5</v>
      </c>
      <c r="R605">
        <v>500</v>
      </c>
      <c r="S605">
        <v>4995</v>
      </c>
      <c r="T605">
        <v>1425</v>
      </c>
      <c r="U605">
        <v>28.53</v>
      </c>
      <c r="V605" t="s">
        <v>21</v>
      </c>
    </row>
    <row r="606" spans="1:22" x14ac:dyDescent="0.35">
      <c r="A606" t="s">
        <v>4780</v>
      </c>
      <c r="B606" t="s">
        <v>34</v>
      </c>
      <c r="C606" t="s">
        <v>27</v>
      </c>
      <c r="D606" t="s">
        <v>4779</v>
      </c>
      <c r="E606" t="s">
        <v>4778</v>
      </c>
      <c r="F606" s="5">
        <v>45444</v>
      </c>
      <c r="G606" t="s">
        <v>126</v>
      </c>
      <c r="H606" t="s">
        <v>2730</v>
      </c>
      <c r="I606" t="s">
        <v>28</v>
      </c>
      <c r="J606" t="s">
        <v>45</v>
      </c>
      <c r="K606" t="s">
        <v>45</v>
      </c>
      <c r="L606" t="s">
        <v>25</v>
      </c>
      <c r="M606" t="s">
        <v>19</v>
      </c>
      <c r="N606">
        <v>2</v>
      </c>
      <c r="O606">
        <v>637</v>
      </c>
      <c r="P606">
        <v>1199</v>
      </c>
      <c r="Q606">
        <v>10</v>
      </c>
      <c r="R606">
        <v>400</v>
      </c>
      <c r="S606">
        <v>1998</v>
      </c>
      <c r="T606">
        <v>724</v>
      </c>
      <c r="U606">
        <v>36.24</v>
      </c>
      <c r="V606" t="s">
        <v>21</v>
      </c>
    </row>
    <row r="607" spans="1:22" x14ac:dyDescent="0.35">
      <c r="A607" t="s">
        <v>4777</v>
      </c>
      <c r="B607" t="s">
        <v>90</v>
      </c>
      <c r="C607" t="s">
        <v>27</v>
      </c>
      <c r="D607" t="s">
        <v>4776</v>
      </c>
      <c r="E607" t="s">
        <v>4775</v>
      </c>
      <c r="F607" s="5">
        <v>45580</v>
      </c>
      <c r="G607" t="s">
        <v>126</v>
      </c>
      <c r="H607" t="s">
        <v>532</v>
      </c>
      <c r="I607" t="s">
        <v>17</v>
      </c>
      <c r="J607" t="s">
        <v>253</v>
      </c>
      <c r="K607" t="s">
        <v>72</v>
      </c>
      <c r="L607" t="s">
        <v>37</v>
      </c>
      <c r="M607" t="s">
        <v>20</v>
      </c>
      <c r="N607">
        <v>1</v>
      </c>
      <c r="O607">
        <v>275</v>
      </c>
      <c r="P607">
        <v>399</v>
      </c>
      <c r="Q607">
        <v>0</v>
      </c>
      <c r="R607">
        <v>0</v>
      </c>
      <c r="S607">
        <v>399</v>
      </c>
      <c r="T607">
        <v>124</v>
      </c>
      <c r="U607">
        <v>31.08</v>
      </c>
      <c r="V607" t="s">
        <v>21</v>
      </c>
    </row>
    <row r="608" spans="1:22" x14ac:dyDescent="0.35">
      <c r="A608" t="s">
        <v>4774</v>
      </c>
      <c r="B608" t="s">
        <v>98</v>
      </c>
      <c r="C608" t="s">
        <v>16</v>
      </c>
      <c r="D608" t="s">
        <v>4773</v>
      </c>
      <c r="E608" t="s">
        <v>4772</v>
      </c>
      <c r="F608" s="5">
        <v>45591</v>
      </c>
      <c r="G608" t="s">
        <v>126</v>
      </c>
      <c r="H608" t="s">
        <v>611</v>
      </c>
      <c r="I608" t="s">
        <v>17</v>
      </c>
      <c r="J608" t="s">
        <v>48</v>
      </c>
      <c r="K608" t="s">
        <v>48</v>
      </c>
      <c r="L608" t="s">
        <v>25</v>
      </c>
      <c r="M608" t="s">
        <v>19</v>
      </c>
      <c r="N608">
        <v>1</v>
      </c>
      <c r="O608">
        <v>217</v>
      </c>
      <c r="P608">
        <v>399</v>
      </c>
      <c r="Q608">
        <v>0</v>
      </c>
      <c r="R608">
        <v>0</v>
      </c>
      <c r="S608">
        <v>399</v>
      </c>
      <c r="T608">
        <v>182</v>
      </c>
      <c r="U608">
        <v>45.61</v>
      </c>
      <c r="V608" t="s">
        <v>21</v>
      </c>
    </row>
    <row r="609" spans="1:22" x14ac:dyDescent="0.35">
      <c r="A609" t="s">
        <v>4771</v>
      </c>
      <c r="B609" t="s">
        <v>42</v>
      </c>
      <c r="C609" t="s">
        <v>27</v>
      </c>
      <c r="D609" t="s">
        <v>4770</v>
      </c>
      <c r="E609" t="s">
        <v>2197</v>
      </c>
      <c r="F609" s="5">
        <v>45527</v>
      </c>
      <c r="G609" t="s">
        <v>126</v>
      </c>
      <c r="H609" t="s">
        <v>4769</v>
      </c>
      <c r="I609" t="s">
        <v>17</v>
      </c>
      <c r="J609" t="s">
        <v>235</v>
      </c>
      <c r="K609" t="s">
        <v>18</v>
      </c>
      <c r="L609" t="s">
        <v>19</v>
      </c>
      <c r="M609" t="s">
        <v>20</v>
      </c>
      <c r="N609">
        <v>1</v>
      </c>
      <c r="O609">
        <v>248</v>
      </c>
      <c r="P609">
        <v>399</v>
      </c>
      <c r="Q609">
        <v>0</v>
      </c>
      <c r="R609">
        <v>0</v>
      </c>
      <c r="S609">
        <v>399</v>
      </c>
      <c r="T609">
        <v>151</v>
      </c>
      <c r="U609">
        <v>37.840000000000003</v>
      </c>
      <c r="V609" t="s">
        <v>21</v>
      </c>
    </row>
    <row r="610" spans="1:22" x14ac:dyDescent="0.35">
      <c r="A610" t="s">
        <v>4768</v>
      </c>
      <c r="B610" t="s">
        <v>59</v>
      </c>
      <c r="C610" t="s">
        <v>27</v>
      </c>
      <c r="D610" t="s">
        <v>4767</v>
      </c>
      <c r="E610" t="s">
        <v>4766</v>
      </c>
      <c r="F610" s="5">
        <v>45580</v>
      </c>
      <c r="G610" t="s">
        <v>126</v>
      </c>
      <c r="H610" t="s">
        <v>2374</v>
      </c>
      <c r="I610" t="s">
        <v>23</v>
      </c>
      <c r="J610" t="s">
        <v>142</v>
      </c>
      <c r="K610" t="s">
        <v>43</v>
      </c>
      <c r="L610" t="s">
        <v>19</v>
      </c>
      <c r="M610" t="s">
        <v>20</v>
      </c>
      <c r="N610">
        <v>1</v>
      </c>
      <c r="O610">
        <v>2558</v>
      </c>
      <c r="P610">
        <v>3599</v>
      </c>
      <c r="Q610">
        <v>15</v>
      </c>
      <c r="R610">
        <v>600</v>
      </c>
      <c r="S610">
        <v>2999</v>
      </c>
      <c r="T610">
        <v>441</v>
      </c>
      <c r="U610">
        <v>14.7</v>
      </c>
      <c r="V610" t="s">
        <v>21</v>
      </c>
    </row>
    <row r="611" spans="1:22" x14ac:dyDescent="0.35">
      <c r="A611" t="s">
        <v>4765</v>
      </c>
      <c r="B611" t="s">
        <v>22</v>
      </c>
      <c r="C611" t="s">
        <v>16</v>
      </c>
      <c r="D611" t="s">
        <v>4764</v>
      </c>
      <c r="E611" t="s">
        <v>2243</v>
      </c>
      <c r="F611" s="5">
        <v>45468</v>
      </c>
      <c r="G611" t="s">
        <v>126</v>
      </c>
      <c r="H611" t="s">
        <v>1113</v>
      </c>
      <c r="I611" t="s">
        <v>28</v>
      </c>
      <c r="J611" t="s">
        <v>201</v>
      </c>
      <c r="K611" t="s">
        <v>29</v>
      </c>
      <c r="L611" t="s">
        <v>19</v>
      </c>
      <c r="M611" t="s">
        <v>19</v>
      </c>
      <c r="N611">
        <v>1</v>
      </c>
      <c r="O611">
        <v>380</v>
      </c>
      <c r="P611">
        <v>699</v>
      </c>
      <c r="Q611">
        <v>5</v>
      </c>
      <c r="R611">
        <v>100</v>
      </c>
      <c r="S611">
        <v>599</v>
      </c>
      <c r="T611">
        <v>219</v>
      </c>
      <c r="U611">
        <v>36.56</v>
      </c>
      <c r="V611" t="s">
        <v>21</v>
      </c>
    </row>
    <row r="612" spans="1:22" x14ac:dyDescent="0.35">
      <c r="A612" t="s">
        <v>4763</v>
      </c>
      <c r="B612" t="s">
        <v>108</v>
      </c>
      <c r="C612" t="s">
        <v>27</v>
      </c>
      <c r="D612" t="s">
        <v>4762</v>
      </c>
      <c r="E612" t="s">
        <v>4761</v>
      </c>
      <c r="F612" s="5">
        <v>45535</v>
      </c>
      <c r="G612" t="s">
        <v>126</v>
      </c>
      <c r="H612" t="s">
        <v>1704</v>
      </c>
      <c r="I612" t="s">
        <v>35</v>
      </c>
      <c r="J612" t="s">
        <v>244</v>
      </c>
      <c r="K612" t="s">
        <v>58</v>
      </c>
      <c r="L612" t="s">
        <v>37</v>
      </c>
      <c r="M612" t="s">
        <v>20</v>
      </c>
      <c r="N612">
        <v>1</v>
      </c>
      <c r="O612">
        <v>1081</v>
      </c>
      <c r="P612">
        <v>1599</v>
      </c>
      <c r="Q612">
        <v>5</v>
      </c>
      <c r="R612">
        <v>100</v>
      </c>
      <c r="S612">
        <v>1499</v>
      </c>
      <c r="T612">
        <v>418</v>
      </c>
      <c r="U612">
        <v>27.89</v>
      </c>
      <c r="V612" t="s">
        <v>21</v>
      </c>
    </row>
    <row r="613" spans="1:22" x14ac:dyDescent="0.35">
      <c r="A613" t="s">
        <v>4760</v>
      </c>
      <c r="B613" t="s">
        <v>101</v>
      </c>
      <c r="C613" t="s">
        <v>16</v>
      </c>
      <c r="D613" t="s">
        <v>4759</v>
      </c>
      <c r="E613" t="s">
        <v>4758</v>
      </c>
      <c r="F613" s="5">
        <v>45445</v>
      </c>
      <c r="G613" t="s">
        <v>126</v>
      </c>
      <c r="H613" t="s">
        <v>4757</v>
      </c>
      <c r="I613" t="s">
        <v>23</v>
      </c>
      <c r="J613" t="s">
        <v>164</v>
      </c>
      <c r="K613" t="s">
        <v>24</v>
      </c>
      <c r="L613" t="s">
        <v>19</v>
      </c>
      <c r="M613" t="s">
        <v>19</v>
      </c>
      <c r="N613">
        <v>2</v>
      </c>
      <c r="O613">
        <v>743</v>
      </c>
      <c r="P613">
        <v>999</v>
      </c>
      <c r="Q613">
        <v>15</v>
      </c>
      <c r="R613">
        <v>400</v>
      </c>
      <c r="S613">
        <v>1598</v>
      </c>
      <c r="T613">
        <v>112</v>
      </c>
      <c r="U613">
        <v>7.01</v>
      </c>
      <c r="V613" t="s">
        <v>33</v>
      </c>
    </row>
    <row r="614" spans="1:22" x14ac:dyDescent="0.35">
      <c r="A614" t="s">
        <v>4756</v>
      </c>
      <c r="B614" t="s">
        <v>109</v>
      </c>
      <c r="C614" t="s">
        <v>16</v>
      </c>
      <c r="D614" t="s">
        <v>4755</v>
      </c>
      <c r="E614" t="s">
        <v>4754</v>
      </c>
      <c r="F614" s="5">
        <v>45465</v>
      </c>
      <c r="G614" t="s">
        <v>126</v>
      </c>
      <c r="H614" t="s">
        <v>833</v>
      </c>
      <c r="I614" t="s">
        <v>35</v>
      </c>
      <c r="J614" t="s">
        <v>39</v>
      </c>
      <c r="K614" t="s">
        <v>39</v>
      </c>
      <c r="L614" t="s">
        <v>37</v>
      </c>
      <c r="M614" t="s">
        <v>19</v>
      </c>
      <c r="N614">
        <v>1</v>
      </c>
      <c r="O614">
        <v>973</v>
      </c>
      <c r="P614">
        <v>1599</v>
      </c>
      <c r="Q614">
        <v>15</v>
      </c>
      <c r="R614">
        <v>300</v>
      </c>
      <c r="S614">
        <v>1299</v>
      </c>
      <c r="T614">
        <v>326</v>
      </c>
      <c r="U614">
        <v>25.1</v>
      </c>
      <c r="V614" t="s">
        <v>21</v>
      </c>
    </row>
    <row r="615" spans="1:22" x14ac:dyDescent="0.35">
      <c r="A615" t="s">
        <v>4753</v>
      </c>
      <c r="B615" t="s">
        <v>38</v>
      </c>
      <c r="C615" t="s">
        <v>27</v>
      </c>
      <c r="D615" t="s">
        <v>4752</v>
      </c>
      <c r="E615" t="s">
        <v>4751</v>
      </c>
      <c r="F615" s="5">
        <v>45487</v>
      </c>
      <c r="G615" t="s">
        <v>126</v>
      </c>
      <c r="H615" t="s">
        <v>1769</v>
      </c>
      <c r="I615" t="s">
        <v>28</v>
      </c>
      <c r="J615" t="s">
        <v>45</v>
      </c>
      <c r="K615" t="s">
        <v>45</v>
      </c>
      <c r="L615" t="s">
        <v>37</v>
      </c>
      <c r="M615" t="s">
        <v>19</v>
      </c>
      <c r="N615">
        <v>4</v>
      </c>
      <c r="O615">
        <v>896</v>
      </c>
      <c r="P615">
        <v>1199</v>
      </c>
      <c r="Q615">
        <v>15</v>
      </c>
      <c r="R615">
        <v>800</v>
      </c>
      <c r="S615">
        <v>3996</v>
      </c>
      <c r="T615">
        <v>412</v>
      </c>
      <c r="U615">
        <v>10.31</v>
      </c>
      <c r="V615" t="s">
        <v>21</v>
      </c>
    </row>
    <row r="616" spans="1:22" x14ac:dyDescent="0.35">
      <c r="A616" t="s">
        <v>4750</v>
      </c>
      <c r="B616" t="s">
        <v>99</v>
      </c>
      <c r="C616" t="s">
        <v>27</v>
      </c>
      <c r="D616" t="s">
        <v>4749</v>
      </c>
      <c r="E616" t="s">
        <v>4748</v>
      </c>
      <c r="F616" s="5">
        <v>45455</v>
      </c>
      <c r="G616" t="s">
        <v>126</v>
      </c>
      <c r="H616" t="s">
        <v>4747</v>
      </c>
      <c r="I616" t="s">
        <v>23</v>
      </c>
      <c r="J616" t="s">
        <v>164</v>
      </c>
      <c r="K616" t="s">
        <v>24</v>
      </c>
      <c r="L616" t="s">
        <v>37</v>
      </c>
      <c r="M616" t="s">
        <v>20</v>
      </c>
      <c r="N616">
        <v>5</v>
      </c>
      <c r="O616">
        <v>490</v>
      </c>
      <c r="P616">
        <v>899</v>
      </c>
      <c r="Q616">
        <v>10</v>
      </c>
      <c r="R616">
        <v>500</v>
      </c>
      <c r="S616">
        <v>3995</v>
      </c>
      <c r="T616">
        <v>1545</v>
      </c>
      <c r="U616">
        <v>38.67</v>
      </c>
      <c r="V616" t="s">
        <v>21</v>
      </c>
    </row>
    <row r="617" spans="1:22" x14ac:dyDescent="0.35">
      <c r="A617" t="s">
        <v>4746</v>
      </c>
      <c r="B617" t="s">
        <v>95</v>
      </c>
      <c r="C617" t="s">
        <v>27</v>
      </c>
      <c r="D617" t="s">
        <v>4745</v>
      </c>
      <c r="E617" t="s">
        <v>4744</v>
      </c>
      <c r="F617" s="5">
        <v>45532</v>
      </c>
      <c r="G617" t="s">
        <v>126</v>
      </c>
      <c r="H617" t="s">
        <v>1784</v>
      </c>
      <c r="I617" t="s">
        <v>23</v>
      </c>
      <c r="J617" t="s">
        <v>142</v>
      </c>
      <c r="K617" t="s">
        <v>43</v>
      </c>
      <c r="L617" t="s">
        <v>25</v>
      </c>
      <c r="M617" t="s">
        <v>19</v>
      </c>
      <c r="N617">
        <v>2</v>
      </c>
      <c r="O617">
        <v>1872</v>
      </c>
      <c r="P617">
        <v>2499</v>
      </c>
      <c r="Q617">
        <v>20</v>
      </c>
      <c r="R617">
        <v>1000</v>
      </c>
      <c r="S617">
        <v>3998</v>
      </c>
      <c r="T617">
        <v>254</v>
      </c>
      <c r="U617">
        <v>6.35</v>
      </c>
      <c r="V617" t="s">
        <v>21</v>
      </c>
    </row>
    <row r="618" spans="1:22" x14ac:dyDescent="0.35">
      <c r="A618" t="s">
        <v>4743</v>
      </c>
      <c r="B618" t="s">
        <v>66</v>
      </c>
      <c r="C618" t="s">
        <v>27</v>
      </c>
      <c r="D618" t="s">
        <v>4742</v>
      </c>
      <c r="E618" t="s">
        <v>4741</v>
      </c>
      <c r="F618" s="5">
        <v>45517</v>
      </c>
      <c r="G618" t="s">
        <v>126</v>
      </c>
      <c r="H618" t="s">
        <v>4740</v>
      </c>
      <c r="I618" t="s">
        <v>35</v>
      </c>
      <c r="J618" t="s">
        <v>244</v>
      </c>
      <c r="K618" t="s">
        <v>58</v>
      </c>
      <c r="L618" t="s">
        <v>37</v>
      </c>
      <c r="M618" t="s">
        <v>20</v>
      </c>
      <c r="N618">
        <v>1</v>
      </c>
      <c r="O618">
        <v>1353</v>
      </c>
      <c r="P618">
        <v>2299</v>
      </c>
      <c r="Q618">
        <v>10</v>
      </c>
      <c r="R618">
        <v>300</v>
      </c>
      <c r="S618">
        <v>1999</v>
      </c>
      <c r="T618">
        <v>646</v>
      </c>
      <c r="U618">
        <v>32.32</v>
      </c>
      <c r="V618" t="s">
        <v>33</v>
      </c>
    </row>
    <row r="619" spans="1:22" x14ac:dyDescent="0.35">
      <c r="A619" t="s">
        <v>4739</v>
      </c>
      <c r="B619" t="s">
        <v>78</v>
      </c>
      <c r="C619" t="s">
        <v>16</v>
      </c>
      <c r="D619" t="s">
        <v>4738</v>
      </c>
      <c r="E619" t="s">
        <v>4737</v>
      </c>
      <c r="F619" s="5">
        <v>45549</v>
      </c>
      <c r="G619" t="s">
        <v>126</v>
      </c>
      <c r="H619" t="s">
        <v>2450</v>
      </c>
      <c r="I619" t="s">
        <v>17</v>
      </c>
      <c r="J619" t="s">
        <v>48</v>
      </c>
      <c r="K619" t="s">
        <v>48</v>
      </c>
      <c r="L619" t="s">
        <v>25</v>
      </c>
      <c r="M619" t="s">
        <v>19</v>
      </c>
      <c r="N619">
        <v>3</v>
      </c>
      <c r="O619">
        <v>240</v>
      </c>
      <c r="P619">
        <v>399</v>
      </c>
      <c r="Q619">
        <v>0</v>
      </c>
      <c r="R619">
        <v>0</v>
      </c>
      <c r="S619">
        <v>1197</v>
      </c>
      <c r="T619">
        <v>477</v>
      </c>
      <c r="U619">
        <v>39.85</v>
      </c>
      <c r="V619" t="s">
        <v>33</v>
      </c>
    </row>
    <row r="620" spans="1:22" x14ac:dyDescent="0.35">
      <c r="A620" t="s">
        <v>4736</v>
      </c>
      <c r="B620" t="s">
        <v>88</v>
      </c>
      <c r="C620" t="s">
        <v>27</v>
      </c>
      <c r="D620" t="s">
        <v>4735</v>
      </c>
      <c r="E620" t="s">
        <v>4734</v>
      </c>
      <c r="F620" s="5">
        <v>45635</v>
      </c>
      <c r="G620" t="s">
        <v>126</v>
      </c>
      <c r="H620" t="s">
        <v>4733</v>
      </c>
      <c r="I620" t="s">
        <v>17</v>
      </c>
      <c r="J620" t="s">
        <v>55</v>
      </c>
      <c r="K620" t="s">
        <v>55</v>
      </c>
      <c r="L620" t="s">
        <v>25</v>
      </c>
      <c r="M620" t="s">
        <v>19</v>
      </c>
      <c r="N620">
        <v>1</v>
      </c>
      <c r="O620">
        <v>367</v>
      </c>
      <c r="P620">
        <v>699</v>
      </c>
      <c r="Q620">
        <v>0</v>
      </c>
      <c r="R620">
        <v>0</v>
      </c>
      <c r="S620">
        <v>699</v>
      </c>
      <c r="T620">
        <v>332</v>
      </c>
      <c r="U620">
        <v>47.5</v>
      </c>
      <c r="V620" t="s">
        <v>21</v>
      </c>
    </row>
    <row r="621" spans="1:22" x14ac:dyDescent="0.35">
      <c r="A621" t="s">
        <v>4732</v>
      </c>
      <c r="B621" t="s">
        <v>102</v>
      </c>
      <c r="C621" t="s">
        <v>27</v>
      </c>
      <c r="D621" t="s">
        <v>4731</v>
      </c>
      <c r="E621" t="s">
        <v>4730</v>
      </c>
      <c r="F621" s="5">
        <v>45621</v>
      </c>
      <c r="G621" t="s">
        <v>126</v>
      </c>
      <c r="H621" t="s">
        <v>4729</v>
      </c>
      <c r="I621" t="s">
        <v>35</v>
      </c>
      <c r="J621" t="s">
        <v>41</v>
      </c>
      <c r="K621" t="s">
        <v>41</v>
      </c>
      <c r="L621" t="s">
        <v>25</v>
      </c>
      <c r="M621" t="s">
        <v>20</v>
      </c>
      <c r="N621">
        <v>1</v>
      </c>
      <c r="O621">
        <v>590</v>
      </c>
      <c r="P621">
        <v>999</v>
      </c>
      <c r="Q621">
        <v>20</v>
      </c>
      <c r="R621">
        <v>200</v>
      </c>
      <c r="S621">
        <v>799</v>
      </c>
      <c r="T621">
        <v>209</v>
      </c>
      <c r="U621">
        <v>26.16</v>
      </c>
      <c r="V621" t="s">
        <v>21</v>
      </c>
    </row>
    <row r="622" spans="1:22" x14ac:dyDescent="0.35">
      <c r="A622" t="s">
        <v>4728</v>
      </c>
      <c r="B622" t="s">
        <v>99</v>
      </c>
      <c r="C622" t="s">
        <v>27</v>
      </c>
      <c r="D622" t="s">
        <v>4727</v>
      </c>
      <c r="E622" t="s">
        <v>4726</v>
      </c>
      <c r="F622" s="5">
        <v>45446</v>
      </c>
      <c r="G622" t="s">
        <v>126</v>
      </c>
      <c r="H622" t="s">
        <v>3374</v>
      </c>
      <c r="I622" t="s">
        <v>17</v>
      </c>
      <c r="J622" t="s">
        <v>55</v>
      </c>
      <c r="K622" t="s">
        <v>55</v>
      </c>
      <c r="L622" t="s">
        <v>37</v>
      </c>
      <c r="M622" t="s">
        <v>19</v>
      </c>
      <c r="N622">
        <v>1</v>
      </c>
      <c r="O622">
        <v>282</v>
      </c>
      <c r="P622">
        <v>399</v>
      </c>
      <c r="Q622">
        <v>0</v>
      </c>
      <c r="R622">
        <v>0</v>
      </c>
      <c r="S622">
        <v>399</v>
      </c>
      <c r="T622">
        <v>117</v>
      </c>
      <c r="U622">
        <v>29.32</v>
      </c>
      <c r="V622" t="s">
        <v>33</v>
      </c>
    </row>
    <row r="623" spans="1:22" x14ac:dyDescent="0.35">
      <c r="A623" t="s">
        <v>4725</v>
      </c>
      <c r="B623" t="s">
        <v>59</v>
      </c>
      <c r="C623" t="s">
        <v>27</v>
      </c>
      <c r="D623" t="s">
        <v>4724</v>
      </c>
      <c r="E623" t="s">
        <v>4723</v>
      </c>
      <c r="F623" s="5">
        <v>45648</v>
      </c>
      <c r="G623" t="s">
        <v>126</v>
      </c>
      <c r="H623" t="s">
        <v>3979</v>
      </c>
      <c r="I623" t="s">
        <v>23</v>
      </c>
      <c r="J623" t="s">
        <v>164</v>
      </c>
      <c r="K623" t="s">
        <v>24</v>
      </c>
      <c r="L623" t="s">
        <v>25</v>
      </c>
      <c r="M623" t="s">
        <v>20</v>
      </c>
      <c r="N623">
        <v>2</v>
      </c>
      <c r="O623">
        <v>1576</v>
      </c>
      <c r="P623">
        <v>2299</v>
      </c>
      <c r="Q623">
        <v>10</v>
      </c>
      <c r="R623">
        <v>600</v>
      </c>
      <c r="S623">
        <v>3998</v>
      </c>
      <c r="T623">
        <v>846</v>
      </c>
      <c r="U623">
        <v>21.16</v>
      </c>
      <c r="V623" t="s">
        <v>21</v>
      </c>
    </row>
    <row r="624" spans="1:22" x14ac:dyDescent="0.35">
      <c r="A624" t="s">
        <v>4722</v>
      </c>
      <c r="B624" t="s">
        <v>61</v>
      </c>
      <c r="C624" t="s">
        <v>27</v>
      </c>
      <c r="D624" t="s">
        <v>4721</v>
      </c>
      <c r="E624" t="s">
        <v>4720</v>
      </c>
      <c r="F624" s="5">
        <v>45508</v>
      </c>
      <c r="G624" t="s">
        <v>126</v>
      </c>
      <c r="H624" t="s">
        <v>563</v>
      </c>
      <c r="I624" t="s">
        <v>23</v>
      </c>
      <c r="J624" t="s">
        <v>142</v>
      </c>
      <c r="K624" t="s">
        <v>43</v>
      </c>
      <c r="L624" t="s">
        <v>25</v>
      </c>
      <c r="M624" t="s">
        <v>20</v>
      </c>
      <c r="N624">
        <v>4</v>
      </c>
      <c r="O624">
        <v>2450</v>
      </c>
      <c r="P624">
        <v>4399</v>
      </c>
      <c r="Q624">
        <v>20</v>
      </c>
      <c r="R624">
        <v>3600</v>
      </c>
      <c r="S624">
        <v>13996</v>
      </c>
      <c r="T624">
        <v>4196</v>
      </c>
      <c r="U624">
        <v>29.98</v>
      </c>
      <c r="V624" t="s">
        <v>33</v>
      </c>
    </row>
    <row r="625" spans="1:22" x14ac:dyDescent="0.35">
      <c r="A625" t="s">
        <v>4719</v>
      </c>
      <c r="B625" t="s">
        <v>40</v>
      </c>
      <c r="C625" t="s">
        <v>27</v>
      </c>
      <c r="D625" t="s">
        <v>4718</v>
      </c>
      <c r="E625" t="s">
        <v>4717</v>
      </c>
      <c r="F625" s="5">
        <v>45535</v>
      </c>
      <c r="G625" t="s">
        <v>126</v>
      </c>
      <c r="H625" t="s">
        <v>4716</v>
      </c>
      <c r="I625" t="s">
        <v>35</v>
      </c>
      <c r="J625" t="s">
        <v>39</v>
      </c>
      <c r="K625" t="s">
        <v>39</v>
      </c>
      <c r="L625" t="s">
        <v>25</v>
      </c>
      <c r="M625" t="s">
        <v>20</v>
      </c>
      <c r="N625">
        <v>4</v>
      </c>
      <c r="O625">
        <v>949</v>
      </c>
      <c r="P625">
        <v>1499</v>
      </c>
      <c r="Q625">
        <v>10</v>
      </c>
      <c r="R625">
        <v>800</v>
      </c>
      <c r="S625">
        <v>5196</v>
      </c>
      <c r="T625">
        <v>1400</v>
      </c>
      <c r="U625">
        <v>26.94</v>
      </c>
      <c r="V625" t="s">
        <v>33</v>
      </c>
    </row>
    <row r="626" spans="1:22" x14ac:dyDescent="0.35">
      <c r="A626" t="s">
        <v>4715</v>
      </c>
      <c r="B626" t="s">
        <v>74</v>
      </c>
      <c r="C626" t="s">
        <v>16</v>
      </c>
      <c r="D626" t="s">
        <v>4714</v>
      </c>
      <c r="E626" t="s">
        <v>4713</v>
      </c>
      <c r="F626" s="5">
        <v>45530</v>
      </c>
      <c r="G626" t="s">
        <v>126</v>
      </c>
      <c r="H626" t="s">
        <v>2919</v>
      </c>
      <c r="I626" t="s">
        <v>23</v>
      </c>
      <c r="J626" t="s">
        <v>142</v>
      </c>
      <c r="K626" t="s">
        <v>43</v>
      </c>
      <c r="L626" t="s">
        <v>19</v>
      </c>
      <c r="M626" t="s">
        <v>19</v>
      </c>
      <c r="N626">
        <v>3</v>
      </c>
      <c r="O626">
        <v>3112</v>
      </c>
      <c r="P626">
        <v>4199</v>
      </c>
      <c r="Q626">
        <v>15</v>
      </c>
      <c r="R626">
        <v>2100</v>
      </c>
      <c r="S626">
        <v>10497</v>
      </c>
      <c r="T626">
        <v>1161</v>
      </c>
      <c r="U626">
        <v>11.06</v>
      </c>
      <c r="V626" t="s">
        <v>33</v>
      </c>
    </row>
    <row r="627" spans="1:22" x14ac:dyDescent="0.35">
      <c r="A627" t="s">
        <v>4712</v>
      </c>
      <c r="B627" t="s">
        <v>104</v>
      </c>
      <c r="C627" t="s">
        <v>27</v>
      </c>
      <c r="D627" t="s">
        <v>4711</v>
      </c>
      <c r="E627" t="s">
        <v>4710</v>
      </c>
      <c r="F627" s="5">
        <v>45522</v>
      </c>
      <c r="G627" t="s">
        <v>126</v>
      </c>
      <c r="H627" t="s">
        <v>599</v>
      </c>
      <c r="I627" t="s">
        <v>35</v>
      </c>
      <c r="J627" t="s">
        <v>41</v>
      </c>
      <c r="K627" t="s">
        <v>41</v>
      </c>
      <c r="L627" t="s">
        <v>19</v>
      </c>
      <c r="M627" t="s">
        <v>19</v>
      </c>
      <c r="N627">
        <v>1</v>
      </c>
      <c r="O627">
        <v>768</v>
      </c>
      <c r="P627">
        <v>1199</v>
      </c>
      <c r="Q627">
        <v>10</v>
      </c>
      <c r="R627">
        <v>200</v>
      </c>
      <c r="S627">
        <v>999</v>
      </c>
      <c r="T627">
        <v>231</v>
      </c>
      <c r="U627">
        <v>23.12</v>
      </c>
      <c r="V627" t="s">
        <v>33</v>
      </c>
    </row>
    <row r="628" spans="1:22" x14ac:dyDescent="0.35">
      <c r="A628" t="s">
        <v>4709</v>
      </c>
      <c r="B628" t="s">
        <v>101</v>
      </c>
      <c r="C628" t="s">
        <v>16</v>
      </c>
      <c r="D628" t="s">
        <v>4708</v>
      </c>
      <c r="E628" t="s">
        <v>4707</v>
      </c>
      <c r="F628" s="5">
        <v>45589</v>
      </c>
      <c r="G628" t="s">
        <v>126</v>
      </c>
      <c r="H628" t="s">
        <v>325</v>
      </c>
      <c r="I628" t="s">
        <v>35</v>
      </c>
      <c r="J628" t="s">
        <v>214</v>
      </c>
      <c r="K628" t="s">
        <v>50</v>
      </c>
      <c r="L628" t="s">
        <v>25</v>
      </c>
      <c r="M628" t="s">
        <v>19</v>
      </c>
      <c r="N628">
        <v>1</v>
      </c>
      <c r="O628">
        <v>677</v>
      </c>
      <c r="P628">
        <v>1099</v>
      </c>
      <c r="Q628">
        <v>5</v>
      </c>
      <c r="R628">
        <v>100</v>
      </c>
      <c r="S628">
        <v>999</v>
      </c>
      <c r="T628">
        <v>322</v>
      </c>
      <c r="U628">
        <v>32.229999999999997</v>
      </c>
      <c r="V628" t="s">
        <v>21</v>
      </c>
    </row>
    <row r="629" spans="1:22" x14ac:dyDescent="0.35">
      <c r="A629" t="s">
        <v>4706</v>
      </c>
      <c r="B629" t="s">
        <v>107</v>
      </c>
      <c r="C629" t="s">
        <v>27</v>
      </c>
      <c r="D629" t="s">
        <v>4705</v>
      </c>
      <c r="E629" t="s">
        <v>4704</v>
      </c>
      <c r="F629" s="5">
        <v>45588</v>
      </c>
      <c r="G629" t="s">
        <v>126</v>
      </c>
      <c r="H629" t="s">
        <v>766</v>
      </c>
      <c r="I629" t="s">
        <v>17</v>
      </c>
      <c r="J629" t="s">
        <v>55</v>
      </c>
      <c r="K629" t="s">
        <v>55</v>
      </c>
      <c r="L629" t="s">
        <v>19</v>
      </c>
      <c r="M629" t="s">
        <v>20</v>
      </c>
      <c r="N629">
        <v>1</v>
      </c>
      <c r="O629">
        <v>485</v>
      </c>
      <c r="P629">
        <v>799</v>
      </c>
      <c r="Q629">
        <v>0</v>
      </c>
      <c r="R629">
        <v>0</v>
      </c>
      <c r="S629">
        <v>799</v>
      </c>
      <c r="T629">
        <v>314</v>
      </c>
      <c r="U629">
        <v>39.299999999999997</v>
      </c>
      <c r="V629" t="s">
        <v>21</v>
      </c>
    </row>
    <row r="630" spans="1:22" x14ac:dyDescent="0.35">
      <c r="A630" t="s">
        <v>4703</v>
      </c>
      <c r="B630" t="s">
        <v>70</v>
      </c>
      <c r="C630" t="s">
        <v>27</v>
      </c>
      <c r="D630" t="s">
        <v>4702</v>
      </c>
      <c r="E630" t="s">
        <v>4701</v>
      </c>
      <c r="F630" s="5">
        <v>45517</v>
      </c>
      <c r="G630" t="s">
        <v>126</v>
      </c>
      <c r="H630" t="s">
        <v>4672</v>
      </c>
      <c r="I630" t="s">
        <v>23</v>
      </c>
      <c r="J630" t="s">
        <v>164</v>
      </c>
      <c r="K630" t="s">
        <v>24</v>
      </c>
      <c r="L630" t="s">
        <v>37</v>
      </c>
      <c r="M630" t="s">
        <v>19</v>
      </c>
      <c r="N630">
        <v>1</v>
      </c>
      <c r="O630">
        <v>1307</v>
      </c>
      <c r="P630">
        <v>2299</v>
      </c>
      <c r="Q630">
        <v>10</v>
      </c>
      <c r="R630">
        <v>300</v>
      </c>
      <c r="S630">
        <v>1999</v>
      </c>
      <c r="T630">
        <v>692</v>
      </c>
      <c r="U630">
        <v>34.619999999999997</v>
      </c>
      <c r="V630" t="s">
        <v>33</v>
      </c>
    </row>
    <row r="631" spans="1:22" x14ac:dyDescent="0.35">
      <c r="A631" t="s">
        <v>4700</v>
      </c>
      <c r="B631" t="s">
        <v>91</v>
      </c>
      <c r="C631" t="s">
        <v>16</v>
      </c>
      <c r="D631" t="s">
        <v>4699</v>
      </c>
      <c r="E631" t="s">
        <v>4698</v>
      </c>
      <c r="F631" s="5">
        <v>45647</v>
      </c>
      <c r="G631" t="s">
        <v>126</v>
      </c>
      <c r="H631" t="s">
        <v>536</v>
      </c>
      <c r="I631" t="s">
        <v>28</v>
      </c>
      <c r="J631" t="s">
        <v>45</v>
      </c>
      <c r="K631" t="s">
        <v>45</v>
      </c>
      <c r="L631" t="s">
        <v>37</v>
      </c>
      <c r="M631" t="s">
        <v>20</v>
      </c>
      <c r="N631">
        <v>3</v>
      </c>
      <c r="O631">
        <v>607</v>
      </c>
      <c r="P631">
        <v>1199</v>
      </c>
      <c r="Q631">
        <v>15</v>
      </c>
      <c r="R631">
        <v>600</v>
      </c>
      <c r="S631">
        <v>2997</v>
      </c>
      <c r="T631">
        <v>1176</v>
      </c>
      <c r="U631">
        <v>39.24</v>
      </c>
      <c r="V631" t="s">
        <v>21</v>
      </c>
    </row>
    <row r="632" spans="1:22" x14ac:dyDescent="0.35">
      <c r="A632" t="s">
        <v>4697</v>
      </c>
      <c r="B632" t="s">
        <v>109</v>
      </c>
      <c r="C632" t="s">
        <v>16</v>
      </c>
      <c r="D632" t="s">
        <v>4696</v>
      </c>
      <c r="E632" t="s">
        <v>4695</v>
      </c>
      <c r="F632" s="5">
        <v>45492</v>
      </c>
      <c r="G632" t="s">
        <v>126</v>
      </c>
      <c r="H632" t="s">
        <v>2532</v>
      </c>
      <c r="I632" t="s">
        <v>17</v>
      </c>
      <c r="J632" t="s">
        <v>55</v>
      </c>
      <c r="K632" t="s">
        <v>55</v>
      </c>
      <c r="L632" t="s">
        <v>25</v>
      </c>
      <c r="M632" t="s">
        <v>20</v>
      </c>
      <c r="N632">
        <v>5</v>
      </c>
      <c r="O632">
        <v>497</v>
      </c>
      <c r="P632">
        <v>799</v>
      </c>
      <c r="Q632">
        <v>0</v>
      </c>
      <c r="R632">
        <v>0</v>
      </c>
      <c r="S632">
        <v>3995</v>
      </c>
      <c r="T632">
        <v>1510</v>
      </c>
      <c r="U632">
        <v>37.799999999999997</v>
      </c>
      <c r="V632" t="s">
        <v>21</v>
      </c>
    </row>
    <row r="633" spans="1:22" x14ac:dyDescent="0.35">
      <c r="A633" t="s">
        <v>4694</v>
      </c>
      <c r="B633" t="s">
        <v>67</v>
      </c>
      <c r="C633" t="s">
        <v>27</v>
      </c>
      <c r="D633" t="s">
        <v>4693</v>
      </c>
      <c r="E633" t="s">
        <v>4692</v>
      </c>
      <c r="F633" s="5">
        <v>45572</v>
      </c>
      <c r="G633" t="s">
        <v>126</v>
      </c>
      <c r="H633" t="s">
        <v>3079</v>
      </c>
      <c r="I633" t="s">
        <v>17</v>
      </c>
      <c r="J633" t="s">
        <v>55</v>
      </c>
      <c r="K633" t="s">
        <v>55</v>
      </c>
      <c r="L633" t="s">
        <v>37</v>
      </c>
      <c r="M633" t="s">
        <v>20</v>
      </c>
      <c r="N633">
        <v>1</v>
      </c>
      <c r="O633">
        <v>311</v>
      </c>
      <c r="P633">
        <v>499</v>
      </c>
      <c r="Q633">
        <v>0</v>
      </c>
      <c r="R633">
        <v>0</v>
      </c>
      <c r="S633">
        <v>499</v>
      </c>
      <c r="T633">
        <v>188</v>
      </c>
      <c r="U633">
        <v>37.68</v>
      </c>
      <c r="V633" t="s">
        <v>33</v>
      </c>
    </row>
    <row r="634" spans="1:22" x14ac:dyDescent="0.35">
      <c r="A634" t="s">
        <v>4691</v>
      </c>
      <c r="B634" t="s">
        <v>59</v>
      </c>
      <c r="C634" t="s">
        <v>27</v>
      </c>
      <c r="D634" t="s">
        <v>4690</v>
      </c>
      <c r="E634" t="s">
        <v>1750</v>
      </c>
      <c r="F634" s="5">
        <v>45451</v>
      </c>
      <c r="G634" t="s">
        <v>126</v>
      </c>
      <c r="H634" t="s">
        <v>3382</v>
      </c>
      <c r="I634" t="s">
        <v>35</v>
      </c>
      <c r="J634" t="s">
        <v>214</v>
      </c>
      <c r="K634" t="s">
        <v>87</v>
      </c>
      <c r="L634" t="s">
        <v>19</v>
      </c>
      <c r="M634" t="s">
        <v>19</v>
      </c>
      <c r="N634">
        <v>1</v>
      </c>
      <c r="O634">
        <v>1780</v>
      </c>
      <c r="P634">
        <v>3199</v>
      </c>
      <c r="Q634">
        <v>5</v>
      </c>
      <c r="R634">
        <v>200</v>
      </c>
      <c r="S634">
        <v>2999</v>
      </c>
      <c r="T634">
        <v>1219</v>
      </c>
      <c r="U634">
        <v>40.65</v>
      </c>
      <c r="V634" t="s">
        <v>21</v>
      </c>
    </row>
    <row r="635" spans="1:22" x14ac:dyDescent="0.35">
      <c r="A635" t="s">
        <v>4689</v>
      </c>
      <c r="B635" t="s">
        <v>80</v>
      </c>
      <c r="C635" t="s">
        <v>27</v>
      </c>
      <c r="D635" t="s">
        <v>4688</v>
      </c>
      <c r="E635" t="s">
        <v>4687</v>
      </c>
      <c r="F635" s="5">
        <v>45448</v>
      </c>
      <c r="G635" t="s">
        <v>126</v>
      </c>
      <c r="H635" t="s">
        <v>972</v>
      </c>
      <c r="I635" t="s">
        <v>23</v>
      </c>
      <c r="J635" t="s">
        <v>164</v>
      </c>
      <c r="K635" t="s">
        <v>24</v>
      </c>
      <c r="L635" t="s">
        <v>37</v>
      </c>
      <c r="M635" t="s">
        <v>20</v>
      </c>
      <c r="N635">
        <v>5</v>
      </c>
      <c r="O635">
        <v>581</v>
      </c>
      <c r="P635">
        <v>999</v>
      </c>
      <c r="Q635">
        <v>15</v>
      </c>
      <c r="R635">
        <v>1000</v>
      </c>
      <c r="S635">
        <v>3995</v>
      </c>
      <c r="T635">
        <v>1090</v>
      </c>
      <c r="U635">
        <v>27.28</v>
      </c>
      <c r="V635" t="s">
        <v>33</v>
      </c>
    </row>
    <row r="636" spans="1:22" x14ac:dyDescent="0.35">
      <c r="A636" t="s">
        <v>4686</v>
      </c>
      <c r="B636" t="s">
        <v>46</v>
      </c>
      <c r="C636" t="s">
        <v>16</v>
      </c>
      <c r="D636" t="s">
        <v>4685</v>
      </c>
      <c r="E636" t="s">
        <v>4684</v>
      </c>
      <c r="F636" s="5">
        <v>45640</v>
      </c>
      <c r="G636" t="s">
        <v>126</v>
      </c>
      <c r="H636" t="s">
        <v>2532</v>
      </c>
      <c r="I636" t="s">
        <v>31</v>
      </c>
      <c r="J636" t="s">
        <v>32</v>
      </c>
      <c r="K636" t="s">
        <v>32</v>
      </c>
      <c r="L636" t="s">
        <v>19</v>
      </c>
      <c r="M636" t="s">
        <v>20</v>
      </c>
      <c r="N636">
        <v>1</v>
      </c>
      <c r="O636">
        <v>954</v>
      </c>
      <c r="P636">
        <v>1399</v>
      </c>
      <c r="Q636">
        <v>0</v>
      </c>
      <c r="R636">
        <v>0</v>
      </c>
      <c r="S636">
        <v>1399</v>
      </c>
      <c r="T636">
        <v>445</v>
      </c>
      <c r="U636">
        <v>31.81</v>
      </c>
      <c r="V636" t="s">
        <v>21</v>
      </c>
    </row>
    <row r="637" spans="1:22" x14ac:dyDescent="0.35">
      <c r="A637" t="s">
        <v>4683</v>
      </c>
      <c r="B637" t="s">
        <v>54</v>
      </c>
      <c r="C637" t="s">
        <v>27</v>
      </c>
      <c r="D637" t="s">
        <v>4682</v>
      </c>
      <c r="E637" t="s">
        <v>4681</v>
      </c>
      <c r="F637" s="5">
        <v>45647</v>
      </c>
      <c r="G637" t="s">
        <v>126</v>
      </c>
      <c r="H637" t="s">
        <v>4680</v>
      </c>
      <c r="I637" t="s">
        <v>17</v>
      </c>
      <c r="J637" t="s">
        <v>235</v>
      </c>
      <c r="K637" t="s">
        <v>18</v>
      </c>
      <c r="L637" t="s">
        <v>25</v>
      </c>
      <c r="M637" t="s">
        <v>19</v>
      </c>
      <c r="N637">
        <v>1</v>
      </c>
      <c r="O637">
        <v>280</v>
      </c>
      <c r="P637">
        <v>499</v>
      </c>
      <c r="Q637">
        <v>0</v>
      </c>
      <c r="R637">
        <v>0</v>
      </c>
      <c r="S637">
        <v>499</v>
      </c>
      <c r="T637">
        <v>219</v>
      </c>
      <c r="U637">
        <v>43.89</v>
      </c>
      <c r="V637" t="s">
        <v>21</v>
      </c>
    </row>
    <row r="638" spans="1:22" x14ac:dyDescent="0.35">
      <c r="A638" t="s">
        <v>4679</v>
      </c>
      <c r="B638" t="s">
        <v>44</v>
      </c>
      <c r="C638" t="s">
        <v>16</v>
      </c>
      <c r="D638" t="s">
        <v>4678</v>
      </c>
      <c r="E638" t="s">
        <v>4677</v>
      </c>
      <c r="F638" s="5">
        <v>45524</v>
      </c>
      <c r="G638" t="s">
        <v>126</v>
      </c>
      <c r="H638" t="s">
        <v>4676</v>
      </c>
      <c r="I638" t="s">
        <v>17</v>
      </c>
      <c r="J638" t="s">
        <v>253</v>
      </c>
      <c r="K638" t="s">
        <v>72</v>
      </c>
      <c r="L638" t="s">
        <v>25</v>
      </c>
      <c r="M638" t="s">
        <v>19</v>
      </c>
      <c r="N638">
        <v>1</v>
      </c>
      <c r="O638">
        <v>273</v>
      </c>
      <c r="P638">
        <v>499</v>
      </c>
      <c r="Q638">
        <v>0</v>
      </c>
      <c r="R638">
        <v>0</v>
      </c>
      <c r="S638">
        <v>499</v>
      </c>
      <c r="T638">
        <v>226</v>
      </c>
      <c r="U638">
        <v>45.29</v>
      </c>
      <c r="V638" t="s">
        <v>21</v>
      </c>
    </row>
    <row r="639" spans="1:22" x14ac:dyDescent="0.35">
      <c r="A639" t="s">
        <v>4675</v>
      </c>
      <c r="B639" t="s">
        <v>67</v>
      </c>
      <c r="C639" t="s">
        <v>27</v>
      </c>
      <c r="D639" t="s">
        <v>4674</v>
      </c>
      <c r="E639" t="s">
        <v>4673</v>
      </c>
      <c r="F639" s="5">
        <v>45617</v>
      </c>
      <c r="G639" t="s">
        <v>126</v>
      </c>
      <c r="H639" t="s">
        <v>4672</v>
      </c>
      <c r="I639" t="s">
        <v>28</v>
      </c>
      <c r="J639" t="s">
        <v>45</v>
      </c>
      <c r="K639" t="s">
        <v>45</v>
      </c>
      <c r="L639" t="s">
        <v>37</v>
      </c>
      <c r="M639" t="s">
        <v>19</v>
      </c>
      <c r="N639">
        <v>1</v>
      </c>
      <c r="O639">
        <v>407</v>
      </c>
      <c r="P639">
        <v>799</v>
      </c>
      <c r="Q639">
        <v>20</v>
      </c>
      <c r="R639">
        <v>200</v>
      </c>
      <c r="S639">
        <v>599</v>
      </c>
      <c r="T639">
        <v>192</v>
      </c>
      <c r="U639">
        <v>32.049999999999997</v>
      </c>
      <c r="V639" t="s">
        <v>21</v>
      </c>
    </row>
    <row r="640" spans="1:22" x14ac:dyDescent="0.35">
      <c r="A640" t="s">
        <v>4671</v>
      </c>
      <c r="B640" t="s">
        <v>108</v>
      </c>
      <c r="C640" t="s">
        <v>27</v>
      </c>
      <c r="D640" t="s">
        <v>4670</v>
      </c>
      <c r="E640" t="s">
        <v>2147</v>
      </c>
      <c r="F640" s="5">
        <v>45589</v>
      </c>
      <c r="G640" t="s">
        <v>126</v>
      </c>
      <c r="H640" t="s">
        <v>4257</v>
      </c>
      <c r="I640" t="s">
        <v>35</v>
      </c>
      <c r="J640" t="s">
        <v>41</v>
      </c>
      <c r="K640" t="s">
        <v>41</v>
      </c>
      <c r="L640" t="s">
        <v>37</v>
      </c>
      <c r="M640" t="s">
        <v>19</v>
      </c>
      <c r="N640">
        <v>2</v>
      </c>
      <c r="O640">
        <v>704</v>
      </c>
      <c r="P640">
        <v>999</v>
      </c>
      <c r="Q640">
        <v>15</v>
      </c>
      <c r="R640">
        <v>400</v>
      </c>
      <c r="S640">
        <v>1598</v>
      </c>
      <c r="T640">
        <v>190</v>
      </c>
      <c r="U640">
        <v>11.89</v>
      </c>
      <c r="V640" t="s">
        <v>33</v>
      </c>
    </row>
    <row r="641" spans="1:22" x14ac:dyDescent="0.35">
      <c r="A641" t="s">
        <v>4669</v>
      </c>
      <c r="B641" t="s">
        <v>44</v>
      </c>
      <c r="C641" t="s">
        <v>16</v>
      </c>
      <c r="D641" t="s">
        <v>4668</v>
      </c>
      <c r="E641" t="s">
        <v>4667</v>
      </c>
      <c r="F641" s="5">
        <v>45654</v>
      </c>
      <c r="G641" t="s">
        <v>126</v>
      </c>
      <c r="H641" t="s">
        <v>1231</v>
      </c>
      <c r="I641" t="s">
        <v>31</v>
      </c>
      <c r="J641" t="s">
        <v>32</v>
      </c>
      <c r="K641" t="s">
        <v>32</v>
      </c>
      <c r="L641" t="s">
        <v>25</v>
      </c>
      <c r="M641" t="s">
        <v>20</v>
      </c>
      <c r="N641">
        <v>5</v>
      </c>
      <c r="O641">
        <v>648</v>
      </c>
      <c r="P641">
        <v>899</v>
      </c>
      <c r="Q641">
        <v>0</v>
      </c>
      <c r="R641">
        <v>0</v>
      </c>
      <c r="S641">
        <v>4495</v>
      </c>
      <c r="T641">
        <v>1255</v>
      </c>
      <c r="U641">
        <v>27.92</v>
      </c>
      <c r="V641" t="s">
        <v>21</v>
      </c>
    </row>
    <row r="642" spans="1:22" x14ac:dyDescent="0.35">
      <c r="A642" t="s">
        <v>4666</v>
      </c>
      <c r="B642" t="s">
        <v>102</v>
      </c>
      <c r="C642" t="s">
        <v>27</v>
      </c>
      <c r="D642" t="s">
        <v>4665</v>
      </c>
      <c r="E642" t="s">
        <v>1415</v>
      </c>
      <c r="F642" s="5">
        <v>45502</v>
      </c>
      <c r="G642" t="s">
        <v>126</v>
      </c>
      <c r="H642" t="s">
        <v>4496</v>
      </c>
      <c r="I642" t="s">
        <v>35</v>
      </c>
      <c r="J642" t="s">
        <v>41</v>
      </c>
      <c r="K642" t="s">
        <v>41</v>
      </c>
      <c r="L642" t="s">
        <v>37</v>
      </c>
      <c r="M642" t="s">
        <v>19</v>
      </c>
      <c r="N642">
        <v>5</v>
      </c>
      <c r="O642">
        <v>827</v>
      </c>
      <c r="P642">
        <v>1199</v>
      </c>
      <c r="Q642">
        <v>15</v>
      </c>
      <c r="R642">
        <v>1000</v>
      </c>
      <c r="S642">
        <v>4995</v>
      </c>
      <c r="T642">
        <v>860</v>
      </c>
      <c r="U642">
        <v>17.22</v>
      </c>
      <c r="V642" t="s">
        <v>21</v>
      </c>
    </row>
    <row r="643" spans="1:22" x14ac:dyDescent="0.35">
      <c r="A643" t="s">
        <v>4664</v>
      </c>
      <c r="B643" t="s">
        <v>106</v>
      </c>
      <c r="C643" t="s">
        <v>27</v>
      </c>
      <c r="D643" t="s">
        <v>4663</v>
      </c>
      <c r="E643" t="s">
        <v>428</v>
      </c>
      <c r="F643" s="5">
        <v>45579</v>
      </c>
      <c r="G643" t="s">
        <v>126</v>
      </c>
      <c r="H643" t="s">
        <v>485</v>
      </c>
      <c r="I643" t="s">
        <v>31</v>
      </c>
      <c r="J643" t="s">
        <v>32</v>
      </c>
      <c r="K643" t="s">
        <v>32</v>
      </c>
      <c r="L643" t="s">
        <v>25</v>
      </c>
      <c r="M643" t="s">
        <v>19</v>
      </c>
      <c r="N643">
        <v>5</v>
      </c>
      <c r="O643">
        <v>835</v>
      </c>
      <c r="P643">
        <v>1399</v>
      </c>
      <c r="Q643">
        <v>0</v>
      </c>
      <c r="R643">
        <v>0</v>
      </c>
      <c r="S643">
        <v>6995</v>
      </c>
      <c r="T643">
        <v>2820</v>
      </c>
      <c r="U643">
        <v>40.31</v>
      </c>
      <c r="V643" t="s">
        <v>33</v>
      </c>
    </row>
    <row r="644" spans="1:22" x14ac:dyDescent="0.35">
      <c r="A644" t="s">
        <v>4662</v>
      </c>
      <c r="B644" t="s">
        <v>86</v>
      </c>
      <c r="C644" t="s">
        <v>27</v>
      </c>
      <c r="D644" t="s">
        <v>4661</v>
      </c>
      <c r="E644" t="s">
        <v>4660</v>
      </c>
      <c r="F644" s="5">
        <v>45450</v>
      </c>
      <c r="G644" t="s">
        <v>126</v>
      </c>
      <c r="H644" t="s">
        <v>2378</v>
      </c>
      <c r="I644" t="s">
        <v>17</v>
      </c>
      <c r="J644" t="s">
        <v>253</v>
      </c>
      <c r="K644" t="s">
        <v>72</v>
      </c>
      <c r="L644" t="s">
        <v>19</v>
      </c>
      <c r="M644" t="s">
        <v>20</v>
      </c>
      <c r="N644">
        <v>1</v>
      </c>
      <c r="O644">
        <v>272</v>
      </c>
      <c r="P644">
        <v>399</v>
      </c>
      <c r="Q644">
        <v>0</v>
      </c>
      <c r="R644">
        <v>0</v>
      </c>
      <c r="S644">
        <v>399</v>
      </c>
      <c r="T644">
        <v>127</v>
      </c>
      <c r="U644">
        <v>31.83</v>
      </c>
      <c r="V644" t="s">
        <v>21</v>
      </c>
    </row>
    <row r="645" spans="1:22" x14ac:dyDescent="0.35">
      <c r="A645" t="s">
        <v>4659</v>
      </c>
      <c r="B645" t="s">
        <v>65</v>
      </c>
      <c r="C645" t="s">
        <v>16</v>
      </c>
      <c r="D645" t="s">
        <v>4658</v>
      </c>
      <c r="E645" t="s">
        <v>4657</v>
      </c>
      <c r="F645" s="5">
        <v>45579</v>
      </c>
      <c r="G645" t="s">
        <v>126</v>
      </c>
      <c r="H645" t="s">
        <v>615</v>
      </c>
      <c r="I645" t="s">
        <v>28</v>
      </c>
      <c r="J645" t="s">
        <v>45</v>
      </c>
      <c r="K645" t="s">
        <v>45</v>
      </c>
      <c r="L645" t="s">
        <v>19</v>
      </c>
      <c r="M645" t="s">
        <v>20</v>
      </c>
      <c r="N645">
        <v>1</v>
      </c>
      <c r="O645">
        <v>414</v>
      </c>
      <c r="P645">
        <v>699</v>
      </c>
      <c r="Q645">
        <v>5</v>
      </c>
      <c r="R645">
        <v>100</v>
      </c>
      <c r="S645">
        <v>599</v>
      </c>
      <c r="T645">
        <v>185</v>
      </c>
      <c r="U645">
        <v>30.88</v>
      </c>
      <c r="V645" t="s">
        <v>33</v>
      </c>
    </row>
    <row r="646" spans="1:22" x14ac:dyDescent="0.35">
      <c r="A646" t="s">
        <v>4656</v>
      </c>
      <c r="B646" t="s">
        <v>53</v>
      </c>
      <c r="C646" t="s">
        <v>27</v>
      </c>
      <c r="D646" t="s">
        <v>4655</v>
      </c>
      <c r="E646" t="s">
        <v>4654</v>
      </c>
      <c r="F646" s="5">
        <v>45444</v>
      </c>
      <c r="G646" t="s">
        <v>126</v>
      </c>
      <c r="H646" t="s">
        <v>4653</v>
      </c>
      <c r="I646" t="s">
        <v>31</v>
      </c>
      <c r="J646" t="s">
        <v>76</v>
      </c>
      <c r="K646" t="s">
        <v>76</v>
      </c>
      <c r="L646" t="s">
        <v>25</v>
      </c>
      <c r="M646" t="s">
        <v>20</v>
      </c>
      <c r="N646">
        <v>1</v>
      </c>
      <c r="O646">
        <v>1012</v>
      </c>
      <c r="P646">
        <v>1499</v>
      </c>
      <c r="Q646">
        <v>0</v>
      </c>
      <c r="R646">
        <v>0</v>
      </c>
      <c r="S646">
        <v>1499</v>
      </c>
      <c r="T646">
        <v>487</v>
      </c>
      <c r="U646">
        <v>32.49</v>
      </c>
      <c r="V646" t="s">
        <v>21</v>
      </c>
    </row>
    <row r="647" spans="1:22" x14ac:dyDescent="0.35">
      <c r="A647" t="s">
        <v>4652</v>
      </c>
      <c r="B647" t="s">
        <v>97</v>
      </c>
      <c r="C647" t="s">
        <v>16</v>
      </c>
      <c r="D647" t="s">
        <v>4651</v>
      </c>
      <c r="E647" t="s">
        <v>4650</v>
      </c>
      <c r="F647" s="5">
        <v>45487</v>
      </c>
      <c r="G647" t="s">
        <v>126</v>
      </c>
      <c r="H647" t="s">
        <v>3065</v>
      </c>
      <c r="I647" t="s">
        <v>28</v>
      </c>
      <c r="J647" t="s">
        <v>201</v>
      </c>
      <c r="K647" t="s">
        <v>29</v>
      </c>
      <c r="L647" t="s">
        <v>37</v>
      </c>
      <c r="M647" t="s">
        <v>20</v>
      </c>
      <c r="N647">
        <v>4</v>
      </c>
      <c r="O647">
        <v>500</v>
      </c>
      <c r="P647">
        <v>699</v>
      </c>
      <c r="Q647">
        <v>10</v>
      </c>
      <c r="R647">
        <v>400</v>
      </c>
      <c r="S647">
        <v>2396</v>
      </c>
      <c r="T647">
        <v>396</v>
      </c>
      <c r="U647">
        <v>16.53</v>
      </c>
      <c r="V647" t="s">
        <v>21</v>
      </c>
    </row>
    <row r="648" spans="1:22" x14ac:dyDescent="0.35">
      <c r="A648" t="s">
        <v>4649</v>
      </c>
      <c r="B648" t="s">
        <v>46</v>
      </c>
      <c r="C648" t="s">
        <v>16</v>
      </c>
      <c r="D648" t="s">
        <v>4648</v>
      </c>
      <c r="E648" t="s">
        <v>2209</v>
      </c>
      <c r="F648" s="5">
        <v>45465</v>
      </c>
      <c r="G648" t="s">
        <v>126</v>
      </c>
      <c r="H648" t="s">
        <v>143</v>
      </c>
      <c r="I648" t="s">
        <v>17</v>
      </c>
      <c r="J648" t="s">
        <v>48</v>
      </c>
      <c r="K648" t="s">
        <v>48</v>
      </c>
      <c r="L648" t="s">
        <v>37</v>
      </c>
      <c r="M648" t="s">
        <v>20</v>
      </c>
      <c r="N648">
        <v>2</v>
      </c>
      <c r="O648">
        <v>187</v>
      </c>
      <c r="P648">
        <v>299</v>
      </c>
      <c r="Q648">
        <v>0</v>
      </c>
      <c r="R648">
        <v>0</v>
      </c>
      <c r="S648">
        <v>598</v>
      </c>
      <c r="T648">
        <v>224</v>
      </c>
      <c r="U648">
        <v>37.46</v>
      </c>
      <c r="V648" t="s">
        <v>21</v>
      </c>
    </row>
    <row r="649" spans="1:22" x14ac:dyDescent="0.35">
      <c r="A649" t="s">
        <v>4647</v>
      </c>
      <c r="B649" t="s">
        <v>63</v>
      </c>
      <c r="C649" t="s">
        <v>27</v>
      </c>
      <c r="D649" t="s">
        <v>4646</v>
      </c>
      <c r="E649" t="s">
        <v>4645</v>
      </c>
      <c r="F649" s="5">
        <v>45490</v>
      </c>
      <c r="G649" t="s">
        <v>126</v>
      </c>
      <c r="H649" t="s">
        <v>2062</v>
      </c>
      <c r="I649" t="s">
        <v>23</v>
      </c>
      <c r="J649" t="s">
        <v>164</v>
      </c>
      <c r="K649" t="s">
        <v>24</v>
      </c>
      <c r="L649" t="s">
        <v>25</v>
      </c>
      <c r="M649" t="s">
        <v>20</v>
      </c>
      <c r="N649">
        <v>1</v>
      </c>
      <c r="O649">
        <v>1705</v>
      </c>
      <c r="P649">
        <v>2399</v>
      </c>
      <c r="Q649">
        <v>15</v>
      </c>
      <c r="R649">
        <v>400</v>
      </c>
      <c r="S649">
        <v>1999</v>
      </c>
      <c r="T649">
        <v>294</v>
      </c>
      <c r="U649">
        <v>14.71</v>
      </c>
      <c r="V649" t="s">
        <v>33</v>
      </c>
    </row>
    <row r="650" spans="1:22" x14ac:dyDescent="0.35">
      <c r="A650" t="s">
        <v>4644</v>
      </c>
      <c r="B650" t="s">
        <v>68</v>
      </c>
      <c r="C650" t="s">
        <v>16</v>
      </c>
      <c r="D650" t="s">
        <v>4643</v>
      </c>
      <c r="E650" t="s">
        <v>4269</v>
      </c>
      <c r="F650" s="5">
        <v>45493</v>
      </c>
      <c r="G650" t="s">
        <v>126</v>
      </c>
      <c r="H650" t="s">
        <v>282</v>
      </c>
      <c r="I650" t="s">
        <v>23</v>
      </c>
      <c r="J650" t="s">
        <v>164</v>
      </c>
      <c r="K650" t="s">
        <v>24</v>
      </c>
      <c r="L650" t="s">
        <v>25</v>
      </c>
      <c r="M650" t="s">
        <v>19</v>
      </c>
      <c r="N650">
        <v>2</v>
      </c>
      <c r="O650">
        <v>1128</v>
      </c>
      <c r="P650">
        <v>2199</v>
      </c>
      <c r="Q650">
        <v>5</v>
      </c>
      <c r="R650">
        <v>400</v>
      </c>
      <c r="S650">
        <v>3998</v>
      </c>
      <c r="T650">
        <v>1742</v>
      </c>
      <c r="U650">
        <v>43.57</v>
      </c>
      <c r="V650" t="s">
        <v>33</v>
      </c>
    </row>
    <row r="651" spans="1:22" x14ac:dyDescent="0.35">
      <c r="A651" t="s">
        <v>4642</v>
      </c>
      <c r="B651" t="s">
        <v>70</v>
      </c>
      <c r="C651" t="s">
        <v>27</v>
      </c>
      <c r="D651" t="s">
        <v>4641</v>
      </c>
      <c r="E651" t="s">
        <v>4640</v>
      </c>
      <c r="F651" s="5">
        <v>45537</v>
      </c>
      <c r="G651" t="s">
        <v>126</v>
      </c>
      <c r="H651" t="s">
        <v>2006</v>
      </c>
      <c r="I651" t="s">
        <v>17</v>
      </c>
      <c r="J651" t="s">
        <v>235</v>
      </c>
      <c r="K651" t="s">
        <v>18</v>
      </c>
      <c r="L651" t="s">
        <v>19</v>
      </c>
      <c r="M651" t="s">
        <v>19</v>
      </c>
      <c r="N651">
        <v>1</v>
      </c>
      <c r="O651">
        <v>416</v>
      </c>
      <c r="P651">
        <v>599</v>
      </c>
      <c r="Q651">
        <v>0</v>
      </c>
      <c r="R651">
        <v>0</v>
      </c>
      <c r="S651">
        <v>599</v>
      </c>
      <c r="T651">
        <v>183</v>
      </c>
      <c r="U651">
        <v>30.55</v>
      </c>
      <c r="V651" t="s">
        <v>21</v>
      </c>
    </row>
    <row r="652" spans="1:22" x14ac:dyDescent="0.35">
      <c r="A652" t="s">
        <v>4639</v>
      </c>
      <c r="B652" t="s">
        <v>92</v>
      </c>
      <c r="C652" t="s">
        <v>27</v>
      </c>
      <c r="D652" t="s">
        <v>4638</v>
      </c>
      <c r="E652" t="s">
        <v>4637</v>
      </c>
      <c r="F652" s="5">
        <v>45512</v>
      </c>
      <c r="G652" t="s">
        <v>126</v>
      </c>
      <c r="H652" t="s">
        <v>1913</v>
      </c>
      <c r="I652" t="s">
        <v>17</v>
      </c>
      <c r="J652" t="s">
        <v>48</v>
      </c>
      <c r="K652" t="s">
        <v>48</v>
      </c>
      <c r="L652" t="s">
        <v>37</v>
      </c>
      <c r="M652" t="s">
        <v>20</v>
      </c>
      <c r="N652">
        <v>1</v>
      </c>
      <c r="O652">
        <v>234</v>
      </c>
      <c r="P652">
        <v>399</v>
      </c>
      <c r="Q652">
        <v>0</v>
      </c>
      <c r="R652">
        <v>0</v>
      </c>
      <c r="S652">
        <v>399</v>
      </c>
      <c r="T652">
        <v>165</v>
      </c>
      <c r="U652">
        <v>41.35</v>
      </c>
      <c r="V652" t="s">
        <v>21</v>
      </c>
    </row>
    <row r="653" spans="1:22" x14ac:dyDescent="0.35">
      <c r="A653" t="s">
        <v>4636</v>
      </c>
      <c r="B653" t="s">
        <v>95</v>
      </c>
      <c r="C653" t="s">
        <v>27</v>
      </c>
      <c r="D653" t="s">
        <v>4635</v>
      </c>
      <c r="E653" t="s">
        <v>4634</v>
      </c>
      <c r="F653" s="5">
        <v>45555</v>
      </c>
      <c r="G653" t="s">
        <v>126</v>
      </c>
      <c r="H653" t="s">
        <v>2438</v>
      </c>
      <c r="I653" t="s">
        <v>35</v>
      </c>
      <c r="J653" t="s">
        <v>39</v>
      </c>
      <c r="K653" t="s">
        <v>39</v>
      </c>
      <c r="L653" t="s">
        <v>37</v>
      </c>
      <c r="M653" t="s">
        <v>20</v>
      </c>
      <c r="N653">
        <v>5</v>
      </c>
      <c r="O653">
        <v>521</v>
      </c>
      <c r="P653">
        <v>899</v>
      </c>
      <c r="Q653">
        <v>15</v>
      </c>
      <c r="R653">
        <v>1000</v>
      </c>
      <c r="S653">
        <v>3495</v>
      </c>
      <c r="T653">
        <v>890</v>
      </c>
      <c r="U653">
        <v>25.46</v>
      </c>
      <c r="V653" t="s">
        <v>21</v>
      </c>
    </row>
    <row r="654" spans="1:22" x14ac:dyDescent="0.35">
      <c r="A654" t="s">
        <v>4633</v>
      </c>
      <c r="B654" t="s">
        <v>57</v>
      </c>
      <c r="C654" t="s">
        <v>27</v>
      </c>
      <c r="D654" t="s">
        <v>4632</v>
      </c>
      <c r="E654" t="s">
        <v>4631</v>
      </c>
      <c r="F654" s="5">
        <v>45479</v>
      </c>
      <c r="G654" t="s">
        <v>126</v>
      </c>
      <c r="H654" t="s">
        <v>4630</v>
      </c>
      <c r="I654" t="s">
        <v>35</v>
      </c>
      <c r="J654" t="s">
        <v>39</v>
      </c>
      <c r="K654" t="s">
        <v>39</v>
      </c>
      <c r="L654" t="s">
        <v>37</v>
      </c>
      <c r="M654" t="s">
        <v>19</v>
      </c>
      <c r="N654">
        <v>3</v>
      </c>
      <c r="O654">
        <v>1123</v>
      </c>
      <c r="P654">
        <v>1599</v>
      </c>
      <c r="Q654">
        <v>15</v>
      </c>
      <c r="R654">
        <v>900</v>
      </c>
      <c r="S654">
        <v>3897</v>
      </c>
      <c r="T654">
        <v>528</v>
      </c>
      <c r="U654">
        <v>13.55</v>
      </c>
      <c r="V654" t="s">
        <v>21</v>
      </c>
    </row>
    <row r="655" spans="1:22" x14ac:dyDescent="0.35">
      <c r="A655" t="s">
        <v>4629</v>
      </c>
      <c r="B655" t="s">
        <v>65</v>
      </c>
      <c r="C655" t="s">
        <v>16</v>
      </c>
      <c r="D655" t="s">
        <v>4628</v>
      </c>
      <c r="E655" t="s">
        <v>4627</v>
      </c>
      <c r="F655" s="5">
        <v>45586</v>
      </c>
      <c r="G655" t="s">
        <v>126</v>
      </c>
      <c r="H655" t="s">
        <v>4626</v>
      </c>
      <c r="I655" t="s">
        <v>23</v>
      </c>
      <c r="J655" t="s">
        <v>142</v>
      </c>
      <c r="K655" t="s">
        <v>43</v>
      </c>
      <c r="L655" t="s">
        <v>25</v>
      </c>
      <c r="M655" t="s">
        <v>19</v>
      </c>
      <c r="N655">
        <v>1</v>
      </c>
      <c r="O655">
        <v>2752</v>
      </c>
      <c r="P655">
        <v>3699</v>
      </c>
      <c r="Q655">
        <v>5</v>
      </c>
      <c r="R655">
        <v>200</v>
      </c>
      <c r="S655">
        <v>3499</v>
      </c>
      <c r="T655">
        <v>747</v>
      </c>
      <c r="U655">
        <v>21.35</v>
      </c>
      <c r="V655" t="s">
        <v>21</v>
      </c>
    </row>
    <row r="656" spans="1:22" x14ac:dyDescent="0.35">
      <c r="A656" t="s">
        <v>4625</v>
      </c>
      <c r="B656" t="s">
        <v>70</v>
      </c>
      <c r="C656" t="s">
        <v>27</v>
      </c>
      <c r="D656" t="s">
        <v>4624</v>
      </c>
      <c r="E656" t="s">
        <v>4623</v>
      </c>
      <c r="F656" s="5">
        <v>45643</v>
      </c>
      <c r="G656" t="s">
        <v>126</v>
      </c>
      <c r="H656" t="s">
        <v>3155</v>
      </c>
      <c r="I656" t="s">
        <v>31</v>
      </c>
      <c r="J656" t="s">
        <v>76</v>
      </c>
      <c r="K656" t="s">
        <v>76</v>
      </c>
      <c r="L656" t="s">
        <v>19</v>
      </c>
      <c r="M656" t="s">
        <v>20</v>
      </c>
      <c r="N656">
        <v>2</v>
      </c>
      <c r="O656">
        <v>871</v>
      </c>
      <c r="P656">
        <v>1199</v>
      </c>
      <c r="Q656">
        <v>0</v>
      </c>
      <c r="R656">
        <v>0</v>
      </c>
      <c r="S656">
        <v>2398</v>
      </c>
      <c r="T656">
        <v>656</v>
      </c>
      <c r="U656">
        <v>27.36</v>
      </c>
      <c r="V656" t="s">
        <v>21</v>
      </c>
    </row>
    <row r="657" spans="1:22" x14ac:dyDescent="0.35">
      <c r="A657" t="s">
        <v>4622</v>
      </c>
      <c r="B657" t="s">
        <v>78</v>
      </c>
      <c r="C657" t="s">
        <v>16</v>
      </c>
      <c r="D657" t="s">
        <v>4621</v>
      </c>
      <c r="E657" t="s">
        <v>4620</v>
      </c>
      <c r="F657" s="5">
        <v>45540</v>
      </c>
      <c r="G657" t="s">
        <v>126</v>
      </c>
      <c r="H657" t="s">
        <v>742</v>
      </c>
      <c r="I657" t="s">
        <v>35</v>
      </c>
      <c r="J657" t="s">
        <v>244</v>
      </c>
      <c r="K657" t="s">
        <v>58</v>
      </c>
      <c r="L657" t="s">
        <v>19</v>
      </c>
      <c r="M657" t="s">
        <v>20</v>
      </c>
      <c r="N657">
        <v>1</v>
      </c>
      <c r="O657">
        <v>1400</v>
      </c>
      <c r="P657">
        <v>2299</v>
      </c>
      <c r="Q657">
        <v>10</v>
      </c>
      <c r="R657">
        <v>300</v>
      </c>
      <c r="S657">
        <v>1999</v>
      </c>
      <c r="T657">
        <v>599</v>
      </c>
      <c r="U657">
        <v>29.96</v>
      </c>
      <c r="V657" t="s">
        <v>33</v>
      </c>
    </row>
    <row r="658" spans="1:22" x14ac:dyDescent="0.35">
      <c r="A658" t="s">
        <v>4619</v>
      </c>
      <c r="B658" t="s">
        <v>57</v>
      </c>
      <c r="C658" t="s">
        <v>27</v>
      </c>
      <c r="D658" t="s">
        <v>4618</v>
      </c>
      <c r="E658" t="s">
        <v>4617</v>
      </c>
      <c r="F658" s="5">
        <v>45473</v>
      </c>
      <c r="G658" t="s">
        <v>126</v>
      </c>
      <c r="H658" t="s">
        <v>3803</v>
      </c>
      <c r="I658" t="s">
        <v>35</v>
      </c>
      <c r="J658" t="s">
        <v>244</v>
      </c>
      <c r="K658" t="s">
        <v>58</v>
      </c>
      <c r="L658" t="s">
        <v>25</v>
      </c>
      <c r="M658" t="s">
        <v>19</v>
      </c>
      <c r="N658">
        <v>1</v>
      </c>
      <c r="O658">
        <v>598</v>
      </c>
      <c r="P658">
        <v>1099</v>
      </c>
      <c r="Q658">
        <v>5</v>
      </c>
      <c r="R658">
        <v>100</v>
      </c>
      <c r="S658">
        <v>999</v>
      </c>
      <c r="T658">
        <v>401</v>
      </c>
      <c r="U658">
        <v>40.14</v>
      </c>
      <c r="V658" t="s">
        <v>21</v>
      </c>
    </row>
    <row r="659" spans="1:22" x14ac:dyDescent="0.35">
      <c r="A659" t="s">
        <v>4616</v>
      </c>
      <c r="B659" t="s">
        <v>40</v>
      </c>
      <c r="C659" t="s">
        <v>27</v>
      </c>
      <c r="D659" t="s">
        <v>4615</v>
      </c>
      <c r="E659" t="s">
        <v>4614</v>
      </c>
      <c r="F659" s="5">
        <v>45519</v>
      </c>
      <c r="G659" t="s">
        <v>126</v>
      </c>
      <c r="H659" t="s">
        <v>1508</v>
      </c>
      <c r="I659" t="s">
        <v>17</v>
      </c>
      <c r="J659" t="s">
        <v>253</v>
      </c>
      <c r="K659" t="s">
        <v>72</v>
      </c>
      <c r="L659" t="s">
        <v>25</v>
      </c>
      <c r="M659" t="s">
        <v>19</v>
      </c>
      <c r="N659">
        <v>5</v>
      </c>
      <c r="O659">
        <v>216</v>
      </c>
      <c r="P659">
        <v>399</v>
      </c>
      <c r="Q659">
        <v>0</v>
      </c>
      <c r="R659">
        <v>0</v>
      </c>
      <c r="S659">
        <v>1995</v>
      </c>
      <c r="T659">
        <v>915</v>
      </c>
      <c r="U659">
        <v>45.86</v>
      </c>
      <c r="V659" t="s">
        <v>21</v>
      </c>
    </row>
    <row r="660" spans="1:22" x14ac:dyDescent="0.35">
      <c r="A660" t="s">
        <v>4613</v>
      </c>
      <c r="B660" t="s">
        <v>101</v>
      </c>
      <c r="C660" t="s">
        <v>16</v>
      </c>
      <c r="D660" t="s">
        <v>4612</v>
      </c>
      <c r="E660" t="s">
        <v>4611</v>
      </c>
      <c r="F660" s="5">
        <v>45653</v>
      </c>
      <c r="G660" t="s">
        <v>126</v>
      </c>
      <c r="H660" t="s">
        <v>2723</v>
      </c>
      <c r="I660" t="s">
        <v>31</v>
      </c>
      <c r="J660" t="s">
        <v>32</v>
      </c>
      <c r="K660" t="s">
        <v>32</v>
      </c>
      <c r="L660" t="s">
        <v>25</v>
      </c>
      <c r="M660" t="s">
        <v>19</v>
      </c>
      <c r="N660">
        <v>1</v>
      </c>
      <c r="O660">
        <v>684</v>
      </c>
      <c r="P660">
        <v>1199</v>
      </c>
      <c r="Q660">
        <v>0</v>
      </c>
      <c r="R660">
        <v>0</v>
      </c>
      <c r="S660">
        <v>1199</v>
      </c>
      <c r="T660">
        <v>515</v>
      </c>
      <c r="U660">
        <v>42.95</v>
      </c>
      <c r="V660" t="s">
        <v>21</v>
      </c>
    </row>
    <row r="661" spans="1:22" x14ac:dyDescent="0.35">
      <c r="A661" t="s">
        <v>4610</v>
      </c>
      <c r="B661" t="s">
        <v>59</v>
      </c>
      <c r="C661" t="s">
        <v>27</v>
      </c>
      <c r="D661" t="s">
        <v>4609</v>
      </c>
      <c r="E661" t="s">
        <v>4608</v>
      </c>
      <c r="F661" s="5">
        <v>45499</v>
      </c>
      <c r="G661" t="s">
        <v>126</v>
      </c>
      <c r="H661" t="s">
        <v>703</v>
      </c>
      <c r="I661" t="s">
        <v>23</v>
      </c>
      <c r="J661" t="s">
        <v>164</v>
      </c>
      <c r="K661" t="s">
        <v>24</v>
      </c>
      <c r="L661" t="s">
        <v>25</v>
      </c>
      <c r="M661" t="s">
        <v>19</v>
      </c>
      <c r="N661">
        <v>3</v>
      </c>
      <c r="O661">
        <v>470</v>
      </c>
      <c r="P661">
        <v>899</v>
      </c>
      <c r="Q661">
        <v>5</v>
      </c>
      <c r="R661">
        <v>300</v>
      </c>
      <c r="S661">
        <v>2397</v>
      </c>
      <c r="T661">
        <v>987</v>
      </c>
      <c r="U661">
        <v>41.18</v>
      </c>
      <c r="V661" t="s">
        <v>21</v>
      </c>
    </row>
    <row r="662" spans="1:22" x14ac:dyDescent="0.35">
      <c r="A662" t="s">
        <v>4607</v>
      </c>
      <c r="B662" t="s">
        <v>42</v>
      </c>
      <c r="C662" t="s">
        <v>27</v>
      </c>
      <c r="D662" t="s">
        <v>4606</v>
      </c>
      <c r="E662" t="s">
        <v>4605</v>
      </c>
      <c r="F662" s="5">
        <v>45638</v>
      </c>
      <c r="G662" t="s">
        <v>126</v>
      </c>
      <c r="H662" t="s">
        <v>454</v>
      </c>
      <c r="I662" t="s">
        <v>31</v>
      </c>
      <c r="J662" t="s">
        <v>32</v>
      </c>
      <c r="K662" t="s">
        <v>32</v>
      </c>
      <c r="L662" t="s">
        <v>19</v>
      </c>
      <c r="M662" t="s">
        <v>19</v>
      </c>
      <c r="N662">
        <v>1</v>
      </c>
      <c r="O662">
        <v>648</v>
      </c>
      <c r="P662">
        <v>999</v>
      </c>
      <c r="Q662">
        <v>0</v>
      </c>
      <c r="R662">
        <v>0</v>
      </c>
      <c r="S662">
        <v>999</v>
      </c>
      <c r="T662">
        <v>351</v>
      </c>
      <c r="U662">
        <v>35.14</v>
      </c>
      <c r="V662" t="s">
        <v>33</v>
      </c>
    </row>
    <row r="663" spans="1:22" x14ac:dyDescent="0.35">
      <c r="A663" t="s">
        <v>4604</v>
      </c>
      <c r="B663" t="s">
        <v>105</v>
      </c>
      <c r="C663" t="s">
        <v>16</v>
      </c>
      <c r="D663" t="s">
        <v>4603</v>
      </c>
      <c r="E663" t="s">
        <v>4602</v>
      </c>
      <c r="F663" s="5">
        <v>45540</v>
      </c>
      <c r="G663" t="s">
        <v>126</v>
      </c>
      <c r="H663" t="s">
        <v>2919</v>
      </c>
      <c r="I663" t="s">
        <v>31</v>
      </c>
      <c r="J663" t="s">
        <v>32</v>
      </c>
      <c r="K663" t="s">
        <v>32</v>
      </c>
      <c r="L663" t="s">
        <v>37</v>
      </c>
      <c r="M663" t="s">
        <v>19</v>
      </c>
      <c r="N663">
        <v>4</v>
      </c>
      <c r="O663">
        <v>634</v>
      </c>
      <c r="P663">
        <v>899</v>
      </c>
      <c r="Q663">
        <v>0</v>
      </c>
      <c r="R663">
        <v>0</v>
      </c>
      <c r="S663">
        <v>3596</v>
      </c>
      <c r="T663">
        <v>1060</v>
      </c>
      <c r="U663">
        <v>29.48</v>
      </c>
      <c r="V663" t="s">
        <v>21</v>
      </c>
    </row>
    <row r="664" spans="1:22" x14ac:dyDescent="0.35">
      <c r="A664" t="s">
        <v>4601</v>
      </c>
      <c r="B664" t="s">
        <v>86</v>
      </c>
      <c r="C664" t="s">
        <v>27</v>
      </c>
      <c r="D664" t="s">
        <v>4600</v>
      </c>
      <c r="E664" t="s">
        <v>4599</v>
      </c>
      <c r="F664" s="5">
        <v>45586</v>
      </c>
      <c r="G664" t="s">
        <v>126</v>
      </c>
      <c r="H664" t="s">
        <v>3632</v>
      </c>
      <c r="I664" t="s">
        <v>23</v>
      </c>
      <c r="J664" t="s">
        <v>142</v>
      </c>
      <c r="K664" t="s">
        <v>43</v>
      </c>
      <c r="L664" t="s">
        <v>25</v>
      </c>
      <c r="M664" t="s">
        <v>20</v>
      </c>
      <c r="N664">
        <v>1</v>
      </c>
      <c r="O664">
        <v>1823</v>
      </c>
      <c r="P664">
        <v>2499</v>
      </c>
      <c r="Q664">
        <v>20</v>
      </c>
      <c r="R664">
        <v>500</v>
      </c>
      <c r="S664">
        <v>1999</v>
      </c>
      <c r="T664">
        <v>176</v>
      </c>
      <c r="U664">
        <v>8.8000000000000007</v>
      </c>
      <c r="V664" t="s">
        <v>33</v>
      </c>
    </row>
    <row r="665" spans="1:22" x14ac:dyDescent="0.35">
      <c r="A665" t="s">
        <v>4598</v>
      </c>
      <c r="B665" t="s">
        <v>81</v>
      </c>
      <c r="C665" t="s">
        <v>27</v>
      </c>
      <c r="D665" t="s">
        <v>4597</v>
      </c>
      <c r="E665" t="s">
        <v>4596</v>
      </c>
      <c r="F665" s="5">
        <v>45448</v>
      </c>
      <c r="G665" t="s">
        <v>126</v>
      </c>
      <c r="H665" t="s">
        <v>868</v>
      </c>
      <c r="I665" t="s">
        <v>35</v>
      </c>
      <c r="J665" t="s">
        <v>39</v>
      </c>
      <c r="K665" t="s">
        <v>39</v>
      </c>
      <c r="L665" t="s">
        <v>19</v>
      </c>
      <c r="M665" t="s">
        <v>20</v>
      </c>
      <c r="N665">
        <v>2</v>
      </c>
      <c r="O665">
        <v>624</v>
      </c>
      <c r="P665">
        <v>899</v>
      </c>
      <c r="Q665">
        <v>20</v>
      </c>
      <c r="R665">
        <v>400</v>
      </c>
      <c r="S665">
        <v>1398</v>
      </c>
      <c r="T665">
        <v>150</v>
      </c>
      <c r="U665">
        <v>10.73</v>
      </c>
      <c r="V665" t="s">
        <v>21</v>
      </c>
    </row>
    <row r="666" spans="1:22" x14ac:dyDescent="0.35">
      <c r="A666" t="s">
        <v>4595</v>
      </c>
      <c r="B666" t="s">
        <v>75</v>
      </c>
      <c r="C666" t="s">
        <v>27</v>
      </c>
      <c r="D666" t="s">
        <v>4594</v>
      </c>
      <c r="E666" t="s">
        <v>4593</v>
      </c>
      <c r="F666" s="5">
        <v>45502</v>
      </c>
      <c r="G666" t="s">
        <v>126</v>
      </c>
      <c r="H666" t="s">
        <v>4449</v>
      </c>
      <c r="I666" t="s">
        <v>17</v>
      </c>
      <c r="J666" t="s">
        <v>235</v>
      </c>
      <c r="K666" t="s">
        <v>18</v>
      </c>
      <c r="L666" t="s">
        <v>37</v>
      </c>
      <c r="M666" t="s">
        <v>20</v>
      </c>
      <c r="N666">
        <v>3</v>
      </c>
      <c r="O666">
        <v>295</v>
      </c>
      <c r="P666">
        <v>399</v>
      </c>
      <c r="Q666">
        <v>0</v>
      </c>
      <c r="R666">
        <v>0</v>
      </c>
      <c r="S666">
        <v>1197</v>
      </c>
      <c r="T666">
        <v>312</v>
      </c>
      <c r="U666">
        <v>26.07</v>
      </c>
      <c r="V666" t="s">
        <v>21</v>
      </c>
    </row>
    <row r="667" spans="1:22" x14ac:dyDescent="0.35">
      <c r="A667" t="s">
        <v>4592</v>
      </c>
      <c r="B667" t="s">
        <v>94</v>
      </c>
      <c r="C667" t="s">
        <v>16</v>
      </c>
      <c r="D667" t="s">
        <v>4591</v>
      </c>
      <c r="E667" t="s">
        <v>4590</v>
      </c>
      <c r="F667" s="5">
        <v>45649</v>
      </c>
      <c r="G667" t="s">
        <v>126</v>
      </c>
      <c r="H667" t="s">
        <v>699</v>
      </c>
      <c r="I667" t="s">
        <v>17</v>
      </c>
      <c r="J667" t="s">
        <v>55</v>
      </c>
      <c r="K667" t="s">
        <v>55</v>
      </c>
      <c r="L667" t="s">
        <v>37</v>
      </c>
      <c r="M667" t="s">
        <v>19</v>
      </c>
      <c r="N667">
        <v>4</v>
      </c>
      <c r="O667">
        <v>446</v>
      </c>
      <c r="P667">
        <v>699</v>
      </c>
      <c r="Q667">
        <v>0</v>
      </c>
      <c r="R667">
        <v>0</v>
      </c>
      <c r="S667">
        <v>2796</v>
      </c>
      <c r="T667">
        <v>1012</v>
      </c>
      <c r="U667">
        <v>36.19</v>
      </c>
      <c r="V667" t="s">
        <v>21</v>
      </c>
    </row>
    <row r="668" spans="1:22" x14ac:dyDescent="0.35">
      <c r="A668" t="s">
        <v>4589</v>
      </c>
      <c r="B668" t="s">
        <v>81</v>
      </c>
      <c r="C668" t="s">
        <v>27</v>
      </c>
      <c r="D668" t="s">
        <v>4588</v>
      </c>
      <c r="E668" t="s">
        <v>4587</v>
      </c>
      <c r="F668" s="5">
        <v>45466</v>
      </c>
      <c r="G668" t="s">
        <v>126</v>
      </c>
      <c r="H668" t="s">
        <v>2891</v>
      </c>
      <c r="I668" t="s">
        <v>17</v>
      </c>
      <c r="J668" t="s">
        <v>48</v>
      </c>
      <c r="K668" t="s">
        <v>48</v>
      </c>
      <c r="L668" t="s">
        <v>25</v>
      </c>
      <c r="M668" t="s">
        <v>19</v>
      </c>
      <c r="N668">
        <v>2</v>
      </c>
      <c r="O668">
        <v>217</v>
      </c>
      <c r="P668">
        <v>299</v>
      </c>
      <c r="Q668">
        <v>0</v>
      </c>
      <c r="R668">
        <v>0</v>
      </c>
      <c r="S668">
        <v>598</v>
      </c>
      <c r="T668">
        <v>164</v>
      </c>
      <c r="U668">
        <v>27.42</v>
      </c>
      <c r="V668" t="s">
        <v>33</v>
      </c>
    </row>
    <row r="669" spans="1:22" x14ac:dyDescent="0.35">
      <c r="A669" t="s">
        <v>4586</v>
      </c>
      <c r="B669" t="s">
        <v>47</v>
      </c>
      <c r="C669" t="s">
        <v>16</v>
      </c>
      <c r="D669" t="s">
        <v>4585</v>
      </c>
      <c r="E669" t="s">
        <v>4584</v>
      </c>
      <c r="F669" s="5">
        <v>45566</v>
      </c>
      <c r="G669" t="s">
        <v>126</v>
      </c>
      <c r="H669" t="s">
        <v>4583</v>
      </c>
      <c r="I669" t="s">
        <v>23</v>
      </c>
      <c r="J669" t="s">
        <v>164</v>
      </c>
      <c r="K669" t="s">
        <v>24</v>
      </c>
      <c r="L669" t="s">
        <v>37</v>
      </c>
      <c r="M669" t="s">
        <v>19</v>
      </c>
      <c r="N669">
        <v>1</v>
      </c>
      <c r="O669">
        <v>1246</v>
      </c>
      <c r="P669">
        <v>2199</v>
      </c>
      <c r="Q669">
        <v>5</v>
      </c>
      <c r="R669">
        <v>200</v>
      </c>
      <c r="S669">
        <v>1999</v>
      </c>
      <c r="T669">
        <v>753</v>
      </c>
      <c r="U669">
        <v>37.67</v>
      </c>
      <c r="V669" t="s">
        <v>21</v>
      </c>
    </row>
    <row r="670" spans="1:22" x14ac:dyDescent="0.35">
      <c r="A670" t="s">
        <v>4582</v>
      </c>
      <c r="B670" t="s">
        <v>85</v>
      </c>
      <c r="C670" t="s">
        <v>27</v>
      </c>
      <c r="D670" t="s">
        <v>4581</v>
      </c>
      <c r="E670" t="s">
        <v>4580</v>
      </c>
      <c r="F670" s="5">
        <v>45542</v>
      </c>
      <c r="G670" t="s">
        <v>126</v>
      </c>
      <c r="H670" t="s">
        <v>860</v>
      </c>
      <c r="I670" t="s">
        <v>35</v>
      </c>
      <c r="J670" t="s">
        <v>41</v>
      </c>
      <c r="K670" t="s">
        <v>41</v>
      </c>
      <c r="L670" t="s">
        <v>19</v>
      </c>
      <c r="M670" t="s">
        <v>20</v>
      </c>
      <c r="N670">
        <v>4</v>
      </c>
      <c r="O670">
        <v>866</v>
      </c>
      <c r="P670">
        <v>1199</v>
      </c>
      <c r="Q670">
        <v>15</v>
      </c>
      <c r="R670">
        <v>800</v>
      </c>
      <c r="S670">
        <v>3996</v>
      </c>
      <c r="T670">
        <v>532</v>
      </c>
      <c r="U670">
        <v>13.31</v>
      </c>
      <c r="V670" t="s">
        <v>21</v>
      </c>
    </row>
    <row r="671" spans="1:22" x14ac:dyDescent="0.35">
      <c r="A671" t="s">
        <v>4579</v>
      </c>
      <c r="B671" t="s">
        <v>62</v>
      </c>
      <c r="C671" t="s">
        <v>16</v>
      </c>
      <c r="D671" t="s">
        <v>4578</v>
      </c>
      <c r="E671" t="s">
        <v>4577</v>
      </c>
      <c r="F671" s="5">
        <v>45554</v>
      </c>
      <c r="G671" t="s">
        <v>126</v>
      </c>
      <c r="H671" t="s">
        <v>3151</v>
      </c>
      <c r="I671" t="s">
        <v>28</v>
      </c>
      <c r="J671" t="s">
        <v>201</v>
      </c>
      <c r="K671" t="s">
        <v>29</v>
      </c>
      <c r="L671" t="s">
        <v>25</v>
      </c>
      <c r="M671" t="s">
        <v>20</v>
      </c>
      <c r="N671">
        <v>1</v>
      </c>
      <c r="O671">
        <v>542</v>
      </c>
      <c r="P671">
        <v>799</v>
      </c>
      <c r="Q671">
        <v>20</v>
      </c>
      <c r="R671">
        <v>200</v>
      </c>
      <c r="S671">
        <v>599</v>
      </c>
      <c r="T671">
        <v>57</v>
      </c>
      <c r="U671">
        <v>9.52</v>
      </c>
      <c r="V671" t="s">
        <v>21</v>
      </c>
    </row>
    <row r="672" spans="1:22" x14ac:dyDescent="0.35">
      <c r="A672" t="s">
        <v>4576</v>
      </c>
      <c r="B672" t="s">
        <v>52</v>
      </c>
      <c r="C672" t="s">
        <v>27</v>
      </c>
      <c r="D672" t="s">
        <v>4575</v>
      </c>
      <c r="E672" t="s">
        <v>3248</v>
      </c>
      <c r="F672" s="5">
        <v>45577</v>
      </c>
      <c r="G672" t="s">
        <v>126</v>
      </c>
      <c r="H672" t="s">
        <v>4574</v>
      </c>
      <c r="I672" t="s">
        <v>28</v>
      </c>
      <c r="J672" t="s">
        <v>45</v>
      </c>
      <c r="K672" t="s">
        <v>45</v>
      </c>
      <c r="L672" t="s">
        <v>19</v>
      </c>
      <c r="M672" t="s">
        <v>20</v>
      </c>
      <c r="N672">
        <v>1</v>
      </c>
      <c r="O672">
        <v>509</v>
      </c>
      <c r="P672">
        <v>799</v>
      </c>
      <c r="Q672">
        <v>15</v>
      </c>
      <c r="R672">
        <v>200</v>
      </c>
      <c r="S672">
        <v>599</v>
      </c>
      <c r="T672">
        <v>90</v>
      </c>
      <c r="U672">
        <v>15.03</v>
      </c>
      <c r="V672" t="s">
        <v>21</v>
      </c>
    </row>
    <row r="673" spans="1:22" x14ac:dyDescent="0.35">
      <c r="A673" t="s">
        <v>4573</v>
      </c>
      <c r="B673" t="s">
        <v>91</v>
      </c>
      <c r="C673" t="s">
        <v>16</v>
      </c>
      <c r="D673" t="s">
        <v>4572</v>
      </c>
      <c r="E673" t="s">
        <v>4571</v>
      </c>
      <c r="F673" s="5">
        <v>45631</v>
      </c>
      <c r="G673" t="s">
        <v>126</v>
      </c>
      <c r="H673" t="s">
        <v>1154</v>
      </c>
      <c r="I673" t="s">
        <v>31</v>
      </c>
      <c r="J673" t="s">
        <v>76</v>
      </c>
      <c r="K673" t="s">
        <v>76</v>
      </c>
      <c r="L673" t="s">
        <v>19</v>
      </c>
      <c r="M673" t="s">
        <v>19</v>
      </c>
      <c r="N673">
        <v>5</v>
      </c>
      <c r="O673">
        <v>557</v>
      </c>
      <c r="P673">
        <v>999</v>
      </c>
      <c r="Q673">
        <v>0</v>
      </c>
      <c r="R673">
        <v>0</v>
      </c>
      <c r="S673">
        <v>4995</v>
      </c>
      <c r="T673">
        <v>2210</v>
      </c>
      <c r="U673">
        <v>44.24</v>
      </c>
      <c r="V673" t="s">
        <v>21</v>
      </c>
    </row>
    <row r="674" spans="1:22" x14ac:dyDescent="0.35">
      <c r="A674" t="s">
        <v>4570</v>
      </c>
      <c r="B674" t="s">
        <v>91</v>
      </c>
      <c r="C674" t="s">
        <v>16</v>
      </c>
      <c r="D674" t="s">
        <v>4569</v>
      </c>
      <c r="E674" t="s">
        <v>2520</v>
      </c>
      <c r="F674" s="5">
        <v>45565</v>
      </c>
      <c r="G674" t="s">
        <v>126</v>
      </c>
      <c r="H674" t="s">
        <v>1363</v>
      </c>
      <c r="I674" t="s">
        <v>23</v>
      </c>
      <c r="J674" t="s">
        <v>142</v>
      </c>
      <c r="K674" t="s">
        <v>43</v>
      </c>
      <c r="L674" t="s">
        <v>25</v>
      </c>
      <c r="M674" t="s">
        <v>19</v>
      </c>
      <c r="N674">
        <v>1</v>
      </c>
      <c r="O674">
        <v>1589</v>
      </c>
      <c r="P674">
        <v>2199</v>
      </c>
      <c r="Q674">
        <v>10</v>
      </c>
      <c r="R674">
        <v>300</v>
      </c>
      <c r="S674">
        <v>1899</v>
      </c>
      <c r="T674">
        <v>310</v>
      </c>
      <c r="U674">
        <v>16.32</v>
      </c>
      <c r="V674" t="s">
        <v>21</v>
      </c>
    </row>
    <row r="675" spans="1:22" x14ac:dyDescent="0.35">
      <c r="A675" t="s">
        <v>4568</v>
      </c>
      <c r="B675" t="s">
        <v>101</v>
      </c>
      <c r="C675" t="s">
        <v>16</v>
      </c>
      <c r="D675" t="s">
        <v>4567</v>
      </c>
      <c r="E675" t="s">
        <v>4566</v>
      </c>
      <c r="F675" s="5">
        <v>45558</v>
      </c>
      <c r="G675" t="s">
        <v>126</v>
      </c>
      <c r="H675" t="s">
        <v>3110</v>
      </c>
      <c r="I675" t="s">
        <v>31</v>
      </c>
      <c r="J675" t="s">
        <v>76</v>
      </c>
      <c r="K675" t="s">
        <v>76</v>
      </c>
      <c r="L675" t="s">
        <v>25</v>
      </c>
      <c r="M675" t="s">
        <v>20</v>
      </c>
      <c r="N675">
        <v>2</v>
      </c>
      <c r="O675">
        <v>731</v>
      </c>
      <c r="P675">
        <v>999</v>
      </c>
      <c r="Q675">
        <v>0</v>
      </c>
      <c r="R675">
        <v>0</v>
      </c>
      <c r="S675">
        <v>1998</v>
      </c>
      <c r="T675">
        <v>536</v>
      </c>
      <c r="U675">
        <v>26.83</v>
      </c>
      <c r="V675" t="s">
        <v>33</v>
      </c>
    </row>
    <row r="676" spans="1:22" x14ac:dyDescent="0.35">
      <c r="A676" t="s">
        <v>4565</v>
      </c>
      <c r="B676" t="s">
        <v>56</v>
      </c>
      <c r="C676" t="s">
        <v>27</v>
      </c>
      <c r="D676" t="s">
        <v>4564</v>
      </c>
      <c r="E676" t="s">
        <v>4563</v>
      </c>
      <c r="F676" s="5">
        <v>45595</v>
      </c>
      <c r="G676" t="s">
        <v>126</v>
      </c>
      <c r="H676" t="s">
        <v>3110</v>
      </c>
      <c r="I676" t="s">
        <v>23</v>
      </c>
      <c r="J676" t="s">
        <v>164</v>
      </c>
      <c r="K676" t="s">
        <v>24</v>
      </c>
      <c r="L676" t="s">
        <v>37</v>
      </c>
      <c r="M676" t="s">
        <v>19</v>
      </c>
      <c r="N676">
        <v>1</v>
      </c>
      <c r="O676">
        <v>1082</v>
      </c>
      <c r="P676">
        <v>1499</v>
      </c>
      <c r="Q676">
        <v>20</v>
      </c>
      <c r="R676">
        <v>300</v>
      </c>
      <c r="S676">
        <v>1199</v>
      </c>
      <c r="T676">
        <v>117</v>
      </c>
      <c r="U676">
        <v>9.76</v>
      </c>
      <c r="V676" t="s">
        <v>21</v>
      </c>
    </row>
    <row r="677" spans="1:22" x14ac:dyDescent="0.35">
      <c r="A677" t="s">
        <v>4562</v>
      </c>
      <c r="B677" t="s">
        <v>51</v>
      </c>
      <c r="C677" t="s">
        <v>16</v>
      </c>
      <c r="D677" t="s">
        <v>4561</v>
      </c>
      <c r="E677" t="s">
        <v>4560</v>
      </c>
      <c r="F677" s="5">
        <v>45578</v>
      </c>
      <c r="G677" t="s">
        <v>126</v>
      </c>
      <c r="H677" t="s">
        <v>4559</v>
      </c>
      <c r="I677" t="s">
        <v>23</v>
      </c>
      <c r="J677" t="s">
        <v>164</v>
      </c>
      <c r="K677" t="s">
        <v>24</v>
      </c>
      <c r="L677" t="s">
        <v>25</v>
      </c>
      <c r="M677" t="s">
        <v>20</v>
      </c>
      <c r="N677">
        <v>5</v>
      </c>
      <c r="O677">
        <v>741</v>
      </c>
      <c r="P677">
        <v>1199</v>
      </c>
      <c r="Q677">
        <v>15</v>
      </c>
      <c r="R677">
        <v>1000</v>
      </c>
      <c r="S677">
        <v>4995</v>
      </c>
      <c r="T677">
        <v>1290</v>
      </c>
      <c r="U677">
        <v>25.83</v>
      </c>
      <c r="V677" t="s">
        <v>21</v>
      </c>
    </row>
    <row r="678" spans="1:22" x14ac:dyDescent="0.35">
      <c r="A678" t="s">
        <v>4558</v>
      </c>
      <c r="B678" t="s">
        <v>108</v>
      </c>
      <c r="C678" t="s">
        <v>27</v>
      </c>
      <c r="D678" t="s">
        <v>4557</v>
      </c>
      <c r="E678" t="s">
        <v>2539</v>
      </c>
      <c r="F678" s="5">
        <v>45601</v>
      </c>
      <c r="G678" t="s">
        <v>126</v>
      </c>
      <c r="H678" t="s">
        <v>806</v>
      </c>
      <c r="I678" t="s">
        <v>35</v>
      </c>
      <c r="J678" t="s">
        <v>41</v>
      </c>
      <c r="K678" t="s">
        <v>41</v>
      </c>
      <c r="L678" t="s">
        <v>37</v>
      </c>
      <c r="M678" t="s">
        <v>19</v>
      </c>
      <c r="N678">
        <v>5</v>
      </c>
      <c r="O678">
        <v>699</v>
      </c>
      <c r="P678">
        <v>1299</v>
      </c>
      <c r="Q678">
        <v>20</v>
      </c>
      <c r="R678">
        <v>1500</v>
      </c>
      <c r="S678">
        <v>4995</v>
      </c>
      <c r="T678">
        <v>1500</v>
      </c>
      <c r="U678">
        <v>30.03</v>
      </c>
      <c r="V678" t="s">
        <v>21</v>
      </c>
    </row>
    <row r="679" spans="1:22" x14ac:dyDescent="0.35">
      <c r="A679" t="s">
        <v>4556</v>
      </c>
      <c r="B679" t="s">
        <v>85</v>
      </c>
      <c r="C679" t="s">
        <v>27</v>
      </c>
      <c r="D679" t="s">
        <v>4555</v>
      </c>
      <c r="E679" t="s">
        <v>4554</v>
      </c>
      <c r="F679" s="5">
        <v>45534</v>
      </c>
      <c r="G679" t="s">
        <v>126</v>
      </c>
      <c r="H679" t="s">
        <v>399</v>
      </c>
      <c r="I679" t="s">
        <v>35</v>
      </c>
      <c r="J679" t="s">
        <v>214</v>
      </c>
      <c r="K679" t="s">
        <v>50</v>
      </c>
      <c r="L679" t="s">
        <v>25</v>
      </c>
      <c r="M679" t="s">
        <v>20</v>
      </c>
      <c r="N679">
        <v>5</v>
      </c>
      <c r="O679">
        <v>646</v>
      </c>
      <c r="P679">
        <v>999</v>
      </c>
      <c r="Q679">
        <v>20</v>
      </c>
      <c r="R679">
        <v>1000</v>
      </c>
      <c r="S679">
        <v>3995</v>
      </c>
      <c r="T679">
        <v>765</v>
      </c>
      <c r="U679">
        <v>19.149999999999999</v>
      </c>
      <c r="V679" t="s">
        <v>33</v>
      </c>
    </row>
    <row r="680" spans="1:22" x14ac:dyDescent="0.35">
      <c r="A680" t="s">
        <v>4553</v>
      </c>
      <c r="B680" t="s">
        <v>97</v>
      </c>
      <c r="C680" t="s">
        <v>16</v>
      </c>
      <c r="D680" t="s">
        <v>4552</v>
      </c>
      <c r="E680" t="s">
        <v>1070</v>
      </c>
      <c r="F680" s="5">
        <v>45649</v>
      </c>
      <c r="G680" t="s">
        <v>126</v>
      </c>
      <c r="H680" t="s">
        <v>4551</v>
      </c>
      <c r="I680" t="s">
        <v>28</v>
      </c>
      <c r="J680" t="s">
        <v>201</v>
      </c>
      <c r="K680" t="s">
        <v>29</v>
      </c>
      <c r="L680" t="s">
        <v>37</v>
      </c>
      <c r="M680" t="s">
        <v>19</v>
      </c>
      <c r="N680">
        <v>1</v>
      </c>
      <c r="O680">
        <v>263</v>
      </c>
      <c r="P680">
        <v>499</v>
      </c>
      <c r="Q680">
        <v>10</v>
      </c>
      <c r="R680">
        <v>50</v>
      </c>
      <c r="S680">
        <v>449</v>
      </c>
      <c r="T680">
        <v>186</v>
      </c>
      <c r="U680">
        <v>41.43</v>
      </c>
      <c r="V680" t="s">
        <v>21</v>
      </c>
    </row>
    <row r="681" spans="1:22" x14ac:dyDescent="0.35">
      <c r="A681" t="s">
        <v>4550</v>
      </c>
      <c r="B681" t="s">
        <v>46</v>
      </c>
      <c r="C681" t="s">
        <v>16</v>
      </c>
      <c r="D681" t="s">
        <v>4549</v>
      </c>
      <c r="E681" t="s">
        <v>4548</v>
      </c>
      <c r="F681" s="5">
        <v>45487</v>
      </c>
      <c r="G681" t="s">
        <v>126</v>
      </c>
      <c r="H681" t="s">
        <v>4547</v>
      </c>
      <c r="I681" t="s">
        <v>31</v>
      </c>
      <c r="J681" t="s">
        <v>76</v>
      </c>
      <c r="K681" t="s">
        <v>76</v>
      </c>
      <c r="L681" t="s">
        <v>25</v>
      </c>
      <c r="M681" t="s">
        <v>20</v>
      </c>
      <c r="N681">
        <v>5</v>
      </c>
      <c r="O681">
        <v>413</v>
      </c>
      <c r="P681">
        <v>699</v>
      </c>
      <c r="Q681">
        <v>0</v>
      </c>
      <c r="R681">
        <v>0</v>
      </c>
      <c r="S681">
        <v>3495</v>
      </c>
      <c r="T681">
        <v>1430</v>
      </c>
      <c r="U681">
        <v>40.92</v>
      </c>
      <c r="V681" t="s">
        <v>21</v>
      </c>
    </row>
    <row r="682" spans="1:22" x14ac:dyDescent="0.35">
      <c r="A682" t="s">
        <v>4546</v>
      </c>
      <c r="B682" t="s">
        <v>52</v>
      </c>
      <c r="C682" t="s">
        <v>27</v>
      </c>
      <c r="D682" t="s">
        <v>4545</v>
      </c>
      <c r="E682" t="s">
        <v>4544</v>
      </c>
      <c r="F682" s="5">
        <v>45533</v>
      </c>
      <c r="G682" t="s">
        <v>126</v>
      </c>
      <c r="H682" t="s">
        <v>1184</v>
      </c>
      <c r="I682" t="s">
        <v>35</v>
      </c>
      <c r="J682" t="s">
        <v>214</v>
      </c>
      <c r="K682" t="s">
        <v>87</v>
      </c>
      <c r="L682" t="s">
        <v>37</v>
      </c>
      <c r="M682" t="s">
        <v>19</v>
      </c>
      <c r="N682">
        <v>3</v>
      </c>
      <c r="O682">
        <v>1751</v>
      </c>
      <c r="P682">
        <v>2699</v>
      </c>
      <c r="Q682">
        <v>5</v>
      </c>
      <c r="R682">
        <v>600</v>
      </c>
      <c r="S682">
        <v>7497</v>
      </c>
      <c r="T682">
        <v>2244</v>
      </c>
      <c r="U682">
        <v>29.93</v>
      </c>
      <c r="V682" t="s">
        <v>33</v>
      </c>
    </row>
    <row r="683" spans="1:22" x14ac:dyDescent="0.35">
      <c r="A683" t="s">
        <v>4543</v>
      </c>
      <c r="B683" t="s">
        <v>89</v>
      </c>
      <c r="C683" t="s">
        <v>16</v>
      </c>
      <c r="D683" t="s">
        <v>4542</v>
      </c>
      <c r="E683" t="s">
        <v>4541</v>
      </c>
      <c r="F683" s="5">
        <v>45447</v>
      </c>
      <c r="G683" t="s">
        <v>126</v>
      </c>
      <c r="H683" t="s">
        <v>1088</v>
      </c>
      <c r="I683" t="s">
        <v>28</v>
      </c>
      <c r="J683" t="s">
        <v>201</v>
      </c>
      <c r="K683" t="s">
        <v>29</v>
      </c>
      <c r="L683" t="s">
        <v>25</v>
      </c>
      <c r="M683" t="s">
        <v>20</v>
      </c>
      <c r="N683">
        <v>1</v>
      </c>
      <c r="O683">
        <v>419</v>
      </c>
      <c r="P683">
        <v>699</v>
      </c>
      <c r="Q683">
        <v>10</v>
      </c>
      <c r="R683">
        <v>100</v>
      </c>
      <c r="S683">
        <v>599</v>
      </c>
      <c r="T683">
        <v>180</v>
      </c>
      <c r="U683">
        <v>30.05</v>
      </c>
      <c r="V683" t="s">
        <v>21</v>
      </c>
    </row>
    <row r="684" spans="1:22" x14ac:dyDescent="0.35">
      <c r="A684" t="s">
        <v>4540</v>
      </c>
      <c r="B684" t="s">
        <v>49</v>
      </c>
      <c r="C684" t="s">
        <v>27</v>
      </c>
      <c r="D684" t="s">
        <v>4539</v>
      </c>
      <c r="E684" t="s">
        <v>4538</v>
      </c>
      <c r="F684" s="5">
        <v>45654</v>
      </c>
      <c r="G684" t="s">
        <v>126</v>
      </c>
      <c r="H684" t="s">
        <v>3660</v>
      </c>
      <c r="I684" t="s">
        <v>31</v>
      </c>
      <c r="J684" t="s">
        <v>76</v>
      </c>
      <c r="K684" t="s">
        <v>76</v>
      </c>
      <c r="L684" t="s">
        <v>37</v>
      </c>
      <c r="M684" t="s">
        <v>19</v>
      </c>
      <c r="N684">
        <v>2</v>
      </c>
      <c r="O684">
        <v>791</v>
      </c>
      <c r="P684">
        <v>1499</v>
      </c>
      <c r="Q684">
        <v>0</v>
      </c>
      <c r="R684">
        <v>0</v>
      </c>
      <c r="S684">
        <v>2998</v>
      </c>
      <c r="T684">
        <v>1416</v>
      </c>
      <c r="U684">
        <v>47.23</v>
      </c>
      <c r="V684" t="s">
        <v>21</v>
      </c>
    </row>
    <row r="685" spans="1:22" x14ac:dyDescent="0.35">
      <c r="A685" t="s">
        <v>4537</v>
      </c>
      <c r="B685" t="s">
        <v>91</v>
      </c>
      <c r="C685" t="s">
        <v>16</v>
      </c>
      <c r="D685" t="s">
        <v>4536</v>
      </c>
      <c r="E685" t="s">
        <v>4535</v>
      </c>
      <c r="F685" s="5">
        <v>45611</v>
      </c>
      <c r="G685" t="s">
        <v>126</v>
      </c>
      <c r="H685" t="s">
        <v>3147</v>
      </c>
      <c r="I685" t="s">
        <v>28</v>
      </c>
      <c r="J685" t="s">
        <v>45</v>
      </c>
      <c r="K685" t="s">
        <v>45</v>
      </c>
      <c r="L685" t="s">
        <v>19</v>
      </c>
      <c r="M685" t="s">
        <v>19</v>
      </c>
      <c r="N685">
        <v>1</v>
      </c>
      <c r="O685">
        <v>1488</v>
      </c>
      <c r="P685">
        <v>2299</v>
      </c>
      <c r="Q685">
        <v>20</v>
      </c>
      <c r="R685">
        <v>500</v>
      </c>
      <c r="S685">
        <v>1799</v>
      </c>
      <c r="T685">
        <v>311</v>
      </c>
      <c r="U685">
        <v>17.29</v>
      </c>
      <c r="V685" t="s">
        <v>33</v>
      </c>
    </row>
    <row r="686" spans="1:22" x14ac:dyDescent="0.35">
      <c r="A686" t="s">
        <v>4534</v>
      </c>
      <c r="B686" t="s">
        <v>68</v>
      </c>
      <c r="C686" t="s">
        <v>16</v>
      </c>
      <c r="D686" t="s">
        <v>4533</v>
      </c>
      <c r="E686" t="s">
        <v>4532</v>
      </c>
      <c r="F686" s="5">
        <v>45576</v>
      </c>
      <c r="G686" t="s">
        <v>126</v>
      </c>
      <c r="H686" t="s">
        <v>4531</v>
      </c>
      <c r="I686" t="s">
        <v>31</v>
      </c>
      <c r="J686" t="s">
        <v>76</v>
      </c>
      <c r="K686" t="s">
        <v>76</v>
      </c>
      <c r="L686" t="s">
        <v>25</v>
      </c>
      <c r="M686" t="s">
        <v>20</v>
      </c>
      <c r="N686">
        <v>3</v>
      </c>
      <c r="O686">
        <v>432</v>
      </c>
      <c r="P686">
        <v>799</v>
      </c>
      <c r="Q686">
        <v>0</v>
      </c>
      <c r="R686">
        <v>0</v>
      </c>
      <c r="S686">
        <v>2397</v>
      </c>
      <c r="T686">
        <v>1101</v>
      </c>
      <c r="U686">
        <v>45.93</v>
      </c>
      <c r="V686" t="s">
        <v>33</v>
      </c>
    </row>
    <row r="687" spans="1:22" x14ac:dyDescent="0.35">
      <c r="A687" t="s">
        <v>4530</v>
      </c>
      <c r="B687" t="s">
        <v>106</v>
      </c>
      <c r="C687" t="s">
        <v>27</v>
      </c>
      <c r="D687" t="s">
        <v>4529</v>
      </c>
      <c r="E687" t="s">
        <v>4528</v>
      </c>
      <c r="F687" s="5">
        <v>45620</v>
      </c>
      <c r="G687" t="s">
        <v>126</v>
      </c>
      <c r="H687" t="s">
        <v>1679</v>
      </c>
      <c r="I687" t="s">
        <v>23</v>
      </c>
      <c r="J687" t="s">
        <v>164</v>
      </c>
      <c r="K687" t="s">
        <v>24</v>
      </c>
      <c r="L687" t="s">
        <v>37</v>
      </c>
      <c r="M687" t="s">
        <v>20</v>
      </c>
      <c r="N687">
        <v>2</v>
      </c>
      <c r="O687">
        <v>785</v>
      </c>
      <c r="P687">
        <v>1499</v>
      </c>
      <c r="Q687">
        <v>15</v>
      </c>
      <c r="R687">
        <v>600</v>
      </c>
      <c r="S687">
        <v>2398</v>
      </c>
      <c r="T687">
        <v>828</v>
      </c>
      <c r="U687">
        <v>34.53</v>
      </c>
      <c r="V687" t="s">
        <v>21</v>
      </c>
    </row>
    <row r="688" spans="1:22" x14ac:dyDescent="0.35">
      <c r="A688" t="s">
        <v>4527</v>
      </c>
      <c r="B688" t="s">
        <v>40</v>
      </c>
      <c r="C688" t="s">
        <v>27</v>
      </c>
      <c r="D688" t="s">
        <v>4526</v>
      </c>
      <c r="E688" t="s">
        <v>4525</v>
      </c>
      <c r="F688" s="5">
        <v>45543</v>
      </c>
      <c r="G688" t="s">
        <v>126</v>
      </c>
      <c r="H688" t="s">
        <v>3810</v>
      </c>
      <c r="I688" t="s">
        <v>28</v>
      </c>
      <c r="J688" t="s">
        <v>45</v>
      </c>
      <c r="K688" t="s">
        <v>45</v>
      </c>
      <c r="L688" t="s">
        <v>25</v>
      </c>
      <c r="M688" t="s">
        <v>19</v>
      </c>
      <c r="N688">
        <v>5</v>
      </c>
      <c r="O688">
        <v>857</v>
      </c>
      <c r="P688">
        <v>1199</v>
      </c>
      <c r="Q688">
        <v>15</v>
      </c>
      <c r="R688">
        <v>1000</v>
      </c>
      <c r="S688">
        <v>4995</v>
      </c>
      <c r="T688">
        <v>710</v>
      </c>
      <c r="U688">
        <v>14.21</v>
      </c>
      <c r="V688" t="s">
        <v>21</v>
      </c>
    </row>
    <row r="689" spans="1:22" x14ac:dyDescent="0.35">
      <c r="A689" t="s">
        <v>4524</v>
      </c>
      <c r="B689" t="s">
        <v>52</v>
      </c>
      <c r="C689" t="s">
        <v>27</v>
      </c>
      <c r="D689" t="s">
        <v>4523</v>
      </c>
      <c r="E689" t="s">
        <v>4522</v>
      </c>
      <c r="F689" s="5">
        <v>45479</v>
      </c>
      <c r="G689" t="s">
        <v>126</v>
      </c>
      <c r="H689" t="s">
        <v>4521</v>
      </c>
      <c r="I689" t="s">
        <v>35</v>
      </c>
      <c r="J689" t="s">
        <v>159</v>
      </c>
      <c r="K689" t="s">
        <v>36</v>
      </c>
      <c r="L689" t="s">
        <v>19</v>
      </c>
      <c r="M689" t="s">
        <v>19</v>
      </c>
      <c r="N689">
        <v>5</v>
      </c>
      <c r="O689">
        <v>348</v>
      </c>
      <c r="P689">
        <v>499</v>
      </c>
      <c r="Q689">
        <v>10</v>
      </c>
      <c r="R689">
        <v>500</v>
      </c>
      <c r="S689">
        <v>1995</v>
      </c>
      <c r="T689">
        <v>255</v>
      </c>
      <c r="U689">
        <v>12.78</v>
      </c>
      <c r="V689" t="s">
        <v>21</v>
      </c>
    </row>
    <row r="690" spans="1:22" x14ac:dyDescent="0.35">
      <c r="A690" t="s">
        <v>4520</v>
      </c>
      <c r="B690" t="s">
        <v>84</v>
      </c>
      <c r="C690" t="s">
        <v>27</v>
      </c>
      <c r="D690" t="s">
        <v>4519</v>
      </c>
      <c r="E690" t="s">
        <v>4518</v>
      </c>
      <c r="F690" s="5">
        <v>45505</v>
      </c>
      <c r="G690" t="s">
        <v>126</v>
      </c>
      <c r="H690" t="s">
        <v>4517</v>
      </c>
      <c r="I690" t="s">
        <v>35</v>
      </c>
      <c r="J690" t="s">
        <v>41</v>
      </c>
      <c r="K690" t="s">
        <v>41</v>
      </c>
      <c r="L690" t="s">
        <v>37</v>
      </c>
      <c r="M690" t="s">
        <v>20</v>
      </c>
      <c r="N690">
        <v>1</v>
      </c>
      <c r="O690">
        <v>380</v>
      </c>
      <c r="P690">
        <v>699</v>
      </c>
      <c r="Q690">
        <v>20</v>
      </c>
      <c r="R690">
        <v>200</v>
      </c>
      <c r="S690">
        <v>499</v>
      </c>
      <c r="T690">
        <v>119</v>
      </c>
      <c r="U690">
        <v>23.85</v>
      </c>
      <c r="V690" t="s">
        <v>21</v>
      </c>
    </row>
    <row r="691" spans="1:22" x14ac:dyDescent="0.35">
      <c r="A691" t="s">
        <v>4516</v>
      </c>
      <c r="B691" t="s">
        <v>105</v>
      </c>
      <c r="C691" t="s">
        <v>16</v>
      </c>
      <c r="D691" t="s">
        <v>4515</v>
      </c>
      <c r="E691" t="s">
        <v>4514</v>
      </c>
      <c r="F691" s="5">
        <v>45469</v>
      </c>
      <c r="G691" t="s">
        <v>126</v>
      </c>
      <c r="H691" t="s">
        <v>3522</v>
      </c>
      <c r="I691" t="s">
        <v>23</v>
      </c>
      <c r="J691" t="s">
        <v>164</v>
      </c>
      <c r="K691" t="s">
        <v>24</v>
      </c>
      <c r="L691" t="s">
        <v>37</v>
      </c>
      <c r="M691" t="s">
        <v>19</v>
      </c>
      <c r="N691">
        <v>2</v>
      </c>
      <c r="O691">
        <v>1200</v>
      </c>
      <c r="P691">
        <v>2199</v>
      </c>
      <c r="Q691">
        <v>5</v>
      </c>
      <c r="R691">
        <v>400</v>
      </c>
      <c r="S691">
        <v>3998</v>
      </c>
      <c r="T691">
        <v>1598</v>
      </c>
      <c r="U691">
        <v>39.97</v>
      </c>
      <c r="V691" t="s">
        <v>21</v>
      </c>
    </row>
    <row r="692" spans="1:22" x14ac:dyDescent="0.35">
      <c r="A692" t="s">
        <v>4513</v>
      </c>
      <c r="B692" t="s">
        <v>46</v>
      </c>
      <c r="C692" t="s">
        <v>16</v>
      </c>
      <c r="D692" t="s">
        <v>4512</v>
      </c>
      <c r="E692" t="s">
        <v>4511</v>
      </c>
      <c r="F692" s="5">
        <v>45494</v>
      </c>
      <c r="G692" t="s">
        <v>126</v>
      </c>
      <c r="H692" t="s">
        <v>544</v>
      </c>
      <c r="I692" t="s">
        <v>35</v>
      </c>
      <c r="J692" t="s">
        <v>41</v>
      </c>
      <c r="K692" t="s">
        <v>41</v>
      </c>
      <c r="L692" t="s">
        <v>37</v>
      </c>
      <c r="M692" t="s">
        <v>20</v>
      </c>
      <c r="N692">
        <v>5</v>
      </c>
      <c r="O692">
        <v>687</v>
      </c>
      <c r="P692">
        <v>1099</v>
      </c>
      <c r="Q692">
        <v>5</v>
      </c>
      <c r="R692">
        <v>500</v>
      </c>
      <c r="S692">
        <v>4995</v>
      </c>
      <c r="T692">
        <v>1560</v>
      </c>
      <c r="U692">
        <v>31.23</v>
      </c>
      <c r="V692" t="s">
        <v>21</v>
      </c>
    </row>
    <row r="693" spans="1:22" x14ac:dyDescent="0.35">
      <c r="A693" t="s">
        <v>4510</v>
      </c>
      <c r="B693" t="s">
        <v>96</v>
      </c>
      <c r="C693" t="s">
        <v>16</v>
      </c>
      <c r="D693" t="s">
        <v>4509</v>
      </c>
      <c r="E693" t="s">
        <v>4508</v>
      </c>
      <c r="F693" s="5">
        <v>45646</v>
      </c>
      <c r="G693" t="s">
        <v>126</v>
      </c>
      <c r="H693" t="s">
        <v>1996</v>
      </c>
      <c r="I693" t="s">
        <v>31</v>
      </c>
      <c r="J693" t="s">
        <v>32</v>
      </c>
      <c r="K693" t="s">
        <v>32</v>
      </c>
      <c r="L693" t="s">
        <v>25</v>
      </c>
      <c r="M693" t="s">
        <v>20</v>
      </c>
      <c r="N693">
        <v>2</v>
      </c>
      <c r="O693">
        <v>471</v>
      </c>
      <c r="P693">
        <v>899</v>
      </c>
      <c r="Q693">
        <v>0</v>
      </c>
      <c r="R693">
        <v>0</v>
      </c>
      <c r="S693">
        <v>1798</v>
      </c>
      <c r="T693">
        <v>856</v>
      </c>
      <c r="U693">
        <v>47.61</v>
      </c>
      <c r="V693" t="s">
        <v>21</v>
      </c>
    </row>
    <row r="694" spans="1:22" x14ac:dyDescent="0.35">
      <c r="A694" t="s">
        <v>4507</v>
      </c>
      <c r="B694" t="s">
        <v>63</v>
      </c>
      <c r="C694" t="s">
        <v>27</v>
      </c>
      <c r="D694" t="s">
        <v>4506</v>
      </c>
      <c r="E694" t="s">
        <v>4505</v>
      </c>
      <c r="F694" s="5">
        <v>45515</v>
      </c>
      <c r="G694" t="s">
        <v>126</v>
      </c>
      <c r="H694" t="s">
        <v>932</v>
      </c>
      <c r="I694" t="s">
        <v>28</v>
      </c>
      <c r="J694" t="s">
        <v>45</v>
      </c>
      <c r="K694" t="s">
        <v>45</v>
      </c>
      <c r="L694" t="s">
        <v>19</v>
      </c>
      <c r="M694" t="s">
        <v>19</v>
      </c>
      <c r="N694">
        <v>1</v>
      </c>
      <c r="O694">
        <v>897</v>
      </c>
      <c r="P694">
        <v>1699</v>
      </c>
      <c r="Q694">
        <v>10</v>
      </c>
      <c r="R694">
        <v>200</v>
      </c>
      <c r="S694">
        <v>1499</v>
      </c>
      <c r="T694">
        <v>602</v>
      </c>
      <c r="U694">
        <v>40.159999999999997</v>
      </c>
      <c r="V694" t="s">
        <v>21</v>
      </c>
    </row>
    <row r="695" spans="1:22" x14ac:dyDescent="0.35">
      <c r="A695" t="s">
        <v>4504</v>
      </c>
      <c r="B695" t="s">
        <v>63</v>
      </c>
      <c r="C695" t="s">
        <v>27</v>
      </c>
      <c r="D695" t="s">
        <v>4503</v>
      </c>
      <c r="E695" t="s">
        <v>435</v>
      </c>
      <c r="F695" s="5">
        <v>45648</v>
      </c>
      <c r="G695" t="s">
        <v>126</v>
      </c>
      <c r="H695" t="s">
        <v>2039</v>
      </c>
      <c r="I695" t="s">
        <v>17</v>
      </c>
      <c r="J695" t="s">
        <v>253</v>
      </c>
      <c r="K695" t="s">
        <v>72</v>
      </c>
      <c r="L695" t="s">
        <v>19</v>
      </c>
      <c r="M695" t="s">
        <v>20</v>
      </c>
      <c r="N695">
        <v>4</v>
      </c>
      <c r="O695">
        <v>293</v>
      </c>
      <c r="P695">
        <v>399</v>
      </c>
      <c r="Q695">
        <v>0</v>
      </c>
      <c r="R695">
        <v>0</v>
      </c>
      <c r="S695">
        <v>1596</v>
      </c>
      <c r="T695">
        <v>424</v>
      </c>
      <c r="U695">
        <v>26.57</v>
      </c>
      <c r="V695" t="s">
        <v>21</v>
      </c>
    </row>
    <row r="696" spans="1:22" x14ac:dyDescent="0.35">
      <c r="A696" t="s">
        <v>4502</v>
      </c>
      <c r="B696" t="s">
        <v>80</v>
      </c>
      <c r="C696" t="s">
        <v>27</v>
      </c>
      <c r="D696" t="s">
        <v>4501</v>
      </c>
      <c r="E696" t="s">
        <v>4500</v>
      </c>
      <c r="F696" s="5">
        <v>45491</v>
      </c>
      <c r="G696" t="s">
        <v>126</v>
      </c>
      <c r="H696" t="s">
        <v>883</v>
      </c>
      <c r="I696" t="s">
        <v>35</v>
      </c>
      <c r="J696" t="s">
        <v>244</v>
      </c>
      <c r="K696" t="s">
        <v>58</v>
      </c>
      <c r="L696" t="s">
        <v>37</v>
      </c>
      <c r="M696" t="s">
        <v>19</v>
      </c>
      <c r="N696">
        <v>4</v>
      </c>
      <c r="O696">
        <v>813</v>
      </c>
      <c r="P696">
        <v>1299</v>
      </c>
      <c r="Q696">
        <v>20</v>
      </c>
      <c r="R696">
        <v>1200</v>
      </c>
      <c r="S696">
        <v>3996</v>
      </c>
      <c r="T696">
        <v>744</v>
      </c>
      <c r="U696">
        <v>18.62</v>
      </c>
      <c r="V696" t="s">
        <v>21</v>
      </c>
    </row>
    <row r="697" spans="1:22" x14ac:dyDescent="0.35">
      <c r="A697" t="s">
        <v>4499</v>
      </c>
      <c r="B697" t="s">
        <v>86</v>
      </c>
      <c r="C697" t="s">
        <v>27</v>
      </c>
      <c r="D697" t="s">
        <v>4498</v>
      </c>
      <c r="E697" t="s">
        <v>4497</v>
      </c>
      <c r="F697" s="5">
        <v>45454</v>
      </c>
      <c r="G697" t="s">
        <v>126</v>
      </c>
      <c r="H697" t="s">
        <v>4496</v>
      </c>
      <c r="I697" t="s">
        <v>17</v>
      </c>
      <c r="J697" t="s">
        <v>235</v>
      </c>
      <c r="K697" t="s">
        <v>18</v>
      </c>
      <c r="L697" t="s">
        <v>25</v>
      </c>
      <c r="M697" t="s">
        <v>20</v>
      </c>
      <c r="N697">
        <v>2</v>
      </c>
      <c r="O697">
        <v>313</v>
      </c>
      <c r="P697">
        <v>499</v>
      </c>
      <c r="Q697">
        <v>0</v>
      </c>
      <c r="R697">
        <v>0</v>
      </c>
      <c r="S697">
        <v>998</v>
      </c>
      <c r="T697">
        <v>372</v>
      </c>
      <c r="U697">
        <v>37.270000000000003</v>
      </c>
      <c r="V697" t="s">
        <v>33</v>
      </c>
    </row>
    <row r="698" spans="1:22" x14ac:dyDescent="0.35">
      <c r="A698" t="s">
        <v>4495</v>
      </c>
      <c r="B698" t="s">
        <v>68</v>
      </c>
      <c r="C698" t="s">
        <v>16</v>
      </c>
      <c r="D698" t="s">
        <v>4494</v>
      </c>
      <c r="E698" t="s">
        <v>4493</v>
      </c>
      <c r="F698" s="5">
        <v>45556</v>
      </c>
      <c r="G698" t="s">
        <v>126</v>
      </c>
      <c r="H698" t="s">
        <v>2347</v>
      </c>
      <c r="I698" t="s">
        <v>31</v>
      </c>
      <c r="J698" t="s">
        <v>76</v>
      </c>
      <c r="K698" t="s">
        <v>76</v>
      </c>
      <c r="L698" t="s">
        <v>37</v>
      </c>
      <c r="M698" t="s">
        <v>20</v>
      </c>
      <c r="N698">
        <v>3</v>
      </c>
      <c r="O698">
        <v>446</v>
      </c>
      <c r="P698">
        <v>799</v>
      </c>
      <c r="Q698">
        <v>0</v>
      </c>
      <c r="R698">
        <v>0</v>
      </c>
      <c r="S698">
        <v>2397</v>
      </c>
      <c r="T698">
        <v>1059</v>
      </c>
      <c r="U698">
        <v>44.18</v>
      </c>
      <c r="V698" t="s">
        <v>21</v>
      </c>
    </row>
    <row r="699" spans="1:22" x14ac:dyDescent="0.35">
      <c r="A699" t="s">
        <v>4492</v>
      </c>
      <c r="B699" t="s">
        <v>86</v>
      </c>
      <c r="C699" t="s">
        <v>27</v>
      </c>
      <c r="D699" t="s">
        <v>4491</v>
      </c>
      <c r="E699" t="s">
        <v>3428</v>
      </c>
      <c r="F699" s="5">
        <v>45620</v>
      </c>
      <c r="G699" t="s">
        <v>126</v>
      </c>
      <c r="H699" t="s">
        <v>579</v>
      </c>
      <c r="I699" t="s">
        <v>17</v>
      </c>
      <c r="J699" t="s">
        <v>235</v>
      </c>
      <c r="K699" t="s">
        <v>18</v>
      </c>
      <c r="L699" t="s">
        <v>19</v>
      </c>
      <c r="M699" t="s">
        <v>19</v>
      </c>
      <c r="N699">
        <v>1</v>
      </c>
      <c r="O699">
        <v>226</v>
      </c>
      <c r="P699">
        <v>399</v>
      </c>
      <c r="Q699">
        <v>0</v>
      </c>
      <c r="R699">
        <v>0</v>
      </c>
      <c r="S699">
        <v>399</v>
      </c>
      <c r="T699">
        <v>173</v>
      </c>
      <c r="U699">
        <v>43.36</v>
      </c>
      <c r="V699" t="s">
        <v>21</v>
      </c>
    </row>
    <row r="700" spans="1:22" x14ac:dyDescent="0.35">
      <c r="A700" t="s">
        <v>4490</v>
      </c>
      <c r="B700" t="s">
        <v>64</v>
      </c>
      <c r="C700" t="s">
        <v>16</v>
      </c>
      <c r="D700" t="s">
        <v>4489</v>
      </c>
      <c r="E700" t="s">
        <v>4488</v>
      </c>
      <c r="F700" s="5">
        <v>45514</v>
      </c>
      <c r="G700" t="s">
        <v>126</v>
      </c>
      <c r="H700" t="s">
        <v>202</v>
      </c>
      <c r="I700" t="s">
        <v>35</v>
      </c>
      <c r="J700" t="s">
        <v>159</v>
      </c>
      <c r="K700" t="s">
        <v>36</v>
      </c>
      <c r="L700" t="s">
        <v>37</v>
      </c>
      <c r="M700" t="s">
        <v>19</v>
      </c>
      <c r="N700">
        <v>5</v>
      </c>
      <c r="O700">
        <v>283</v>
      </c>
      <c r="P700">
        <v>499</v>
      </c>
      <c r="Q700">
        <v>10</v>
      </c>
      <c r="R700">
        <v>500</v>
      </c>
      <c r="S700">
        <v>1995</v>
      </c>
      <c r="T700">
        <v>580</v>
      </c>
      <c r="U700">
        <v>29.07</v>
      </c>
      <c r="V700" t="s">
        <v>21</v>
      </c>
    </row>
    <row r="701" spans="1:22" x14ac:dyDescent="0.35">
      <c r="A701" t="s">
        <v>4487</v>
      </c>
      <c r="B701" t="s">
        <v>101</v>
      </c>
      <c r="C701" t="s">
        <v>16</v>
      </c>
      <c r="D701" t="s">
        <v>4486</v>
      </c>
      <c r="E701" t="s">
        <v>4485</v>
      </c>
      <c r="F701" s="5">
        <v>45479</v>
      </c>
      <c r="G701" t="s">
        <v>126</v>
      </c>
      <c r="H701" t="s">
        <v>2404</v>
      </c>
      <c r="I701" t="s">
        <v>35</v>
      </c>
      <c r="J701" t="s">
        <v>41</v>
      </c>
      <c r="K701" t="s">
        <v>41</v>
      </c>
      <c r="L701" t="s">
        <v>19</v>
      </c>
      <c r="M701" t="s">
        <v>19</v>
      </c>
      <c r="N701">
        <v>1</v>
      </c>
      <c r="O701">
        <v>361</v>
      </c>
      <c r="P701">
        <v>599</v>
      </c>
      <c r="Q701">
        <v>10</v>
      </c>
      <c r="R701">
        <v>100</v>
      </c>
      <c r="S701">
        <v>499</v>
      </c>
      <c r="T701">
        <v>138</v>
      </c>
      <c r="U701">
        <v>27.66</v>
      </c>
      <c r="V701" t="s">
        <v>21</v>
      </c>
    </row>
    <row r="702" spans="1:22" x14ac:dyDescent="0.35">
      <c r="A702" t="s">
        <v>4484</v>
      </c>
      <c r="B702" t="s">
        <v>22</v>
      </c>
      <c r="C702" t="s">
        <v>16</v>
      </c>
      <c r="D702" t="s">
        <v>4483</v>
      </c>
      <c r="E702" t="s">
        <v>4482</v>
      </c>
      <c r="F702" s="5">
        <v>45577</v>
      </c>
      <c r="G702" t="s">
        <v>126</v>
      </c>
      <c r="H702" t="s">
        <v>1065</v>
      </c>
      <c r="I702" t="s">
        <v>23</v>
      </c>
      <c r="J702" t="s">
        <v>164</v>
      </c>
      <c r="K702" t="s">
        <v>24</v>
      </c>
      <c r="L702" t="s">
        <v>37</v>
      </c>
      <c r="M702" t="s">
        <v>19</v>
      </c>
      <c r="N702">
        <v>1</v>
      </c>
      <c r="O702">
        <v>1192</v>
      </c>
      <c r="P702">
        <v>1899</v>
      </c>
      <c r="Q702">
        <v>20</v>
      </c>
      <c r="R702">
        <v>400</v>
      </c>
      <c r="S702">
        <v>1499</v>
      </c>
      <c r="T702">
        <v>307</v>
      </c>
      <c r="U702">
        <v>20.48</v>
      </c>
      <c r="V702" t="s">
        <v>33</v>
      </c>
    </row>
    <row r="703" spans="1:22" x14ac:dyDescent="0.35">
      <c r="A703" t="s">
        <v>4481</v>
      </c>
      <c r="B703" t="s">
        <v>64</v>
      </c>
      <c r="C703" t="s">
        <v>16</v>
      </c>
      <c r="D703" t="s">
        <v>4480</v>
      </c>
      <c r="E703" t="s">
        <v>4479</v>
      </c>
      <c r="F703" s="5">
        <v>45493</v>
      </c>
      <c r="G703" t="s">
        <v>126</v>
      </c>
      <c r="H703" t="s">
        <v>2010</v>
      </c>
      <c r="I703" t="s">
        <v>17</v>
      </c>
      <c r="J703" t="s">
        <v>55</v>
      </c>
      <c r="K703" t="s">
        <v>55</v>
      </c>
      <c r="L703" t="s">
        <v>25</v>
      </c>
      <c r="M703" t="s">
        <v>20</v>
      </c>
      <c r="N703">
        <v>4</v>
      </c>
      <c r="O703">
        <v>376</v>
      </c>
      <c r="P703">
        <v>699</v>
      </c>
      <c r="Q703">
        <v>0</v>
      </c>
      <c r="R703">
        <v>0</v>
      </c>
      <c r="S703">
        <v>2796</v>
      </c>
      <c r="T703">
        <v>1292</v>
      </c>
      <c r="U703">
        <v>46.21</v>
      </c>
      <c r="V703" t="s">
        <v>21</v>
      </c>
    </row>
    <row r="704" spans="1:22" x14ac:dyDescent="0.35">
      <c r="A704" t="s">
        <v>4478</v>
      </c>
      <c r="B704" t="s">
        <v>79</v>
      </c>
      <c r="C704" t="s">
        <v>16</v>
      </c>
      <c r="D704" t="s">
        <v>4477</v>
      </c>
      <c r="E704" t="s">
        <v>4476</v>
      </c>
      <c r="F704" s="5">
        <v>45485</v>
      </c>
      <c r="G704" t="s">
        <v>126</v>
      </c>
      <c r="H704" t="s">
        <v>3374</v>
      </c>
      <c r="I704" t="s">
        <v>23</v>
      </c>
      <c r="J704" t="s">
        <v>164</v>
      </c>
      <c r="K704" t="s">
        <v>24</v>
      </c>
      <c r="L704" t="s">
        <v>19</v>
      </c>
      <c r="M704" t="s">
        <v>19</v>
      </c>
      <c r="N704">
        <v>1</v>
      </c>
      <c r="O704">
        <v>686</v>
      </c>
      <c r="P704">
        <v>999</v>
      </c>
      <c r="Q704">
        <v>15</v>
      </c>
      <c r="R704">
        <v>200</v>
      </c>
      <c r="S704">
        <v>799</v>
      </c>
      <c r="T704">
        <v>113</v>
      </c>
      <c r="U704">
        <v>14.14</v>
      </c>
      <c r="V704" t="s">
        <v>21</v>
      </c>
    </row>
    <row r="705" spans="1:22" x14ac:dyDescent="0.35">
      <c r="A705" t="s">
        <v>4475</v>
      </c>
      <c r="B705" t="s">
        <v>66</v>
      </c>
      <c r="C705" t="s">
        <v>27</v>
      </c>
      <c r="D705" t="s">
        <v>4474</v>
      </c>
      <c r="E705" t="s">
        <v>4473</v>
      </c>
      <c r="F705" s="5">
        <v>45532</v>
      </c>
      <c r="G705" t="s">
        <v>126</v>
      </c>
      <c r="H705" t="s">
        <v>1442</v>
      </c>
      <c r="I705" t="s">
        <v>23</v>
      </c>
      <c r="J705" t="s">
        <v>164</v>
      </c>
      <c r="K705" t="s">
        <v>24</v>
      </c>
      <c r="L705" t="s">
        <v>25</v>
      </c>
      <c r="M705" t="s">
        <v>19</v>
      </c>
      <c r="N705">
        <v>2</v>
      </c>
      <c r="O705">
        <v>1543</v>
      </c>
      <c r="P705">
        <v>2199</v>
      </c>
      <c r="Q705">
        <v>5</v>
      </c>
      <c r="R705">
        <v>400</v>
      </c>
      <c r="S705">
        <v>3998</v>
      </c>
      <c r="T705">
        <v>912</v>
      </c>
      <c r="U705">
        <v>22.81</v>
      </c>
      <c r="V705" t="s">
        <v>33</v>
      </c>
    </row>
    <row r="706" spans="1:22" x14ac:dyDescent="0.35">
      <c r="A706" t="s">
        <v>4472</v>
      </c>
      <c r="B706" t="s">
        <v>84</v>
      </c>
      <c r="C706" t="s">
        <v>27</v>
      </c>
      <c r="D706" t="s">
        <v>4471</v>
      </c>
      <c r="E706" t="s">
        <v>4470</v>
      </c>
      <c r="F706" s="5">
        <v>45470</v>
      </c>
      <c r="G706" t="s">
        <v>126</v>
      </c>
      <c r="H706" t="s">
        <v>1962</v>
      </c>
      <c r="I706" t="s">
        <v>28</v>
      </c>
      <c r="J706" t="s">
        <v>45</v>
      </c>
      <c r="K706" t="s">
        <v>45</v>
      </c>
      <c r="L706" t="s">
        <v>25</v>
      </c>
      <c r="M706" t="s">
        <v>20</v>
      </c>
      <c r="N706">
        <v>1</v>
      </c>
      <c r="O706">
        <v>838</v>
      </c>
      <c r="P706">
        <v>1499</v>
      </c>
      <c r="Q706">
        <v>20</v>
      </c>
      <c r="R706">
        <v>300</v>
      </c>
      <c r="S706">
        <v>1199</v>
      </c>
      <c r="T706">
        <v>361</v>
      </c>
      <c r="U706">
        <v>30.11</v>
      </c>
      <c r="V706" t="s">
        <v>21</v>
      </c>
    </row>
    <row r="707" spans="1:22" x14ac:dyDescent="0.35">
      <c r="A707" t="s">
        <v>4469</v>
      </c>
      <c r="B707" t="s">
        <v>73</v>
      </c>
      <c r="C707" t="s">
        <v>16</v>
      </c>
      <c r="D707" t="s">
        <v>4468</v>
      </c>
      <c r="E707" t="s">
        <v>4467</v>
      </c>
      <c r="F707" s="5">
        <v>45471</v>
      </c>
      <c r="G707" t="s">
        <v>126</v>
      </c>
      <c r="H707" t="s">
        <v>3615</v>
      </c>
      <c r="I707" t="s">
        <v>17</v>
      </c>
      <c r="J707" t="s">
        <v>235</v>
      </c>
      <c r="K707" t="s">
        <v>18</v>
      </c>
      <c r="L707" t="s">
        <v>25</v>
      </c>
      <c r="M707" t="s">
        <v>20</v>
      </c>
      <c r="N707">
        <v>4</v>
      </c>
      <c r="O707">
        <v>201</v>
      </c>
      <c r="P707">
        <v>299</v>
      </c>
      <c r="Q707">
        <v>0</v>
      </c>
      <c r="R707">
        <v>0</v>
      </c>
      <c r="S707">
        <v>1196</v>
      </c>
      <c r="T707">
        <v>392</v>
      </c>
      <c r="U707">
        <v>32.78</v>
      </c>
      <c r="V707" t="s">
        <v>21</v>
      </c>
    </row>
    <row r="708" spans="1:22" x14ac:dyDescent="0.35">
      <c r="A708" t="s">
        <v>4466</v>
      </c>
      <c r="B708" t="s">
        <v>95</v>
      </c>
      <c r="C708" t="s">
        <v>27</v>
      </c>
      <c r="D708" t="s">
        <v>4465</v>
      </c>
      <c r="E708" t="s">
        <v>4464</v>
      </c>
      <c r="F708" s="5">
        <v>45657</v>
      </c>
      <c r="G708" t="s">
        <v>126</v>
      </c>
      <c r="H708" t="s">
        <v>1612</v>
      </c>
      <c r="I708" t="s">
        <v>17</v>
      </c>
      <c r="J708" t="s">
        <v>55</v>
      </c>
      <c r="K708" t="s">
        <v>55</v>
      </c>
      <c r="L708" t="s">
        <v>25</v>
      </c>
      <c r="M708" t="s">
        <v>20</v>
      </c>
      <c r="N708">
        <v>2</v>
      </c>
      <c r="O708">
        <v>364</v>
      </c>
      <c r="P708">
        <v>599</v>
      </c>
      <c r="Q708">
        <v>0</v>
      </c>
      <c r="R708">
        <v>0</v>
      </c>
      <c r="S708">
        <v>1198</v>
      </c>
      <c r="T708">
        <v>470</v>
      </c>
      <c r="U708">
        <v>39.229999999999997</v>
      </c>
      <c r="V708" t="s">
        <v>33</v>
      </c>
    </row>
    <row r="709" spans="1:22" x14ac:dyDescent="0.35">
      <c r="A709" t="s">
        <v>4463</v>
      </c>
      <c r="B709" t="s">
        <v>51</v>
      </c>
      <c r="C709" t="s">
        <v>16</v>
      </c>
      <c r="D709" t="s">
        <v>4462</v>
      </c>
      <c r="E709" t="s">
        <v>4461</v>
      </c>
      <c r="F709" s="5">
        <v>45549</v>
      </c>
      <c r="G709" t="s">
        <v>126</v>
      </c>
      <c r="H709" t="s">
        <v>928</v>
      </c>
      <c r="I709" t="s">
        <v>35</v>
      </c>
      <c r="J709" t="s">
        <v>41</v>
      </c>
      <c r="K709" t="s">
        <v>41</v>
      </c>
      <c r="L709" t="s">
        <v>19</v>
      </c>
      <c r="M709" t="s">
        <v>19</v>
      </c>
      <c r="N709">
        <v>1</v>
      </c>
      <c r="O709">
        <v>640</v>
      </c>
      <c r="P709">
        <v>899</v>
      </c>
      <c r="Q709">
        <v>5</v>
      </c>
      <c r="R709">
        <v>100</v>
      </c>
      <c r="S709">
        <v>799</v>
      </c>
      <c r="T709">
        <v>159</v>
      </c>
      <c r="U709">
        <v>19.899999999999999</v>
      </c>
      <c r="V709" t="s">
        <v>21</v>
      </c>
    </row>
    <row r="710" spans="1:22" x14ac:dyDescent="0.35">
      <c r="A710" t="s">
        <v>4460</v>
      </c>
      <c r="B710" t="s">
        <v>70</v>
      </c>
      <c r="C710" t="s">
        <v>27</v>
      </c>
      <c r="D710" t="s">
        <v>4459</v>
      </c>
      <c r="E710" t="s">
        <v>4458</v>
      </c>
      <c r="F710" s="5">
        <v>45536</v>
      </c>
      <c r="G710" t="s">
        <v>126</v>
      </c>
      <c r="H710" t="s">
        <v>1363</v>
      </c>
      <c r="I710" t="s">
        <v>17</v>
      </c>
      <c r="J710" t="s">
        <v>48</v>
      </c>
      <c r="K710" t="s">
        <v>48</v>
      </c>
      <c r="L710" t="s">
        <v>37</v>
      </c>
      <c r="M710" t="s">
        <v>20</v>
      </c>
      <c r="N710">
        <v>1</v>
      </c>
      <c r="O710">
        <v>219</v>
      </c>
      <c r="P710">
        <v>399</v>
      </c>
      <c r="Q710">
        <v>0</v>
      </c>
      <c r="R710">
        <v>0</v>
      </c>
      <c r="S710">
        <v>399</v>
      </c>
      <c r="T710">
        <v>180</v>
      </c>
      <c r="U710">
        <v>45.11</v>
      </c>
      <c r="V710" t="s">
        <v>21</v>
      </c>
    </row>
    <row r="711" spans="1:22" x14ac:dyDescent="0.35">
      <c r="A711" t="s">
        <v>4457</v>
      </c>
      <c r="B711" t="s">
        <v>67</v>
      </c>
      <c r="C711" t="s">
        <v>27</v>
      </c>
      <c r="D711" t="s">
        <v>4456</v>
      </c>
      <c r="E711" t="s">
        <v>2394</v>
      </c>
      <c r="F711" s="5">
        <v>45518</v>
      </c>
      <c r="G711" t="s">
        <v>126</v>
      </c>
      <c r="H711" t="s">
        <v>290</v>
      </c>
      <c r="I711" t="s">
        <v>35</v>
      </c>
      <c r="J711" t="s">
        <v>159</v>
      </c>
      <c r="K711" t="s">
        <v>36</v>
      </c>
      <c r="L711" t="s">
        <v>37</v>
      </c>
      <c r="M711" t="s">
        <v>19</v>
      </c>
      <c r="N711">
        <v>2</v>
      </c>
      <c r="O711">
        <v>397</v>
      </c>
      <c r="P711">
        <v>599</v>
      </c>
      <c r="Q711">
        <v>5</v>
      </c>
      <c r="R711">
        <v>200</v>
      </c>
      <c r="S711">
        <v>998</v>
      </c>
      <c r="T711">
        <v>204</v>
      </c>
      <c r="U711">
        <v>20.440000000000001</v>
      </c>
      <c r="V711" t="s">
        <v>21</v>
      </c>
    </row>
    <row r="712" spans="1:22" x14ac:dyDescent="0.35">
      <c r="A712" t="s">
        <v>4455</v>
      </c>
      <c r="B712" t="s">
        <v>61</v>
      </c>
      <c r="C712" t="s">
        <v>27</v>
      </c>
      <c r="D712" t="s">
        <v>4454</v>
      </c>
      <c r="E712" t="s">
        <v>4453</v>
      </c>
      <c r="F712" s="5">
        <v>45480</v>
      </c>
      <c r="G712" t="s">
        <v>126</v>
      </c>
      <c r="H712" t="s">
        <v>2318</v>
      </c>
      <c r="I712" t="s">
        <v>28</v>
      </c>
      <c r="J712" t="s">
        <v>201</v>
      </c>
      <c r="K712" t="s">
        <v>29</v>
      </c>
      <c r="L712" t="s">
        <v>25</v>
      </c>
      <c r="M712" t="s">
        <v>20</v>
      </c>
      <c r="N712">
        <v>2</v>
      </c>
      <c r="O712">
        <v>374</v>
      </c>
      <c r="P712">
        <v>599</v>
      </c>
      <c r="Q712">
        <v>20</v>
      </c>
      <c r="R712">
        <v>300</v>
      </c>
      <c r="S712">
        <v>898</v>
      </c>
      <c r="T712">
        <v>150</v>
      </c>
      <c r="U712">
        <v>16.7</v>
      </c>
      <c r="V712" t="s">
        <v>21</v>
      </c>
    </row>
    <row r="713" spans="1:22" x14ac:dyDescent="0.35">
      <c r="A713" t="s">
        <v>4452</v>
      </c>
      <c r="B713" t="s">
        <v>82</v>
      </c>
      <c r="C713" t="s">
        <v>27</v>
      </c>
      <c r="D713" t="s">
        <v>4451</v>
      </c>
      <c r="E713" t="s">
        <v>4450</v>
      </c>
      <c r="F713" s="5">
        <v>45473</v>
      </c>
      <c r="G713" t="s">
        <v>126</v>
      </c>
      <c r="H713" t="s">
        <v>4449</v>
      </c>
      <c r="I713" t="s">
        <v>31</v>
      </c>
      <c r="J713" t="s">
        <v>32</v>
      </c>
      <c r="K713" t="s">
        <v>32</v>
      </c>
      <c r="L713" t="s">
        <v>37</v>
      </c>
      <c r="M713" t="s">
        <v>20</v>
      </c>
      <c r="N713">
        <v>2</v>
      </c>
      <c r="O713">
        <v>1079</v>
      </c>
      <c r="P713">
        <v>1499</v>
      </c>
      <c r="Q713">
        <v>0</v>
      </c>
      <c r="R713">
        <v>0</v>
      </c>
      <c r="S713">
        <v>2998</v>
      </c>
      <c r="T713">
        <v>840</v>
      </c>
      <c r="U713">
        <v>28.02</v>
      </c>
      <c r="V713" t="s">
        <v>21</v>
      </c>
    </row>
    <row r="714" spans="1:22" x14ac:dyDescent="0.35">
      <c r="A714" t="s">
        <v>4448</v>
      </c>
      <c r="B714" t="s">
        <v>102</v>
      </c>
      <c r="C714" t="s">
        <v>27</v>
      </c>
      <c r="D714" t="s">
        <v>4447</v>
      </c>
      <c r="E714" t="s">
        <v>4446</v>
      </c>
      <c r="F714" s="5">
        <v>45506</v>
      </c>
      <c r="G714" t="s">
        <v>126</v>
      </c>
      <c r="H714" t="s">
        <v>1612</v>
      </c>
      <c r="I714" t="s">
        <v>31</v>
      </c>
      <c r="J714" t="s">
        <v>32</v>
      </c>
      <c r="K714" t="s">
        <v>32</v>
      </c>
      <c r="L714" t="s">
        <v>37</v>
      </c>
      <c r="M714" t="s">
        <v>20</v>
      </c>
      <c r="N714">
        <v>1</v>
      </c>
      <c r="O714">
        <v>723</v>
      </c>
      <c r="P714">
        <v>1199</v>
      </c>
      <c r="Q714">
        <v>0</v>
      </c>
      <c r="R714">
        <v>0</v>
      </c>
      <c r="S714">
        <v>1199</v>
      </c>
      <c r="T714">
        <v>476</v>
      </c>
      <c r="U714">
        <v>39.700000000000003</v>
      </c>
      <c r="V714" t="s">
        <v>21</v>
      </c>
    </row>
    <row r="715" spans="1:22" x14ac:dyDescent="0.35">
      <c r="A715" t="s">
        <v>4445</v>
      </c>
      <c r="B715" t="s">
        <v>102</v>
      </c>
      <c r="C715" t="s">
        <v>27</v>
      </c>
      <c r="D715" t="s">
        <v>4444</v>
      </c>
      <c r="E715" t="s">
        <v>4443</v>
      </c>
      <c r="F715" s="5">
        <v>45452</v>
      </c>
      <c r="G715" t="s">
        <v>126</v>
      </c>
      <c r="H715" t="s">
        <v>1264</v>
      </c>
      <c r="I715" t="s">
        <v>28</v>
      </c>
      <c r="J715" t="s">
        <v>45</v>
      </c>
      <c r="K715" t="s">
        <v>45</v>
      </c>
      <c r="L715" t="s">
        <v>19</v>
      </c>
      <c r="M715" t="s">
        <v>20</v>
      </c>
      <c r="N715">
        <v>1</v>
      </c>
      <c r="O715">
        <v>535</v>
      </c>
      <c r="P715">
        <v>999</v>
      </c>
      <c r="Q715">
        <v>15</v>
      </c>
      <c r="R715">
        <v>200</v>
      </c>
      <c r="S715">
        <v>799</v>
      </c>
      <c r="T715">
        <v>264</v>
      </c>
      <c r="U715">
        <v>33.04</v>
      </c>
      <c r="V715" t="s">
        <v>21</v>
      </c>
    </row>
    <row r="716" spans="1:22" x14ac:dyDescent="0.35">
      <c r="A716" t="s">
        <v>4442</v>
      </c>
      <c r="B716" t="s">
        <v>77</v>
      </c>
      <c r="C716" t="s">
        <v>27</v>
      </c>
      <c r="D716" t="s">
        <v>4441</v>
      </c>
      <c r="E716" t="s">
        <v>3092</v>
      </c>
      <c r="F716" s="5">
        <v>45579</v>
      </c>
      <c r="G716" t="s">
        <v>126</v>
      </c>
      <c r="H716" t="s">
        <v>4440</v>
      </c>
      <c r="I716" t="s">
        <v>23</v>
      </c>
      <c r="J716" t="s">
        <v>164</v>
      </c>
      <c r="K716" t="s">
        <v>24</v>
      </c>
      <c r="L716" t="s">
        <v>25</v>
      </c>
      <c r="M716" t="s">
        <v>20</v>
      </c>
      <c r="N716">
        <v>5</v>
      </c>
      <c r="O716">
        <v>797</v>
      </c>
      <c r="P716">
        <v>1299</v>
      </c>
      <c r="Q716">
        <v>5</v>
      </c>
      <c r="R716">
        <v>500</v>
      </c>
      <c r="S716">
        <v>5995</v>
      </c>
      <c r="T716">
        <v>2010</v>
      </c>
      <c r="U716">
        <v>33.53</v>
      </c>
      <c r="V716" t="s">
        <v>21</v>
      </c>
    </row>
    <row r="717" spans="1:22" x14ac:dyDescent="0.35">
      <c r="A717" t="s">
        <v>4439</v>
      </c>
      <c r="B717" t="s">
        <v>93</v>
      </c>
      <c r="C717" t="s">
        <v>16</v>
      </c>
      <c r="D717" t="s">
        <v>4438</v>
      </c>
      <c r="E717" t="s">
        <v>4437</v>
      </c>
      <c r="F717" s="5">
        <v>45515</v>
      </c>
      <c r="G717" t="s">
        <v>126</v>
      </c>
      <c r="H717" t="s">
        <v>1466</v>
      </c>
      <c r="I717" t="s">
        <v>23</v>
      </c>
      <c r="J717" t="s">
        <v>142</v>
      </c>
      <c r="K717" t="s">
        <v>43</v>
      </c>
      <c r="L717" t="s">
        <v>19</v>
      </c>
      <c r="M717" t="s">
        <v>19</v>
      </c>
      <c r="N717">
        <v>1</v>
      </c>
      <c r="O717">
        <v>1887</v>
      </c>
      <c r="P717">
        <v>2799</v>
      </c>
      <c r="Q717">
        <v>20</v>
      </c>
      <c r="R717">
        <v>600</v>
      </c>
      <c r="S717">
        <v>2199</v>
      </c>
      <c r="T717">
        <v>312</v>
      </c>
      <c r="U717">
        <v>14.19</v>
      </c>
      <c r="V717" t="s">
        <v>33</v>
      </c>
    </row>
    <row r="718" spans="1:22" x14ac:dyDescent="0.35">
      <c r="A718" t="s">
        <v>4436</v>
      </c>
      <c r="B718" t="s">
        <v>46</v>
      </c>
      <c r="C718" t="s">
        <v>16</v>
      </c>
      <c r="D718" t="s">
        <v>4435</v>
      </c>
      <c r="E718" t="s">
        <v>4434</v>
      </c>
      <c r="F718" s="5">
        <v>45536</v>
      </c>
      <c r="G718" t="s">
        <v>126</v>
      </c>
      <c r="H718" t="s">
        <v>1937</v>
      </c>
      <c r="I718" t="s">
        <v>31</v>
      </c>
      <c r="J718" t="s">
        <v>32</v>
      </c>
      <c r="K718" t="s">
        <v>32</v>
      </c>
      <c r="L718" t="s">
        <v>37</v>
      </c>
      <c r="M718" t="s">
        <v>19</v>
      </c>
      <c r="N718">
        <v>1</v>
      </c>
      <c r="O718">
        <v>602</v>
      </c>
      <c r="P718">
        <v>1199</v>
      </c>
      <c r="Q718">
        <v>0</v>
      </c>
      <c r="R718">
        <v>0</v>
      </c>
      <c r="S718">
        <v>1199</v>
      </c>
      <c r="T718">
        <v>597</v>
      </c>
      <c r="U718">
        <v>49.79</v>
      </c>
      <c r="V718" t="s">
        <v>21</v>
      </c>
    </row>
    <row r="719" spans="1:22" x14ac:dyDescent="0.35">
      <c r="A719" t="s">
        <v>4433</v>
      </c>
      <c r="B719" t="s">
        <v>75</v>
      </c>
      <c r="C719" t="s">
        <v>27</v>
      </c>
      <c r="D719" t="s">
        <v>4432</v>
      </c>
      <c r="E719" t="s">
        <v>4431</v>
      </c>
      <c r="F719" s="5">
        <v>45551</v>
      </c>
      <c r="G719" t="s">
        <v>126</v>
      </c>
      <c r="H719" t="s">
        <v>1855</v>
      </c>
      <c r="I719" t="s">
        <v>23</v>
      </c>
      <c r="J719" t="s">
        <v>164</v>
      </c>
      <c r="K719" t="s">
        <v>24</v>
      </c>
      <c r="L719" t="s">
        <v>25</v>
      </c>
      <c r="M719" t="s">
        <v>19</v>
      </c>
      <c r="N719">
        <v>2</v>
      </c>
      <c r="O719">
        <v>1003</v>
      </c>
      <c r="P719">
        <v>1499</v>
      </c>
      <c r="Q719">
        <v>20</v>
      </c>
      <c r="R719">
        <v>600</v>
      </c>
      <c r="S719">
        <v>2398</v>
      </c>
      <c r="T719">
        <v>392</v>
      </c>
      <c r="U719">
        <v>16.350000000000001</v>
      </c>
      <c r="V719" t="s">
        <v>21</v>
      </c>
    </row>
    <row r="720" spans="1:22" x14ac:dyDescent="0.35">
      <c r="A720" t="s">
        <v>4430</v>
      </c>
      <c r="B720" t="s">
        <v>108</v>
      </c>
      <c r="C720" t="s">
        <v>27</v>
      </c>
      <c r="D720" t="s">
        <v>4429</v>
      </c>
      <c r="E720" t="s">
        <v>4428</v>
      </c>
      <c r="F720" s="5">
        <v>45474</v>
      </c>
      <c r="G720" t="s">
        <v>126</v>
      </c>
      <c r="H720" t="s">
        <v>294</v>
      </c>
      <c r="I720" t="s">
        <v>17</v>
      </c>
      <c r="J720" t="s">
        <v>48</v>
      </c>
      <c r="K720" t="s">
        <v>48</v>
      </c>
      <c r="L720" t="s">
        <v>37</v>
      </c>
      <c r="M720" t="s">
        <v>20</v>
      </c>
      <c r="N720">
        <v>2</v>
      </c>
      <c r="O720">
        <v>197</v>
      </c>
      <c r="P720">
        <v>299</v>
      </c>
      <c r="Q720">
        <v>0</v>
      </c>
      <c r="R720">
        <v>0</v>
      </c>
      <c r="S720">
        <v>598</v>
      </c>
      <c r="T720">
        <v>204</v>
      </c>
      <c r="U720">
        <v>34.11</v>
      </c>
      <c r="V720" t="s">
        <v>33</v>
      </c>
    </row>
    <row r="721" spans="1:22" x14ac:dyDescent="0.35">
      <c r="A721" t="s">
        <v>4427</v>
      </c>
      <c r="B721" t="s">
        <v>81</v>
      </c>
      <c r="C721" t="s">
        <v>27</v>
      </c>
      <c r="D721" t="s">
        <v>4426</v>
      </c>
      <c r="E721" t="s">
        <v>4425</v>
      </c>
      <c r="F721" s="5">
        <v>45459</v>
      </c>
      <c r="G721" t="s">
        <v>126</v>
      </c>
      <c r="H721" t="s">
        <v>1202</v>
      </c>
      <c r="I721" t="s">
        <v>23</v>
      </c>
      <c r="J721" t="s">
        <v>164</v>
      </c>
      <c r="K721" t="s">
        <v>24</v>
      </c>
      <c r="L721" t="s">
        <v>25</v>
      </c>
      <c r="M721" t="s">
        <v>19</v>
      </c>
      <c r="N721">
        <v>1</v>
      </c>
      <c r="O721">
        <v>662</v>
      </c>
      <c r="P721">
        <v>899</v>
      </c>
      <c r="Q721">
        <v>5</v>
      </c>
      <c r="R721">
        <v>100</v>
      </c>
      <c r="S721">
        <v>799</v>
      </c>
      <c r="T721">
        <v>137</v>
      </c>
      <c r="U721">
        <v>17.149999999999999</v>
      </c>
      <c r="V721" t="s">
        <v>21</v>
      </c>
    </row>
    <row r="722" spans="1:22" x14ac:dyDescent="0.35">
      <c r="A722" t="s">
        <v>4424</v>
      </c>
      <c r="B722" t="s">
        <v>64</v>
      </c>
      <c r="C722" t="s">
        <v>16</v>
      </c>
      <c r="D722" t="s">
        <v>4423</v>
      </c>
      <c r="E722" t="s">
        <v>4422</v>
      </c>
      <c r="F722" s="5">
        <v>45519</v>
      </c>
      <c r="G722" t="s">
        <v>126</v>
      </c>
      <c r="H722" t="s">
        <v>4421</v>
      </c>
      <c r="I722" t="s">
        <v>28</v>
      </c>
      <c r="J722" t="s">
        <v>45</v>
      </c>
      <c r="K722" t="s">
        <v>45</v>
      </c>
      <c r="L722" t="s">
        <v>19</v>
      </c>
      <c r="M722" t="s">
        <v>20</v>
      </c>
      <c r="N722">
        <v>1</v>
      </c>
      <c r="O722">
        <v>655</v>
      </c>
      <c r="P722">
        <v>1199</v>
      </c>
      <c r="Q722">
        <v>15</v>
      </c>
      <c r="R722">
        <v>200</v>
      </c>
      <c r="S722">
        <v>999</v>
      </c>
      <c r="T722">
        <v>344</v>
      </c>
      <c r="U722">
        <v>34.43</v>
      </c>
      <c r="V722" t="s">
        <v>21</v>
      </c>
    </row>
    <row r="723" spans="1:22" x14ac:dyDescent="0.35">
      <c r="A723" t="s">
        <v>4420</v>
      </c>
      <c r="B723" t="s">
        <v>77</v>
      </c>
      <c r="C723" t="s">
        <v>27</v>
      </c>
      <c r="D723" t="s">
        <v>4419</v>
      </c>
      <c r="E723" t="s">
        <v>4418</v>
      </c>
      <c r="F723" s="5">
        <v>45622</v>
      </c>
      <c r="G723" t="s">
        <v>126</v>
      </c>
      <c r="H723" t="s">
        <v>2560</v>
      </c>
      <c r="I723" t="s">
        <v>17</v>
      </c>
      <c r="J723" t="s">
        <v>55</v>
      </c>
      <c r="K723" t="s">
        <v>55</v>
      </c>
      <c r="L723" t="s">
        <v>25</v>
      </c>
      <c r="M723" t="s">
        <v>20</v>
      </c>
      <c r="N723">
        <v>1</v>
      </c>
      <c r="O723">
        <v>309</v>
      </c>
      <c r="P723">
        <v>499</v>
      </c>
      <c r="Q723">
        <v>0</v>
      </c>
      <c r="R723">
        <v>0</v>
      </c>
      <c r="S723">
        <v>499</v>
      </c>
      <c r="T723">
        <v>190</v>
      </c>
      <c r="U723">
        <v>38.08</v>
      </c>
      <c r="V723" t="s">
        <v>21</v>
      </c>
    </row>
    <row r="724" spans="1:22" x14ac:dyDescent="0.35">
      <c r="A724" t="s">
        <v>4417</v>
      </c>
      <c r="B724" t="s">
        <v>94</v>
      </c>
      <c r="C724" t="s">
        <v>16</v>
      </c>
      <c r="D724" t="s">
        <v>4416</v>
      </c>
      <c r="E724" t="s">
        <v>4415</v>
      </c>
      <c r="F724" s="5">
        <v>45647</v>
      </c>
      <c r="G724" t="s">
        <v>126</v>
      </c>
      <c r="H724" t="s">
        <v>4414</v>
      </c>
      <c r="I724" t="s">
        <v>35</v>
      </c>
      <c r="J724" t="s">
        <v>41</v>
      </c>
      <c r="K724" t="s">
        <v>41</v>
      </c>
      <c r="L724" t="s">
        <v>19</v>
      </c>
      <c r="M724" t="s">
        <v>20</v>
      </c>
      <c r="N724">
        <v>1</v>
      </c>
      <c r="O724">
        <v>789</v>
      </c>
      <c r="P724">
        <v>1199</v>
      </c>
      <c r="Q724">
        <v>15</v>
      </c>
      <c r="R724">
        <v>200</v>
      </c>
      <c r="S724">
        <v>999</v>
      </c>
      <c r="T724">
        <v>210</v>
      </c>
      <c r="U724">
        <v>21.02</v>
      </c>
      <c r="V724" t="s">
        <v>21</v>
      </c>
    </row>
    <row r="725" spans="1:22" x14ac:dyDescent="0.35">
      <c r="A725" t="s">
        <v>4413</v>
      </c>
      <c r="B725" t="s">
        <v>97</v>
      </c>
      <c r="C725" t="s">
        <v>16</v>
      </c>
      <c r="D725" t="s">
        <v>4412</v>
      </c>
      <c r="E725" t="s">
        <v>4411</v>
      </c>
      <c r="F725" s="5">
        <v>45598</v>
      </c>
      <c r="G725" t="s">
        <v>126</v>
      </c>
      <c r="H725" t="s">
        <v>1537</v>
      </c>
      <c r="I725" t="s">
        <v>35</v>
      </c>
      <c r="J725" t="s">
        <v>244</v>
      </c>
      <c r="K725" t="s">
        <v>58</v>
      </c>
      <c r="L725" t="s">
        <v>19</v>
      </c>
      <c r="M725" t="s">
        <v>19</v>
      </c>
      <c r="N725">
        <v>5</v>
      </c>
      <c r="O725">
        <v>756</v>
      </c>
      <c r="P725">
        <v>1199</v>
      </c>
      <c r="Q725">
        <v>15</v>
      </c>
      <c r="R725">
        <v>1000</v>
      </c>
      <c r="S725">
        <v>4995</v>
      </c>
      <c r="T725">
        <v>1215</v>
      </c>
      <c r="U725">
        <v>24.32</v>
      </c>
      <c r="V725" t="s">
        <v>21</v>
      </c>
    </row>
    <row r="726" spans="1:22" x14ac:dyDescent="0.35">
      <c r="A726" t="s">
        <v>4410</v>
      </c>
      <c r="B726" t="s">
        <v>63</v>
      </c>
      <c r="C726" t="s">
        <v>27</v>
      </c>
      <c r="D726" t="s">
        <v>4409</v>
      </c>
      <c r="E726" t="s">
        <v>1809</v>
      </c>
      <c r="F726" s="5">
        <v>45627</v>
      </c>
      <c r="G726" t="s">
        <v>126</v>
      </c>
      <c r="H726" t="s">
        <v>660</v>
      </c>
      <c r="I726" t="s">
        <v>35</v>
      </c>
      <c r="J726" t="s">
        <v>39</v>
      </c>
      <c r="K726" t="s">
        <v>39</v>
      </c>
      <c r="L726" t="s">
        <v>37</v>
      </c>
      <c r="M726" t="s">
        <v>20</v>
      </c>
      <c r="N726">
        <v>4</v>
      </c>
      <c r="O726">
        <v>953</v>
      </c>
      <c r="P726">
        <v>1699</v>
      </c>
      <c r="Q726">
        <v>20</v>
      </c>
      <c r="R726">
        <v>1600</v>
      </c>
      <c r="S726">
        <v>5196</v>
      </c>
      <c r="T726">
        <v>1384</v>
      </c>
      <c r="U726">
        <v>26.64</v>
      </c>
      <c r="V726" t="s">
        <v>33</v>
      </c>
    </row>
    <row r="727" spans="1:22" x14ac:dyDescent="0.35">
      <c r="A727" t="s">
        <v>4408</v>
      </c>
      <c r="B727" t="s">
        <v>30</v>
      </c>
      <c r="C727" t="s">
        <v>16</v>
      </c>
      <c r="D727" t="s">
        <v>4407</v>
      </c>
      <c r="E727" t="s">
        <v>4406</v>
      </c>
      <c r="F727" s="5">
        <v>45478</v>
      </c>
      <c r="G727" t="s">
        <v>126</v>
      </c>
      <c r="H727" t="s">
        <v>4405</v>
      </c>
      <c r="I727" t="s">
        <v>17</v>
      </c>
      <c r="J727" t="s">
        <v>48</v>
      </c>
      <c r="K727" t="s">
        <v>48</v>
      </c>
      <c r="L727" t="s">
        <v>19</v>
      </c>
      <c r="M727" t="s">
        <v>19</v>
      </c>
      <c r="N727">
        <v>2</v>
      </c>
      <c r="O727">
        <v>188</v>
      </c>
      <c r="P727">
        <v>299</v>
      </c>
      <c r="Q727">
        <v>0</v>
      </c>
      <c r="R727">
        <v>0</v>
      </c>
      <c r="S727">
        <v>598</v>
      </c>
      <c r="T727">
        <v>222</v>
      </c>
      <c r="U727">
        <v>37.119999999999997</v>
      </c>
      <c r="V727" t="s">
        <v>21</v>
      </c>
    </row>
    <row r="728" spans="1:22" x14ac:dyDescent="0.35">
      <c r="A728" t="s">
        <v>4404</v>
      </c>
      <c r="B728" t="s">
        <v>62</v>
      </c>
      <c r="C728" t="s">
        <v>16</v>
      </c>
      <c r="D728" t="s">
        <v>4403</v>
      </c>
      <c r="E728" t="s">
        <v>4402</v>
      </c>
      <c r="F728" s="5">
        <v>45523</v>
      </c>
      <c r="G728" t="s">
        <v>126</v>
      </c>
      <c r="H728" t="s">
        <v>4401</v>
      </c>
      <c r="I728" t="s">
        <v>23</v>
      </c>
      <c r="J728" t="s">
        <v>142</v>
      </c>
      <c r="K728" t="s">
        <v>43</v>
      </c>
      <c r="L728" t="s">
        <v>37</v>
      </c>
      <c r="M728" t="s">
        <v>20</v>
      </c>
      <c r="N728">
        <v>1</v>
      </c>
      <c r="O728">
        <v>1231</v>
      </c>
      <c r="P728">
        <v>2399</v>
      </c>
      <c r="Q728">
        <v>15</v>
      </c>
      <c r="R728">
        <v>400</v>
      </c>
      <c r="S728">
        <v>1999</v>
      </c>
      <c r="T728">
        <v>768</v>
      </c>
      <c r="U728">
        <v>38.42</v>
      </c>
      <c r="V728" t="s">
        <v>21</v>
      </c>
    </row>
    <row r="729" spans="1:22" x14ac:dyDescent="0.35">
      <c r="A729" t="s">
        <v>4400</v>
      </c>
      <c r="B729" t="s">
        <v>57</v>
      </c>
      <c r="C729" t="s">
        <v>27</v>
      </c>
      <c r="D729" t="s">
        <v>4399</v>
      </c>
      <c r="E729" t="s">
        <v>4398</v>
      </c>
      <c r="F729" s="5">
        <v>45567</v>
      </c>
      <c r="G729" t="s">
        <v>126</v>
      </c>
      <c r="H729" t="s">
        <v>2111</v>
      </c>
      <c r="I729" t="s">
        <v>31</v>
      </c>
      <c r="J729" t="s">
        <v>76</v>
      </c>
      <c r="K729" t="s">
        <v>76</v>
      </c>
      <c r="L729" t="s">
        <v>19</v>
      </c>
      <c r="M729" t="s">
        <v>20</v>
      </c>
      <c r="N729">
        <v>1</v>
      </c>
      <c r="O729">
        <v>1112</v>
      </c>
      <c r="P729">
        <v>1499</v>
      </c>
      <c r="Q729">
        <v>0</v>
      </c>
      <c r="R729">
        <v>0</v>
      </c>
      <c r="S729">
        <v>1499</v>
      </c>
      <c r="T729">
        <v>387</v>
      </c>
      <c r="U729">
        <v>25.82</v>
      </c>
      <c r="V729" t="s">
        <v>21</v>
      </c>
    </row>
    <row r="730" spans="1:22" x14ac:dyDescent="0.35">
      <c r="A730" t="s">
        <v>4397</v>
      </c>
      <c r="B730" t="s">
        <v>94</v>
      </c>
      <c r="C730" t="s">
        <v>16</v>
      </c>
      <c r="D730" t="s">
        <v>4396</v>
      </c>
      <c r="E730" t="s">
        <v>4395</v>
      </c>
      <c r="F730" s="5">
        <v>45566</v>
      </c>
      <c r="G730" t="s">
        <v>126</v>
      </c>
      <c r="H730" t="s">
        <v>1594</v>
      </c>
      <c r="I730" t="s">
        <v>23</v>
      </c>
      <c r="J730" t="s">
        <v>142</v>
      </c>
      <c r="K730" t="s">
        <v>43</v>
      </c>
      <c r="L730" t="s">
        <v>37</v>
      </c>
      <c r="M730" t="s">
        <v>20</v>
      </c>
      <c r="N730">
        <v>1</v>
      </c>
      <c r="O730">
        <v>1304</v>
      </c>
      <c r="P730">
        <v>2299</v>
      </c>
      <c r="Q730">
        <v>10</v>
      </c>
      <c r="R730">
        <v>300</v>
      </c>
      <c r="S730">
        <v>1999</v>
      </c>
      <c r="T730">
        <v>695</v>
      </c>
      <c r="U730">
        <v>34.770000000000003</v>
      </c>
      <c r="V730" t="s">
        <v>33</v>
      </c>
    </row>
    <row r="731" spans="1:22" x14ac:dyDescent="0.35">
      <c r="A731" t="s">
        <v>4394</v>
      </c>
      <c r="B731" t="s">
        <v>59</v>
      </c>
      <c r="C731" t="s">
        <v>27</v>
      </c>
      <c r="D731" t="s">
        <v>4393</v>
      </c>
      <c r="E731" t="s">
        <v>4392</v>
      </c>
      <c r="F731" s="5">
        <v>45452</v>
      </c>
      <c r="G731" t="s">
        <v>126</v>
      </c>
      <c r="H731" t="s">
        <v>1359</v>
      </c>
      <c r="I731" t="s">
        <v>35</v>
      </c>
      <c r="J731" t="s">
        <v>159</v>
      </c>
      <c r="K731" t="s">
        <v>36</v>
      </c>
      <c r="L731" t="s">
        <v>37</v>
      </c>
      <c r="M731" t="s">
        <v>20</v>
      </c>
      <c r="N731">
        <v>1</v>
      </c>
      <c r="O731">
        <v>373</v>
      </c>
      <c r="P731">
        <v>499</v>
      </c>
      <c r="Q731">
        <v>5</v>
      </c>
      <c r="R731">
        <v>100</v>
      </c>
      <c r="S731">
        <v>399</v>
      </c>
      <c r="T731">
        <v>26</v>
      </c>
      <c r="U731">
        <v>6.52</v>
      </c>
      <c r="V731" t="s">
        <v>21</v>
      </c>
    </row>
    <row r="732" spans="1:22" x14ac:dyDescent="0.35">
      <c r="A732" t="s">
        <v>4391</v>
      </c>
      <c r="B732" t="s">
        <v>73</v>
      </c>
      <c r="C732" t="s">
        <v>16</v>
      </c>
      <c r="D732" t="s">
        <v>4390</v>
      </c>
      <c r="E732" t="s">
        <v>4389</v>
      </c>
      <c r="F732" s="5">
        <v>45532</v>
      </c>
      <c r="G732" t="s">
        <v>126</v>
      </c>
      <c r="H732" t="s">
        <v>4388</v>
      </c>
      <c r="I732" t="s">
        <v>17</v>
      </c>
      <c r="J732" t="s">
        <v>253</v>
      </c>
      <c r="K732" t="s">
        <v>72</v>
      </c>
      <c r="L732" t="s">
        <v>19</v>
      </c>
      <c r="M732" t="s">
        <v>20</v>
      </c>
      <c r="N732">
        <v>2</v>
      </c>
      <c r="O732">
        <v>285</v>
      </c>
      <c r="P732">
        <v>399</v>
      </c>
      <c r="Q732">
        <v>0</v>
      </c>
      <c r="R732">
        <v>0</v>
      </c>
      <c r="S732">
        <v>798</v>
      </c>
      <c r="T732">
        <v>228</v>
      </c>
      <c r="U732">
        <v>28.57</v>
      </c>
      <c r="V732" t="s">
        <v>21</v>
      </c>
    </row>
    <row r="733" spans="1:22" x14ac:dyDescent="0.35">
      <c r="A733" t="s">
        <v>4387</v>
      </c>
      <c r="B733" t="s">
        <v>85</v>
      </c>
      <c r="C733" t="s">
        <v>27</v>
      </c>
      <c r="D733" t="s">
        <v>4386</v>
      </c>
      <c r="E733" t="s">
        <v>4385</v>
      </c>
      <c r="F733" s="5">
        <v>45458</v>
      </c>
      <c r="G733" t="s">
        <v>126</v>
      </c>
      <c r="H733" t="s">
        <v>4384</v>
      </c>
      <c r="I733" t="s">
        <v>28</v>
      </c>
      <c r="J733" t="s">
        <v>45</v>
      </c>
      <c r="K733" t="s">
        <v>45</v>
      </c>
      <c r="L733" t="s">
        <v>37</v>
      </c>
      <c r="M733" t="s">
        <v>19</v>
      </c>
      <c r="N733">
        <v>3</v>
      </c>
      <c r="O733">
        <v>849</v>
      </c>
      <c r="P733">
        <v>1499</v>
      </c>
      <c r="Q733">
        <v>20</v>
      </c>
      <c r="R733">
        <v>900</v>
      </c>
      <c r="S733">
        <v>3597</v>
      </c>
      <c r="T733">
        <v>1050</v>
      </c>
      <c r="U733">
        <v>29.19</v>
      </c>
      <c r="V733" t="s">
        <v>21</v>
      </c>
    </row>
    <row r="734" spans="1:22" x14ac:dyDescent="0.35">
      <c r="A734" t="s">
        <v>4383</v>
      </c>
      <c r="B734" t="s">
        <v>75</v>
      </c>
      <c r="C734" t="s">
        <v>27</v>
      </c>
      <c r="D734" t="s">
        <v>4382</v>
      </c>
      <c r="E734" t="s">
        <v>4381</v>
      </c>
      <c r="F734" s="5">
        <v>45506</v>
      </c>
      <c r="G734" t="s">
        <v>126</v>
      </c>
      <c r="H734" t="s">
        <v>619</v>
      </c>
      <c r="I734" t="s">
        <v>31</v>
      </c>
      <c r="J734" t="s">
        <v>76</v>
      </c>
      <c r="K734" t="s">
        <v>76</v>
      </c>
      <c r="L734" t="s">
        <v>37</v>
      </c>
      <c r="M734" t="s">
        <v>20</v>
      </c>
      <c r="N734">
        <v>1</v>
      </c>
      <c r="O734">
        <v>384</v>
      </c>
      <c r="P734">
        <v>699</v>
      </c>
      <c r="Q734">
        <v>0</v>
      </c>
      <c r="R734">
        <v>0</v>
      </c>
      <c r="S734">
        <v>699</v>
      </c>
      <c r="T734">
        <v>315</v>
      </c>
      <c r="U734">
        <v>45.06</v>
      </c>
      <c r="V734" t="s">
        <v>33</v>
      </c>
    </row>
    <row r="735" spans="1:22" x14ac:dyDescent="0.35">
      <c r="A735" t="s">
        <v>4380</v>
      </c>
      <c r="B735" t="s">
        <v>49</v>
      </c>
      <c r="C735" t="s">
        <v>27</v>
      </c>
      <c r="D735" t="s">
        <v>4379</v>
      </c>
      <c r="E735" t="s">
        <v>4378</v>
      </c>
      <c r="F735" s="5">
        <v>45561</v>
      </c>
      <c r="G735" t="s">
        <v>126</v>
      </c>
      <c r="H735" t="s">
        <v>936</v>
      </c>
      <c r="I735" t="s">
        <v>17</v>
      </c>
      <c r="J735" t="s">
        <v>55</v>
      </c>
      <c r="K735" t="s">
        <v>55</v>
      </c>
      <c r="L735" t="s">
        <v>19</v>
      </c>
      <c r="M735" t="s">
        <v>19</v>
      </c>
      <c r="N735">
        <v>1</v>
      </c>
      <c r="O735">
        <v>400</v>
      </c>
      <c r="P735">
        <v>699</v>
      </c>
      <c r="Q735">
        <v>0</v>
      </c>
      <c r="R735">
        <v>0</v>
      </c>
      <c r="S735">
        <v>699</v>
      </c>
      <c r="T735">
        <v>299</v>
      </c>
      <c r="U735">
        <v>42.78</v>
      </c>
      <c r="V735" t="s">
        <v>33</v>
      </c>
    </row>
    <row r="736" spans="1:22" x14ac:dyDescent="0.35">
      <c r="A736" t="s">
        <v>4377</v>
      </c>
      <c r="B736" t="s">
        <v>88</v>
      </c>
      <c r="C736" t="s">
        <v>27</v>
      </c>
      <c r="D736" t="s">
        <v>4376</v>
      </c>
      <c r="E736" t="s">
        <v>4375</v>
      </c>
      <c r="F736" s="5">
        <v>45561</v>
      </c>
      <c r="G736" t="s">
        <v>126</v>
      </c>
      <c r="H736" t="s">
        <v>4374</v>
      </c>
      <c r="I736" t="s">
        <v>31</v>
      </c>
      <c r="J736" t="s">
        <v>76</v>
      </c>
      <c r="K736" t="s">
        <v>76</v>
      </c>
      <c r="L736" t="s">
        <v>37</v>
      </c>
      <c r="M736" t="s">
        <v>20</v>
      </c>
      <c r="N736">
        <v>1</v>
      </c>
      <c r="O736">
        <v>711</v>
      </c>
      <c r="P736">
        <v>999</v>
      </c>
      <c r="Q736">
        <v>0</v>
      </c>
      <c r="R736">
        <v>0</v>
      </c>
      <c r="S736">
        <v>999</v>
      </c>
      <c r="T736">
        <v>288</v>
      </c>
      <c r="U736">
        <v>28.83</v>
      </c>
      <c r="V736" t="s">
        <v>21</v>
      </c>
    </row>
    <row r="737" spans="1:22" x14ac:dyDescent="0.35">
      <c r="A737" t="s">
        <v>4373</v>
      </c>
      <c r="B737" t="s">
        <v>91</v>
      </c>
      <c r="C737" t="s">
        <v>16</v>
      </c>
      <c r="D737" t="s">
        <v>4372</v>
      </c>
      <c r="E737" t="s">
        <v>4371</v>
      </c>
      <c r="F737" s="5">
        <v>45615</v>
      </c>
      <c r="G737" t="s">
        <v>126</v>
      </c>
      <c r="H737" t="s">
        <v>822</v>
      </c>
      <c r="I737" t="s">
        <v>23</v>
      </c>
      <c r="J737" t="s">
        <v>164</v>
      </c>
      <c r="K737" t="s">
        <v>24</v>
      </c>
      <c r="L737" t="s">
        <v>37</v>
      </c>
      <c r="M737" t="s">
        <v>19</v>
      </c>
      <c r="N737">
        <v>2</v>
      </c>
      <c r="O737">
        <v>760</v>
      </c>
      <c r="P737">
        <v>1499</v>
      </c>
      <c r="Q737">
        <v>15</v>
      </c>
      <c r="R737">
        <v>600</v>
      </c>
      <c r="S737">
        <v>2398</v>
      </c>
      <c r="T737">
        <v>878</v>
      </c>
      <c r="U737">
        <v>36.61</v>
      </c>
      <c r="V737" t="s">
        <v>21</v>
      </c>
    </row>
    <row r="738" spans="1:22" x14ac:dyDescent="0.35">
      <c r="A738" t="s">
        <v>4370</v>
      </c>
      <c r="B738" t="s">
        <v>56</v>
      </c>
      <c r="C738" t="s">
        <v>27</v>
      </c>
      <c r="D738" t="s">
        <v>4369</v>
      </c>
      <c r="E738" t="s">
        <v>4368</v>
      </c>
      <c r="F738" s="5">
        <v>45561</v>
      </c>
      <c r="G738" t="s">
        <v>126</v>
      </c>
      <c r="H738" t="s">
        <v>532</v>
      </c>
      <c r="I738" t="s">
        <v>35</v>
      </c>
      <c r="J738" t="s">
        <v>214</v>
      </c>
      <c r="K738" t="s">
        <v>50</v>
      </c>
      <c r="L738" t="s">
        <v>25</v>
      </c>
      <c r="M738" t="s">
        <v>20</v>
      </c>
      <c r="N738">
        <v>1</v>
      </c>
      <c r="O738">
        <v>1156</v>
      </c>
      <c r="P738">
        <v>1599</v>
      </c>
      <c r="Q738">
        <v>5</v>
      </c>
      <c r="R738">
        <v>100</v>
      </c>
      <c r="S738">
        <v>1499</v>
      </c>
      <c r="T738">
        <v>343</v>
      </c>
      <c r="U738">
        <v>22.88</v>
      </c>
      <c r="V738" t="s">
        <v>21</v>
      </c>
    </row>
    <row r="739" spans="1:22" x14ac:dyDescent="0.35">
      <c r="A739" t="s">
        <v>4367</v>
      </c>
      <c r="B739" t="s">
        <v>106</v>
      </c>
      <c r="C739" t="s">
        <v>27</v>
      </c>
      <c r="D739" t="s">
        <v>4366</v>
      </c>
      <c r="E739" t="s">
        <v>4357</v>
      </c>
      <c r="F739" s="5">
        <v>45598</v>
      </c>
      <c r="G739" t="s">
        <v>126</v>
      </c>
      <c r="H739" t="s">
        <v>364</v>
      </c>
      <c r="I739" t="s">
        <v>35</v>
      </c>
      <c r="J739" t="s">
        <v>244</v>
      </c>
      <c r="K739" t="s">
        <v>58</v>
      </c>
      <c r="L739" t="s">
        <v>25</v>
      </c>
      <c r="M739" t="s">
        <v>19</v>
      </c>
      <c r="N739">
        <v>2</v>
      </c>
      <c r="O739">
        <v>866</v>
      </c>
      <c r="P739">
        <v>1299</v>
      </c>
      <c r="Q739">
        <v>20</v>
      </c>
      <c r="R739">
        <v>600</v>
      </c>
      <c r="S739">
        <v>1998</v>
      </c>
      <c r="T739">
        <v>266</v>
      </c>
      <c r="U739">
        <v>13.31</v>
      </c>
      <c r="V739" t="s">
        <v>21</v>
      </c>
    </row>
    <row r="740" spans="1:22" x14ac:dyDescent="0.35">
      <c r="A740" t="s">
        <v>4365</v>
      </c>
      <c r="B740" t="s">
        <v>68</v>
      </c>
      <c r="C740" t="s">
        <v>16</v>
      </c>
      <c r="D740" t="s">
        <v>4364</v>
      </c>
      <c r="E740" t="s">
        <v>4363</v>
      </c>
      <c r="F740" s="5">
        <v>45490</v>
      </c>
      <c r="G740" t="s">
        <v>126</v>
      </c>
      <c r="H740" t="s">
        <v>2175</v>
      </c>
      <c r="I740" t="s">
        <v>23</v>
      </c>
      <c r="J740" t="s">
        <v>164</v>
      </c>
      <c r="K740" t="s">
        <v>24</v>
      </c>
      <c r="L740" t="s">
        <v>19</v>
      </c>
      <c r="M740" t="s">
        <v>19</v>
      </c>
      <c r="N740">
        <v>5</v>
      </c>
      <c r="O740">
        <v>924</v>
      </c>
      <c r="P740">
        <v>1499</v>
      </c>
      <c r="Q740">
        <v>15</v>
      </c>
      <c r="R740">
        <v>1500</v>
      </c>
      <c r="S740">
        <v>5995</v>
      </c>
      <c r="T740">
        <v>1375</v>
      </c>
      <c r="U740">
        <v>22.94</v>
      </c>
      <c r="V740" t="s">
        <v>21</v>
      </c>
    </row>
    <row r="741" spans="1:22" x14ac:dyDescent="0.35">
      <c r="A741" t="s">
        <v>4362</v>
      </c>
      <c r="B741" t="s">
        <v>102</v>
      </c>
      <c r="C741" t="s">
        <v>27</v>
      </c>
      <c r="D741" t="s">
        <v>4361</v>
      </c>
      <c r="E741" t="s">
        <v>4360</v>
      </c>
      <c r="F741" s="5">
        <v>45485</v>
      </c>
      <c r="G741" t="s">
        <v>126</v>
      </c>
      <c r="H741" t="s">
        <v>2875</v>
      </c>
      <c r="I741" t="s">
        <v>17</v>
      </c>
      <c r="J741" t="s">
        <v>48</v>
      </c>
      <c r="K741" t="s">
        <v>48</v>
      </c>
      <c r="L741" t="s">
        <v>19</v>
      </c>
      <c r="M741" t="s">
        <v>19</v>
      </c>
      <c r="N741">
        <v>1</v>
      </c>
      <c r="O741">
        <v>371</v>
      </c>
      <c r="P741">
        <v>499</v>
      </c>
      <c r="Q741">
        <v>0</v>
      </c>
      <c r="R741">
        <v>0</v>
      </c>
      <c r="S741">
        <v>499</v>
      </c>
      <c r="T741">
        <v>128</v>
      </c>
      <c r="U741">
        <v>25.65</v>
      </c>
      <c r="V741" t="s">
        <v>33</v>
      </c>
    </row>
    <row r="742" spans="1:22" x14ac:dyDescent="0.35">
      <c r="A742" t="s">
        <v>4359</v>
      </c>
      <c r="B742" t="s">
        <v>46</v>
      </c>
      <c r="C742" t="s">
        <v>16</v>
      </c>
      <c r="D742" t="s">
        <v>4358</v>
      </c>
      <c r="E742" t="s">
        <v>4357</v>
      </c>
      <c r="F742" s="5">
        <v>45471</v>
      </c>
      <c r="G742" t="s">
        <v>126</v>
      </c>
      <c r="H742" t="s">
        <v>4356</v>
      </c>
      <c r="I742" t="s">
        <v>31</v>
      </c>
      <c r="J742" t="s">
        <v>32</v>
      </c>
      <c r="K742" t="s">
        <v>32</v>
      </c>
      <c r="L742" t="s">
        <v>19</v>
      </c>
      <c r="M742" t="s">
        <v>19</v>
      </c>
      <c r="N742">
        <v>1</v>
      </c>
      <c r="O742">
        <v>1036</v>
      </c>
      <c r="P742">
        <v>1499</v>
      </c>
      <c r="Q742">
        <v>0</v>
      </c>
      <c r="R742">
        <v>0</v>
      </c>
      <c r="S742">
        <v>1499</v>
      </c>
      <c r="T742">
        <v>463</v>
      </c>
      <c r="U742">
        <v>30.89</v>
      </c>
      <c r="V742" t="s">
        <v>21</v>
      </c>
    </row>
    <row r="743" spans="1:22" x14ac:dyDescent="0.35">
      <c r="A743" t="s">
        <v>4355</v>
      </c>
      <c r="B743" t="s">
        <v>96</v>
      </c>
      <c r="C743" t="s">
        <v>16</v>
      </c>
      <c r="D743" t="s">
        <v>4354</v>
      </c>
      <c r="E743" t="s">
        <v>4353</v>
      </c>
      <c r="F743" s="5">
        <v>45582</v>
      </c>
      <c r="G743" t="s">
        <v>126</v>
      </c>
      <c r="H743" t="s">
        <v>2318</v>
      </c>
      <c r="I743" t="s">
        <v>31</v>
      </c>
      <c r="J743" t="s">
        <v>76</v>
      </c>
      <c r="K743" t="s">
        <v>76</v>
      </c>
      <c r="L743" t="s">
        <v>25</v>
      </c>
      <c r="M743" t="s">
        <v>20</v>
      </c>
      <c r="N743">
        <v>1</v>
      </c>
      <c r="O743">
        <v>891</v>
      </c>
      <c r="P743">
        <v>1199</v>
      </c>
      <c r="Q743">
        <v>0</v>
      </c>
      <c r="R743">
        <v>0</v>
      </c>
      <c r="S743">
        <v>1199</v>
      </c>
      <c r="T743">
        <v>308</v>
      </c>
      <c r="U743">
        <v>25.69</v>
      </c>
      <c r="V743" t="s">
        <v>21</v>
      </c>
    </row>
    <row r="744" spans="1:22" x14ac:dyDescent="0.35">
      <c r="A744" t="s">
        <v>4352</v>
      </c>
      <c r="B744" t="s">
        <v>75</v>
      </c>
      <c r="C744" t="s">
        <v>27</v>
      </c>
      <c r="D744" t="s">
        <v>4351</v>
      </c>
      <c r="E744" t="s">
        <v>4350</v>
      </c>
      <c r="F744" s="5">
        <v>45543</v>
      </c>
      <c r="G744" t="s">
        <v>126</v>
      </c>
      <c r="H744" t="s">
        <v>2871</v>
      </c>
      <c r="I744" t="s">
        <v>31</v>
      </c>
      <c r="J744" t="s">
        <v>32</v>
      </c>
      <c r="K744" t="s">
        <v>32</v>
      </c>
      <c r="L744" t="s">
        <v>19</v>
      </c>
      <c r="M744" t="s">
        <v>19</v>
      </c>
      <c r="N744">
        <v>1</v>
      </c>
      <c r="O744">
        <v>657</v>
      </c>
      <c r="P744">
        <v>999</v>
      </c>
      <c r="Q744">
        <v>0</v>
      </c>
      <c r="R744">
        <v>0</v>
      </c>
      <c r="S744">
        <v>999</v>
      </c>
      <c r="T744">
        <v>342</v>
      </c>
      <c r="U744">
        <v>34.229999999999997</v>
      </c>
      <c r="V744" t="s">
        <v>21</v>
      </c>
    </row>
    <row r="745" spans="1:22" x14ac:dyDescent="0.35">
      <c r="A745" t="s">
        <v>4349</v>
      </c>
      <c r="B745" t="s">
        <v>54</v>
      </c>
      <c r="C745" t="s">
        <v>27</v>
      </c>
      <c r="D745" t="s">
        <v>4348</v>
      </c>
      <c r="E745" t="s">
        <v>4347</v>
      </c>
      <c r="F745" s="5">
        <v>45559</v>
      </c>
      <c r="G745" t="s">
        <v>126</v>
      </c>
      <c r="H745" t="s">
        <v>210</v>
      </c>
      <c r="I745" t="s">
        <v>17</v>
      </c>
      <c r="J745" t="s">
        <v>55</v>
      </c>
      <c r="K745" t="s">
        <v>55</v>
      </c>
      <c r="L745" t="s">
        <v>37</v>
      </c>
      <c r="M745" t="s">
        <v>19</v>
      </c>
      <c r="N745">
        <v>4</v>
      </c>
      <c r="O745">
        <v>243</v>
      </c>
      <c r="P745">
        <v>399</v>
      </c>
      <c r="Q745">
        <v>0</v>
      </c>
      <c r="R745">
        <v>0</v>
      </c>
      <c r="S745">
        <v>1596</v>
      </c>
      <c r="T745">
        <v>624</v>
      </c>
      <c r="U745">
        <v>39.1</v>
      </c>
      <c r="V745" t="s">
        <v>21</v>
      </c>
    </row>
    <row r="746" spans="1:22" x14ac:dyDescent="0.35">
      <c r="A746" t="s">
        <v>4346</v>
      </c>
      <c r="B746" t="s">
        <v>70</v>
      </c>
      <c r="C746" t="s">
        <v>27</v>
      </c>
      <c r="D746" t="s">
        <v>4345</v>
      </c>
      <c r="E746" t="s">
        <v>4344</v>
      </c>
      <c r="F746" s="5">
        <v>45548</v>
      </c>
      <c r="G746" t="s">
        <v>126</v>
      </c>
      <c r="H746" t="s">
        <v>4343</v>
      </c>
      <c r="I746" t="s">
        <v>31</v>
      </c>
      <c r="J746" t="s">
        <v>32</v>
      </c>
      <c r="K746" t="s">
        <v>32</v>
      </c>
      <c r="L746" t="s">
        <v>19</v>
      </c>
      <c r="M746" t="s">
        <v>19</v>
      </c>
      <c r="N746">
        <v>4</v>
      </c>
      <c r="O746">
        <v>798</v>
      </c>
      <c r="P746">
        <v>1399</v>
      </c>
      <c r="Q746">
        <v>0</v>
      </c>
      <c r="R746">
        <v>0</v>
      </c>
      <c r="S746">
        <v>5596</v>
      </c>
      <c r="T746">
        <v>2404</v>
      </c>
      <c r="U746">
        <v>42.96</v>
      </c>
      <c r="V746" t="s">
        <v>21</v>
      </c>
    </row>
    <row r="747" spans="1:22" x14ac:dyDescent="0.35">
      <c r="A747" t="s">
        <v>4342</v>
      </c>
      <c r="B747" t="s">
        <v>86</v>
      </c>
      <c r="C747" t="s">
        <v>27</v>
      </c>
      <c r="D747" t="s">
        <v>4341</v>
      </c>
      <c r="E747" t="s">
        <v>4340</v>
      </c>
      <c r="F747" s="5">
        <v>45487</v>
      </c>
      <c r="G747" t="s">
        <v>126</v>
      </c>
      <c r="H747" t="s">
        <v>1622</v>
      </c>
      <c r="I747" t="s">
        <v>28</v>
      </c>
      <c r="J747" t="s">
        <v>201</v>
      </c>
      <c r="K747" t="s">
        <v>29</v>
      </c>
      <c r="L747" t="s">
        <v>25</v>
      </c>
      <c r="M747" t="s">
        <v>19</v>
      </c>
      <c r="N747">
        <v>4</v>
      </c>
      <c r="O747">
        <v>385</v>
      </c>
      <c r="P747">
        <v>699</v>
      </c>
      <c r="Q747">
        <v>10</v>
      </c>
      <c r="R747">
        <v>400</v>
      </c>
      <c r="S747">
        <v>2396</v>
      </c>
      <c r="T747">
        <v>856</v>
      </c>
      <c r="U747">
        <v>35.729999999999997</v>
      </c>
      <c r="V747" t="s">
        <v>21</v>
      </c>
    </row>
    <row r="748" spans="1:22" x14ac:dyDescent="0.35">
      <c r="A748" t="s">
        <v>4339</v>
      </c>
      <c r="B748" t="s">
        <v>94</v>
      </c>
      <c r="C748" t="s">
        <v>16</v>
      </c>
      <c r="D748" t="s">
        <v>4338</v>
      </c>
      <c r="E748" t="s">
        <v>4337</v>
      </c>
      <c r="F748" s="5">
        <v>45638</v>
      </c>
      <c r="G748" t="s">
        <v>126</v>
      </c>
      <c r="H748" t="s">
        <v>4336</v>
      </c>
      <c r="I748" t="s">
        <v>17</v>
      </c>
      <c r="J748" t="s">
        <v>55</v>
      </c>
      <c r="K748" t="s">
        <v>55</v>
      </c>
      <c r="L748" t="s">
        <v>25</v>
      </c>
      <c r="M748" t="s">
        <v>20</v>
      </c>
      <c r="N748">
        <v>1</v>
      </c>
      <c r="O748">
        <v>275</v>
      </c>
      <c r="P748">
        <v>499</v>
      </c>
      <c r="Q748">
        <v>0</v>
      </c>
      <c r="R748">
        <v>0</v>
      </c>
      <c r="S748">
        <v>499</v>
      </c>
      <c r="T748">
        <v>224</v>
      </c>
      <c r="U748">
        <v>44.89</v>
      </c>
      <c r="V748" t="s">
        <v>21</v>
      </c>
    </row>
    <row r="749" spans="1:22" x14ac:dyDescent="0.35">
      <c r="A749" t="s">
        <v>4335</v>
      </c>
      <c r="B749" t="s">
        <v>97</v>
      </c>
      <c r="C749" t="s">
        <v>16</v>
      </c>
      <c r="D749" t="s">
        <v>4334</v>
      </c>
      <c r="E749" t="s">
        <v>4333</v>
      </c>
      <c r="F749" s="5">
        <v>45627</v>
      </c>
      <c r="G749" t="s">
        <v>126</v>
      </c>
      <c r="H749" t="s">
        <v>1753</v>
      </c>
      <c r="I749" t="s">
        <v>35</v>
      </c>
      <c r="J749" t="s">
        <v>41</v>
      </c>
      <c r="K749" t="s">
        <v>41</v>
      </c>
      <c r="L749" t="s">
        <v>25</v>
      </c>
      <c r="M749" t="s">
        <v>20</v>
      </c>
      <c r="N749">
        <v>1</v>
      </c>
      <c r="O749">
        <v>319</v>
      </c>
      <c r="P749">
        <v>599</v>
      </c>
      <c r="Q749">
        <v>5</v>
      </c>
      <c r="R749">
        <v>100</v>
      </c>
      <c r="S749">
        <v>499</v>
      </c>
      <c r="T749">
        <v>180</v>
      </c>
      <c r="U749">
        <v>36.07</v>
      </c>
      <c r="V749" t="s">
        <v>21</v>
      </c>
    </row>
    <row r="750" spans="1:22" x14ac:dyDescent="0.35">
      <c r="A750" t="s">
        <v>4332</v>
      </c>
      <c r="B750" t="s">
        <v>64</v>
      </c>
      <c r="C750" t="s">
        <v>16</v>
      </c>
      <c r="D750" t="s">
        <v>4331</v>
      </c>
      <c r="E750" t="s">
        <v>3811</v>
      </c>
      <c r="F750" s="5">
        <v>45561</v>
      </c>
      <c r="G750" t="s">
        <v>126</v>
      </c>
      <c r="H750" t="s">
        <v>3418</v>
      </c>
      <c r="I750" t="s">
        <v>17</v>
      </c>
      <c r="J750" t="s">
        <v>253</v>
      </c>
      <c r="K750" t="s">
        <v>72</v>
      </c>
      <c r="L750" t="s">
        <v>37</v>
      </c>
      <c r="M750" t="s">
        <v>19</v>
      </c>
      <c r="N750">
        <v>1</v>
      </c>
      <c r="O750">
        <v>364</v>
      </c>
      <c r="P750">
        <v>499</v>
      </c>
      <c r="Q750">
        <v>0</v>
      </c>
      <c r="R750">
        <v>0</v>
      </c>
      <c r="S750">
        <v>499</v>
      </c>
      <c r="T750">
        <v>135</v>
      </c>
      <c r="U750">
        <v>27.05</v>
      </c>
      <c r="V750" t="s">
        <v>33</v>
      </c>
    </row>
    <row r="751" spans="1:22" x14ac:dyDescent="0.35">
      <c r="A751" t="s">
        <v>4330</v>
      </c>
      <c r="B751" t="s">
        <v>88</v>
      </c>
      <c r="C751" t="s">
        <v>27</v>
      </c>
      <c r="D751" t="s">
        <v>4329</v>
      </c>
      <c r="E751" t="s">
        <v>4328</v>
      </c>
      <c r="F751" s="5">
        <v>45474</v>
      </c>
      <c r="G751" t="s">
        <v>126</v>
      </c>
      <c r="H751" t="s">
        <v>193</v>
      </c>
      <c r="I751" t="s">
        <v>28</v>
      </c>
      <c r="J751" t="s">
        <v>45</v>
      </c>
      <c r="K751" t="s">
        <v>45</v>
      </c>
      <c r="L751" t="s">
        <v>19</v>
      </c>
      <c r="M751" t="s">
        <v>20</v>
      </c>
      <c r="N751">
        <v>5</v>
      </c>
      <c r="O751">
        <v>907</v>
      </c>
      <c r="P751">
        <v>1499</v>
      </c>
      <c r="Q751">
        <v>20</v>
      </c>
      <c r="R751">
        <v>1500</v>
      </c>
      <c r="S751">
        <v>5995</v>
      </c>
      <c r="T751">
        <v>1460</v>
      </c>
      <c r="U751">
        <v>24.35</v>
      </c>
      <c r="V751" t="s">
        <v>21</v>
      </c>
    </row>
    <row r="752" spans="1:22" x14ac:dyDescent="0.35">
      <c r="A752" t="s">
        <v>4327</v>
      </c>
      <c r="B752" t="s">
        <v>90</v>
      </c>
      <c r="C752" t="s">
        <v>27</v>
      </c>
      <c r="D752" t="s">
        <v>4326</v>
      </c>
      <c r="E752" t="s">
        <v>4325</v>
      </c>
      <c r="F752" s="5">
        <v>45451</v>
      </c>
      <c r="G752" t="s">
        <v>126</v>
      </c>
      <c r="H752" t="s">
        <v>4324</v>
      </c>
      <c r="I752" t="s">
        <v>31</v>
      </c>
      <c r="J752" t="s">
        <v>32</v>
      </c>
      <c r="K752" t="s">
        <v>32</v>
      </c>
      <c r="L752" t="s">
        <v>25</v>
      </c>
      <c r="M752" t="s">
        <v>19</v>
      </c>
      <c r="N752">
        <v>2</v>
      </c>
      <c r="O752">
        <v>845</v>
      </c>
      <c r="P752">
        <v>1199</v>
      </c>
      <c r="Q752">
        <v>0</v>
      </c>
      <c r="R752">
        <v>0</v>
      </c>
      <c r="S752">
        <v>2398</v>
      </c>
      <c r="T752">
        <v>708</v>
      </c>
      <c r="U752">
        <v>29.52</v>
      </c>
      <c r="V752" t="s">
        <v>21</v>
      </c>
    </row>
    <row r="753" spans="1:22" x14ac:dyDescent="0.35">
      <c r="A753" t="s">
        <v>4323</v>
      </c>
      <c r="B753" t="s">
        <v>82</v>
      </c>
      <c r="C753" t="s">
        <v>27</v>
      </c>
      <c r="D753" t="s">
        <v>4322</v>
      </c>
      <c r="E753" t="s">
        <v>4321</v>
      </c>
      <c r="F753" s="5">
        <v>45591</v>
      </c>
      <c r="G753" t="s">
        <v>126</v>
      </c>
      <c r="H753" t="s">
        <v>1741</v>
      </c>
      <c r="I753" t="s">
        <v>17</v>
      </c>
      <c r="J753" t="s">
        <v>253</v>
      </c>
      <c r="K753" t="s">
        <v>72</v>
      </c>
      <c r="L753" t="s">
        <v>19</v>
      </c>
      <c r="M753" t="s">
        <v>19</v>
      </c>
      <c r="N753">
        <v>4</v>
      </c>
      <c r="O753">
        <v>320</v>
      </c>
      <c r="P753">
        <v>499</v>
      </c>
      <c r="Q753">
        <v>0</v>
      </c>
      <c r="R753">
        <v>0</v>
      </c>
      <c r="S753">
        <v>1996</v>
      </c>
      <c r="T753">
        <v>716</v>
      </c>
      <c r="U753">
        <v>35.869999999999997</v>
      </c>
      <c r="V753" t="s">
        <v>33</v>
      </c>
    </row>
    <row r="754" spans="1:22" x14ac:dyDescent="0.35">
      <c r="A754" t="s">
        <v>4320</v>
      </c>
      <c r="B754" t="s">
        <v>104</v>
      </c>
      <c r="C754" t="s">
        <v>27</v>
      </c>
      <c r="D754" t="s">
        <v>4319</v>
      </c>
      <c r="E754" t="s">
        <v>4318</v>
      </c>
      <c r="F754" s="5">
        <v>45592</v>
      </c>
      <c r="G754" t="s">
        <v>126</v>
      </c>
      <c r="H754" t="s">
        <v>3954</v>
      </c>
      <c r="I754" t="s">
        <v>23</v>
      </c>
      <c r="J754" t="s">
        <v>142</v>
      </c>
      <c r="K754" t="s">
        <v>43</v>
      </c>
      <c r="L754" t="s">
        <v>37</v>
      </c>
      <c r="M754" t="s">
        <v>19</v>
      </c>
      <c r="N754">
        <v>2</v>
      </c>
      <c r="O754">
        <v>1441</v>
      </c>
      <c r="P754">
        <v>2299</v>
      </c>
      <c r="Q754">
        <v>10</v>
      </c>
      <c r="R754">
        <v>600</v>
      </c>
      <c r="S754">
        <v>3998</v>
      </c>
      <c r="T754">
        <v>1116</v>
      </c>
      <c r="U754">
        <v>27.91</v>
      </c>
      <c r="V754" t="s">
        <v>21</v>
      </c>
    </row>
    <row r="755" spans="1:22" x14ac:dyDescent="0.35">
      <c r="A755" t="s">
        <v>4317</v>
      </c>
      <c r="B755" t="s">
        <v>38</v>
      </c>
      <c r="C755" t="s">
        <v>27</v>
      </c>
      <c r="D755" t="s">
        <v>4316</v>
      </c>
      <c r="E755" t="s">
        <v>4315</v>
      </c>
      <c r="F755" s="5">
        <v>45479</v>
      </c>
      <c r="G755" t="s">
        <v>126</v>
      </c>
      <c r="H755" t="s">
        <v>4314</v>
      </c>
      <c r="I755" t="s">
        <v>31</v>
      </c>
      <c r="J755" t="s">
        <v>32</v>
      </c>
      <c r="K755" t="s">
        <v>32</v>
      </c>
      <c r="L755" t="s">
        <v>37</v>
      </c>
      <c r="M755" t="s">
        <v>20</v>
      </c>
      <c r="N755">
        <v>1</v>
      </c>
      <c r="O755">
        <v>971</v>
      </c>
      <c r="P755">
        <v>1499</v>
      </c>
      <c r="Q755">
        <v>0</v>
      </c>
      <c r="R755">
        <v>0</v>
      </c>
      <c r="S755">
        <v>1499</v>
      </c>
      <c r="T755">
        <v>528</v>
      </c>
      <c r="U755">
        <v>35.22</v>
      </c>
      <c r="V755" t="s">
        <v>21</v>
      </c>
    </row>
    <row r="756" spans="1:22" x14ac:dyDescent="0.35">
      <c r="A756" t="s">
        <v>4313</v>
      </c>
      <c r="B756" t="s">
        <v>83</v>
      </c>
      <c r="C756" t="s">
        <v>27</v>
      </c>
      <c r="D756" t="s">
        <v>4312</v>
      </c>
      <c r="E756" t="s">
        <v>4311</v>
      </c>
      <c r="F756" s="5">
        <v>45565</v>
      </c>
      <c r="G756" t="s">
        <v>126</v>
      </c>
      <c r="H756" t="s">
        <v>2542</v>
      </c>
      <c r="I756" t="s">
        <v>23</v>
      </c>
      <c r="J756" t="s">
        <v>164</v>
      </c>
      <c r="K756" t="s">
        <v>24</v>
      </c>
      <c r="L756" t="s">
        <v>25</v>
      </c>
      <c r="M756" t="s">
        <v>20</v>
      </c>
      <c r="N756">
        <v>1</v>
      </c>
      <c r="O756">
        <v>1167</v>
      </c>
      <c r="P756">
        <v>1799</v>
      </c>
      <c r="Q756">
        <v>15</v>
      </c>
      <c r="R756">
        <v>300</v>
      </c>
      <c r="S756">
        <v>1499</v>
      </c>
      <c r="T756">
        <v>332</v>
      </c>
      <c r="U756">
        <v>22.15</v>
      </c>
      <c r="V756" t="s">
        <v>33</v>
      </c>
    </row>
    <row r="757" spans="1:22" x14ac:dyDescent="0.35">
      <c r="A757" t="s">
        <v>4310</v>
      </c>
      <c r="B757" t="s">
        <v>88</v>
      </c>
      <c r="C757" t="s">
        <v>27</v>
      </c>
      <c r="D757" t="s">
        <v>4309</v>
      </c>
      <c r="E757" t="s">
        <v>4308</v>
      </c>
      <c r="F757" s="5">
        <v>45487</v>
      </c>
      <c r="G757" t="s">
        <v>126</v>
      </c>
      <c r="H757" t="s">
        <v>1050</v>
      </c>
      <c r="I757" t="s">
        <v>35</v>
      </c>
      <c r="J757" t="s">
        <v>39</v>
      </c>
      <c r="K757" t="s">
        <v>39</v>
      </c>
      <c r="L757" t="s">
        <v>19</v>
      </c>
      <c r="M757" t="s">
        <v>20</v>
      </c>
      <c r="N757">
        <v>2</v>
      </c>
      <c r="O757">
        <v>1107</v>
      </c>
      <c r="P757">
        <v>1599</v>
      </c>
      <c r="Q757">
        <v>15</v>
      </c>
      <c r="R757">
        <v>600</v>
      </c>
      <c r="S757">
        <v>2598</v>
      </c>
      <c r="T757">
        <v>384</v>
      </c>
      <c r="U757">
        <v>14.78</v>
      </c>
      <c r="V757" t="s">
        <v>21</v>
      </c>
    </row>
    <row r="758" spans="1:22" x14ac:dyDescent="0.35">
      <c r="A758" t="s">
        <v>4307</v>
      </c>
      <c r="B758" t="s">
        <v>107</v>
      </c>
      <c r="C758" t="s">
        <v>27</v>
      </c>
      <c r="D758" t="s">
        <v>4306</v>
      </c>
      <c r="E758" t="s">
        <v>4305</v>
      </c>
      <c r="F758" s="5">
        <v>45494</v>
      </c>
      <c r="G758" t="s">
        <v>126</v>
      </c>
      <c r="H758" t="s">
        <v>4304</v>
      </c>
      <c r="I758" t="s">
        <v>17</v>
      </c>
      <c r="J758" t="s">
        <v>48</v>
      </c>
      <c r="K758" t="s">
        <v>48</v>
      </c>
      <c r="L758" t="s">
        <v>37</v>
      </c>
      <c r="M758" t="s">
        <v>19</v>
      </c>
      <c r="N758">
        <v>2</v>
      </c>
      <c r="O758">
        <v>303</v>
      </c>
      <c r="P758">
        <v>499</v>
      </c>
      <c r="Q758">
        <v>0</v>
      </c>
      <c r="R758">
        <v>0</v>
      </c>
      <c r="S758">
        <v>998</v>
      </c>
      <c r="T758">
        <v>392</v>
      </c>
      <c r="U758">
        <v>39.28</v>
      </c>
      <c r="V758" t="s">
        <v>21</v>
      </c>
    </row>
    <row r="759" spans="1:22" x14ac:dyDescent="0.35">
      <c r="A759" t="s">
        <v>4303</v>
      </c>
      <c r="B759" t="s">
        <v>92</v>
      </c>
      <c r="C759" t="s">
        <v>27</v>
      </c>
      <c r="D759" t="s">
        <v>4302</v>
      </c>
      <c r="E759" t="s">
        <v>4301</v>
      </c>
      <c r="F759" s="5">
        <v>45626</v>
      </c>
      <c r="G759" t="s">
        <v>126</v>
      </c>
      <c r="H759" t="s">
        <v>4300</v>
      </c>
      <c r="I759" t="s">
        <v>31</v>
      </c>
      <c r="J759" t="s">
        <v>32</v>
      </c>
      <c r="K759" t="s">
        <v>32</v>
      </c>
      <c r="L759" t="s">
        <v>19</v>
      </c>
      <c r="M759" t="s">
        <v>20</v>
      </c>
      <c r="N759">
        <v>2</v>
      </c>
      <c r="O759">
        <v>705</v>
      </c>
      <c r="P759">
        <v>999</v>
      </c>
      <c r="Q759">
        <v>0</v>
      </c>
      <c r="R759">
        <v>0</v>
      </c>
      <c r="S759">
        <v>1998</v>
      </c>
      <c r="T759">
        <v>588</v>
      </c>
      <c r="U759">
        <v>29.43</v>
      </c>
      <c r="V759" t="s">
        <v>33</v>
      </c>
    </row>
    <row r="760" spans="1:22" x14ac:dyDescent="0.35">
      <c r="A760" t="s">
        <v>4299</v>
      </c>
      <c r="B760" t="s">
        <v>80</v>
      </c>
      <c r="C760" t="s">
        <v>27</v>
      </c>
      <c r="D760" t="s">
        <v>4298</v>
      </c>
      <c r="E760" t="s">
        <v>4297</v>
      </c>
      <c r="F760" s="5">
        <v>45565</v>
      </c>
      <c r="G760" t="s">
        <v>126</v>
      </c>
      <c r="H760" t="s">
        <v>282</v>
      </c>
      <c r="I760" t="s">
        <v>23</v>
      </c>
      <c r="J760" t="s">
        <v>164</v>
      </c>
      <c r="K760" t="s">
        <v>24</v>
      </c>
      <c r="L760" t="s">
        <v>19</v>
      </c>
      <c r="M760" t="s">
        <v>20</v>
      </c>
      <c r="N760">
        <v>5</v>
      </c>
      <c r="O760">
        <v>749</v>
      </c>
      <c r="P760">
        <v>999</v>
      </c>
      <c r="Q760">
        <v>15</v>
      </c>
      <c r="R760">
        <v>1000</v>
      </c>
      <c r="S760">
        <v>3995</v>
      </c>
      <c r="T760">
        <v>250</v>
      </c>
      <c r="U760">
        <v>6.26</v>
      </c>
      <c r="V760" t="s">
        <v>33</v>
      </c>
    </row>
    <row r="761" spans="1:22" x14ac:dyDescent="0.35">
      <c r="A761" t="s">
        <v>4296</v>
      </c>
      <c r="B761" t="s">
        <v>109</v>
      </c>
      <c r="C761" t="s">
        <v>16</v>
      </c>
      <c r="D761" t="s">
        <v>4295</v>
      </c>
      <c r="E761" t="s">
        <v>4294</v>
      </c>
      <c r="F761" s="5">
        <v>45632</v>
      </c>
      <c r="G761" t="s">
        <v>126</v>
      </c>
      <c r="H761" t="s">
        <v>3824</v>
      </c>
      <c r="I761" t="s">
        <v>28</v>
      </c>
      <c r="J761" t="s">
        <v>201</v>
      </c>
      <c r="K761" t="s">
        <v>29</v>
      </c>
      <c r="L761" t="s">
        <v>37</v>
      </c>
      <c r="M761" t="s">
        <v>20</v>
      </c>
      <c r="N761">
        <v>5</v>
      </c>
      <c r="O761">
        <v>517</v>
      </c>
      <c r="P761">
        <v>799</v>
      </c>
      <c r="Q761">
        <v>20</v>
      </c>
      <c r="R761">
        <v>1000</v>
      </c>
      <c r="S761">
        <v>2995</v>
      </c>
      <c r="T761">
        <v>410</v>
      </c>
      <c r="U761">
        <v>13.69</v>
      </c>
      <c r="V761" t="s">
        <v>33</v>
      </c>
    </row>
    <row r="762" spans="1:22" x14ac:dyDescent="0.35">
      <c r="A762" t="s">
        <v>4293</v>
      </c>
      <c r="B762" t="s">
        <v>79</v>
      </c>
      <c r="C762" t="s">
        <v>16</v>
      </c>
      <c r="D762" t="s">
        <v>4292</v>
      </c>
      <c r="E762" t="s">
        <v>3612</v>
      </c>
      <c r="F762" s="5">
        <v>45550</v>
      </c>
      <c r="G762" t="s">
        <v>126</v>
      </c>
      <c r="H762" t="s">
        <v>1359</v>
      </c>
      <c r="I762" t="s">
        <v>23</v>
      </c>
      <c r="J762" t="s">
        <v>164</v>
      </c>
      <c r="K762" t="s">
        <v>24</v>
      </c>
      <c r="L762" t="s">
        <v>37</v>
      </c>
      <c r="M762" t="s">
        <v>20</v>
      </c>
      <c r="N762">
        <v>4</v>
      </c>
      <c r="O762">
        <v>1047</v>
      </c>
      <c r="P762">
        <v>1699</v>
      </c>
      <c r="Q762">
        <v>10</v>
      </c>
      <c r="R762">
        <v>800</v>
      </c>
      <c r="S762">
        <v>5996</v>
      </c>
      <c r="T762">
        <v>1808</v>
      </c>
      <c r="U762">
        <v>30.15</v>
      </c>
      <c r="V762" t="s">
        <v>33</v>
      </c>
    </row>
    <row r="763" spans="1:22" x14ac:dyDescent="0.35">
      <c r="A763" t="s">
        <v>4291</v>
      </c>
      <c r="B763" t="s">
        <v>75</v>
      </c>
      <c r="C763" t="s">
        <v>27</v>
      </c>
      <c r="D763" t="s">
        <v>4290</v>
      </c>
      <c r="E763" t="s">
        <v>4289</v>
      </c>
      <c r="F763" s="5">
        <v>45627</v>
      </c>
      <c r="G763" t="s">
        <v>126</v>
      </c>
      <c r="H763" t="s">
        <v>4288</v>
      </c>
      <c r="I763" t="s">
        <v>31</v>
      </c>
      <c r="J763" t="s">
        <v>32</v>
      </c>
      <c r="K763" t="s">
        <v>32</v>
      </c>
      <c r="L763" t="s">
        <v>19</v>
      </c>
      <c r="M763" t="s">
        <v>19</v>
      </c>
      <c r="N763">
        <v>2</v>
      </c>
      <c r="O763">
        <v>807</v>
      </c>
      <c r="P763">
        <v>1199</v>
      </c>
      <c r="Q763">
        <v>0</v>
      </c>
      <c r="R763">
        <v>0</v>
      </c>
      <c r="S763">
        <v>2398</v>
      </c>
      <c r="T763">
        <v>784</v>
      </c>
      <c r="U763">
        <v>32.69</v>
      </c>
      <c r="V763" t="s">
        <v>21</v>
      </c>
    </row>
    <row r="764" spans="1:22" x14ac:dyDescent="0.35">
      <c r="A764" t="s">
        <v>4287</v>
      </c>
      <c r="B764" t="s">
        <v>74</v>
      </c>
      <c r="C764" t="s">
        <v>16</v>
      </c>
      <c r="D764" t="s">
        <v>4286</v>
      </c>
      <c r="E764" t="s">
        <v>4285</v>
      </c>
      <c r="F764" s="5">
        <v>45468</v>
      </c>
      <c r="G764" t="s">
        <v>126</v>
      </c>
      <c r="H764" t="s">
        <v>185</v>
      </c>
      <c r="I764" t="s">
        <v>23</v>
      </c>
      <c r="J764" t="s">
        <v>164</v>
      </c>
      <c r="K764" t="s">
        <v>24</v>
      </c>
      <c r="L764" t="s">
        <v>19</v>
      </c>
      <c r="M764" t="s">
        <v>20</v>
      </c>
      <c r="N764">
        <v>3</v>
      </c>
      <c r="O764">
        <v>533</v>
      </c>
      <c r="P764">
        <v>899</v>
      </c>
      <c r="Q764">
        <v>10</v>
      </c>
      <c r="R764">
        <v>300</v>
      </c>
      <c r="S764">
        <v>2397</v>
      </c>
      <c r="T764">
        <v>798</v>
      </c>
      <c r="U764">
        <v>33.29</v>
      </c>
      <c r="V764" t="s">
        <v>21</v>
      </c>
    </row>
    <row r="765" spans="1:22" x14ac:dyDescent="0.35">
      <c r="A765" t="s">
        <v>4284</v>
      </c>
      <c r="B765" t="s">
        <v>67</v>
      </c>
      <c r="C765" t="s">
        <v>27</v>
      </c>
      <c r="D765" t="s">
        <v>4283</v>
      </c>
      <c r="E765" t="s">
        <v>4282</v>
      </c>
      <c r="F765" s="5">
        <v>45480</v>
      </c>
      <c r="G765" t="s">
        <v>126</v>
      </c>
      <c r="H765" t="s">
        <v>802</v>
      </c>
      <c r="I765" t="s">
        <v>17</v>
      </c>
      <c r="J765" t="s">
        <v>55</v>
      </c>
      <c r="K765" t="s">
        <v>55</v>
      </c>
      <c r="L765" t="s">
        <v>25</v>
      </c>
      <c r="M765" t="s">
        <v>19</v>
      </c>
      <c r="N765">
        <v>2</v>
      </c>
      <c r="O765">
        <v>216</v>
      </c>
      <c r="P765">
        <v>299</v>
      </c>
      <c r="Q765">
        <v>0</v>
      </c>
      <c r="R765">
        <v>0</v>
      </c>
      <c r="S765">
        <v>598</v>
      </c>
      <c r="T765">
        <v>166</v>
      </c>
      <c r="U765">
        <v>27.76</v>
      </c>
      <c r="V765" t="s">
        <v>21</v>
      </c>
    </row>
    <row r="766" spans="1:22" x14ac:dyDescent="0.35">
      <c r="A766" t="s">
        <v>4281</v>
      </c>
      <c r="B766" t="s">
        <v>68</v>
      </c>
      <c r="C766" t="s">
        <v>16</v>
      </c>
      <c r="D766" t="s">
        <v>4280</v>
      </c>
      <c r="E766" t="s">
        <v>4279</v>
      </c>
      <c r="F766" s="5">
        <v>45591</v>
      </c>
      <c r="G766" t="s">
        <v>126</v>
      </c>
      <c r="H766" t="s">
        <v>270</v>
      </c>
      <c r="I766" t="s">
        <v>31</v>
      </c>
      <c r="J766" t="s">
        <v>32</v>
      </c>
      <c r="K766" t="s">
        <v>32</v>
      </c>
      <c r="L766" t="s">
        <v>19</v>
      </c>
      <c r="M766" t="s">
        <v>20</v>
      </c>
      <c r="N766">
        <v>2</v>
      </c>
      <c r="O766">
        <v>516</v>
      </c>
      <c r="P766">
        <v>999</v>
      </c>
      <c r="Q766">
        <v>0</v>
      </c>
      <c r="R766">
        <v>0</v>
      </c>
      <c r="S766">
        <v>1998</v>
      </c>
      <c r="T766">
        <v>966</v>
      </c>
      <c r="U766">
        <v>48.35</v>
      </c>
      <c r="V766" t="s">
        <v>21</v>
      </c>
    </row>
    <row r="767" spans="1:22" x14ac:dyDescent="0.35">
      <c r="A767" t="s">
        <v>4278</v>
      </c>
      <c r="B767" t="s">
        <v>56</v>
      </c>
      <c r="C767" t="s">
        <v>27</v>
      </c>
      <c r="D767" t="s">
        <v>4277</v>
      </c>
      <c r="E767" t="s">
        <v>4276</v>
      </c>
      <c r="F767" s="5">
        <v>45474</v>
      </c>
      <c r="G767" t="s">
        <v>126</v>
      </c>
      <c r="H767" t="s">
        <v>2634</v>
      </c>
      <c r="I767" t="s">
        <v>35</v>
      </c>
      <c r="J767" t="s">
        <v>214</v>
      </c>
      <c r="K767" t="s">
        <v>50</v>
      </c>
      <c r="L767" t="s">
        <v>19</v>
      </c>
      <c r="M767" t="s">
        <v>19</v>
      </c>
      <c r="N767">
        <v>1</v>
      </c>
      <c r="O767">
        <v>895</v>
      </c>
      <c r="P767">
        <v>1299</v>
      </c>
      <c r="Q767">
        <v>20</v>
      </c>
      <c r="R767">
        <v>300</v>
      </c>
      <c r="S767">
        <v>999</v>
      </c>
      <c r="T767">
        <v>104</v>
      </c>
      <c r="U767">
        <v>10.41</v>
      </c>
      <c r="V767" t="s">
        <v>33</v>
      </c>
    </row>
    <row r="768" spans="1:22" x14ac:dyDescent="0.35">
      <c r="A768" t="s">
        <v>4275</v>
      </c>
      <c r="B768" t="s">
        <v>54</v>
      </c>
      <c r="C768" t="s">
        <v>27</v>
      </c>
      <c r="D768" t="s">
        <v>4274</v>
      </c>
      <c r="E768" t="s">
        <v>4273</v>
      </c>
      <c r="F768" s="5">
        <v>45495</v>
      </c>
      <c r="G768" t="s">
        <v>126</v>
      </c>
      <c r="H768" t="s">
        <v>4272</v>
      </c>
      <c r="I768" t="s">
        <v>31</v>
      </c>
      <c r="J768" t="s">
        <v>32</v>
      </c>
      <c r="K768" t="s">
        <v>32</v>
      </c>
      <c r="L768" t="s">
        <v>19</v>
      </c>
      <c r="M768" t="s">
        <v>19</v>
      </c>
      <c r="N768">
        <v>1</v>
      </c>
      <c r="O768">
        <v>886</v>
      </c>
      <c r="P768">
        <v>1199</v>
      </c>
      <c r="Q768">
        <v>0</v>
      </c>
      <c r="R768">
        <v>0</v>
      </c>
      <c r="S768">
        <v>1199</v>
      </c>
      <c r="T768">
        <v>313</v>
      </c>
      <c r="U768">
        <v>26.11</v>
      </c>
      <c r="V768" t="s">
        <v>21</v>
      </c>
    </row>
    <row r="769" spans="1:22" x14ac:dyDescent="0.35">
      <c r="A769" t="s">
        <v>4271</v>
      </c>
      <c r="B769" t="s">
        <v>101</v>
      </c>
      <c r="C769" t="s">
        <v>16</v>
      </c>
      <c r="D769" t="s">
        <v>4270</v>
      </c>
      <c r="E769" t="s">
        <v>4269</v>
      </c>
      <c r="F769" s="5">
        <v>45556</v>
      </c>
      <c r="G769" t="s">
        <v>126</v>
      </c>
      <c r="H769" t="s">
        <v>4268</v>
      </c>
      <c r="I769" t="s">
        <v>28</v>
      </c>
      <c r="J769" t="s">
        <v>45</v>
      </c>
      <c r="K769" t="s">
        <v>45</v>
      </c>
      <c r="L769" t="s">
        <v>37</v>
      </c>
      <c r="M769" t="s">
        <v>20</v>
      </c>
      <c r="N769">
        <v>1</v>
      </c>
      <c r="O769">
        <v>483</v>
      </c>
      <c r="P769">
        <v>799</v>
      </c>
      <c r="Q769">
        <v>15</v>
      </c>
      <c r="R769">
        <v>200</v>
      </c>
      <c r="S769">
        <v>599</v>
      </c>
      <c r="T769">
        <v>116</v>
      </c>
      <c r="U769">
        <v>19.37</v>
      </c>
      <c r="V769" t="s">
        <v>21</v>
      </c>
    </row>
    <row r="770" spans="1:22" x14ac:dyDescent="0.35">
      <c r="A770" t="s">
        <v>4267</v>
      </c>
      <c r="B770" t="s">
        <v>40</v>
      </c>
      <c r="C770" t="s">
        <v>27</v>
      </c>
      <c r="D770" t="s">
        <v>4266</v>
      </c>
      <c r="E770" t="s">
        <v>4265</v>
      </c>
      <c r="F770" s="5">
        <v>45583</v>
      </c>
      <c r="G770" t="s">
        <v>126</v>
      </c>
      <c r="H770" t="s">
        <v>4264</v>
      </c>
      <c r="I770" t="s">
        <v>28</v>
      </c>
      <c r="J770" t="s">
        <v>201</v>
      </c>
      <c r="K770" t="s">
        <v>29</v>
      </c>
      <c r="L770" t="s">
        <v>25</v>
      </c>
      <c r="M770" t="s">
        <v>20</v>
      </c>
      <c r="N770">
        <v>4</v>
      </c>
      <c r="O770">
        <v>497</v>
      </c>
      <c r="P770">
        <v>799</v>
      </c>
      <c r="Q770">
        <v>15</v>
      </c>
      <c r="R770">
        <v>800</v>
      </c>
      <c r="S770">
        <v>2396</v>
      </c>
      <c r="T770">
        <v>408</v>
      </c>
      <c r="U770">
        <v>17.03</v>
      </c>
      <c r="V770" t="s">
        <v>21</v>
      </c>
    </row>
    <row r="771" spans="1:22" x14ac:dyDescent="0.35">
      <c r="A771" t="s">
        <v>4263</v>
      </c>
      <c r="B771" t="s">
        <v>22</v>
      </c>
      <c r="C771" t="s">
        <v>16</v>
      </c>
      <c r="D771" t="s">
        <v>4262</v>
      </c>
      <c r="E771" t="s">
        <v>4261</v>
      </c>
      <c r="F771" s="5">
        <v>45500</v>
      </c>
      <c r="G771" t="s">
        <v>126</v>
      </c>
      <c r="H771" t="s">
        <v>1866</v>
      </c>
      <c r="I771" t="s">
        <v>23</v>
      </c>
      <c r="J771" t="s">
        <v>142</v>
      </c>
      <c r="K771" t="s">
        <v>43</v>
      </c>
      <c r="L771" t="s">
        <v>25</v>
      </c>
      <c r="M771" t="s">
        <v>19</v>
      </c>
      <c r="N771">
        <v>2</v>
      </c>
      <c r="O771">
        <v>2675</v>
      </c>
      <c r="P771">
        <v>3799</v>
      </c>
      <c r="Q771">
        <v>20</v>
      </c>
      <c r="R771">
        <v>1600</v>
      </c>
      <c r="S771">
        <v>5998</v>
      </c>
      <c r="T771">
        <v>648</v>
      </c>
      <c r="U771">
        <v>10.8</v>
      </c>
      <c r="V771" t="s">
        <v>21</v>
      </c>
    </row>
    <row r="772" spans="1:22" x14ac:dyDescent="0.35">
      <c r="A772" t="s">
        <v>4260</v>
      </c>
      <c r="B772" t="s">
        <v>61</v>
      </c>
      <c r="C772" t="s">
        <v>27</v>
      </c>
      <c r="D772" t="s">
        <v>4259</v>
      </c>
      <c r="E772" t="s">
        <v>4258</v>
      </c>
      <c r="F772" s="5">
        <v>45479</v>
      </c>
      <c r="G772" t="s">
        <v>126</v>
      </c>
      <c r="H772" t="s">
        <v>4257</v>
      </c>
      <c r="I772" t="s">
        <v>28</v>
      </c>
      <c r="J772" t="s">
        <v>201</v>
      </c>
      <c r="K772" t="s">
        <v>29</v>
      </c>
      <c r="L772" t="s">
        <v>37</v>
      </c>
      <c r="M772" t="s">
        <v>20</v>
      </c>
      <c r="N772">
        <v>2</v>
      </c>
      <c r="O772">
        <v>373</v>
      </c>
      <c r="P772">
        <v>599</v>
      </c>
      <c r="Q772">
        <v>5</v>
      </c>
      <c r="R772">
        <v>200</v>
      </c>
      <c r="S772">
        <v>998</v>
      </c>
      <c r="T772">
        <v>252</v>
      </c>
      <c r="U772">
        <v>25.25</v>
      </c>
      <c r="V772" t="s">
        <v>33</v>
      </c>
    </row>
    <row r="773" spans="1:22" x14ac:dyDescent="0.35">
      <c r="A773" t="s">
        <v>4256</v>
      </c>
      <c r="B773" t="s">
        <v>65</v>
      </c>
      <c r="C773" t="s">
        <v>16</v>
      </c>
      <c r="D773" t="s">
        <v>4255</v>
      </c>
      <c r="E773" t="s">
        <v>4254</v>
      </c>
      <c r="F773" s="5">
        <v>45617</v>
      </c>
      <c r="G773" t="s">
        <v>126</v>
      </c>
      <c r="H773" t="s">
        <v>3113</v>
      </c>
      <c r="I773" t="s">
        <v>35</v>
      </c>
      <c r="J773" t="s">
        <v>159</v>
      </c>
      <c r="K773" t="s">
        <v>36</v>
      </c>
      <c r="L773" t="s">
        <v>19</v>
      </c>
      <c r="M773" t="s">
        <v>20</v>
      </c>
      <c r="N773">
        <v>1</v>
      </c>
      <c r="O773">
        <v>278</v>
      </c>
      <c r="P773">
        <v>399</v>
      </c>
      <c r="Q773">
        <v>20</v>
      </c>
      <c r="R773">
        <v>100</v>
      </c>
      <c r="S773">
        <v>299</v>
      </c>
      <c r="T773">
        <v>21</v>
      </c>
      <c r="U773">
        <v>7.02</v>
      </c>
      <c r="V773" t="s">
        <v>33</v>
      </c>
    </row>
    <row r="774" spans="1:22" x14ac:dyDescent="0.35">
      <c r="A774" t="s">
        <v>4253</v>
      </c>
      <c r="B774" t="s">
        <v>97</v>
      </c>
      <c r="C774" t="s">
        <v>16</v>
      </c>
      <c r="D774" t="s">
        <v>4252</v>
      </c>
      <c r="E774" t="s">
        <v>4251</v>
      </c>
      <c r="F774" s="5">
        <v>45481</v>
      </c>
      <c r="G774" t="s">
        <v>126</v>
      </c>
      <c r="H774" t="s">
        <v>676</v>
      </c>
      <c r="I774" t="s">
        <v>23</v>
      </c>
      <c r="J774" t="s">
        <v>164</v>
      </c>
      <c r="K774" t="s">
        <v>24</v>
      </c>
      <c r="L774" t="s">
        <v>25</v>
      </c>
      <c r="M774" t="s">
        <v>19</v>
      </c>
      <c r="N774">
        <v>4</v>
      </c>
      <c r="O774">
        <v>560</v>
      </c>
      <c r="P774">
        <v>999</v>
      </c>
      <c r="Q774">
        <v>20</v>
      </c>
      <c r="R774">
        <v>800</v>
      </c>
      <c r="S774">
        <v>3196</v>
      </c>
      <c r="T774">
        <v>956</v>
      </c>
      <c r="U774">
        <v>29.91</v>
      </c>
      <c r="V774" t="s">
        <v>21</v>
      </c>
    </row>
    <row r="775" spans="1:22" x14ac:dyDescent="0.35">
      <c r="A775" t="s">
        <v>4250</v>
      </c>
      <c r="B775" t="s">
        <v>94</v>
      </c>
      <c r="C775" t="s">
        <v>16</v>
      </c>
      <c r="D775" t="s">
        <v>4249</v>
      </c>
      <c r="E775" t="s">
        <v>4248</v>
      </c>
      <c r="F775" s="5">
        <v>45527</v>
      </c>
      <c r="G775" t="s">
        <v>126</v>
      </c>
      <c r="H775" t="s">
        <v>4247</v>
      </c>
      <c r="I775" t="s">
        <v>28</v>
      </c>
      <c r="J775" t="s">
        <v>201</v>
      </c>
      <c r="K775" t="s">
        <v>29</v>
      </c>
      <c r="L775" t="s">
        <v>37</v>
      </c>
      <c r="M775" t="s">
        <v>19</v>
      </c>
      <c r="N775">
        <v>5</v>
      </c>
      <c r="O775">
        <v>285</v>
      </c>
      <c r="P775">
        <v>499</v>
      </c>
      <c r="Q775">
        <v>20</v>
      </c>
      <c r="R775">
        <v>500</v>
      </c>
      <c r="S775">
        <v>1995</v>
      </c>
      <c r="T775">
        <v>570</v>
      </c>
      <c r="U775">
        <v>28.57</v>
      </c>
      <c r="V775" t="s">
        <v>33</v>
      </c>
    </row>
    <row r="776" spans="1:22" x14ac:dyDescent="0.35">
      <c r="A776" t="s">
        <v>4246</v>
      </c>
      <c r="B776" t="s">
        <v>77</v>
      </c>
      <c r="C776" t="s">
        <v>27</v>
      </c>
      <c r="D776" t="s">
        <v>4245</v>
      </c>
      <c r="E776" t="s">
        <v>4244</v>
      </c>
      <c r="F776" s="5">
        <v>45556</v>
      </c>
      <c r="G776" t="s">
        <v>126</v>
      </c>
      <c r="H776" t="s">
        <v>4243</v>
      </c>
      <c r="I776" t="s">
        <v>31</v>
      </c>
      <c r="J776" t="s">
        <v>76</v>
      </c>
      <c r="K776" t="s">
        <v>76</v>
      </c>
      <c r="L776" t="s">
        <v>19</v>
      </c>
      <c r="M776" t="s">
        <v>20</v>
      </c>
      <c r="N776">
        <v>5</v>
      </c>
      <c r="O776">
        <v>493</v>
      </c>
      <c r="P776">
        <v>699</v>
      </c>
      <c r="Q776">
        <v>0</v>
      </c>
      <c r="R776">
        <v>0</v>
      </c>
      <c r="S776">
        <v>3495</v>
      </c>
      <c r="T776">
        <v>1030</v>
      </c>
      <c r="U776">
        <v>29.47</v>
      </c>
      <c r="V776" t="s">
        <v>21</v>
      </c>
    </row>
    <row r="777" spans="1:22" x14ac:dyDescent="0.35">
      <c r="A777" t="s">
        <v>4242</v>
      </c>
      <c r="B777" t="s">
        <v>86</v>
      </c>
      <c r="C777" t="s">
        <v>27</v>
      </c>
      <c r="D777" t="s">
        <v>4241</v>
      </c>
      <c r="E777" t="s">
        <v>4240</v>
      </c>
      <c r="F777" s="5">
        <v>45493</v>
      </c>
      <c r="G777" t="s">
        <v>126</v>
      </c>
      <c r="H777" t="s">
        <v>607</v>
      </c>
      <c r="I777" t="s">
        <v>28</v>
      </c>
      <c r="J777" t="s">
        <v>201</v>
      </c>
      <c r="K777" t="s">
        <v>29</v>
      </c>
      <c r="L777" t="s">
        <v>19</v>
      </c>
      <c r="M777" t="s">
        <v>19</v>
      </c>
      <c r="N777">
        <v>2</v>
      </c>
      <c r="O777">
        <v>521</v>
      </c>
      <c r="P777">
        <v>699</v>
      </c>
      <c r="Q777">
        <v>20</v>
      </c>
      <c r="R777">
        <v>400</v>
      </c>
      <c r="S777">
        <v>998</v>
      </c>
      <c r="T777">
        <v>-44</v>
      </c>
      <c r="U777">
        <v>-4.41</v>
      </c>
      <c r="V777" t="s">
        <v>21</v>
      </c>
    </row>
    <row r="778" spans="1:22" x14ac:dyDescent="0.35">
      <c r="A778" t="s">
        <v>4239</v>
      </c>
      <c r="B778" t="s">
        <v>40</v>
      </c>
      <c r="C778" t="s">
        <v>27</v>
      </c>
      <c r="D778" t="s">
        <v>4238</v>
      </c>
      <c r="E778" t="s">
        <v>4237</v>
      </c>
      <c r="F778" s="5">
        <v>45599</v>
      </c>
      <c r="G778" t="s">
        <v>126</v>
      </c>
      <c r="H778" t="s">
        <v>810</v>
      </c>
      <c r="I778" t="s">
        <v>17</v>
      </c>
      <c r="J778" t="s">
        <v>253</v>
      </c>
      <c r="K778" t="s">
        <v>72</v>
      </c>
      <c r="L778" t="s">
        <v>37</v>
      </c>
      <c r="M778" t="s">
        <v>20</v>
      </c>
      <c r="N778">
        <v>1</v>
      </c>
      <c r="O778">
        <v>222</v>
      </c>
      <c r="P778">
        <v>399</v>
      </c>
      <c r="Q778">
        <v>0</v>
      </c>
      <c r="R778">
        <v>0</v>
      </c>
      <c r="S778">
        <v>399</v>
      </c>
      <c r="T778">
        <v>177</v>
      </c>
      <c r="U778">
        <v>44.36</v>
      </c>
      <c r="V778" t="s">
        <v>21</v>
      </c>
    </row>
    <row r="779" spans="1:22" x14ac:dyDescent="0.35">
      <c r="A779" t="s">
        <v>4236</v>
      </c>
      <c r="B779" t="s">
        <v>85</v>
      </c>
      <c r="C779" t="s">
        <v>27</v>
      </c>
      <c r="D779" t="s">
        <v>4235</v>
      </c>
      <c r="E779" t="s">
        <v>4234</v>
      </c>
      <c r="F779" s="5">
        <v>45612</v>
      </c>
      <c r="G779" t="s">
        <v>126</v>
      </c>
      <c r="H779" t="s">
        <v>1834</v>
      </c>
      <c r="I779" t="s">
        <v>28</v>
      </c>
      <c r="J779" t="s">
        <v>45</v>
      </c>
      <c r="K779" t="s">
        <v>45</v>
      </c>
      <c r="L779" t="s">
        <v>37</v>
      </c>
      <c r="M779" t="s">
        <v>20</v>
      </c>
      <c r="N779">
        <v>5</v>
      </c>
      <c r="O779">
        <v>547</v>
      </c>
      <c r="P779">
        <v>799</v>
      </c>
      <c r="Q779">
        <v>15</v>
      </c>
      <c r="R779">
        <v>1000</v>
      </c>
      <c r="S779">
        <v>2995</v>
      </c>
      <c r="T779">
        <v>260</v>
      </c>
      <c r="U779">
        <v>8.68</v>
      </c>
      <c r="V779" t="s">
        <v>21</v>
      </c>
    </row>
    <row r="780" spans="1:22" x14ac:dyDescent="0.35">
      <c r="A780" t="s">
        <v>4233</v>
      </c>
      <c r="B780" t="s">
        <v>104</v>
      </c>
      <c r="C780" t="s">
        <v>27</v>
      </c>
      <c r="D780" t="s">
        <v>4232</v>
      </c>
      <c r="E780" t="s">
        <v>4231</v>
      </c>
      <c r="F780" s="5">
        <v>45486</v>
      </c>
      <c r="G780" t="s">
        <v>126</v>
      </c>
      <c r="H780" t="s">
        <v>1382</v>
      </c>
      <c r="I780" t="s">
        <v>23</v>
      </c>
      <c r="J780" t="s">
        <v>164</v>
      </c>
      <c r="K780" t="s">
        <v>24</v>
      </c>
      <c r="L780" t="s">
        <v>25</v>
      </c>
      <c r="M780" t="s">
        <v>20</v>
      </c>
      <c r="N780">
        <v>4</v>
      </c>
      <c r="O780">
        <v>1003</v>
      </c>
      <c r="P780">
        <v>1499</v>
      </c>
      <c r="Q780">
        <v>15</v>
      </c>
      <c r="R780">
        <v>1200</v>
      </c>
      <c r="S780">
        <v>4796</v>
      </c>
      <c r="T780">
        <v>784</v>
      </c>
      <c r="U780">
        <v>16.350000000000001</v>
      </c>
      <c r="V780" t="s">
        <v>21</v>
      </c>
    </row>
    <row r="781" spans="1:22" x14ac:dyDescent="0.35">
      <c r="A781" t="s">
        <v>4230</v>
      </c>
      <c r="B781" t="s">
        <v>61</v>
      </c>
      <c r="C781" t="s">
        <v>27</v>
      </c>
      <c r="D781" t="s">
        <v>4229</v>
      </c>
      <c r="E781" t="s">
        <v>4228</v>
      </c>
      <c r="F781" s="5">
        <v>45613</v>
      </c>
      <c r="G781" t="s">
        <v>126</v>
      </c>
      <c r="H781" t="s">
        <v>4227</v>
      </c>
      <c r="I781" t="s">
        <v>17</v>
      </c>
      <c r="J781" t="s">
        <v>253</v>
      </c>
      <c r="K781" t="s">
        <v>72</v>
      </c>
      <c r="L781" t="s">
        <v>25</v>
      </c>
      <c r="M781" t="s">
        <v>19</v>
      </c>
      <c r="N781">
        <v>3</v>
      </c>
      <c r="O781">
        <v>295</v>
      </c>
      <c r="P781">
        <v>499</v>
      </c>
      <c r="Q781">
        <v>0</v>
      </c>
      <c r="R781">
        <v>0</v>
      </c>
      <c r="S781">
        <v>1497</v>
      </c>
      <c r="T781">
        <v>612</v>
      </c>
      <c r="U781">
        <v>40.880000000000003</v>
      </c>
      <c r="V781" t="s">
        <v>21</v>
      </c>
    </row>
    <row r="782" spans="1:22" x14ac:dyDescent="0.35">
      <c r="A782" t="s">
        <v>4226</v>
      </c>
      <c r="B782" t="s">
        <v>74</v>
      </c>
      <c r="C782" t="s">
        <v>16</v>
      </c>
      <c r="D782" t="s">
        <v>4225</v>
      </c>
      <c r="E782" t="s">
        <v>4224</v>
      </c>
      <c r="F782" s="5">
        <v>45479</v>
      </c>
      <c r="G782" t="s">
        <v>126</v>
      </c>
      <c r="H782" t="s">
        <v>4162</v>
      </c>
      <c r="I782" t="s">
        <v>35</v>
      </c>
      <c r="J782" t="s">
        <v>244</v>
      </c>
      <c r="K782" t="s">
        <v>58</v>
      </c>
      <c r="L782" t="s">
        <v>19</v>
      </c>
      <c r="M782" t="s">
        <v>19</v>
      </c>
      <c r="N782">
        <v>3</v>
      </c>
      <c r="O782">
        <v>552</v>
      </c>
      <c r="P782">
        <v>1099</v>
      </c>
      <c r="Q782">
        <v>5</v>
      </c>
      <c r="R782">
        <v>300</v>
      </c>
      <c r="S782">
        <v>2997</v>
      </c>
      <c r="T782">
        <v>1341</v>
      </c>
      <c r="U782">
        <v>44.74</v>
      </c>
      <c r="V782" t="s">
        <v>21</v>
      </c>
    </row>
    <row r="783" spans="1:22" x14ac:dyDescent="0.35">
      <c r="A783" t="s">
        <v>4223</v>
      </c>
      <c r="B783" t="s">
        <v>66</v>
      </c>
      <c r="C783" t="s">
        <v>27</v>
      </c>
      <c r="D783" t="s">
        <v>4222</v>
      </c>
      <c r="E783" t="s">
        <v>4221</v>
      </c>
      <c r="F783" s="5">
        <v>45654</v>
      </c>
      <c r="G783" t="s">
        <v>126</v>
      </c>
      <c r="H783" t="s">
        <v>2347</v>
      </c>
      <c r="I783" t="s">
        <v>17</v>
      </c>
      <c r="J783" t="s">
        <v>253</v>
      </c>
      <c r="K783" t="s">
        <v>72</v>
      </c>
      <c r="L783" t="s">
        <v>19</v>
      </c>
      <c r="M783" t="s">
        <v>19</v>
      </c>
      <c r="N783">
        <v>2</v>
      </c>
      <c r="O783">
        <v>273</v>
      </c>
      <c r="P783">
        <v>499</v>
      </c>
      <c r="Q783">
        <v>0</v>
      </c>
      <c r="R783">
        <v>0</v>
      </c>
      <c r="S783">
        <v>998</v>
      </c>
      <c r="T783">
        <v>452</v>
      </c>
      <c r="U783">
        <v>45.29</v>
      </c>
      <c r="V783" t="s">
        <v>21</v>
      </c>
    </row>
    <row r="784" spans="1:22" x14ac:dyDescent="0.35">
      <c r="A784" t="s">
        <v>4220</v>
      </c>
      <c r="B784" t="s">
        <v>75</v>
      </c>
      <c r="C784" t="s">
        <v>27</v>
      </c>
      <c r="D784" t="s">
        <v>4219</v>
      </c>
      <c r="E784" t="s">
        <v>4218</v>
      </c>
      <c r="F784" s="5">
        <v>45484</v>
      </c>
      <c r="G784" t="s">
        <v>126</v>
      </c>
      <c r="H784" t="s">
        <v>4217</v>
      </c>
      <c r="I784" t="s">
        <v>28</v>
      </c>
      <c r="J784" t="s">
        <v>45</v>
      </c>
      <c r="K784" t="s">
        <v>45</v>
      </c>
      <c r="L784" t="s">
        <v>37</v>
      </c>
      <c r="M784" t="s">
        <v>20</v>
      </c>
      <c r="N784">
        <v>2</v>
      </c>
      <c r="O784">
        <v>740</v>
      </c>
      <c r="P784">
        <v>1399</v>
      </c>
      <c r="Q784">
        <v>10</v>
      </c>
      <c r="R784">
        <v>400</v>
      </c>
      <c r="S784">
        <v>2398</v>
      </c>
      <c r="T784">
        <v>918</v>
      </c>
      <c r="U784">
        <v>38.28</v>
      </c>
      <c r="V784" t="s">
        <v>21</v>
      </c>
    </row>
    <row r="785" spans="1:22" x14ac:dyDescent="0.35">
      <c r="A785" t="s">
        <v>4216</v>
      </c>
      <c r="B785" t="s">
        <v>96</v>
      </c>
      <c r="C785" t="s">
        <v>16</v>
      </c>
      <c r="D785" t="s">
        <v>4215</v>
      </c>
      <c r="E785" t="s">
        <v>4214</v>
      </c>
      <c r="F785" s="5">
        <v>45531</v>
      </c>
      <c r="G785" t="s">
        <v>126</v>
      </c>
      <c r="H785" t="s">
        <v>4213</v>
      </c>
      <c r="I785" t="s">
        <v>23</v>
      </c>
      <c r="J785" t="s">
        <v>142</v>
      </c>
      <c r="K785" t="s">
        <v>43</v>
      </c>
      <c r="L785" t="s">
        <v>25</v>
      </c>
      <c r="M785" t="s">
        <v>19</v>
      </c>
      <c r="N785">
        <v>2</v>
      </c>
      <c r="O785">
        <v>2047</v>
      </c>
      <c r="P785">
        <v>3699</v>
      </c>
      <c r="Q785">
        <v>5</v>
      </c>
      <c r="R785">
        <v>400</v>
      </c>
      <c r="S785">
        <v>6998</v>
      </c>
      <c r="T785">
        <v>2904</v>
      </c>
      <c r="U785">
        <v>41.5</v>
      </c>
      <c r="V785" t="s">
        <v>21</v>
      </c>
    </row>
    <row r="786" spans="1:22" x14ac:dyDescent="0.35">
      <c r="A786" t="s">
        <v>4212</v>
      </c>
      <c r="B786" t="s">
        <v>66</v>
      </c>
      <c r="C786" t="s">
        <v>27</v>
      </c>
      <c r="D786" t="s">
        <v>4211</v>
      </c>
      <c r="E786" t="s">
        <v>4210</v>
      </c>
      <c r="F786" s="5">
        <v>45509</v>
      </c>
      <c r="G786" t="s">
        <v>126</v>
      </c>
      <c r="H786" t="s">
        <v>4209</v>
      </c>
      <c r="I786" t="s">
        <v>28</v>
      </c>
      <c r="J786" t="s">
        <v>201</v>
      </c>
      <c r="K786" t="s">
        <v>29</v>
      </c>
      <c r="L786" t="s">
        <v>37</v>
      </c>
      <c r="M786" t="s">
        <v>20</v>
      </c>
      <c r="N786">
        <v>5</v>
      </c>
      <c r="O786">
        <v>311</v>
      </c>
      <c r="P786">
        <v>599</v>
      </c>
      <c r="Q786">
        <v>15</v>
      </c>
      <c r="R786">
        <v>500</v>
      </c>
      <c r="S786">
        <v>2495</v>
      </c>
      <c r="T786">
        <v>940</v>
      </c>
      <c r="U786">
        <v>37.68</v>
      </c>
      <c r="V786" t="s">
        <v>21</v>
      </c>
    </row>
    <row r="787" spans="1:22" x14ac:dyDescent="0.35">
      <c r="A787" t="s">
        <v>4208</v>
      </c>
      <c r="B787" t="s">
        <v>22</v>
      </c>
      <c r="C787" t="s">
        <v>16</v>
      </c>
      <c r="D787" t="s">
        <v>4207</v>
      </c>
      <c r="E787" t="s">
        <v>4206</v>
      </c>
      <c r="F787" s="5">
        <v>45559</v>
      </c>
      <c r="G787" t="s">
        <v>126</v>
      </c>
      <c r="H787" t="s">
        <v>656</v>
      </c>
      <c r="I787" t="s">
        <v>28</v>
      </c>
      <c r="J787" t="s">
        <v>201</v>
      </c>
      <c r="K787" t="s">
        <v>29</v>
      </c>
      <c r="L787" t="s">
        <v>19</v>
      </c>
      <c r="M787" t="s">
        <v>19</v>
      </c>
      <c r="N787">
        <v>2</v>
      </c>
      <c r="O787">
        <v>310</v>
      </c>
      <c r="P787">
        <v>499</v>
      </c>
      <c r="Q787">
        <v>5</v>
      </c>
      <c r="R787">
        <v>100</v>
      </c>
      <c r="S787">
        <v>898</v>
      </c>
      <c r="T787">
        <v>278</v>
      </c>
      <c r="U787">
        <v>30.96</v>
      </c>
      <c r="V787" t="s">
        <v>21</v>
      </c>
    </row>
    <row r="788" spans="1:22" x14ac:dyDescent="0.35">
      <c r="A788" t="s">
        <v>4205</v>
      </c>
      <c r="B788" t="s">
        <v>74</v>
      </c>
      <c r="C788" t="s">
        <v>16</v>
      </c>
      <c r="D788" t="s">
        <v>4204</v>
      </c>
      <c r="E788" t="s">
        <v>4203</v>
      </c>
      <c r="F788" s="5">
        <v>45521</v>
      </c>
      <c r="G788" t="s">
        <v>126</v>
      </c>
      <c r="H788" t="s">
        <v>3615</v>
      </c>
      <c r="I788" t="s">
        <v>17</v>
      </c>
      <c r="J788" t="s">
        <v>55</v>
      </c>
      <c r="K788" t="s">
        <v>55</v>
      </c>
      <c r="L788" t="s">
        <v>37</v>
      </c>
      <c r="M788" t="s">
        <v>19</v>
      </c>
      <c r="N788">
        <v>2</v>
      </c>
      <c r="O788">
        <v>345</v>
      </c>
      <c r="P788">
        <v>499</v>
      </c>
      <c r="Q788">
        <v>0</v>
      </c>
      <c r="R788">
        <v>0</v>
      </c>
      <c r="S788">
        <v>998</v>
      </c>
      <c r="T788">
        <v>308</v>
      </c>
      <c r="U788">
        <v>30.86</v>
      </c>
      <c r="V788" t="s">
        <v>21</v>
      </c>
    </row>
    <row r="789" spans="1:22" x14ac:dyDescent="0.35">
      <c r="A789" t="s">
        <v>4202</v>
      </c>
      <c r="B789" t="s">
        <v>99</v>
      </c>
      <c r="C789" t="s">
        <v>27</v>
      </c>
      <c r="D789" t="s">
        <v>4201</v>
      </c>
      <c r="E789" t="s">
        <v>4200</v>
      </c>
      <c r="F789" s="5">
        <v>45615</v>
      </c>
      <c r="G789" t="s">
        <v>126</v>
      </c>
      <c r="H789" t="s">
        <v>2062</v>
      </c>
      <c r="I789" t="s">
        <v>28</v>
      </c>
      <c r="J789" t="s">
        <v>45</v>
      </c>
      <c r="K789" t="s">
        <v>45</v>
      </c>
      <c r="L789" t="s">
        <v>37</v>
      </c>
      <c r="M789" t="s">
        <v>20</v>
      </c>
      <c r="N789">
        <v>2</v>
      </c>
      <c r="O789">
        <v>984</v>
      </c>
      <c r="P789">
        <v>1499</v>
      </c>
      <c r="Q789">
        <v>15</v>
      </c>
      <c r="R789">
        <v>600</v>
      </c>
      <c r="S789">
        <v>2398</v>
      </c>
      <c r="T789">
        <v>430</v>
      </c>
      <c r="U789">
        <v>17.93</v>
      </c>
      <c r="V789" t="s">
        <v>21</v>
      </c>
    </row>
    <row r="790" spans="1:22" x14ac:dyDescent="0.35">
      <c r="A790" t="s">
        <v>4199</v>
      </c>
      <c r="B790" t="s">
        <v>64</v>
      </c>
      <c r="C790" t="s">
        <v>16</v>
      </c>
      <c r="D790" t="s">
        <v>4198</v>
      </c>
      <c r="E790" t="s">
        <v>4197</v>
      </c>
      <c r="F790" s="5">
        <v>45619</v>
      </c>
      <c r="G790" t="s">
        <v>126</v>
      </c>
      <c r="H790" t="s">
        <v>3232</v>
      </c>
      <c r="I790" t="s">
        <v>35</v>
      </c>
      <c r="J790" t="s">
        <v>244</v>
      </c>
      <c r="K790" t="s">
        <v>58</v>
      </c>
      <c r="L790" t="s">
        <v>19</v>
      </c>
      <c r="M790" t="s">
        <v>19</v>
      </c>
      <c r="N790">
        <v>1</v>
      </c>
      <c r="O790">
        <v>1222</v>
      </c>
      <c r="P790">
        <v>1899</v>
      </c>
      <c r="Q790">
        <v>20</v>
      </c>
      <c r="R790">
        <v>400</v>
      </c>
      <c r="S790">
        <v>1499</v>
      </c>
      <c r="T790">
        <v>277</v>
      </c>
      <c r="U790">
        <v>18.48</v>
      </c>
      <c r="V790" t="s">
        <v>21</v>
      </c>
    </row>
    <row r="791" spans="1:22" x14ac:dyDescent="0.35">
      <c r="A791" t="s">
        <v>4196</v>
      </c>
      <c r="B791" t="s">
        <v>63</v>
      </c>
      <c r="C791" t="s">
        <v>27</v>
      </c>
      <c r="D791" t="s">
        <v>4195</v>
      </c>
      <c r="E791" t="s">
        <v>4194</v>
      </c>
      <c r="F791" s="5">
        <v>45546</v>
      </c>
      <c r="G791" t="s">
        <v>126</v>
      </c>
      <c r="H791" t="s">
        <v>2347</v>
      </c>
      <c r="I791" t="s">
        <v>35</v>
      </c>
      <c r="J791" t="s">
        <v>244</v>
      </c>
      <c r="K791" t="s">
        <v>58</v>
      </c>
      <c r="L791" t="s">
        <v>19</v>
      </c>
      <c r="M791" t="s">
        <v>19</v>
      </c>
      <c r="N791">
        <v>4</v>
      </c>
      <c r="O791">
        <v>868</v>
      </c>
      <c r="P791">
        <v>1199</v>
      </c>
      <c r="Q791">
        <v>10</v>
      </c>
      <c r="R791">
        <v>800</v>
      </c>
      <c r="S791">
        <v>3996</v>
      </c>
      <c r="T791">
        <v>524</v>
      </c>
      <c r="U791">
        <v>13.11</v>
      </c>
      <c r="V791" t="s">
        <v>21</v>
      </c>
    </row>
    <row r="792" spans="1:22" x14ac:dyDescent="0.35">
      <c r="A792" t="s">
        <v>4193</v>
      </c>
      <c r="B792" t="s">
        <v>108</v>
      </c>
      <c r="C792" t="s">
        <v>27</v>
      </c>
      <c r="D792" t="s">
        <v>4192</v>
      </c>
      <c r="E792" t="s">
        <v>4191</v>
      </c>
      <c r="F792" s="5">
        <v>45536</v>
      </c>
      <c r="G792" t="s">
        <v>126</v>
      </c>
      <c r="H792" t="s">
        <v>321</v>
      </c>
      <c r="I792" t="s">
        <v>31</v>
      </c>
      <c r="J792" t="s">
        <v>76</v>
      </c>
      <c r="K792" t="s">
        <v>76</v>
      </c>
      <c r="L792" t="s">
        <v>37</v>
      </c>
      <c r="M792" t="s">
        <v>19</v>
      </c>
      <c r="N792">
        <v>4</v>
      </c>
      <c r="O792">
        <v>830</v>
      </c>
      <c r="P792">
        <v>1499</v>
      </c>
      <c r="Q792">
        <v>0</v>
      </c>
      <c r="R792">
        <v>0</v>
      </c>
      <c r="S792">
        <v>5996</v>
      </c>
      <c r="T792">
        <v>2676</v>
      </c>
      <c r="U792">
        <v>44.63</v>
      </c>
      <c r="V792" t="s">
        <v>21</v>
      </c>
    </row>
    <row r="793" spans="1:22" x14ac:dyDescent="0.35">
      <c r="A793" t="s">
        <v>4190</v>
      </c>
      <c r="B793" t="s">
        <v>51</v>
      </c>
      <c r="C793" t="s">
        <v>16</v>
      </c>
      <c r="D793" t="s">
        <v>4189</v>
      </c>
      <c r="E793" t="s">
        <v>1584</v>
      </c>
      <c r="F793" s="5">
        <v>45452</v>
      </c>
      <c r="G793" t="s">
        <v>126</v>
      </c>
      <c r="H793" t="s">
        <v>423</v>
      </c>
      <c r="I793" t="s">
        <v>17</v>
      </c>
      <c r="J793" t="s">
        <v>235</v>
      </c>
      <c r="K793" t="s">
        <v>18</v>
      </c>
      <c r="L793" t="s">
        <v>19</v>
      </c>
      <c r="M793" t="s">
        <v>20</v>
      </c>
      <c r="N793">
        <v>4</v>
      </c>
      <c r="O793">
        <v>197</v>
      </c>
      <c r="P793">
        <v>299</v>
      </c>
      <c r="Q793">
        <v>0</v>
      </c>
      <c r="R793">
        <v>0</v>
      </c>
      <c r="S793">
        <v>1196</v>
      </c>
      <c r="T793">
        <v>408</v>
      </c>
      <c r="U793">
        <v>34.11</v>
      </c>
      <c r="V793" t="s">
        <v>21</v>
      </c>
    </row>
    <row r="794" spans="1:22" x14ac:dyDescent="0.35">
      <c r="A794" t="s">
        <v>4188</v>
      </c>
      <c r="B794" t="s">
        <v>94</v>
      </c>
      <c r="C794" t="s">
        <v>16</v>
      </c>
      <c r="D794" t="s">
        <v>4187</v>
      </c>
      <c r="E794" t="s">
        <v>4186</v>
      </c>
      <c r="F794" s="5">
        <v>45630</v>
      </c>
      <c r="G794" t="s">
        <v>126</v>
      </c>
      <c r="H794" t="s">
        <v>2043</v>
      </c>
      <c r="I794" t="s">
        <v>23</v>
      </c>
      <c r="J794" t="s">
        <v>164</v>
      </c>
      <c r="K794" t="s">
        <v>24</v>
      </c>
      <c r="L794" t="s">
        <v>19</v>
      </c>
      <c r="M794" t="s">
        <v>19</v>
      </c>
      <c r="N794">
        <v>4</v>
      </c>
      <c r="O794">
        <v>847</v>
      </c>
      <c r="P794">
        <v>1199</v>
      </c>
      <c r="Q794">
        <v>15</v>
      </c>
      <c r="R794">
        <v>800</v>
      </c>
      <c r="S794">
        <v>3996</v>
      </c>
      <c r="T794">
        <v>608</v>
      </c>
      <c r="U794">
        <v>15.22</v>
      </c>
      <c r="V794" t="s">
        <v>21</v>
      </c>
    </row>
    <row r="795" spans="1:22" x14ac:dyDescent="0.35">
      <c r="A795" t="s">
        <v>4185</v>
      </c>
      <c r="B795" t="s">
        <v>26</v>
      </c>
      <c r="C795" t="s">
        <v>27</v>
      </c>
      <c r="D795" t="s">
        <v>4184</v>
      </c>
      <c r="E795" t="s">
        <v>3245</v>
      </c>
      <c r="F795" s="5">
        <v>45510</v>
      </c>
      <c r="G795" t="s">
        <v>126</v>
      </c>
      <c r="H795" t="s">
        <v>2111</v>
      </c>
      <c r="I795" t="s">
        <v>31</v>
      </c>
      <c r="J795" t="s">
        <v>32</v>
      </c>
      <c r="K795" t="s">
        <v>32</v>
      </c>
      <c r="L795" t="s">
        <v>37</v>
      </c>
      <c r="M795" t="s">
        <v>20</v>
      </c>
      <c r="N795">
        <v>1</v>
      </c>
      <c r="O795">
        <v>877</v>
      </c>
      <c r="P795">
        <v>1399</v>
      </c>
      <c r="Q795">
        <v>0</v>
      </c>
      <c r="R795">
        <v>0</v>
      </c>
      <c r="S795">
        <v>1399</v>
      </c>
      <c r="T795">
        <v>522</v>
      </c>
      <c r="U795">
        <v>37.31</v>
      </c>
      <c r="V795" t="s">
        <v>21</v>
      </c>
    </row>
    <row r="796" spans="1:22" x14ac:dyDescent="0.35">
      <c r="A796" t="s">
        <v>4183</v>
      </c>
      <c r="B796" t="s">
        <v>30</v>
      </c>
      <c r="C796" t="s">
        <v>16</v>
      </c>
      <c r="D796" t="s">
        <v>4182</v>
      </c>
      <c r="E796" t="s">
        <v>4181</v>
      </c>
      <c r="F796" s="5">
        <v>45561</v>
      </c>
      <c r="G796" t="s">
        <v>126</v>
      </c>
      <c r="H796" t="s">
        <v>1400</v>
      </c>
      <c r="I796" t="s">
        <v>35</v>
      </c>
      <c r="J796" t="s">
        <v>244</v>
      </c>
      <c r="K796" t="s">
        <v>58</v>
      </c>
      <c r="L796" t="s">
        <v>19</v>
      </c>
      <c r="M796" t="s">
        <v>20</v>
      </c>
      <c r="N796">
        <v>3</v>
      </c>
      <c r="O796">
        <v>954</v>
      </c>
      <c r="P796">
        <v>1699</v>
      </c>
      <c r="Q796">
        <v>10</v>
      </c>
      <c r="R796">
        <v>600</v>
      </c>
      <c r="S796">
        <v>4497</v>
      </c>
      <c r="T796">
        <v>1635</v>
      </c>
      <c r="U796">
        <v>36.36</v>
      </c>
      <c r="V796" t="s">
        <v>33</v>
      </c>
    </row>
    <row r="797" spans="1:22" x14ac:dyDescent="0.35">
      <c r="A797" t="s">
        <v>4180</v>
      </c>
      <c r="B797" t="s">
        <v>56</v>
      </c>
      <c r="C797" t="s">
        <v>27</v>
      </c>
      <c r="D797" t="s">
        <v>4179</v>
      </c>
      <c r="E797" t="s">
        <v>4178</v>
      </c>
      <c r="F797" s="5">
        <v>45531</v>
      </c>
      <c r="G797" t="s">
        <v>126</v>
      </c>
      <c r="H797" t="s">
        <v>310</v>
      </c>
      <c r="I797" t="s">
        <v>23</v>
      </c>
      <c r="J797" t="s">
        <v>164</v>
      </c>
      <c r="K797" t="s">
        <v>24</v>
      </c>
      <c r="L797" t="s">
        <v>25</v>
      </c>
      <c r="M797" t="s">
        <v>19</v>
      </c>
      <c r="N797">
        <v>1</v>
      </c>
      <c r="O797">
        <v>483</v>
      </c>
      <c r="P797">
        <v>899</v>
      </c>
      <c r="Q797">
        <v>5</v>
      </c>
      <c r="R797">
        <v>100</v>
      </c>
      <c r="S797">
        <v>799</v>
      </c>
      <c r="T797">
        <v>316</v>
      </c>
      <c r="U797">
        <v>39.549999999999997</v>
      </c>
      <c r="V797" t="s">
        <v>21</v>
      </c>
    </row>
    <row r="798" spans="1:22" x14ac:dyDescent="0.35">
      <c r="A798" t="s">
        <v>4177</v>
      </c>
      <c r="B798" t="s">
        <v>40</v>
      </c>
      <c r="C798" t="s">
        <v>27</v>
      </c>
      <c r="D798" t="s">
        <v>4176</v>
      </c>
      <c r="E798" t="s">
        <v>4175</v>
      </c>
      <c r="F798" s="5">
        <v>45623</v>
      </c>
      <c r="G798" t="s">
        <v>126</v>
      </c>
      <c r="H798" t="s">
        <v>4174</v>
      </c>
      <c r="I798" t="s">
        <v>31</v>
      </c>
      <c r="J798" t="s">
        <v>76</v>
      </c>
      <c r="K798" t="s">
        <v>76</v>
      </c>
      <c r="L798" t="s">
        <v>25</v>
      </c>
      <c r="M798" t="s">
        <v>19</v>
      </c>
      <c r="N798">
        <v>3</v>
      </c>
      <c r="O798">
        <v>679</v>
      </c>
      <c r="P798">
        <v>999</v>
      </c>
      <c r="Q798">
        <v>0</v>
      </c>
      <c r="R798">
        <v>0</v>
      </c>
      <c r="S798">
        <v>2997</v>
      </c>
      <c r="T798">
        <v>960</v>
      </c>
      <c r="U798">
        <v>32.03</v>
      </c>
      <c r="V798" t="s">
        <v>33</v>
      </c>
    </row>
    <row r="799" spans="1:22" x14ac:dyDescent="0.35">
      <c r="A799" t="s">
        <v>4173</v>
      </c>
      <c r="B799" t="s">
        <v>90</v>
      </c>
      <c r="C799" t="s">
        <v>27</v>
      </c>
      <c r="D799" t="s">
        <v>4172</v>
      </c>
      <c r="E799" t="s">
        <v>4171</v>
      </c>
      <c r="F799" s="5">
        <v>45545</v>
      </c>
      <c r="G799" t="s">
        <v>126</v>
      </c>
      <c r="H799" t="s">
        <v>4170</v>
      </c>
      <c r="I799" t="s">
        <v>28</v>
      </c>
      <c r="J799" t="s">
        <v>45</v>
      </c>
      <c r="K799" t="s">
        <v>45</v>
      </c>
      <c r="L799" t="s">
        <v>25</v>
      </c>
      <c r="M799" t="s">
        <v>20</v>
      </c>
      <c r="N799">
        <v>4</v>
      </c>
      <c r="O799">
        <v>1590</v>
      </c>
      <c r="P799">
        <v>2199</v>
      </c>
      <c r="Q799">
        <v>15</v>
      </c>
      <c r="R799">
        <v>1600</v>
      </c>
      <c r="S799">
        <v>7196</v>
      </c>
      <c r="T799">
        <v>836</v>
      </c>
      <c r="U799">
        <v>11.62</v>
      </c>
      <c r="V799" t="s">
        <v>21</v>
      </c>
    </row>
    <row r="800" spans="1:22" x14ac:dyDescent="0.35">
      <c r="A800" t="s">
        <v>4169</v>
      </c>
      <c r="B800" t="s">
        <v>94</v>
      </c>
      <c r="C800" t="s">
        <v>16</v>
      </c>
      <c r="D800" t="s">
        <v>4168</v>
      </c>
      <c r="E800" t="s">
        <v>3159</v>
      </c>
      <c r="F800" s="5">
        <v>45631</v>
      </c>
      <c r="G800" t="s">
        <v>126</v>
      </c>
      <c r="H800" t="s">
        <v>2504</v>
      </c>
      <c r="I800" t="s">
        <v>17</v>
      </c>
      <c r="J800" t="s">
        <v>253</v>
      </c>
      <c r="K800" t="s">
        <v>72</v>
      </c>
      <c r="L800" t="s">
        <v>19</v>
      </c>
      <c r="M800" t="s">
        <v>20</v>
      </c>
      <c r="N800">
        <v>1</v>
      </c>
      <c r="O800">
        <v>254</v>
      </c>
      <c r="P800">
        <v>399</v>
      </c>
      <c r="Q800">
        <v>0</v>
      </c>
      <c r="R800">
        <v>0</v>
      </c>
      <c r="S800">
        <v>399</v>
      </c>
      <c r="T800">
        <v>145</v>
      </c>
      <c r="U800">
        <v>36.340000000000003</v>
      </c>
      <c r="V800" t="s">
        <v>33</v>
      </c>
    </row>
    <row r="801" spans="1:22" x14ac:dyDescent="0.35">
      <c r="A801" t="s">
        <v>4167</v>
      </c>
      <c r="B801" t="s">
        <v>104</v>
      </c>
      <c r="C801" t="s">
        <v>27</v>
      </c>
      <c r="D801" t="s">
        <v>4166</v>
      </c>
      <c r="E801" t="s">
        <v>4165</v>
      </c>
      <c r="F801" s="5">
        <v>45557</v>
      </c>
      <c r="G801" t="s">
        <v>126</v>
      </c>
      <c r="H801" t="s">
        <v>1848</v>
      </c>
      <c r="I801" t="s">
        <v>31</v>
      </c>
      <c r="J801" t="s">
        <v>76</v>
      </c>
      <c r="K801" t="s">
        <v>76</v>
      </c>
      <c r="L801" t="s">
        <v>25</v>
      </c>
      <c r="M801" t="s">
        <v>20</v>
      </c>
      <c r="N801">
        <v>5</v>
      </c>
      <c r="O801">
        <v>655</v>
      </c>
      <c r="P801">
        <v>999</v>
      </c>
      <c r="Q801">
        <v>0</v>
      </c>
      <c r="R801">
        <v>0</v>
      </c>
      <c r="S801">
        <v>4995</v>
      </c>
      <c r="T801">
        <v>1720</v>
      </c>
      <c r="U801">
        <v>34.43</v>
      </c>
      <c r="V801" t="s">
        <v>33</v>
      </c>
    </row>
    <row r="802" spans="1:22" x14ac:dyDescent="0.35">
      <c r="A802" t="s">
        <v>4164</v>
      </c>
      <c r="B802" t="s">
        <v>96</v>
      </c>
      <c r="C802" t="s">
        <v>16</v>
      </c>
      <c r="D802" t="s">
        <v>4163</v>
      </c>
      <c r="E802" t="s">
        <v>2120</v>
      </c>
      <c r="F802" s="5">
        <v>45589</v>
      </c>
      <c r="G802" t="s">
        <v>126</v>
      </c>
      <c r="H802" t="s">
        <v>4162</v>
      </c>
      <c r="I802" t="s">
        <v>28</v>
      </c>
      <c r="J802" t="s">
        <v>45</v>
      </c>
      <c r="K802" t="s">
        <v>45</v>
      </c>
      <c r="L802" t="s">
        <v>25</v>
      </c>
      <c r="M802" t="s">
        <v>19</v>
      </c>
      <c r="N802">
        <v>5</v>
      </c>
      <c r="O802">
        <v>736</v>
      </c>
      <c r="P802">
        <v>1199</v>
      </c>
      <c r="Q802">
        <v>10</v>
      </c>
      <c r="R802">
        <v>1000</v>
      </c>
      <c r="S802">
        <v>4995</v>
      </c>
      <c r="T802">
        <v>1315</v>
      </c>
      <c r="U802">
        <v>26.33</v>
      </c>
      <c r="V802" t="s">
        <v>21</v>
      </c>
    </row>
    <row r="803" spans="1:22" x14ac:dyDescent="0.35">
      <c r="A803" t="s">
        <v>4161</v>
      </c>
      <c r="B803" t="s">
        <v>106</v>
      </c>
      <c r="C803" t="s">
        <v>27</v>
      </c>
      <c r="D803" t="s">
        <v>4160</v>
      </c>
      <c r="E803" t="s">
        <v>4159</v>
      </c>
      <c r="F803" s="5">
        <v>45481</v>
      </c>
      <c r="G803" t="s">
        <v>126</v>
      </c>
      <c r="H803" t="s">
        <v>2370</v>
      </c>
      <c r="I803" t="s">
        <v>31</v>
      </c>
      <c r="J803" t="s">
        <v>32</v>
      </c>
      <c r="K803" t="s">
        <v>32</v>
      </c>
      <c r="L803" t="s">
        <v>19</v>
      </c>
      <c r="M803" t="s">
        <v>19</v>
      </c>
      <c r="N803">
        <v>1</v>
      </c>
      <c r="O803">
        <v>649</v>
      </c>
      <c r="P803">
        <v>1199</v>
      </c>
      <c r="Q803">
        <v>0</v>
      </c>
      <c r="R803">
        <v>0</v>
      </c>
      <c r="S803">
        <v>1199</v>
      </c>
      <c r="T803">
        <v>550</v>
      </c>
      <c r="U803">
        <v>45.87</v>
      </c>
      <c r="V803" t="s">
        <v>33</v>
      </c>
    </row>
    <row r="804" spans="1:22" x14ac:dyDescent="0.35">
      <c r="A804" t="s">
        <v>4158</v>
      </c>
      <c r="B804" t="s">
        <v>42</v>
      </c>
      <c r="C804" t="s">
        <v>27</v>
      </c>
      <c r="D804" t="s">
        <v>4157</v>
      </c>
      <c r="E804" t="s">
        <v>4156</v>
      </c>
      <c r="F804" s="5">
        <v>45554</v>
      </c>
      <c r="G804" t="s">
        <v>126</v>
      </c>
      <c r="H804" t="s">
        <v>3418</v>
      </c>
      <c r="I804" t="s">
        <v>17</v>
      </c>
      <c r="J804" t="s">
        <v>55</v>
      </c>
      <c r="K804" t="s">
        <v>55</v>
      </c>
      <c r="L804" t="s">
        <v>19</v>
      </c>
      <c r="M804" t="s">
        <v>19</v>
      </c>
      <c r="N804">
        <v>4</v>
      </c>
      <c r="O804">
        <v>209</v>
      </c>
      <c r="P804">
        <v>299</v>
      </c>
      <c r="Q804">
        <v>0</v>
      </c>
      <c r="R804">
        <v>0</v>
      </c>
      <c r="S804">
        <v>1196</v>
      </c>
      <c r="T804">
        <v>360</v>
      </c>
      <c r="U804">
        <v>30.1</v>
      </c>
      <c r="V804" t="s">
        <v>21</v>
      </c>
    </row>
    <row r="805" spans="1:22" x14ac:dyDescent="0.35">
      <c r="A805" t="s">
        <v>4155</v>
      </c>
      <c r="B805" t="s">
        <v>102</v>
      </c>
      <c r="C805" t="s">
        <v>27</v>
      </c>
      <c r="D805" t="s">
        <v>4154</v>
      </c>
      <c r="E805" t="s">
        <v>1453</v>
      </c>
      <c r="F805" s="5">
        <v>45584</v>
      </c>
      <c r="G805" t="s">
        <v>126</v>
      </c>
      <c r="H805" t="s">
        <v>4153</v>
      </c>
      <c r="I805" t="s">
        <v>17</v>
      </c>
      <c r="J805" t="s">
        <v>253</v>
      </c>
      <c r="K805" t="s">
        <v>72</v>
      </c>
      <c r="L805" t="s">
        <v>19</v>
      </c>
      <c r="M805" t="s">
        <v>20</v>
      </c>
      <c r="N805">
        <v>1</v>
      </c>
      <c r="O805">
        <v>274</v>
      </c>
      <c r="P805">
        <v>399</v>
      </c>
      <c r="Q805">
        <v>0</v>
      </c>
      <c r="R805">
        <v>0</v>
      </c>
      <c r="S805">
        <v>399</v>
      </c>
      <c r="T805">
        <v>125</v>
      </c>
      <c r="U805">
        <v>31.33</v>
      </c>
      <c r="V805" t="s">
        <v>21</v>
      </c>
    </row>
    <row r="806" spans="1:22" x14ac:dyDescent="0.35">
      <c r="A806" t="s">
        <v>4152</v>
      </c>
      <c r="B806" t="s">
        <v>97</v>
      </c>
      <c r="C806" t="s">
        <v>16</v>
      </c>
      <c r="D806" t="s">
        <v>4151</v>
      </c>
      <c r="E806" t="s">
        <v>1591</v>
      </c>
      <c r="F806" s="5">
        <v>45546</v>
      </c>
      <c r="G806" t="s">
        <v>126</v>
      </c>
      <c r="H806" t="s">
        <v>165</v>
      </c>
      <c r="I806" t="s">
        <v>35</v>
      </c>
      <c r="J806" t="s">
        <v>41</v>
      </c>
      <c r="K806" t="s">
        <v>41</v>
      </c>
      <c r="L806" t="s">
        <v>37</v>
      </c>
      <c r="M806" t="s">
        <v>20</v>
      </c>
      <c r="N806">
        <v>4</v>
      </c>
      <c r="O806">
        <v>303</v>
      </c>
      <c r="P806">
        <v>599</v>
      </c>
      <c r="Q806">
        <v>10</v>
      </c>
      <c r="R806">
        <v>400</v>
      </c>
      <c r="S806">
        <v>1996</v>
      </c>
      <c r="T806">
        <v>784</v>
      </c>
      <c r="U806">
        <v>39.28</v>
      </c>
      <c r="V806" t="s">
        <v>21</v>
      </c>
    </row>
    <row r="807" spans="1:22" x14ac:dyDescent="0.35">
      <c r="A807" t="s">
        <v>4150</v>
      </c>
      <c r="B807" t="s">
        <v>57</v>
      </c>
      <c r="C807" t="s">
        <v>27</v>
      </c>
      <c r="D807" t="s">
        <v>4149</v>
      </c>
      <c r="E807" t="s">
        <v>4148</v>
      </c>
      <c r="F807" s="5">
        <v>45599</v>
      </c>
      <c r="G807" t="s">
        <v>126</v>
      </c>
      <c r="H807" t="s">
        <v>1715</v>
      </c>
      <c r="I807" t="s">
        <v>35</v>
      </c>
      <c r="J807" t="s">
        <v>39</v>
      </c>
      <c r="K807" t="s">
        <v>39</v>
      </c>
      <c r="L807" t="s">
        <v>37</v>
      </c>
      <c r="M807" t="s">
        <v>19</v>
      </c>
      <c r="N807">
        <v>2</v>
      </c>
      <c r="O807">
        <v>540</v>
      </c>
      <c r="P807">
        <v>799</v>
      </c>
      <c r="Q807">
        <v>10</v>
      </c>
      <c r="R807">
        <v>200</v>
      </c>
      <c r="S807">
        <v>1398</v>
      </c>
      <c r="T807">
        <v>318</v>
      </c>
      <c r="U807">
        <v>22.75</v>
      </c>
      <c r="V807" t="s">
        <v>33</v>
      </c>
    </row>
    <row r="808" spans="1:22" x14ac:dyDescent="0.35">
      <c r="A808" t="s">
        <v>4147</v>
      </c>
      <c r="B808" t="s">
        <v>97</v>
      </c>
      <c r="C808" t="s">
        <v>16</v>
      </c>
      <c r="D808" t="s">
        <v>4146</v>
      </c>
      <c r="E808" t="s">
        <v>4145</v>
      </c>
      <c r="F808" s="5">
        <v>45656</v>
      </c>
      <c r="G808" t="s">
        <v>126</v>
      </c>
      <c r="H808" t="s">
        <v>906</v>
      </c>
      <c r="I808" t="s">
        <v>17</v>
      </c>
      <c r="J808" t="s">
        <v>235</v>
      </c>
      <c r="K808" t="s">
        <v>18</v>
      </c>
      <c r="L808" t="s">
        <v>19</v>
      </c>
      <c r="M808" t="s">
        <v>20</v>
      </c>
      <c r="N808">
        <v>5</v>
      </c>
      <c r="O808">
        <v>216</v>
      </c>
      <c r="P808">
        <v>299</v>
      </c>
      <c r="Q808">
        <v>0</v>
      </c>
      <c r="R808">
        <v>0</v>
      </c>
      <c r="S808">
        <v>1495</v>
      </c>
      <c r="T808">
        <v>415</v>
      </c>
      <c r="U808">
        <v>27.76</v>
      </c>
      <c r="V808" t="s">
        <v>33</v>
      </c>
    </row>
    <row r="809" spans="1:22" x14ac:dyDescent="0.35">
      <c r="A809" t="s">
        <v>4144</v>
      </c>
      <c r="B809" t="s">
        <v>105</v>
      </c>
      <c r="C809" t="s">
        <v>16</v>
      </c>
      <c r="D809" t="s">
        <v>4143</v>
      </c>
      <c r="E809" t="s">
        <v>4142</v>
      </c>
      <c r="F809" s="5">
        <v>45568</v>
      </c>
      <c r="G809" t="s">
        <v>126</v>
      </c>
      <c r="H809" t="s">
        <v>231</v>
      </c>
      <c r="I809" t="s">
        <v>35</v>
      </c>
      <c r="J809" t="s">
        <v>41</v>
      </c>
      <c r="K809" t="s">
        <v>41</v>
      </c>
      <c r="L809" t="s">
        <v>37</v>
      </c>
      <c r="M809" t="s">
        <v>19</v>
      </c>
      <c r="N809">
        <v>3</v>
      </c>
      <c r="O809">
        <v>884</v>
      </c>
      <c r="P809">
        <v>1299</v>
      </c>
      <c r="Q809">
        <v>20</v>
      </c>
      <c r="R809">
        <v>900</v>
      </c>
      <c r="S809">
        <v>2997</v>
      </c>
      <c r="T809">
        <v>345</v>
      </c>
      <c r="U809">
        <v>11.51</v>
      </c>
      <c r="V809" t="s">
        <v>21</v>
      </c>
    </row>
    <row r="810" spans="1:22" x14ac:dyDescent="0.35">
      <c r="A810" t="s">
        <v>4141</v>
      </c>
      <c r="B810" t="s">
        <v>75</v>
      </c>
      <c r="C810" t="s">
        <v>27</v>
      </c>
      <c r="D810" t="s">
        <v>4140</v>
      </c>
      <c r="E810" t="s">
        <v>4139</v>
      </c>
      <c r="F810" s="5">
        <v>45521</v>
      </c>
      <c r="G810" t="s">
        <v>126</v>
      </c>
      <c r="H810" t="s">
        <v>3389</v>
      </c>
      <c r="I810" t="s">
        <v>23</v>
      </c>
      <c r="J810" t="s">
        <v>142</v>
      </c>
      <c r="K810" t="s">
        <v>43</v>
      </c>
      <c r="L810" t="s">
        <v>25</v>
      </c>
      <c r="M810" t="s">
        <v>19</v>
      </c>
      <c r="N810">
        <v>3</v>
      </c>
      <c r="O810">
        <v>2979</v>
      </c>
      <c r="P810">
        <v>4199</v>
      </c>
      <c r="Q810">
        <v>15</v>
      </c>
      <c r="R810">
        <v>2100</v>
      </c>
      <c r="S810">
        <v>10497</v>
      </c>
      <c r="T810">
        <v>1560</v>
      </c>
      <c r="U810">
        <v>14.86</v>
      </c>
      <c r="V810" t="s">
        <v>33</v>
      </c>
    </row>
    <row r="811" spans="1:22" x14ac:dyDescent="0.35">
      <c r="A811" t="s">
        <v>4138</v>
      </c>
      <c r="B811" t="s">
        <v>90</v>
      </c>
      <c r="C811" t="s">
        <v>27</v>
      </c>
      <c r="D811" t="s">
        <v>4137</v>
      </c>
      <c r="E811" t="s">
        <v>4136</v>
      </c>
      <c r="F811" s="5">
        <v>45626</v>
      </c>
      <c r="G811" t="s">
        <v>126</v>
      </c>
      <c r="H811" t="s">
        <v>528</v>
      </c>
      <c r="I811" t="s">
        <v>31</v>
      </c>
      <c r="J811" t="s">
        <v>76</v>
      </c>
      <c r="K811" t="s">
        <v>76</v>
      </c>
      <c r="L811" t="s">
        <v>25</v>
      </c>
      <c r="M811" t="s">
        <v>20</v>
      </c>
      <c r="N811">
        <v>1</v>
      </c>
      <c r="O811">
        <v>407</v>
      </c>
      <c r="P811">
        <v>799</v>
      </c>
      <c r="Q811">
        <v>0</v>
      </c>
      <c r="R811">
        <v>0</v>
      </c>
      <c r="S811">
        <v>799</v>
      </c>
      <c r="T811">
        <v>392</v>
      </c>
      <c r="U811">
        <v>49.06</v>
      </c>
      <c r="V811" t="s">
        <v>21</v>
      </c>
    </row>
    <row r="812" spans="1:22" x14ac:dyDescent="0.35">
      <c r="A812" t="s">
        <v>4135</v>
      </c>
      <c r="B812" t="s">
        <v>103</v>
      </c>
      <c r="C812" t="s">
        <v>16</v>
      </c>
      <c r="D812" t="s">
        <v>4134</v>
      </c>
      <c r="E812" t="s">
        <v>4133</v>
      </c>
      <c r="F812" s="5">
        <v>45472</v>
      </c>
      <c r="G812" t="s">
        <v>126</v>
      </c>
      <c r="H812" t="s">
        <v>806</v>
      </c>
      <c r="I812" t="s">
        <v>28</v>
      </c>
      <c r="J812" t="s">
        <v>201</v>
      </c>
      <c r="K812" t="s">
        <v>29</v>
      </c>
      <c r="L812" t="s">
        <v>37</v>
      </c>
      <c r="M812" t="s">
        <v>19</v>
      </c>
      <c r="N812">
        <v>1</v>
      </c>
      <c r="O812">
        <v>324</v>
      </c>
      <c r="P812">
        <v>599</v>
      </c>
      <c r="Q812">
        <v>20</v>
      </c>
      <c r="R812">
        <v>150</v>
      </c>
      <c r="S812">
        <v>449</v>
      </c>
      <c r="T812">
        <v>125</v>
      </c>
      <c r="U812">
        <v>27.84</v>
      </c>
      <c r="V812" t="s">
        <v>21</v>
      </c>
    </row>
    <row r="813" spans="1:22" x14ac:dyDescent="0.35">
      <c r="A813" t="s">
        <v>4132</v>
      </c>
      <c r="B813" t="s">
        <v>73</v>
      </c>
      <c r="C813" t="s">
        <v>16</v>
      </c>
      <c r="D813" t="s">
        <v>4131</v>
      </c>
      <c r="E813" t="s">
        <v>4130</v>
      </c>
      <c r="F813" s="5">
        <v>45652</v>
      </c>
      <c r="G813" t="s">
        <v>126</v>
      </c>
      <c r="H813" t="s">
        <v>718</v>
      </c>
      <c r="I813" t="s">
        <v>35</v>
      </c>
      <c r="J813" t="s">
        <v>159</v>
      </c>
      <c r="K813" t="s">
        <v>36</v>
      </c>
      <c r="L813" t="s">
        <v>37</v>
      </c>
      <c r="M813" t="s">
        <v>19</v>
      </c>
      <c r="N813">
        <v>1</v>
      </c>
      <c r="O813">
        <v>319</v>
      </c>
      <c r="P813">
        <v>599</v>
      </c>
      <c r="Q813">
        <v>15</v>
      </c>
      <c r="R813">
        <v>100</v>
      </c>
      <c r="S813">
        <v>499</v>
      </c>
      <c r="T813">
        <v>180</v>
      </c>
      <c r="U813">
        <v>36.07</v>
      </c>
      <c r="V813" t="s">
        <v>33</v>
      </c>
    </row>
    <row r="814" spans="1:22" x14ac:dyDescent="0.35">
      <c r="A814" t="s">
        <v>4129</v>
      </c>
      <c r="B814" t="s">
        <v>83</v>
      </c>
      <c r="C814" t="s">
        <v>27</v>
      </c>
      <c r="D814" t="s">
        <v>4128</v>
      </c>
      <c r="E814" t="s">
        <v>4127</v>
      </c>
      <c r="F814" s="5">
        <v>45479</v>
      </c>
      <c r="G814" t="s">
        <v>126</v>
      </c>
      <c r="H814" t="s">
        <v>185</v>
      </c>
      <c r="I814" t="s">
        <v>17</v>
      </c>
      <c r="J814" t="s">
        <v>253</v>
      </c>
      <c r="K814" t="s">
        <v>72</v>
      </c>
      <c r="L814" t="s">
        <v>19</v>
      </c>
      <c r="M814" t="s">
        <v>19</v>
      </c>
      <c r="N814">
        <v>5</v>
      </c>
      <c r="O814">
        <v>285</v>
      </c>
      <c r="P814">
        <v>399</v>
      </c>
      <c r="Q814">
        <v>0</v>
      </c>
      <c r="R814">
        <v>0</v>
      </c>
      <c r="S814">
        <v>1995</v>
      </c>
      <c r="T814">
        <v>570</v>
      </c>
      <c r="U814">
        <v>28.57</v>
      </c>
      <c r="V814" t="s">
        <v>21</v>
      </c>
    </row>
    <row r="815" spans="1:22" x14ac:dyDescent="0.35">
      <c r="A815" t="s">
        <v>4126</v>
      </c>
      <c r="B815" t="s">
        <v>59</v>
      </c>
      <c r="C815" t="s">
        <v>27</v>
      </c>
      <c r="D815" t="s">
        <v>4125</v>
      </c>
      <c r="E815" t="s">
        <v>4124</v>
      </c>
      <c r="F815" s="5">
        <v>45508</v>
      </c>
      <c r="G815" t="s">
        <v>126</v>
      </c>
      <c r="H815" t="s">
        <v>691</v>
      </c>
      <c r="I815" t="s">
        <v>23</v>
      </c>
      <c r="J815" t="s">
        <v>164</v>
      </c>
      <c r="K815" t="s">
        <v>24</v>
      </c>
      <c r="L815" t="s">
        <v>25</v>
      </c>
      <c r="M815" t="s">
        <v>19</v>
      </c>
      <c r="N815">
        <v>3</v>
      </c>
      <c r="O815">
        <v>796</v>
      </c>
      <c r="P815">
        <v>1199</v>
      </c>
      <c r="Q815">
        <v>10</v>
      </c>
      <c r="R815">
        <v>600</v>
      </c>
      <c r="S815">
        <v>2997</v>
      </c>
      <c r="T815">
        <v>609</v>
      </c>
      <c r="U815">
        <v>20.32</v>
      </c>
      <c r="V815" t="s">
        <v>21</v>
      </c>
    </row>
    <row r="816" spans="1:22" x14ac:dyDescent="0.35">
      <c r="A816" t="s">
        <v>4123</v>
      </c>
      <c r="B816" t="s">
        <v>40</v>
      </c>
      <c r="C816" t="s">
        <v>27</v>
      </c>
      <c r="D816" t="s">
        <v>4122</v>
      </c>
      <c r="E816" t="s">
        <v>4121</v>
      </c>
      <c r="F816" s="5">
        <v>45456</v>
      </c>
      <c r="G816" t="s">
        <v>126</v>
      </c>
      <c r="H816" t="s">
        <v>1634</v>
      </c>
      <c r="I816" t="s">
        <v>35</v>
      </c>
      <c r="J816" t="s">
        <v>214</v>
      </c>
      <c r="K816" t="s">
        <v>87</v>
      </c>
      <c r="L816" t="s">
        <v>25</v>
      </c>
      <c r="M816" t="s">
        <v>20</v>
      </c>
      <c r="N816">
        <v>1</v>
      </c>
      <c r="O816">
        <v>1275</v>
      </c>
      <c r="P816">
        <v>2299</v>
      </c>
      <c r="Q816">
        <v>10</v>
      </c>
      <c r="R816">
        <v>300</v>
      </c>
      <c r="S816">
        <v>1999</v>
      </c>
      <c r="T816">
        <v>724</v>
      </c>
      <c r="U816">
        <v>36.22</v>
      </c>
      <c r="V816" t="s">
        <v>21</v>
      </c>
    </row>
    <row r="817" spans="1:22" x14ac:dyDescent="0.35">
      <c r="A817" t="s">
        <v>4120</v>
      </c>
      <c r="B817" t="s">
        <v>34</v>
      </c>
      <c r="C817" t="s">
        <v>27</v>
      </c>
      <c r="D817" t="s">
        <v>4119</v>
      </c>
      <c r="E817" t="s">
        <v>4118</v>
      </c>
      <c r="F817" s="5">
        <v>45484</v>
      </c>
      <c r="G817" t="s">
        <v>126</v>
      </c>
      <c r="H817" t="s">
        <v>2835</v>
      </c>
      <c r="I817" t="s">
        <v>23</v>
      </c>
      <c r="J817" t="s">
        <v>164</v>
      </c>
      <c r="K817" t="s">
        <v>24</v>
      </c>
      <c r="L817" t="s">
        <v>37</v>
      </c>
      <c r="M817" t="s">
        <v>20</v>
      </c>
      <c r="N817">
        <v>1</v>
      </c>
      <c r="O817">
        <v>484</v>
      </c>
      <c r="P817">
        <v>899</v>
      </c>
      <c r="Q817">
        <v>10</v>
      </c>
      <c r="R817">
        <v>100</v>
      </c>
      <c r="S817">
        <v>799</v>
      </c>
      <c r="T817">
        <v>315</v>
      </c>
      <c r="U817">
        <v>39.42</v>
      </c>
      <c r="V817" t="s">
        <v>21</v>
      </c>
    </row>
    <row r="818" spans="1:22" x14ac:dyDescent="0.35">
      <c r="A818" t="s">
        <v>4117</v>
      </c>
      <c r="B818" t="s">
        <v>84</v>
      </c>
      <c r="C818" t="s">
        <v>27</v>
      </c>
      <c r="D818" t="s">
        <v>4116</v>
      </c>
      <c r="E818" t="s">
        <v>4115</v>
      </c>
      <c r="F818" s="5">
        <v>45522</v>
      </c>
      <c r="G818" t="s">
        <v>126</v>
      </c>
      <c r="H818" t="s">
        <v>856</v>
      </c>
      <c r="I818" t="s">
        <v>31</v>
      </c>
      <c r="J818" t="s">
        <v>76</v>
      </c>
      <c r="K818" t="s">
        <v>76</v>
      </c>
      <c r="L818" t="s">
        <v>19</v>
      </c>
      <c r="M818" t="s">
        <v>19</v>
      </c>
      <c r="N818">
        <v>1</v>
      </c>
      <c r="O818">
        <v>1038</v>
      </c>
      <c r="P818">
        <v>1499</v>
      </c>
      <c r="Q818">
        <v>0</v>
      </c>
      <c r="R818">
        <v>0</v>
      </c>
      <c r="S818">
        <v>1499</v>
      </c>
      <c r="T818">
        <v>461</v>
      </c>
      <c r="U818">
        <v>30.75</v>
      </c>
      <c r="V818" t="s">
        <v>21</v>
      </c>
    </row>
    <row r="819" spans="1:22" x14ac:dyDescent="0.35">
      <c r="A819" t="s">
        <v>4114</v>
      </c>
      <c r="B819" t="s">
        <v>65</v>
      </c>
      <c r="C819" t="s">
        <v>16</v>
      </c>
      <c r="D819" t="s">
        <v>4113</v>
      </c>
      <c r="E819" t="s">
        <v>4112</v>
      </c>
      <c r="F819" s="5">
        <v>45450</v>
      </c>
      <c r="G819" t="s">
        <v>126</v>
      </c>
      <c r="H819" t="s">
        <v>595</v>
      </c>
      <c r="I819" t="s">
        <v>17</v>
      </c>
      <c r="J819" t="s">
        <v>48</v>
      </c>
      <c r="K819" t="s">
        <v>48</v>
      </c>
      <c r="L819" t="s">
        <v>19</v>
      </c>
      <c r="M819" t="s">
        <v>20</v>
      </c>
      <c r="N819">
        <v>2</v>
      </c>
      <c r="O819">
        <v>246</v>
      </c>
      <c r="P819">
        <v>399</v>
      </c>
      <c r="Q819">
        <v>0</v>
      </c>
      <c r="R819">
        <v>0</v>
      </c>
      <c r="S819">
        <v>798</v>
      </c>
      <c r="T819">
        <v>306</v>
      </c>
      <c r="U819">
        <v>38.35</v>
      </c>
      <c r="V819" t="s">
        <v>21</v>
      </c>
    </row>
    <row r="820" spans="1:22" x14ac:dyDescent="0.35">
      <c r="A820" t="s">
        <v>4111</v>
      </c>
      <c r="B820" t="s">
        <v>102</v>
      </c>
      <c r="C820" t="s">
        <v>27</v>
      </c>
      <c r="D820" t="s">
        <v>4110</v>
      </c>
      <c r="E820" t="s">
        <v>4109</v>
      </c>
      <c r="F820" s="5">
        <v>45600</v>
      </c>
      <c r="G820" t="s">
        <v>126</v>
      </c>
      <c r="H820" t="s">
        <v>1202</v>
      </c>
      <c r="I820" t="s">
        <v>35</v>
      </c>
      <c r="J820" t="s">
        <v>41</v>
      </c>
      <c r="K820" t="s">
        <v>41</v>
      </c>
      <c r="L820" t="s">
        <v>19</v>
      </c>
      <c r="M820" t="s">
        <v>19</v>
      </c>
      <c r="N820">
        <v>2</v>
      </c>
      <c r="O820">
        <v>408</v>
      </c>
      <c r="P820">
        <v>599</v>
      </c>
      <c r="Q820">
        <v>10</v>
      </c>
      <c r="R820">
        <v>200</v>
      </c>
      <c r="S820">
        <v>998</v>
      </c>
      <c r="T820">
        <v>182</v>
      </c>
      <c r="U820">
        <v>18.239999999999998</v>
      </c>
      <c r="V820" t="s">
        <v>33</v>
      </c>
    </row>
    <row r="821" spans="1:22" x14ac:dyDescent="0.35">
      <c r="A821" t="s">
        <v>4108</v>
      </c>
      <c r="B821" t="s">
        <v>109</v>
      </c>
      <c r="C821" t="s">
        <v>16</v>
      </c>
      <c r="D821" t="s">
        <v>4107</v>
      </c>
      <c r="E821" t="s">
        <v>4106</v>
      </c>
      <c r="F821" s="5">
        <v>45585</v>
      </c>
      <c r="G821" t="s">
        <v>126</v>
      </c>
      <c r="H821" t="s">
        <v>1948</v>
      </c>
      <c r="I821" t="s">
        <v>28</v>
      </c>
      <c r="J821" t="s">
        <v>45</v>
      </c>
      <c r="K821" t="s">
        <v>45</v>
      </c>
      <c r="L821" t="s">
        <v>19</v>
      </c>
      <c r="M821" t="s">
        <v>19</v>
      </c>
      <c r="N821">
        <v>1</v>
      </c>
      <c r="O821">
        <v>669</v>
      </c>
      <c r="P821">
        <v>1299</v>
      </c>
      <c r="Q821">
        <v>20</v>
      </c>
      <c r="R821">
        <v>300</v>
      </c>
      <c r="S821">
        <v>999</v>
      </c>
      <c r="T821">
        <v>330</v>
      </c>
      <c r="U821">
        <v>33.03</v>
      </c>
      <c r="V821" t="s">
        <v>21</v>
      </c>
    </row>
    <row r="822" spans="1:22" x14ac:dyDescent="0.35">
      <c r="A822" t="s">
        <v>4105</v>
      </c>
      <c r="B822" t="s">
        <v>47</v>
      </c>
      <c r="C822" t="s">
        <v>16</v>
      </c>
      <c r="D822" t="s">
        <v>4104</v>
      </c>
      <c r="E822" t="s">
        <v>4103</v>
      </c>
      <c r="F822" s="5">
        <v>45573</v>
      </c>
      <c r="G822" t="s">
        <v>126</v>
      </c>
      <c r="H822" t="s">
        <v>4102</v>
      </c>
      <c r="I822" t="s">
        <v>23</v>
      </c>
      <c r="J822" t="s">
        <v>164</v>
      </c>
      <c r="K822" t="s">
        <v>24</v>
      </c>
      <c r="L822" t="s">
        <v>25</v>
      </c>
      <c r="M822" t="s">
        <v>20</v>
      </c>
      <c r="N822">
        <v>1</v>
      </c>
      <c r="O822">
        <v>1245</v>
      </c>
      <c r="P822">
        <v>2199</v>
      </c>
      <c r="Q822">
        <v>5</v>
      </c>
      <c r="R822">
        <v>200</v>
      </c>
      <c r="S822">
        <v>1999</v>
      </c>
      <c r="T822">
        <v>754</v>
      </c>
      <c r="U822">
        <v>37.72</v>
      </c>
      <c r="V822" t="s">
        <v>21</v>
      </c>
    </row>
    <row r="823" spans="1:22" x14ac:dyDescent="0.35">
      <c r="A823" t="s">
        <v>4101</v>
      </c>
      <c r="B823" t="s">
        <v>83</v>
      </c>
      <c r="C823" t="s">
        <v>27</v>
      </c>
      <c r="D823" t="s">
        <v>4100</v>
      </c>
      <c r="E823" t="s">
        <v>4099</v>
      </c>
      <c r="F823" s="5">
        <v>45578</v>
      </c>
      <c r="G823" t="s">
        <v>126</v>
      </c>
      <c r="H823" t="s">
        <v>3404</v>
      </c>
      <c r="I823" t="s">
        <v>23</v>
      </c>
      <c r="J823" t="s">
        <v>164</v>
      </c>
      <c r="K823" t="s">
        <v>24</v>
      </c>
      <c r="L823" t="s">
        <v>25</v>
      </c>
      <c r="M823" t="s">
        <v>20</v>
      </c>
      <c r="N823">
        <v>4</v>
      </c>
      <c r="O823">
        <v>606</v>
      </c>
      <c r="P823">
        <v>999</v>
      </c>
      <c r="Q823">
        <v>20</v>
      </c>
      <c r="R823">
        <v>800</v>
      </c>
      <c r="S823">
        <v>3196</v>
      </c>
      <c r="T823">
        <v>772</v>
      </c>
      <c r="U823">
        <v>24.16</v>
      </c>
      <c r="V823" t="s">
        <v>33</v>
      </c>
    </row>
    <row r="824" spans="1:22" x14ac:dyDescent="0.35">
      <c r="A824" t="s">
        <v>4098</v>
      </c>
      <c r="B824" t="s">
        <v>81</v>
      </c>
      <c r="C824" t="s">
        <v>27</v>
      </c>
      <c r="D824" t="s">
        <v>4097</v>
      </c>
      <c r="E824" t="s">
        <v>2223</v>
      </c>
      <c r="F824" s="5">
        <v>45499</v>
      </c>
      <c r="G824" t="s">
        <v>126</v>
      </c>
      <c r="H824" t="s">
        <v>972</v>
      </c>
      <c r="I824" t="s">
        <v>31</v>
      </c>
      <c r="J824" t="s">
        <v>76</v>
      </c>
      <c r="K824" t="s">
        <v>76</v>
      </c>
      <c r="L824" t="s">
        <v>37</v>
      </c>
      <c r="M824" t="s">
        <v>19</v>
      </c>
      <c r="N824">
        <v>3</v>
      </c>
      <c r="O824">
        <v>1121</v>
      </c>
      <c r="P824">
        <v>1499</v>
      </c>
      <c r="Q824">
        <v>0</v>
      </c>
      <c r="R824">
        <v>0</v>
      </c>
      <c r="S824">
        <v>4497</v>
      </c>
      <c r="T824">
        <v>1134</v>
      </c>
      <c r="U824">
        <v>25.22</v>
      </c>
      <c r="V824" t="s">
        <v>21</v>
      </c>
    </row>
    <row r="825" spans="1:22" x14ac:dyDescent="0.35">
      <c r="A825" t="s">
        <v>4096</v>
      </c>
      <c r="B825" t="s">
        <v>104</v>
      </c>
      <c r="C825" t="s">
        <v>27</v>
      </c>
      <c r="D825" t="s">
        <v>4095</v>
      </c>
      <c r="E825" t="s">
        <v>4094</v>
      </c>
      <c r="F825" s="5">
        <v>45529</v>
      </c>
      <c r="G825" t="s">
        <v>126</v>
      </c>
      <c r="H825" t="s">
        <v>4093</v>
      </c>
      <c r="I825" t="s">
        <v>28</v>
      </c>
      <c r="J825" t="s">
        <v>201</v>
      </c>
      <c r="K825" t="s">
        <v>29</v>
      </c>
      <c r="L825" t="s">
        <v>19</v>
      </c>
      <c r="M825" t="s">
        <v>20</v>
      </c>
      <c r="N825">
        <v>3</v>
      </c>
      <c r="O825">
        <v>439</v>
      </c>
      <c r="P825">
        <v>799</v>
      </c>
      <c r="Q825">
        <v>15</v>
      </c>
      <c r="R825">
        <v>600</v>
      </c>
      <c r="S825">
        <v>1797</v>
      </c>
      <c r="T825">
        <v>480</v>
      </c>
      <c r="U825">
        <v>26.71</v>
      </c>
      <c r="V825" t="s">
        <v>21</v>
      </c>
    </row>
    <row r="826" spans="1:22" x14ac:dyDescent="0.35">
      <c r="A826" t="s">
        <v>4092</v>
      </c>
      <c r="B826" t="s">
        <v>30</v>
      </c>
      <c r="C826" t="s">
        <v>16</v>
      </c>
      <c r="D826" t="s">
        <v>4091</v>
      </c>
      <c r="E826" t="s">
        <v>4090</v>
      </c>
      <c r="F826" s="5">
        <v>45447</v>
      </c>
      <c r="G826" t="s">
        <v>126</v>
      </c>
      <c r="H826" t="s">
        <v>2740</v>
      </c>
      <c r="I826" t="s">
        <v>28</v>
      </c>
      <c r="J826" t="s">
        <v>201</v>
      </c>
      <c r="K826" t="s">
        <v>29</v>
      </c>
      <c r="L826" t="s">
        <v>19</v>
      </c>
      <c r="M826" t="s">
        <v>20</v>
      </c>
      <c r="N826">
        <v>1</v>
      </c>
      <c r="O826">
        <v>382</v>
      </c>
      <c r="P826">
        <v>599</v>
      </c>
      <c r="Q826">
        <v>15</v>
      </c>
      <c r="R826">
        <v>100</v>
      </c>
      <c r="S826">
        <v>499</v>
      </c>
      <c r="T826">
        <v>117</v>
      </c>
      <c r="U826">
        <v>23.45</v>
      </c>
      <c r="V826" t="s">
        <v>33</v>
      </c>
    </row>
    <row r="827" spans="1:22" x14ac:dyDescent="0.35">
      <c r="A827" t="s">
        <v>4089</v>
      </c>
      <c r="B827" t="s">
        <v>74</v>
      </c>
      <c r="C827" t="s">
        <v>16</v>
      </c>
      <c r="D827" t="s">
        <v>4088</v>
      </c>
      <c r="E827" t="s">
        <v>4087</v>
      </c>
      <c r="F827" s="5">
        <v>45458</v>
      </c>
      <c r="G827" t="s">
        <v>126</v>
      </c>
      <c r="H827" t="s">
        <v>2614</v>
      </c>
      <c r="I827" t="s">
        <v>17</v>
      </c>
      <c r="J827" t="s">
        <v>55</v>
      </c>
      <c r="K827" t="s">
        <v>55</v>
      </c>
      <c r="L827" t="s">
        <v>37</v>
      </c>
      <c r="M827" t="s">
        <v>20</v>
      </c>
      <c r="N827">
        <v>4</v>
      </c>
      <c r="O827">
        <v>164</v>
      </c>
      <c r="P827">
        <v>299</v>
      </c>
      <c r="Q827">
        <v>0</v>
      </c>
      <c r="R827">
        <v>0</v>
      </c>
      <c r="S827">
        <v>1196</v>
      </c>
      <c r="T827">
        <v>540</v>
      </c>
      <c r="U827">
        <v>45.15</v>
      </c>
      <c r="V827" t="s">
        <v>33</v>
      </c>
    </row>
    <row r="828" spans="1:22" x14ac:dyDescent="0.35">
      <c r="A828" t="s">
        <v>4086</v>
      </c>
      <c r="B828" t="s">
        <v>54</v>
      </c>
      <c r="C828" t="s">
        <v>27</v>
      </c>
      <c r="D828" t="s">
        <v>4085</v>
      </c>
      <c r="E828" t="s">
        <v>4084</v>
      </c>
      <c r="F828" s="5">
        <v>45589</v>
      </c>
      <c r="G828" t="s">
        <v>126</v>
      </c>
      <c r="H828" t="s">
        <v>2168</v>
      </c>
      <c r="I828" t="s">
        <v>23</v>
      </c>
      <c r="J828" t="s">
        <v>164</v>
      </c>
      <c r="K828" t="s">
        <v>24</v>
      </c>
      <c r="L828" t="s">
        <v>19</v>
      </c>
      <c r="M828" t="s">
        <v>19</v>
      </c>
      <c r="N828">
        <v>1</v>
      </c>
      <c r="O828">
        <v>1443</v>
      </c>
      <c r="P828">
        <v>2399</v>
      </c>
      <c r="Q828">
        <v>15</v>
      </c>
      <c r="R828">
        <v>400</v>
      </c>
      <c r="S828">
        <v>1999</v>
      </c>
      <c r="T828">
        <v>556</v>
      </c>
      <c r="U828">
        <v>27.81</v>
      </c>
      <c r="V828" t="s">
        <v>21</v>
      </c>
    </row>
    <row r="829" spans="1:22" x14ac:dyDescent="0.35">
      <c r="A829" t="s">
        <v>4083</v>
      </c>
      <c r="B829" t="s">
        <v>98</v>
      </c>
      <c r="C829" t="s">
        <v>16</v>
      </c>
      <c r="D829" t="s">
        <v>4082</v>
      </c>
      <c r="E829" t="s">
        <v>4081</v>
      </c>
      <c r="F829" s="5">
        <v>45628</v>
      </c>
      <c r="G829" t="s">
        <v>126</v>
      </c>
      <c r="H829" t="s">
        <v>3775</v>
      </c>
      <c r="I829" t="s">
        <v>28</v>
      </c>
      <c r="J829" t="s">
        <v>201</v>
      </c>
      <c r="K829" t="s">
        <v>29</v>
      </c>
      <c r="L829" t="s">
        <v>37</v>
      </c>
      <c r="M829" t="s">
        <v>20</v>
      </c>
      <c r="N829">
        <v>4</v>
      </c>
      <c r="O829">
        <v>378</v>
      </c>
      <c r="P829">
        <v>699</v>
      </c>
      <c r="Q829">
        <v>20</v>
      </c>
      <c r="R829">
        <v>800</v>
      </c>
      <c r="S829">
        <v>1996</v>
      </c>
      <c r="T829">
        <v>484</v>
      </c>
      <c r="U829">
        <v>24.25</v>
      </c>
      <c r="V829" t="s">
        <v>33</v>
      </c>
    </row>
    <row r="830" spans="1:22" x14ac:dyDescent="0.35">
      <c r="A830" t="s">
        <v>4080</v>
      </c>
      <c r="B830" t="s">
        <v>22</v>
      </c>
      <c r="C830" t="s">
        <v>16</v>
      </c>
      <c r="D830" t="s">
        <v>4079</v>
      </c>
      <c r="E830" t="s">
        <v>4078</v>
      </c>
      <c r="F830" s="5">
        <v>45598</v>
      </c>
      <c r="G830" t="s">
        <v>126</v>
      </c>
      <c r="H830" t="s">
        <v>442</v>
      </c>
      <c r="I830" t="s">
        <v>28</v>
      </c>
      <c r="J830" t="s">
        <v>45</v>
      </c>
      <c r="K830" t="s">
        <v>45</v>
      </c>
      <c r="L830" t="s">
        <v>25</v>
      </c>
      <c r="M830" t="s">
        <v>19</v>
      </c>
      <c r="N830">
        <v>1</v>
      </c>
      <c r="O830">
        <v>1121</v>
      </c>
      <c r="P830">
        <v>1699</v>
      </c>
      <c r="Q830">
        <v>10</v>
      </c>
      <c r="R830">
        <v>200</v>
      </c>
      <c r="S830">
        <v>1499</v>
      </c>
      <c r="T830">
        <v>378</v>
      </c>
      <c r="U830">
        <v>25.22</v>
      </c>
      <c r="V830" t="s">
        <v>21</v>
      </c>
    </row>
    <row r="831" spans="1:22" x14ac:dyDescent="0.35">
      <c r="A831" t="s">
        <v>4077</v>
      </c>
      <c r="B831" t="s">
        <v>47</v>
      </c>
      <c r="C831" t="s">
        <v>16</v>
      </c>
      <c r="D831" t="s">
        <v>4076</v>
      </c>
      <c r="E831" t="s">
        <v>4075</v>
      </c>
      <c r="F831" s="5">
        <v>45619</v>
      </c>
      <c r="G831" t="s">
        <v>126</v>
      </c>
      <c r="H831" t="s">
        <v>1866</v>
      </c>
      <c r="I831" t="s">
        <v>17</v>
      </c>
      <c r="J831" t="s">
        <v>48</v>
      </c>
      <c r="K831" t="s">
        <v>48</v>
      </c>
      <c r="L831" t="s">
        <v>25</v>
      </c>
      <c r="M831" t="s">
        <v>19</v>
      </c>
      <c r="N831">
        <v>2</v>
      </c>
      <c r="O831">
        <v>296</v>
      </c>
      <c r="P831">
        <v>399</v>
      </c>
      <c r="Q831">
        <v>0</v>
      </c>
      <c r="R831">
        <v>0</v>
      </c>
      <c r="S831">
        <v>798</v>
      </c>
      <c r="T831">
        <v>206</v>
      </c>
      <c r="U831">
        <v>25.81</v>
      </c>
      <c r="V831" t="s">
        <v>21</v>
      </c>
    </row>
    <row r="832" spans="1:22" x14ac:dyDescent="0.35">
      <c r="A832" t="s">
        <v>4074</v>
      </c>
      <c r="B832" t="s">
        <v>86</v>
      </c>
      <c r="C832" t="s">
        <v>27</v>
      </c>
      <c r="D832" t="s">
        <v>4073</v>
      </c>
      <c r="E832" t="s">
        <v>2050</v>
      </c>
      <c r="F832" s="5">
        <v>45507</v>
      </c>
      <c r="G832" t="s">
        <v>126</v>
      </c>
      <c r="H832" t="s">
        <v>4072</v>
      </c>
      <c r="I832" t="s">
        <v>35</v>
      </c>
      <c r="J832" t="s">
        <v>159</v>
      </c>
      <c r="K832" t="s">
        <v>100</v>
      </c>
      <c r="L832" t="s">
        <v>25</v>
      </c>
      <c r="M832" t="s">
        <v>20</v>
      </c>
      <c r="N832">
        <v>1</v>
      </c>
      <c r="O832">
        <v>804</v>
      </c>
      <c r="P832">
        <v>1199</v>
      </c>
      <c r="Q832">
        <v>15</v>
      </c>
      <c r="R832">
        <v>200</v>
      </c>
      <c r="S832">
        <v>999</v>
      </c>
      <c r="T832">
        <v>195</v>
      </c>
      <c r="U832">
        <v>19.52</v>
      </c>
      <c r="V832" t="s">
        <v>21</v>
      </c>
    </row>
    <row r="833" spans="1:22" x14ac:dyDescent="0.35">
      <c r="A833" t="s">
        <v>4071</v>
      </c>
      <c r="B833" t="s">
        <v>75</v>
      </c>
      <c r="C833" t="s">
        <v>27</v>
      </c>
      <c r="D833" t="s">
        <v>4070</v>
      </c>
      <c r="E833" t="s">
        <v>3242</v>
      </c>
      <c r="F833" s="5">
        <v>45646</v>
      </c>
      <c r="G833" t="s">
        <v>126</v>
      </c>
      <c r="H833" t="s">
        <v>3238</v>
      </c>
      <c r="I833" t="s">
        <v>17</v>
      </c>
      <c r="J833" t="s">
        <v>253</v>
      </c>
      <c r="K833" t="s">
        <v>72</v>
      </c>
      <c r="L833" t="s">
        <v>37</v>
      </c>
      <c r="M833" t="s">
        <v>20</v>
      </c>
      <c r="N833">
        <v>1</v>
      </c>
      <c r="O833">
        <v>292</v>
      </c>
      <c r="P833">
        <v>499</v>
      </c>
      <c r="Q833">
        <v>0</v>
      </c>
      <c r="R833">
        <v>0</v>
      </c>
      <c r="S833">
        <v>499</v>
      </c>
      <c r="T833">
        <v>207</v>
      </c>
      <c r="U833">
        <v>41.48</v>
      </c>
      <c r="V833" t="s">
        <v>21</v>
      </c>
    </row>
    <row r="834" spans="1:22" x14ac:dyDescent="0.35">
      <c r="A834" t="s">
        <v>4069</v>
      </c>
      <c r="B834" t="s">
        <v>26</v>
      </c>
      <c r="C834" t="s">
        <v>27</v>
      </c>
      <c r="D834" t="s">
        <v>4068</v>
      </c>
      <c r="E834" t="s">
        <v>4067</v>
      </c>
      <c r="F834" s="5">
        <v>45458</v>
      </c>
      <c r="G834" t="s">
        <v>126</v>
      </c>
      <c r="H834" t="s">
        <v>1002</v>
      </c>
      <c r="I834" t="s">
        <v>23</v>
      </c>
      <c r="J834" t="s">
        <v>142</v>
      </c>
      <c r="K834" t="s">
        <v>43</v>
      </c>
      <c r="L834" t="s">
        <v>37</v>
      </c>
      <c r="M834" t="s">
        <v>20</v>
      </c>
      <c r="N834">
        <v>5</v>
      </c>
      <c r="O834">
        <v>2647</v>
      </c>
      <c r="P834">
        <v>4399</v>
      </c>
      <c r="Q834">
        <v>20</v>
      </c>
      <c r="R834">
        <v>4500</v>
      </c>
      <c r="S834">
        <v>17495</v>
      </c>
      <c r="T834">
        <v>4260</v>
      </c>
      <c r="U834">
        <v>24.35</v>
      </c>
      <c r="V834" t="s">
        <v>21</v>
      </c>
    </row>
    <row r="835" spans="1:22" x14ac:dyDescent="0.35">
      <c r="A835" t="s">
        <v>4066</v>
      </c>
      <c r="B835" t="s">
        <v>66</v>
      </c>
      <c r="C835" t="s">
        <v>27</v>
      </c>
      <c r="D835" t="s">
        <v>4065</v>
      </c>
      <c r="E835" t="s">
        <v>4064</v>
      </c>
      <c r="F835" s="5">
        <v>45644</v>
      </c>
      <c r="G835" t="s">
        <v>126</v>
      </c>
      <c r="H835" t="s">
        <v>4063</v>
      </c>
      <c r="I835" t="s">
        <v>28</v>
      </c>
      <c r="J835" t="s">
        <v>45</v>
      </c>
      <c r="K835" t="s">
        <v>45</v>
      </c>
      <c r="L835" t="s">
        <v>37</v>
      </c>
      <c r="M835" t="s">
        <v>20</v>
      </c>
      <c r="N835">
        <v>1</v>
      </c>
      <c r="O835">
        <v>1173</v>
      </c>
      <c r="P835">
        <v>2299</v>
      </c>
      <c r="Q835">
        <v>20</v>
      </c>
      <c r="R835">
        <v>500</v>
      </c>
      <c r="S835">
        <v>1799</v>
      </c>
      <c r="T835">
        <v>626</v>
      </c>
      <c r="U835">
        <v>34.799999999999997</v>
      </c>
      <c r="V835" t="s">
        <v>21</v>
      </c>
    </row>
    <row r="836" spans="1:22" x14ac:dyDescent="0.35">
      <c r="A836" t="s">
        <v>4062</v>
      </c>
      <c r="B836" t="s">
        <v>60</v>
      </c>
      <c r="C836" t="s">
        <v>27</v>
      </c>
      <c r="D836" t="s">
        <v>4061</v>
      </c>
      <c r="E836" t="s">
        <v>4060</v>
      </c>
      <c r="F836" s="5">
        <v>45636</v>
      </c>
      <c r="G836" t="s">
        <v>126</v>
      </c>
      <c r="H836" t="s">
        <v>3492</v>
      </c>
      <c r="I836" t="s">
        <v>35</v>
      </c>
      <c r="J836" t="s">
        <v>244</v>
      </c>
      <c r="K836" t="s">
        <v>58</v>
      </c>
      <c r="L836" t="s">
        <v>25</v>
      </c>
      <c r="M836" t="s">
        <v>20</v>
      </c>
      <c r="N836">
        <v>1</v>
      </c>
      <c r="O836">
        <v>1129</v>
      </c>
      <c r="P836">
        <v>1699</v>
      </c>
      <c r="Q836">
        <v>10</v>
      </c>
      <c r="R836">
        <v>200</v>
      </c>
      <c r="S836">
        <v>1499</v>
      </c>
      <c r="T836">
        <v>370</v>
      </c>
      <c r="U836">
        <v>24.68</v>
      </c>
      <c r="V836" t="s">
        <v>33</v>
      </c>
    </row>
    <row r="837" spans="1:22" x14ac:dyDescent="0.35">
      <c r="A837" t="s">
        <v>4059</v>
      </c>
      <c r="B837" t="s">
        <v>94</v>
      </c>
      <c r="C837" t="s">
        <v>16</v>
      </c>
      <c r="D837" t="s">
        <v>4058</v>
      </c>
      <c r="E837" t="s">
        <v>4057</v>
      </c>
      <c r="F837" s="5">
        <v>45495</v>
      </c>
      <c r="G837" t="s">
        <v>126</v>
      </c>
      <c r="H837" t="s">
        <v>4056</v>
      </c>
      <c r="I837" t="s">
        <v>23</v>
      </c>
      <c r="J837" t="s">
        <v>164</v>
      </c>
      <c r="K837" t="s">
        <v>24</v>
      </c>
      <c r="L837" t="s">
        <v>25</v>
      </c>
      <c r="M837" t="s">
        <v>20</v>
      </c>
      <c r="N837">
        <v>2</v>
      </c>
      <c r="O837">
        <v>1036</v>
      </c>
      <c r="P837">
        <v>1399</v>
      </c>
      <c r="Q837">
        <v>10</v>
      </c>
      <c r="R837">
        <v>400</v>
      </c>
      <c r="S837">
        <v>2398</v>
      </c>
      <c r="T837">
        <v>326</v>
      </c>
      <c r="U837">
        <v>13.59</v>
      </c>
      <c r="V837" t="s">
        <v>21</v>
      </c>
    </row>
    <row r="838" spans="1:22" x14ac:dyDescent="0.35">
      <c r="A838" t="s">
        <v>4055</v>
      </c>
      <c r="B838" t="s">
        <v>26</v>
      </c>
      <c r="C838" t="s">
        <v>27</v>
      </c>
      <c r="D838" t="s">
        <v>4054</v>
      </c>
      <c r="E838" t="s">
        <v>4053</v>
      </c>
      <c r="F838" s="5">
        <v>45491</v>
      </c>
      <c r="G838" t="s">
        <v>126</v>
      </c>
      <c r="H838" t="s">
        <v>2043</v>
      </c>
      <c r="I838" t="s">
        <v>31</v>
      </c>
      <c r="J838" t="s">
        <v>76</v>
      </c>
      <c r="K838" t="s">
        <v>76</v>
      </c>
      <c r="L838" t="s">
        <v>19</v>
      </c>
      <c r="M838" t="s">
        <v>20</v>
      </c>
      <c r="N838">
        <v>1</v>
      </c>
      <c r="O838">
        <v>990</v>
      </c>
      <c r="P838">
        <v>1499</v>
      </c>
      <c r="Q838">
        <v>0</v>
      </c>
      <c r="R838">
        <v>0</v>
      </c>
      <c r="S838">
        <v>1499</v>
      </c>
      <c r="T838">
        <v>509</v>
      </c>
      <c r="U838">
        <v>33.96</v>
      </c>
      <c r="V838" t="s">
        <v>21</v>
      </c>
    </row>
    <row r="839" spans="1:22" x14ac:dyDescent="0.35">
      <c r="A839" t="s">
        <v>4052</v>
      </c>
      <c r="B839" t="s">
        <v>53</v>
      </c>
      <c r="C839" t="s">
        <v>27</v>
      </c>
      <c r="D839" t="s">
        <v>4051</v>
      </c>
      <c r="E839" t="s">
        <v>4050</v>
      </c>
      <c r="F839" s="5">
        <v>45483</v>
      </c>
      <c r="G839" t="s">
        <v>126</v>
      </c>
      <c r="H839" t="s">
        <v>3130</v>
      </c>
      <c r="I839" t="s">
        <v>31</v>
      </c>
      <c r="J839" t="s">
        <v>76</v>
      </c>
      <c r="K839" t="s">
        <v>76</v>
      </c>
      <c r="L839" t="s">
        <v>37</v>
      </c>
      <c r="M839" t="s">
        <v>20</v>
      </c>
      <c r="N839">
        <v>3</v>
      </c>
      <c r="O839">
        <v>562</v>
      </c>
      <c r="P839">
        <v>799</v>
      </c>
      <c r="Q839">
        <v>0</v>
      </c>
      <c r="R839">
        <v>0</v>
      </c>
      <c r="S839">
        <v>2397</v>
      </c>
      <c r="T839">
        <v>711</v>
      </c>
      <c r="U839">
        <v>29.66</v>
      </c>
      <c r="V839" t="s">
        <v>21</v>
      </c>
    </row>
    <row r="840" spans="1:22" x14ac:dyDescent="0.35">
      <c r="A840" t="s">
        <v>4049</v>
      </c>
      <c r="B840" t="s">
        <v>99</v>
      </c>
      <c r="C840" t="s">
        <v>27</v>
      </c>
      <c r="D840" t="s">
        <v>4048</v>
      </c>
      <c r="E840" t="s">
        <v>4047</v>
      </c>
      <c r="F840" s="5">
        <v>45502</v>
      </c>
      <c r="G840" t="s">
        <v>126</v>
      </c>
      <c r="H840" t="s">
        <v>4046</v>
      </c>
      <c r="I840" t="s">
        <v>23</v>
      </c>
      <c r="J840" t="s">
        <v>142</v>
      </c>
      <c r="K840" t="s">
        <v>43</v>
      </c>
      <c r="L840" t="s">
        <v>25</v>
      </c>
      <c r="M840" t="s">
        <v>20</v>
      </c>
      <c r="N840">
        <v>4</v>
      </c>
      <c r="O840">
        <v>1807</v>
      </c>
      <c r="P840">
        <v>2599</v>
      </c>
      <c r="Q840">
        <v>15</v>
      </c>
      <c r="R840">
        <v>1600</v>
      </c>
      <c r="S840">
        <v>8796</v>
      </c>
      <c r="T840">
        <v>1568</v>
      </c>
      <c r="U840">
        <v>17.829999999999998</v>
      </c>
      <c r="V840" t="s">
        <v>21</v>
      </c>
    </row>
    <row r="841" spans="1:22" x14ac:dyDescent="0.35">
      <c r="A841" t="s">
        <v>4045</v>
      </c>
      <c r="B841" t="s">
        <v>91</v>
      </c>
      <c r="C841" t="s">
        <v>16</v>
      </c>
      <c r="D841" t="s">
        <v>4044</v>
      </c>
      <c r="E841" t="s">
        <v>4043</v>
      </c>
      <c r="F841" s="5">
        <v>45626</v>
      </c>
      <c r="G841" t="s">
        <v>126</v>
      </c>
      <c r="H841" t="s">
        <v>4042</v>
      </c>
      <c r="I841" t="s">
        <v>28</v>
      </c>
      <c r="J841" t="s">
        <v>201</v>
      </c>
      <c r="K841" t="s">
        <v>29</v>
      </c>
      <c r="L841" t="s">
        <v>25</v>
      </c>
      <c r="M841" t="s">
        <v>19</v>
      </c>
      <c r="N841">
        <v>3</v>
      </c>
      <c r="O841">
        <v>268</v>
      </c>
      <c r="P841">
        <v>499</v>
      </c>
      <c r="Q841">
        <v>10</v>
      </c>
      <c r="R841">
        <v>150</v>
      </c>
      <c r="S841">
        <v>1347</v>
      </c>
      <c r="T841">
        <v>543</v>
      </c>
      <c r="U841">
        <v>40.31</v>
      </c>
      <c r="V841" t="s">
        <v>21</v>
      </c>
    </row>
    <row r="842" spans="1:22" x14ac:dyDescent="0.35">
      <c r="A842" t="s">
        <v>4041</v>
      </c>
      <c r="B842" t="s">
        <v>84</v>
      </c>
      <c r="C842" t="s">
        <v>27</v>
      </c>
      <c r="D842" t="s">
        <v>4040</v>
      </c>
      <c r="E842" t="s">
        <v>4039</v>
      </c>
      <c r="F842" s="5">
        <v>45641</v>
      </c>
      <c r="G842" t="s">
        <v>126</v>
      </c>
      <c r="H842" t="s">
        <v>3147</v>
      </c>
      <c r="I842" t="s">
        <v>23</v>
      </c>
      <c r="J842" t="s">
        <v>142</v>
      </c>
      <c r="K842" t="s">
        <v>43</v>
      </c>
      <c r="L842" t="s">
        <v>25</v>
      </c>
      <c r="M842" t="s">
        <v>19</v>
      </c>
      <c r="N842">
        <v>5</v>
      </c>
      <c r="O842">
        <v>1288</v>
      </c>
      <c r="P842">
        <v>2299</v>
      </c>
      <c r="Q842">
        <v>10</v>
      </c>
      <c r="R842">
        <v>1500</v>
      </c>
      <c r="S842">
        <v>9995</v>
      </c>
      <c r="T842">
        <v>3555</v>
      </c>
      <c r="U842">
        <v>35.57</v>
      </c>
      <c r="V842" t="s">
        <v>21</v>
      </c>
    </row>
    <row r="843" spans="1:22" x14ac:dyDescent="0.35">
      <c r="A843" t="s">
        <v>4038</v>
      </c>
      <c r="B843" t="s">
        <v>78</v>
      </c>
      <c r="C843" t="s">
        <v>16</v>
      </c>
      <c r="D843" t="s">
        <v>4037</v>
      </c>
      <c r="E843" t="s">
        <v>4036</v>
      </c>
      <c r="F843" s="5">
        <v>45527</v>
      </c>
      <c r="G843" t="s">
        <v>126</v>
      </c>
      <c r="H843" t="s">
        <v>571</v>
      </c>
      <c r="I843" t="s">
        <v>31</v>
      </c>
      <c r="J843" t="s">
        <v>32</v>
      </c>
      <c r="K843" t="s">
        <v>32</v>
      </c>
      <c r="L843" t="s">
        <v>19</v>
      </c>
      <c r="M843" t="s">
        <v>19</v>
      </c>
      <c r="N843">
        <v>1</v>
      </c>
      <c r="O843">
        <v>1106</v>
      </c>
      <c r="P843">
        <v>1499</v>
      </c>
      <c r="Q843">
        <v>0</v>
      </c>
      <c r="R843">
        <v>0</v>
      </c>
      <c r="S843">
        <v>1499</v>
      </c>
      <c r="T843">
        <v>393</v>
      </c>
      <c r="U843">
        <v>26.22</v>
      </c>
      <c r="V843" t="s">
        <v>33</v>
      </c>
    </row>
    <row r="844" spans="1:22" x14ac:dyDescent="0.35">
      <c r="A844" t="s">
        <v>4035</v>
      </c>
      <c r="B844" t="s">
        <v>88</v>
      </c>
      <c r="C844" t="s">
        <v>27</v>
      </c>
      <c r="D844" t="s">
        <v>4034</v>
      </c>
      <c r="E844" t="s">
        <v>4033</v>
      </c>
      <c r="F844" s="5">
        <v>45612</v>
      </c>
      <c r="G844" t="s">
        <v>126</v>
      </c>
      <c r="H844" t="s">
        <v>2304</v>
      </c>
      <c r="I844" t="s">
        <v>35</v>
      </c>
      <c r="J844" t="s">
        <v>244</v>
      </c>
      <c r="K844" t="s">
        <v>58</v>
      </c>
      <c r="L844" t="s">
        <v>25</v>
      </c>
      <c r="M844" t="s">
        <v>19</v>
      </c>
      <c r="N844">
        <v>1</v>
      </c>
      <c r="O844">
        <v>1471</v>
      </c>
      <c r="P844">
        <v>2299</v>
      </c>
      <c r="Q844">
        <v>10</v>
      </c>
      <c r="R844">
        <v>300</v>
      </c>
      <c r="S844">
        <v>1999</v>
      </c>
      <c r="T844">
        <v>528</v>
      </c>
      <c r="U844">
        <v>26.41</v>
      </c>
      <c r="V844" t="s">
        <v>21</v>
      </c>
    </row>
    <row r="845" spans="1:22" x14ac:dyDescent="0.35">
      <c r="A845" t="s">
        <v>4032</v>
      </c>
      <c r="B845" t="s">
        <v>26</v>
      </c>
      <c r="C845" t="s">
        <v>27</v>
      </c>
      <c r="D845" t="s">
        <v>4031</v>
      </c>
      <c r="E845" t="s">
        <v>799</v>
      </c>
      <c r="F845" s="5">
        <v>45603</v>
      </c>
      <c r="G845" t="s">
        <v>126</v>
      </c>
      <c r="H845" t="s">
        <v>3632</v>
      </c>
      <c r="I845" t="s">
        <v>28</v>
      </c>
      <c r="J845" t="s">
        <v>201</v>
      </c>
      <c r="K845" t="s">
        <v>29</v>
      </c>
      <c r="L845" t="s">
        <v>19</v>
      </c>
      <c r="M845" t="s">
        <v>20</v>
      </c>
      <c r="N845">
        <v>1</v>
      </c>
      <c r="O845">
        <v>304</v>
      </c>
      <c r="P845">
        <v>499</v>
      </c>
      <c r="Q845">
        <v>10</v>
      </c>
      <c r="R845">
        <v>50</v>
      </c>
      <c r="S845">
        <v>449</v>
      </c>
      <c r="T845">
        <v>145</v>
      </c>
      <c r="U845">
        <v>32.29</v>
      </c>
      <c r="V845" t="s">
        <v>21</v>
      </c>
    </row>
    <row r="846" spans="1:22" x14ac:dyDescent="0.35">
      <c r="A846" t="s">
        <v>4030</v>
      </c>
      <c r="B846" t="s">
        <v>71</v>
      </c>
      <c r="C846" t="s">
        <v>16</v>
      </c>
      <c r="D846" t="s">
        <v>4029</v>
      </c>
      <c r="E846" t="s">
        <v>4028</v>
      </c>
      <c r="F846" s="5">
        <v>45537</v>
      </c>
      <c r="G846" t="s">
        <v>126</v>
      </c>
      <c r="H846" t="s">
        <v>4027</v>
      </c>
      <c r="I846" t="s">
        <v>31</v>
      </c>
      <c r="J846" t="s">
        <v>76</v>
      </c>
      <c r="K846" t="s">
        <v>76</v>
      </c>
      <c r="L846" t="s">
        <v>19</v>
      </c>
      <c r="M846" t="s">
        <v>20</v>
      </c>
      <c r="N846">
        <v>1</v>
      </c>
      <c r="O846">
        <v>423</v>
      </c>
      <c r="P846">
        <v>699</v>
      </c>
      <c r="Q846">
        <v>0</v>
      </c>
      <c r="R846">
        <v>0</v>
      </c>
      <c r="S846">
        <v>699</v>
      </c>
      <c r="T846">
        <v>276</v>
      </c>
      <c r="U846">
        <v>39.479999999999997</v>
      </c>
      <c r="V846" t="s">
        <v>21</v>
      </c>
    </row>
    <row r="847" spans="1:22" x14ac:dyDescent="0.35">
      <c r="A847" t="s">
        <v>4026</v>
      </c>
      <c r="B847" t="s">
        <v>51</v>
      </c>
      <c r="C847" t="s">
        <v>16</v>
      </c>
      <c r="D847" t="s">
        <v>4025</v>
      </c>
      <c r="E847" t="s">
        <v>232</v>
      </c>
      <c r="F847" s="5">
        <v>45505</v>
      </c>
      <c r="G847" t="s">
        <v>126</v>
      </c>
      <c r="H847" t="s">
        <v>2390</v>
      </c>
      <c r="I847" t="s">
        <v>35</v>
      </c>
      <c r="J847" t="s">
        <v>39</v>
      </c>
      <c r="K847" t="s">
        <v>39</v>
      </c>
      <c r="L847" t="s">
        <v>37</v>
      </c>
      <c r="M847" t="s">
        <v>19</v>
      </c>
      <c r="N847">
        <v>3</v>
      </c>
      <c r="O847">
        <v>1122</v>
      </c>
      <c r="P847">
        <v>1499</v>
      </c>
      <c r="Q847">
        <v>10</v>
      </c>
      <c r="R847">
        <v>600</v>
      </c>
      <c r="S847">
        <v>3897</v>
      </c>
      <c r="T847">
        <v>531</v>
      </c>
      <c r="U847">
        <v>13.63</v>
      </c>
      <c r="V847" t="s">
        <v>33</v>
      </c>
    </row>
    <row r="848" spans="1:22" x14ac:dyDescent="0.35">
      <c r="A848" t="s">
        <v>4024</v>
      </c>
      <c r="B848" t="s">
        <v>54</v>
      </c>
      <c r="C848" t="s">
        <v>27</v>
      </c>
      <c r="D848" t="s">
        <v>4023</v>
      </c>
      <c r="E848" t="s">
        <v>4022</v>
      </c>
      <c r="F848" s="5">
        <v>45620</v>
      </c>
      <c r="G848" t="s">
        <v>126</v>
      </c>
      <c r="H848" t="s">
        <v>2446</v>
      </c>
      <c r="I848" t="s">
        <v>31</v>
      </c>
      <c r="J848" t="s">
        <v>32</v>
      </c>
      <c r="K848" t="s">
        <v>32</v>
      </c>
      <c r="L848" t="s">
        <v>19</v>
      </c>
      <c r="M848" t="s">
        <v>19</v>
      </c>
      <c r="N848">
        <v>1</v>
      </c>
      <c r="O848">
        <v>545</v>
      </c>
      <c r="P848">
        <v>899</v>
      </c>
      <c r="Q848">
        <v>0</v>
      </c>
      <c r="R848">
        <v>0</v>
      </c>
      <c r="S848">
        <v>899</v>
      </c>
      <c r="T848">
        <v>354</v>
      </c>
      <c r="U848">
        <v>39.380000000000003</v>
      </c>
      <c r="V848" t="s">
        <v>33</v>
      </c>
    </row>
    <row r="849" spans="1:22" x14ac:dyDescent="0.35">
      <c r="A849" t="s">
        <v>4021</v>
      </c>
      <c r="B849" t="s">
        <v>26</v>
      </c>
      <c r="C849" t="s">
        <v>27</v>
      </c>
      <c r="D849" t="s">
        <v>4020</v>
      </c>
      <c r="E849" t="s">
        <v>4019</v>
      </c>
      <c r="F849" s="5">
        <v>45490</v>
      </c>
      <c r="G849" t="s">
        <v>126</v>
      </c>
      <c r="H849" t="s">
        <v>1567</v>
      </c>
      <c r="I849" t="s">
        <v>31</v>
      </c>
      <c r="J849" t="s">
        <v>76</v>
      </c>
      <c r="K849" t="s">
        <v>76</v>
      </c>
      <c r="L849" t="s">
        <v>25</v>
      </c>
      <c r="M849" t="s">
        <v>20</v>
      </c>
      <c r="N849">
        <v>1</v>
      </c>
      <c r="O849">
        <v>466</v>
      </c>
      <c r="P849">
        <v>799</v>
      </c>
      <c r="Q849">
        <v>0</v>
      </c>
      <c r="R849">
        <v>0</v>
      </c>
      <c r="S849">
        <v>799</v>
      </c>
      <c r="T849">
        <v>333</v>
      </c>
      <c r="U849">
        <v>41.68</v>
      </c>
      <c r="V849" t="s">
        <v>21</v>
      </c>
    </row>
    <row r="850" spans="1:22" x14ac:dyDescent="0.35">
      <c r="A850" t="s">
        <v>4018</v>
      </c>
      <c r="B850" t="s">
        <v>82</v>
      </c>
      <c r="C850" t="s">
        <v>27</v>
      </c>
      <c r="D850" t="s">
        <v>4017</v>
      </c>
      <c r="E850" t="s">
        <v>4016</v>
      </c>
      <c r="F850" s="5">
        <v>45562</v>
      </c>
      <c r="G850" t="s">
        <v>126</v>
      </c>
      <c r="H850" t="s">
        <v>262</v>
      </c>
      <c r="I850" t="s">
        <v>23</v>
      </c>
      <c r="J850" t="s">
        <v>142</v>
      </c>
      <c r="K850" t="s">
        <v>43</v>
      </c>
      <c r="L850" t="s">
        <v>19</v>
      </c>
      <c r="M850" t="s">
        <v>20</v>
      </c>
      <c r="N850">
        <v>1</v>
      </c>
      <c r="O850">
        <v>2342</v>
      </c>
      <c r="P850">
        <v>4399</v>
      </c>
      <c r="Q850">
        <v>20</v>
      </c>
      <c r="R850">
        <v>900</v>
      </c>
      <c r="S850">
        <v>3499</v>
      </c>
      <c r="T850">
        <v>1157</v>
      </c>
      <c r="U850">
        <v>33.07</v>
      </c>
      <c r="V850" t="s">
        <v>21</v>
      </c>
    </row>
    <row r="851" spans="1:22" x14ac:dyDescent="0.35">
      <c r="A851" t="s">
        <v>4015</v>
      </c>
      <c r="B851" t="s">
        <v>78</v>
      </c>
      <c r="C851" t="s">
        <v>16</v>
      </c>
      <c r="D851" t="s">
        <v>4014</v>
      </c>
      <c r="E851" t="s">
        <v>4013</v>
      </c>
      <c r="F851" s="5">
        <v>45496</v>
      </c>
      <c r="G851" t="s">
        <v>126</v>
      </c>
      <c r="H851" t="s">
        <v>4012</v>
      </c>
      <c r="I851" t="s">
        <v>35</v>
      </c>
      <c r="J851" t="s">
        <v>39</v>
      </c>
      <c r="K851" t="s">
        <v>39</v>
      </c>
      <c r="L851" t="s">
        <v>37</v>
      </c>
      <c r="M851" t="s">
        <v>20</v>
      </c>
      <c r="N851">
        <v>1</v>
      </c>
      <c r="O851">
        <v>923</v>
      </c>
      <c r="P851">
        <v>1599</v>
      </c>
      <c r="Q851">
        <v>15</v>
      </c>
      <c r="R851">
        <v>300</v>
      </c>
      <c r="S851">
        <v>1299</v>
      </c>
      <c r="T851">
        <v>376</v>
      </c>
      <c r="U851">
        <v>28.95</v>
      </c>
      <c r="V851" t="s">
        <v>21</v>
      </c>
    </row>
    <row r="852" spans="1:22" x14ac:dyDescent="0.35">
      <c r="A852" t="s">
        <v>4011</v>
      </c>
      <c r="B852" t="s">
        <v>70</v>
      </c>
      <c r="C852" t="s">
        <v>27</v>
      </c>
      <c r="D852" t="s">
        <v>4010</v>
      </c>
      <c r="E852" t="s">
        <v>4009</v>
      </c>
      <c r="F852" s="5">
        <v>45500</v>
      </c>
      <c r="G852" t="s">
        <v>126</v>
      </c>
      <c r="H852" t="s">
        <v>1260</v>
      </c>
      <c r="I852" t="s">
        <v>17</v>
      </c>
      <c r="J852" t="s">
        <v>55</v>
      </c>
      <c r="K852" t="s">
        <v>55</v>
      </c>
      <c r="L852" t="s">
        <v>37</v>
      </c>
      <c r="M852" t="s">
        <v>20</v>
      </c>
      <c r="N852">
        <v>1</v>
      </c>
      <c r="O852">
        <v>315</v>
      </c>
      <c r="P852">
        <v>499</v>
      </c>
      <c r="Q852">
        <v>0</v>
      </c>
      <c r="R852">
        <v>0</v>
      </c>
      <c r="S852">
        <v>499</v>
      </c>
      <c r="T852">
        <v>184</v>
      </c>
      <c r="U852">
        <v>36.869999999999997</v>
      </c>
      <c r="V852" t="s">
        <v>21</v>
      </c>
    </row>
    <row r="853" spans="1:22" x14ac:dyDescent="0.35">
      <c r="A853" t="s">
        <v>4008</v>
      </c>
      <c r="B853" t="s">
        <v>62</v>
      </c>
      <c r="C853" t="s">
        <v>16</v>
      </c>
      <c r="D853" t="s">
        <v>4007</v>
      </c>
      <c r="E853" t="s">
        <v>4006</v>
      </c>
      <c r="F853" s="5">
        <v>45537</v>
      </c>
      <c r="G853" t="s">
        <v>126</v>
      </c>
      <c r="H853" t="s">
        <v>130</v>
      </c>
      <c r="I853" t="s">
        <v>28</v>
      </c>
      <c r="J853" t="s">
        <v>45</v>
      </c>
      <c r="K853" t="s">
        <v>45</v>
      </c>
      <c r="L853" t="s">
        <v>37</v>
      </c>
      <c r="M853" t="s">
        <v>20</v>
      </c>
      <c r="N853">
        <v>1</v>
      </c>
      <c r="O853">
        <v>1056</v>
      </c>
      <c r="P853">
        <v>1999</v>
      </c>
      <c r="Q853">
        <v>10</v>
      </c>
      <c r="R853">
        <v>200</v>
      </c>
      <c r="S853">
        <v>1799</v>
      </c>
      <c r="T853">
        <v>743</v>
      </c>
      <c r="U853">
        <v>41.3</v>
      </c>
      <c r="V853" t="s">
        <v>33</v>
      </c>
    </row>
    <row r="854" spans="1:22" x14ac:dyDescent="0.35">
      <c r="A854" t="s">
        <v>4005</v>
      </c>
      <c r="B854" t="s">
        <v>82</v>
      </c>
      <c r="C854" t="s">
        <v>27</v>
      </c>
      <c r="D854" t="s">
        <v>4004</v>
      </c>
      <c r="E854" t="s">
        <v>4003</v>
      </c>
      <c r="F854" s="5">
        <v>45628</v>
      </c>
      <c r="G854" t="s">
        <v>126</v>
      </c>
      <c r="H854" t="s">
        <v>4002</v>
      </c>
      <c r="I854" t="s">
        <v>17</v>
      </c>
      <c r="J854" t="s">
        <v>55</v>
      </c>
      <c r="K854" t="s">
        <v>55</v>
      </c>
      <c r="L854" t="s">
        <v>37</v>
      </c>
      <c r="M854" t="s">
        <v>19</v>
      </c>
      <c r="N854">
        <v>1</v>
      </c>
      <c r="O854">
        <v>354</v>
      </c>
      <c r="P854">
        <v>499</v>
      </c>
      <c r="Q854">
        <v>0</v>
      </c>
      <c r="R854">
        <v>0</v>
      </c>
      <c r="S854">
        <v>499</v>
      </c>
      <c r="T854">
        <v>145</v>
      </c>
      <c r="U854">
        <v>29.06</v>
      </c>
      <c r="V854" t="s">
        <v>21</v>
      </c>
    </row>
    <row r="855" spans="1:22" x14ac:dyDescent="0.35">
      <c r="A855" t="s">
        <v>4001</v>
      </c>
      <c r="B855" t="s">
        <v>52</v>
      </c>
      <c r="C855" t="s">
        <v>27</v>
      </c>
      <c r="D855" t="s">
        <v>4000</v>
      </c>
      <c r="E855" t="s">
        <v>3999</v>
      </c>
      <c r="F855" s="5">
        <v>45621</v>
      </c>
      <c r="G855" t="s">
        <v>126</v>
      </c>
      <c r="H855" t="s">
        <v>3998</v>
      </c>
      <c r="I855" t="s">
        <v>28</v>
      </c>
      <c r="J855" t="s">
        <v>201</v>
      </c>
      <c r="K855" t="s">
        <v>29</v>
      </c>
      <c r="L855" t="s">
        <v>19</v>
      </c>
      <c r="M855" t="s">
        <v>20</v>
      </c>
      <c r="N855">
        <v>3</v>
      </c>
      <c r="O855">
        <v>364</v>
      </c>
      <c r="P855">
        <v>499</v>
      </c>
      <c r="Q855">
        <v>10</v>
      </c>
      <c r="R855">
        <v>150</v>
      </c>
      <c r="S855">
        <v>1347</v>
      </c>
      <c r="T855">
        <v>255</v>
      </c>
      <c r="U855">
        <v>18.93</v>
      </c>
      <c r="V855" t="s">
        <v>21</v>
      </c>
    </row>
    <row r="856" spans="1:22" x14ac:dyDescent="0.35">
      <c r="A856" t="s">
        <v>3997</v>
      </c>
      <c r="B856" t="s">
        <v>88</v>
      </c>
      <c r="C856" t="s">
        <v>27</v>
      </c>
      <c r="D856" t="s">
        <v>3996</v>
      </c>
      <c r="E856" t="s">
        <v>3995</v>
      </c>
      <c r="F856" s="5">
        <v>45565</v>
      </c>
      <c r="G856" t="s">
        <v>126</v>
      </c>
      <c r="H856" t="s">
        <v>3636</v>
      </c>
      <c r="I856" t="s">
        <v>28</v>
      </c>
      <c r="J856" t="s">
        <v>45</v>
      </c>
      <c r="K856" t="s">
        <v>45</v>
      </c>
      <c r="L856" t="s">
        <v>37</v>
      </c>
      <c r="M856" t="s">
        <v>19</v>
      </c>
      <c r="N856">
        <v>1</v>
      </c>
      <c r="O856">
        <v>851</v>
      </c>
      <c r="P856">
        <v>1199</v>
      </c>
      <c r="Q856">
        <v>10</v>
      </c>
      <c r="R856">
        <v>200</v>
      </c>
      <c r="S856">
        <v>999</v>
      </c>
      <c r="T856">
        <v>148</v>
      </c>
      <c r="U856">
        <v>14.81</v>
      </c>
      <c r="V856" t="s">
        <v>33</v>
      </c>
    </row>
    <row r="857" spans="1:22" x14ac:dyDescent="0.35">
      <c r="A857" t="s">
        <v>3994</v>
      </c>
      <c r="B857" t="s">
        <v>38</v>
      </c>
      <c r="C857" t="s">
        <v>27</v>
      </c>
      <c r="D857" t="s">
        <v>3993</v>
      </c>
      <c r="E857" t="s">
        <v>1972</v>
      </c>
      <c r="F857" s="5">
        <v>45557</v>
      </c>
      <c r="G857" t="s">
        <v>126</v>
      </c>
      <c r="H857" t="s">
        <v>956</v>
      </c>
      <c r="I857" t="s">
        <v>23</v>
      </c>
      <c r="J857" t="s">
        <v>164</v>
      </c>
      <c r="K857" t="s">
        <v>24</v>
      </c>
      <c r="L857" t="s">
        <v>37</v>
      </c>
      <c r="M857" t="s">
        <v>19</v>
      </c>
      <c r="N857">
        <v>1</v>
      </c>
      <c r="O857">
        <v>655</v>
      </c>
      <c r="P857">
        <v>999</v>
      </c>
      <c r="Q857">
        <v>15</v>
      </c>
      <c r="R857">
        <v>200</v>
      </c>
      <c r="S857">
        <v>799</v>
      </c>
      <c r="T857">
        <v>144</v>
      </c>
      <c r="U857">
        <v>18.02</v>
      </c>
      <c r="V857" t="s">
        <v>21</v>
      </c>
    </row>
    <row r="858" spans="1:22" x14ac:dyDescent="0.35">
      <c r="A858" t="s">
        <v>3992</v>
      </c>
      <c r="B858" t="s">
        <v>108</v>
      </c>
      <c r="C858" t="s">
        <v>27</v>
      </c>
      <c r="D858" t="s">
        <v>3991</v>
      </c>
      <c r="E858" t="s">
        <v>3990</v>
      </c>
      <c r="F858" s="5">
        <v>45462</v>
      </c>
      <c r="G858" t="s">
        <v>126</v>
      </c>
      <c r="H858" t="s">
        <v>540</v>
      </c>
      <c r="I858" t="s">
        <v>17</v>
      </c>
      <c r="J858" t="s">
        <v>235</v>
      </c>
      <c r="K858" t="s">
        <v>18</v>
      </c>
      <c r="L858" t="s">
        <v>25</v>
      </c>
      <c r="M858" t="s">
        <v>20</v>
      </c>
      <c r="N858">
        <v>1</v>
      </c>
      <c r="O858">
        <v>319</v>
      </c>
      <c r="P858">
        <v>599</v>
      </c>
      <c r="Q858">
        <v>0</v>
      </c>
      <c r="R858">
        <v>0</v>
      </c>
      <c r="S858">
        <v>599</v>
      </c>
      <c r="T858">
        <v>280</v>
      </c>
      <c r="U858">
        <v>46.74</v>
      </c>
      <c r="V858" t="s">
        <v>21</v>
      </c>
    </row>
    <row r="859" spans="1:22" x14ac:dyDescent="0.35">
      <c r="A859" t="s">
        <v>3989</v>
      </c>
      <c r="B859" t="s">
        <v>68</v>
      </c>
      <c r="C859" t="s">
        <v>16</v>
      </c>
      <c r="D859" t="s">
        <v>3988</v>
      </c>
      <c r="E859" t="s">
        <v>3987</v>
      </c>
      <c r="F859" s="5">
        <v>45635</v>
      </c>
      <c r="G859" t="s">
        <v>126</v>
      </c>
      <c r="H859" t="s">
        <v>2043</v>
      </c>
      <c r="I859" t="s">
        <v>23</v>
      </c>
      <c r="J859" t="s">
        <v>142</v>
      </c>
      <c r="K859" t="s">
        <v>43</v>
      </c>
      <c r="L859" t="s">
        <v>37</v>
      </c>
      <c r="M859" t="s">
        <v>20</v>
      </c>
      <c r="N859">
        <v>1</v>
      </c>
      <c r="O859">
        <v>2730</v>
      </c>
      <c r="P859">
        <v>4399</v>
      </c>
      <c r="Q859">
        <v>20</v>
      </c>
      <c r="R859">
        <v>900</v>
      </c>
      <c r="S859">
        <v>3499</v>
      </c>
      <c r="T859">
        <v>769</v>
      </c>
      <c r="U859">
        <v>21.98</v>
      </c>
      <c r="V859" t="s">
        <v>21</v>
      </c>
    </row>
    <row r="860" spans="1:22" x14ac:dyDescent="0.35">
      <c r="A860" t="s">
        <v>3986</v>
      </c>
      <c r="B860" t="s">
        <v>40</v>
      </c>
      <c r="C860" t="s">
        <v>27</v>
      </c>
      <c r="D860" t="s">
        <v>3985</v>
      </c>
      <c r="E860" t="s">
        <v>3984</v>
      </c>
      <c r="F860" s="5">
        <v>45655</v>
      </c>
      <c r="G860" t="s">
        <v>126</v>
      </c>
      <c r="H860" t="s">
        <v>3983</v>
      </c>
      <c r="I860" t="s">
        <v>17</v>
      </c>
      <c r="J860" t="s">
        <v>55</v>
      </c>
      <c r="K860" t="s">
        <v>55</v>
      </c>
      <c r="L860" t="s">
        <v>25</v>
      </c>
      <c r="M860" t="s">
        <v>20</v>
      </c>
      <c r="N860">
        <v>2</v>
      </c>
      <c r="O860">
        <v>503</v>
      </c>
      <c r="P860">
        <v>799</v>
      </c>
      <c r="Q860">
        <v>0</v>
      </c>
      <c r="R860">
        <v>0</v>
      </c>
      <c r="S860">
        <v>1598</v>
      </c>
      <c r="T860">
        <v>592</v>
      </c>
      <c r="U860">
        <v>37.049999999999997</v>
      </c>
      <c r="V860" t="s">
        <v>21</v>
      </c>
    </row>
    <row r="861" spans="1:22" x14ac:dyDescent="0.35">
      <c r="A861" t="s">
        <v>3982</v>
      </c>
      <c r="B861" t="s">
        <v>59</v>
      </c>
      <c r="C861" t="s">
        <v>27</v>
      </c>
      <c r="D861" t="s">
        <v>3981</v>
      </c>
      <c r="E861" t="s">
        <v>3980</v>
      </c>
      <c r="F861" s="5">
        <v>45499</v>
      </c>
      <c r="G861" t="s">
        <v>126</v>
      </c>
      <c r="H861" t="s">
        <v>3979</v>
      </c>
      <c r="I861" t="s">
        <v>17</v>
      </c>
      <c r="J861" t="s">
        <v>55</v>
      </c>
      <c r="K861" t="s">
        <v>55</v>
      </c>
      <c r="L861" t="s">
        <v>37</v>
      </c>
      <c r="M861" t="s">
        <v>20</v>
      </c>
      <c r="N861">
        <v>2</v>
      </c>
      <c r="O861">
        <v>265</v>
      </c>
      <c r="P861">
        <v>499</v>
      </c>
      <c r="Q861">
        <v>0</v>
      </c>
      <c r="R861">
        <v>0</v>
      </c>
      <c r="S861">
        <v>998</v>
      </c>
      <c r="T861">
        <v>468</v>
      </c>
      <c r="U861">
        <v>46.89</v>
      </c>
      <c r="V861" t="s">
        <v>33</v>
      </c>
    </row>
    <row r="862" spans="1:22" x14ac:dyDescent="0.35">
      <c r="A862" t="s">
        <v>3978</v>
      </c>
      <c r="B862" t="s">
        <v>49</v>
      </c>
      <c r="C862" t="s">
        <v>27</v>
      </c>
      <c r="D862" t="s">
        <v>3977</v>
      </c>
      <c r="E862" t="s">
        <v>3976</v>
      </c>
      <c r="F862" s="5">
        <v>45499</v>
      </c>
      <c r="G862" t="s">
        <v>126</v>
      </c>
      <c r="H862" t="s">
        <v>3975</v>
      </c>
      <c r="I862" t="s">
        <v>17</v>
      </c>
      <c r="J862" t="s">
        <v>55</v>
      </c>
      <c r="K862" t="s">
        <v>55</v>
      </c>
      <c r="L862" t="s">
        <v>37</v>
      </c>
      <c r="M862" t="s">
        <v>20</v>
      </c>
      <c r="N862">
        <v>1</v>
      </c>
      <c r="O862">
        <v>501</v>
      </c>
      <c r="P862">
        <v>699</v>
      </c>
      <c r="Q862">
        <v>0</v>
      </c>
      <c r="R862">
        <v>0</v>
      </c>
      <c r="S862">
        <v>699</v>
      </c>
      <c r="T862">
        <v>198</v>
      </c>
      <c r="U862">
        <v>28.33</v>
      </c>
      <c r="V862" t="s">
        <v>21</v>
      </c>
    </row>
    <row r="863" spans="1:22" x14ac:dyDescent="0.35">
      <c r="A863" t="s">
        <v>3974</v>
      </c>
      <c r="B863" t="s">
        <v>91</v>
      </c>
      <c r="C863" t="s">
        <v>16</v>
      </c>
      <c r="D863" t="s">
        <v>3973</v>
      </c>
      <c r="E863" t="s">
        <v>3972</v>
      </c>
      <c r="F863" s="5">
        <v>45626</v>
      </c>
      <c r="G863" t="s">
        <v>126</v>
      </c>
      <c r="H863" t="s">
        <v>883</v>
      </c>
      <c r="I863" t="s">
        <v>17</v>
      </c>
      <c r="J863" t="s">
        <v>55</v>
      </c>
      <c r="K863" t="s">
        <v>55</v>
      </c>
      <c r="L863" t="s">
        <v>19</v>
      </c>
      <c r="M863" t="s">
        <v>20</v>
      </c>
      <c r="N863">
        <v>5</v>
      </c>
      <c r="O863">
        <v>496</v>
      </c>
      <c r="P863">
        <v>699</v>
      </c>
      <c r="Q863">
        <v>0</v>
      </c>
      <c r="R863">
        <v>0</v>
      </c>
      <c r="S863">
        <v>3495</v>
      </c>
      <c r="T863">
        <v>1015</v>
      </c>
      <c r="U863">
        <v>29.04</v>
      </c>
      <c r="V863" t="s">
        <v>21</v>
      </c>
    </row>
    <row r="864" spans="1:22" x14ac:dyDescent="0.35">
      <c r="A864" t="s">
        <v>3971</v>
      </c>
      <c r="B864" t="s">
        <v>74</v>
      </c>
      <c r="C864" t="s">
        <v>16</v>
      </c>
      <c r="D864" t="s">
        <v>3970</v>
      </c>
      <c r="E864" t="s">
        <v>3969</v>
      </c>
      <c r="F864" s="5">
        <v>45619</v>
      </c>
      <c r="G864" t="s">
        <v>126</v>
      </c>
      <c r="H864" t="s">
        <v>3601</v>
      </c>
      <c r="I864" t="s">
        <v>23</v>
      </c>
      <c r="J864" t="s">
        <v>164</v>
      </c>
      <c r="K864" t="s">
        <v>24</v>
      </c>
      <c r="L864" t="s">
        <v>19</v>
      </c>
      <c r="M864" t="s">
        <v>20</v>
      </c>
      <c r="N864">
        <v>2</v>
      </c>
      <c r="O864">
        <v>658</v>
      </c>
      <c r="P864">
        <v>1299</v>
      </c>
      <c r="Q864">
        <v>5</v>
      </c>
      <c r="R864">
        <v>200</v>
      </c>
      <c r="S864">
        <v>2398</v>
      </c>
      <c r="T864">
        <v>1082</v>
      </c>
      <c r="U864">
        <v>45.12</v>
      </c>
      <c r="V864" t="s">
        <v>21</v>
      </c>
    </row>
    <row r="865" spans="1:22" x14ac:dyDescent="0.35">
      <c r="A865" t="s">
        <v>3968</v>
      </c>
      <c r="B865" t="s">
        <v>54</v>
      </c>
      <c r="C865" t="s">
        <v>27</v>
      </c>
      <c r="D865" t="s">
        <v>3967</v>
      </c>
      <c r="E865" t="s">
        <v>3966</v>
      </c>
      <c r="F865" s="5">
        <v>45524</v>
      </c>
      <c r="G865" t="s">
        <v>126</v>
      </c>
      <c r="H865" t="s">
        <v>3965</v>
      </c>
      <c r="I865" t="s">
        <v>28</v>
      </c>
      <c r="J865" t="s">
        <v>45</v>
      </c>
      <c r="K865" t="s">
        <v>45</v>
      </c>
      <c r="L865" t="s">
        <v>19</v>
      </c>
      <c r="M865" t="s">
        <v>20</v>
      </c>
      <c r="N865">
        <v>1</v>
      </c>
      <c r="O865">
        <v>1126</v>
      </c>
      <c r="P865">
        <v>1799</v>
      </c>
      <c r="Q865">
        <v>15</v>
      </c>
      <c r="R865">
        <v>300</v>
      </c>
      <c r="S865">
        <v>1499</v>
      </c>
      <c r="T865">
        <v>373</v>
      </c>
      <c r="U865">
        <v>24.88</v>
      </c>
      <c r="V865" t="s">
        <v>21</v>
      </c>
    </row>
    <row r="866" spans="1:22" x14ac:dyDescent="0.35">
      <c r="A866" t="s">
        <v>3964</v>
      </c>
      <c r="B866" t="s">
        <v>108</v>
      </c>
      <c r="C866" t="s">
        <v>27</v>
      </c>
      <c r="D866" t="s">
        <v>3963</v>
      </c>
      <c r="E866" t="s">
        <v>3962</v>
      </c>
      <c r="F866" s="5">
        <v>45554</v>
      </c>
      <c r="G866" t="s">
        <v>126</v>
      </c>
      <c r="H866" t="s">
        <v>3961</v>
      </c>
      <c r="I866" t="s">
        <v>23</v>
      </c>
      <c r="J866" t="s">
        <v>164</v>
      </c>
      <c r="K866" t="s">
        <v>24</v>
      </c>
      <c r="L866" t="s">
        <v>25</v>
      </c>
      <c r="M866" t="s">
        <v>20</v>
      </c>
      <c r="N866">
        <v>1</v>
      </c>
      <c r="O866">
        <v>614</v>
      </c>
      <c r="P866">
        <v>899</v>
      </c>
      <c r="Q866">
        <v>5</v>
      </c>
      <c r="R866">
        <v>100</v>
      </c>
      <c r="S866">
        <v>799</v>
      </c>
      <c r="T866">
        <v>185</v>
      </c>
      <c r="U866">
        <v>23.15</v>
      </c>
      <c r="V866" t="s">
        <v>21</v>
      </c>
    </row>
    <row r="867" spans="1:22" x14ac:dyDescent="0.35">
      <c r="A867" t="s">
        <v>3960</v>
      </c>
      <c r="B867" t="s">
        <v>98</v>
      </c>
      <c r="C867" t="s">
        <v>16</v>
      </c>
      <c r="D867" t="s">
        <v>3959</v>
      </c>
      <c r="E867" t="s">
        <v>3958</v>
      </c>
      <c r="F867" s="5">
        <v>45483</v>
      </c>
      <c r="G867" t="s">
        <v>126</v>
      </c>
      <c r="H867" t="s">
        <v>1667</v>
      </c>
      <c r="I867" t="s">
        <v>28</v>
      </c>
      <c r="J867" t="s">
        <v>45</v>
      </c>
      <c r="K867" t="s">
        <v>45</v>
      </c>
      <c r="L867" t="s">
        <v>19</v>
      </c>
      <c r="M867" t="s">
        <v>19</v>
      </c>
      <c r="N867">
        <v>1</v>
      </c>
      <c r="O867">
        <v>1017</v>
      </c>
      <c r="P867">
        <v>1699</v>
      </c>
      <c r="Q867">
        <v>10</v>
      </c>
      <c r="R867">
        <v>200</v>
      </c>
      <c r="S867">
        <v>1499</v>
      </c>
      <c r="T867">
        <v>482</v>
      </c>
      <c r="U867">
        <v>32.15</v>
      </c>
      <c r="V867" t="s">
        <v>21</v>
      </c>
    </row>
    <row r="868" spans="1:22" x14ac:dyDescent="0.35">
      <c r="A868" t="s">
        <v>3957</v>
      </c>
      <c r="B868" t="s">
        <v>68</v>
      </c>
      <c r="C868" t="s">
        <v>16</v>
      </c>
      <c r="D868" t="s">
        <v>3956</v>
      </c>
      <c r="E868" t="s">
        <v>3955</v>
      </c>
      <c r="F868" s="5">
        <v>45629</v>
      </c>
      <c r="G868" t="s">
        <v>126</v>
      </c>
      <c r="H868" t="s">
        <v>3954</v>
      </c>
      <c r="I868" t="s">
        <v>28</v>
      </c>
      <c r="J868" t="s">
        <v>201</v>
      </c>
      <c r="K868" t="s">
        <v>29</v>
      </c>
      <c r="L868" t="s">
        <v>19</v>
      </c>
      <c r="M868" t="s">
        <v>20</v>
      </c>
      <c r="N868">
        <v>1</v>
      </c>
      <c r="O868">
        <v>316</v>
      </c>
      <c r="P868">
        <v>599</v>
      </c>
      <c r="Q868">
        <v>10</v>
      </c>
      <c r="R868">
        <v>100</v>
      </c>
      <c r="S868">
        <v>499</v>
      </c>
      <c r="T868">
        <v>183</v>
      </c>
      <c r="U868">
        <v>36.67</v>
      </c>
      <c r="V868" t="s">
        <v>33</v>
      </c>
    </row>
    <row r="869" spans="1:22" x14ac:dyDescent="0.35">
      <c r="A869" t="s">
        <v>3953</v>
      </c>
      <c r="B869" t="s">
        <v>40</v>
      </c>
      <c r="C869" t="s">
        <v>27</v>
      </c>
      <c r="D869" t="s">
        <v>3952</v>
      </c>
      <c r="E869" t="s">
        <v>3951</v>
      </c>
      <c r="F869" s="5">
        <v>45598</v>
      </c>
      <c r="G869" t="s">
        <v>126</v>
      </c>
      <c r="H869" t="s">
        <v>2318</v>
      </c>
      <c r="I869" t="s">
        <v>35</v>
      </c>
      <c r="J869" t="s">
        <v>214</v>
      </c>
      <c r="K869" t="s">
        <v>50</v>
      </c>
      <c r="L869" t="s">
        <v>37</v>
      </c>
      <c r="M869" t="s">
        <v>19</v>
      </c>
      <c r="N869">
        <v>1</v>
      </c>
      <c r="O869">
        <v>767</v>
      </c>
      <c r="P869">
        <v>1199</v>
      </c>
      <c r="Q869">
        <v>15</v>
      </c>
      <c r="R869">
        <v>200</v>
      </c>
      <c r="S869">
        <v>999</v>
      </c>
      <c r="T869">
        <v>232</v>
      </c>
      <c r="U869">
        <v>23.22</v>
      </c>
      <c r="V869" t="s">
        <v>21</v>
      </c>
    </row>
    <row r="870" spans="1:22" x14ac:dyDescent="0.35">
      <c r="A870" t="s">
        <v>3950</v>
      </c>
      <c r="B870" t="s">
        <v>98</v>
      </c>
      <c r="C870" t="s">
        <v>16</v>
      </c>
      <c r="D870" t="s">
        <v>3949</v>
      </c>
      <c r="E870" t="s">
        <v>3948</v>
      </c>
      <c r="F870" s="5">
        <v>45479</v>
      </c>
      <c r="G870" t="s">
        <v>126</v>
      </c>
      <c r="H870" t="s">
        <v>1386</v>
      </c>
      <c r="I870" t="s">
        <v>17</v>
      </c>
      <c r="J870" t="s">
        <v>235</v>
      </c>
      <c r="K870" t="s">
        <v>18</v>
      </c>
      <c r="L870" t="s">
        <v>19</v>
      </c>
      <c r="M870" t="s">
        <v>19</v>
      </c>
      <c r="N870">
        <v>3</v>
      </c>
      <c r="O870">
        <v>254</v>
      </c>
      <c r="P870">
        <v>399</v>
      </c>
      <c r="Q870">
        <v>0</v>
      </c>
      <c r="R870">
        <v>0</v>
      </c>
      <c r="S870">
        <v>1197</v>
      </c>
      <c r="T870">
        <v>435</v>
      </c>
      <c r="U870">
        <v>36.340000000000003</v>
      </c>
      <c r="V870" t="s">
        <v>21</v>
      </c>
    </row>
    <row r="871" spans="1:22" x14ac:dyDescent="0.35">
      <c r="A871" t="s">
        <v>3947</v>
      </c>
      <c r="B871" t="s">
        <v>94</v>
      </c>
      <c r="C871" t="s">
        <v>16</v>
      </c>
      <c r="D871" t="s">
        <v>3946</v>
      </c>
      <c r="E871" t="s">
        <v>3945</v>
      </c>
      <c r="F871" s="5">
        <v>45493</v>
      </c>
      <c r="G871" t="s">
        <v>126</v>
      </c>
      <c r="H871" t="s">
        <v>1937</v>
      </c>
      <c r="I871" t="s">
        <v>35</v>
      </c>
      <c r="J871" t="s">
        <v>41</v>
      </c>
      <c r="K871" t="s">
        <v>41</v>
      </c>
      <c r="L871" t="s">
        <v>25</v>
      </c>
      <c r="M871" t="s">
        <v>19</v>
      </c>
      <c r="N871">
        <v>1</v>
      </c>
      <c r="O871">
        <v>958</v>
      </c>
      <c r="P871">
        <v>1299</v>
      </c>
      <c r="Q871">
        <v>20</v>
      </c>
      <c r="R871">
        <v>300</v>
      </c>
      <c r="S871">
        <v>999</v>
      </c>
      <c r="T871">
        <v>41</v>
      </c>
      <c r="U871">
        <v>4.0999999999999996</v>
      </c>
      <c r="V871" t="s">
        <v>21</v>
      </c>
    </row>
    <row r="872" spans="1:22" x14ac:dyDescent="0.35">
      <c r="A872" t="s">
        <v>3944</v>
      </c>
      <c r="B872" t="s">
        <v>79</v>
      </c>
      <c r="C872" t="s">
        <v>16</v>
      </c>
      <c r="D872" t="s">
        <v>3943</v>
      </c>
      <c r="E872" t="s">
        <v>3942</v>
      </c>
      <c r="F872" s="5">
        <v>45634</v>
      </c>
      <c r="G872" t="s">
        <v>126</v>
      </c>
      <c r="H872" t="s">
        <v>960</v>
      </c>
      <c r="I872" t="s">
        <v>28</v>
      </c>
      <c r="J872" t="s">
        <v>201</v>
      </c>
      <c r="K872" t="s">
        <v>29</v>
      </c>
      <c r="L872" t="s">
        <v>19</v>
      </c>
      <c r="M872" t="s">
        <v>19</v>
      </c>
      <c r="N872">
        <v>3</v>
      </c>
      <c r="O872">
        <v>569</v>
      </c>
      <c r="P872">
        <v>799</v>
      </c>
      <c r="Q872">
        <v>20</v>
      </c>
      <c r="R872">
        <v>600</v>
      </c>
      <c r="S872">
        <v>1797</v>
      </c>
      <c r="T872">
        <v>90</v>
      </c>
      <c r="U872">
        <v>5.01</v>
      </c>
      <c r="V872" t="s">
        <v>33</v>
      </c>
    </row>
    <row r="873" spans="1:22" x14ac:dyDescent="0.35">
      <c r="A873" t="s">
        <v>3941</v>
      </c>
      <c r="B873" t="s">
        <v>60</v>
      </c>
      <c r="C873" t="s">
        <v>27</v>
      </c>
      <c r="D873" t="s">
        <v>3940</v>
      </c>
      <c r="E873" t="s">
        <v>3939</v>
      </c>
      <c r="F873" s="5">
        <v>45528</v>
      </c>
      <c r="G873" t="s">
        <v>126</v>
      </c>
      <c r="H873" t="s">
        <v>1065</v>
      </c>
      <c r="I873" t="s">
        <v>28</v>
      </c>
      <c r="J873" t="s">
        <v>201</v>
      </c>
      <c r="K873" t="s">
        <v>29</v>
      </c>
      <c r="L873" t="s">
        <v>37</v>
      </c>
      <c r="M873" t="s">
        <v>20</v>
      </c>
      <c r="N873">
        <v>1</v>
      </c>
      <c r="O873">
        <v>330</v>
      </c>
      <c r="P873">
        <v>499</v>
      </c>
      <c r="Q873">
        <v>20</v>
      </c>
      <c r="R873">
        <v>100</v>
      </c>
      <c r="S873">
        <v>399</v>
      </c>
      <c r="T873">
        <v>69</v>
      </c>
      <c r="U873">
        <v>17.29</v>
      </c>
      <c r="V873" t="s">
        <v>21</v>
      </c>
    </row>
    <row r="874" spans="1:22" x14ac:dyDescent="0.35">
      <c r="A874" t="s">
        <v>3938</v>
      </c>
      <c r="B874" t="s">
        <v>95</v>
      </c>
      <c r="C874" t="s">
        <v>27</v>
      </c>
      <c r="D874" t="s">
        <v>3937</v>
      </c>
      <c r="E874" t="s">
        <v>3936</v>
      </c>
      <c r="F874" s="5">
        <v>45452</v>
      </c>
      <c r="G874" t="s">
        <v>126</v>
      </c>
      <c r="H874" t="s">
        <v>3935</v>
      </c>
      <c r="I874" t="s">
        <v>35</v>
      </c>
      <c r="J874" t="s">
        <v>159</v>
      </c>
      <c r="K874" t="s">
        <v>36</v>
      </c>
      <c r="L874" t="s">
        <v>25</v>
      </c>
      <c r="M874" t="s">
        <v>19</v>
      </c>
      <c r="N874">
        <v>1</v>
      </c>
      <c r="O874">
        <v>426</v>
      </c>
      <c r="P874">
        <v>599</v>
      </c>
      <c r="Q874">
        <v>10</v>
      </c>
      <c r="R874">
        <v>100</v>
      </c>
      <c r="S874">
        <v>499</v>
      </c>
      <c r="T874">
        <v>73</v>
      </c>
      <c r="U874">
        <v>14.63</v>
      </c>
      <c r="V874" t="s">
        <v>21</v>
      </c>
    </row>
    <row r="875" spans="1:22" x14ac:dyDescent="0.35">
      <c r="A875" t="s">
        <v>3934</v>
      </c>
      <c r="B875" t="s">
        <v>67</v>
      </c>
      <c r="C875" t="s">
        <v>27</v>
      </c>
      <c r="D875" t="s">
        <v>3933</v>
      </c>
      <c r="E875" t="s">
        <v>3932</v>
      </c>
      <c r="F875" s="5">
        <v>45632</v>
      </c>
      <c r="G875" t="s">
        <v>126</v>
      </c>
      <c r="H875" t="s">
        <v>1169</v>
      </c>
      <c r="I875" t="s">
        <v>17</v>
      </c>
      <c r="J875" t="s">
        <v>235</v>
      </c>
      <c r="K875" t="s">
        <v>18</v>
      </c>
      <c r="L875" t="s">
        <v>25</v>
      </c>
      <c r="M875" t="s">
        <v>19</v>
      </c>
      <c r="N875">
        <v>4</v>
      </c>
      <c r="O875">
        <v>249</v>
      </c>
      <c r="P875">
        <v>399</v>
      </c>
      <c r="Q875">
        <v>0</v>
      </c>
      <c r="R875">
        <v>0</v>
      </c>
      <c r="S875">
        <v>1596</v>
      </c>
      <c r="T875">
        <v>600</v>
      </c>
      <c r="U875">
        <v>37.590000000000003</v>
      </c>
      <c r="V875" t="s">
        <v>21</v>
      </c>
    </row>
    <row r="876" spans="1:22" x14ac:dyDescent="0.35">
      <c r="A876" t="s">
        <v>3931</v>
      </c>
      <c r="B876" t="s">
        <v>84</v>
      </c>
      <c r="C876" t="s">
        <v>27</v>
      </c>
      <c r="D876" t="s">
        <v>3930</v>
      </c>
      <c r="E876" t="s">
        <v>3929</v>
      </c>
      <c r="F876" s="5">
        <v>45592</v>
      </c>
      <c r="G876" t="s">
        <v>126</v>
      </c>
      <c r="H876" t="s">
        <v>2600</v>
      </c>
      <c r="I876" t="s">
        <v>31</v>
      </c>
      <c r="J876" t="s">
        <v>32</v>
      </c>
      <c r="K876" t="s">
        <v>32</v>
      </c>
      <c r="L876" t="s">
        <v>25</v>
      </c>
      <c r="M876" t="s">
        <v>19</v>
      </c>
      <c r="N876">
        <v>1</v>
      </c>
      <c r="O876">
        <v>961</v>
      </c>
      <c r="P876">
        <v>1499</v>
      </c>
      <c r="Q876">
        <v>0</v>
      </c>
      <c r="R876">
        <v>0</v>
      </c>
      <c r="S876">
        <v>1499</v>
      </c>
      <c r="T876">
        <v>538</v>
      </c>
      <c r="U876">
        <v>35.89</v>
      </c>
      <c r="V876" t="s">
        <v>21</v>
      </c>
    </row>
    <row r="877" spans="1:22" x14ac:dyDescent="0.35">
      <c r="A877" t="s">
        <v>3928</v>
      </c>
      <c r="B877" t="s">
        <v>88</v>
      </c>
      <c r="C877" t="s">
        <v>27</v>
      </c>
      <c r="D877" t="s">
        <v>3927</v>
      </c>
      <c r="E877" t="s">
        <v>3926</v>
      </c>
      <c r="F877" s="5">
        <v>45450</v>
      </c>
      <c r="G877" t="s">
        <v>126</v>
      </c>
      <c r="H877" t="s">
        <v>3095</v>
      </c>
      <c r="I877" t="s">
        <v>17</v>
      </c>
      <c r="J877" t="s">
        <v>48</v>
      </c>
      <c r="K877" t="s">
        <v>48</v>
      </c>
      <c r="L877" t="s">
        <v>19</v>
      </c>
      <c r="M877" t="s">
        <v>19</v>
      </c>
      <c r="N877">
        <v>2</v>
      </c>
      <c r="O877">
        <v>175</v>
      </c>
      <c r="P877">
        <v>299</v>
      </c>
      <c r="Q877">
        <v>0</v>
      </c>
      <c r="R877">
        <v>0</v>
      </c>
      <c r="S877">
        <v>598</v>
      </c>
      <c r="T877">
        <v>248</v>
      </c>
      <c r="U877">
        <v>41.47</v>
      </c>
      <c r="V877" t="s">
        <v>21</v>
      </c>
    </row>
    <row r="878" spans="1:22" x14ac:dyDescent="0.35">
      <c r="A878" t="s">
        <v>3925</v>
      </c>
      <c r="B878" t="s">
        <v>70</v>
      </c>
      <c r="C878" t="s">
        <v>27</v>
      </c>
      <c r="D878" t="s">
        <v>3924</v>
      </c>
      <c r="E878" t="s">
        <v>3923</v>
      </c>
      <c r="F878" s="5">
        <v>45542</v>
      </c>
      <c r="G878" t="s">
        <v>126</v>
      </c>
      <c r="H878" t="s">
        <v>249</v>
      </c>
      <c r="I878" t="s">
        <v>31</v>
      </c>
      <c r="J878" t="s">
        <v>76</v>
      </c>
      <c r="K878" t="s">
        <v>76</v>
      </c>
      <c r="L878" t="s">
        <v>37</v>
      </c>
      <c r="M878" t="s">
        <v>19</v>
      </c>
      <c r="N878">
        <v>1</v>
      </c>
      <c r="O878">
        <v>396</v>
      </c>
      <c r="P878">
        <v>699</v>
      </c>
      <c r="Q878">
        <v>0</v>
      </c>
      <c r="R878">
        <v>0</v>
      </c>
      <c r="S878">
        <v>699</v>
      </c>
      <c r="T878">
        <v>303</v>
      </c>
      <c r="U878">
        <v>43.35</v>
      </c>
      <c r="V878" t="s">
        <v>21</v>
      </c>
    </row>
    <row r="879" spans="1:22" x14ac:dyDescent="0.35">
      <c r="A879" t="s">
        <v>3922</v>
      </c>
      <c r="B879" t="s">
        <v>22</v>
      </c>
      <c r="C879" t="s">
        <v>16</v>
      </c>
      <c r="D879" t="s">
        <v>3921</v>
      </c>
      <c r="E879" t="s">
        <v>3920</v>
      </c>
      <c r="F879" s="5">
        <v>45606</v>
      </c>
      <c r="G879" t="s">
        <v>126</v>
      </c>
      <c r="H879" t="s">
        <v>3919</v>
      </c>
      <c r="I879" t="s">
        <v>17</v>
      </c>
      <c r="J879" t="s">
        <v>48</v>
      </c>
      <c r="K879" t="s">
        <v>48</v>
      </c>
      <c r="L879" t="s">
        <v>37</v>
      </c>
      <c r="M879" t="s">
        <v>19</v>
      </c>
      <c r="N879">
        <v>3</v>
      </c>
      <c r="O879">
        <v>351</v>
      </c>
      <c r="P879">
        <v>599</v>
      </c>
      <c r="Q879">
        <v>0</v>
      </c>
      <c r="R879">
        <v>0</v>
      </c>
      <c r="S879">
        <v>1797</v>
      </c>
      <c r="T879">
        <v>744</v>
      </c>
      <c r="U879">
        <v>41.4</v>
      </c>
      <c r="V879" t="s">
        <v>21</v>
      </c>
    </row>
    <row r="880" spans="1:22" x14ac:dyDescent="0.35">
      <c r="A880" t="s">
        <v>3918</v>
      </c>
      <c r="B880" t="s">
        <v>91</v>
      </c>
      <c r="C880" t="s">
        <v>16</v>
      </c>
      <c r="D880" t="s">
        <v>3917</v>
      </c>
      <c r="E880" t="s">
        <v>3916</v>
      </c>
      <c r="F880" s="5">
        <v>45585</v>
      </c>
      <c r="G880" t="s">
        <v>126</v>
      </c>
      <c r="H880" t="s">
        <v>2823</v>
      </c>
      <c r="I880" t="s">
        <v>17</v>
      </c>
      <c r="J880" t="s">
        <v>253</v>
      </c>
      <c r="K880" t="s">
        <v>72</v>
      </c>
      <c r="L880" t="s">
        <v>25</v>
      </c>
      <c r="M880" t="s">
        <v>19</v>
      </c>
      <c r="N880">
        <v>1</v>
      </c>
      <c r="O880">
        <v>238</v>
      </c>
      <c r="P880">
        <v>399</v>
      </c>
      <c r="Q880">
        <v>0</v>
      </c>
      <c r="R880">
        <v>0</v>
      </c>
      <c r="S880">
        <v>399</v>
      </c>
      <c r="T880">
        <v>161</v>
      </c>
      <c r="U880">
        <v>40.35</v>
      </c>
      <c r="V880" t="s">
        <v>33</v>
      </c>
    </row>
    <row r="881" spans="1:22" x14ac:dyDescent="0.35">
      <c r="A881" t="s">
        <v>3915</v>
      </c>
      <c r="B881" t="s">
        <v>63</v>
      </c>
      <c r="C881" t="s">
        <v>27</v>
      </c>
      <c r="D881" t="s">
        <v>3914</v>
      </c>
      <c r="E881" t="s">
        <v>3913</v>
      </c>
      <c r="F881" s="5">
        <v>45560</v>
      </c>
      <c r="G881" t="s">
        <v>126</v>
      </c>
      <c r="H881" t="s">
        <v>3505</v>
      </c>
      <c r="I881" t="s">
        <v>31</v>
      </c>
      <c r="J881" t="s">
        <v>76</v>
      </c>
      <c r="K881" t="s">
        <v>76</v>
      </c>
      <c r="L881" t="s">
        <v>37</v>
      </c>
      <c r="M881" t="s">
        <v>19</v>
      </c>
      <c r="N881">
        <v>1</v>
      </c>
      <c r="O881">
        <v>964</v>
      </c>
      <c r="P881">
        <v>1499</v>
      </c>
      <c r="Q881">
        <v>0</v>
      </c>
      <c r="R881">
        <v>0</v>
      </c>
      <c r="S881">
        <v>1499</v>
      </c>
      <c r="T881">
        <v>535</v>
      </c>
      <c r="U881">
        <v>35.69</v>
      </c>
      <c r="V881" t="s">
        <v>33</v>
      </c>
    </row>
    <row r="882" spans="1:22" x14ac:dyDescent="0.35">
      <c r="A882" t="s">
        <v>3912</v>
      </c>
      <c r="B882" t="s">
        <v>79</v>
      </c>
      <c r="C882" t="s">
        <v>16</v>
      </c>
      <c r="D882" t="s">
        <v>3911</v>
      </c>
      <c r="E882" t="s">
        <v>3910</v>
      </c>
      <c r="F882" s="5">
        <v>45657</v>
      </c>
      <c r="G882" t="s">
        <v>126</v>
      </c>
      <c r="H882" t="s">
        <v>2778</v>
      </c>
      <c r="I882" t="s">
        <v>31</v>
      </c>
      <c r="J882" t="s">
        <v>32</v>
      </c>
      <c r="K882" t="s">
        <v>32</v>
      </c>
      <c r="L882" t="s">
        <v>25</v>
      </c>
      <c r="M882" t="s">
        <v>19</v>
      </c>
      <c r="N882">
        <v>3</v>
      </c>
      <c r="O882">
        <v>566</v>
      </c>
      <c r="P882">
        <v>999</v>
      </c>
      <c r="Q882">
        <v>0</v>
      </c>
      <c r="R882">
        <v>0</v>
      </c>
      <c r="S882">
        <v>2997</v>
      </c>
      <c r="T882">
        <v>1299</v>
      </c>
      <c r="U882">
        <v>43.34</v>
      </c>
      <c r="V882" t="s">
        <v>21</v>
      </c>
    </row>
    <row r="883" spans="1:22" x14ac:dyDescent="0.35">
      <c r="A883" t="s">
        <v>3909</v>
      </c>
      <c r="B883" t="s">
        <v>47</v>
      </c>
      <c r="C883" t="s">
        <v>16</v>
      </c>
      <c r="D883" t="s">
        <v>3908</v>
      </c>
      <c r="E883" t="s">
        <v>3907</v>
      </c>
      <c r="F883" s="5">
        <v>45566</v>
      </c>
      <c r="G883" t="s">
        <v>126</v>
      </c>
      <c r="H883" t="s">
        <v>1652</v>
      </c>
      <c r="I883" t="s">
        <v>35</v>
      </c>
      <c r="J883" t="s">
        <v>41</v>
      </c>
      <c r="K883" t="s">
        <v>41</v>
      </c>
      <c r="L883" t="s">
        <v>19</v>
      </c>
      <c r="M883" t="s">
        <v>20</v>
      </c>
      <c r="N883">
        <v>1</v>
      </c>
      <c r="O883">
        <v>679</v>
      </c>
      <c r="P883">
        <v>1199</v>
      </c>
      <c r="Q883">
        <v>10</v>
      </c>
      <c r="R883">
        <v>200</v>
      </c>
      <c r="S883">
        <v>999</v>
      </c>
      <c r="T883">
        <v>320</v>
      </c>
      <c r="U883">
        <v>32.03</v>
      </c>
      <c r="V883" t="s">
        <v>33</v>
      </c>
    </row>
    <row r="884" spans="1:22" x14ac:dyDescent="0.35">
      <c r="A884" t="s">
        <v>3906</v>
      </c>
      <c r="B884" t="s">
        <v>34</v>
      </c>
      <c r="C884" t="s">
        <v>27</v>
      </c>
      <c r="D884" t="s">
        <v>3905</v>
      </c>
      <c r="E884" t="s">
        <v>3904</v>
      </c>
      <c r="F884" s="5">
        <v>45634</v>
      </c>
      <c r="G884" t="s">
        <v>126</v>
      </c>
      <c r="H884" t="s">
        <v>2630</v>
      </c>
      <c r="I884" t="s">
        <v>28</v>
      </c>
      <c r="J884" t="s">
        <v>45</v>
      </c>
      <c r="K884" t="s">
        <v>45</v>
      </c>
      <c r="L884" t="s">
        <v>37</v>
      </c>
      <c r="M884" t="s">
        <v>20</v>
      </c>
      <c r="N884">
        <v>2</v>
      </c>
      <c r="O884">
        <v>459</v>
      </c>
      <c r="P884">
        <v>699</v>
      </c>
      <c r="Q884">
        <v>5</v>
      </c>
      <c r="R884">
        <v>200</v>
      </c>
      <c r="S884">
        <v>1198</v>
      </c>
      <c r="T884">
        <v>280</v>
      </c>
      <c r="U884">
        <v>23.37</v>
      </c>
      <c r="V884" t="s">
        <v>21</v>
      </c>
    </row>
    <row r="885" spans="1:22" x14ac:dyDescent="0.35">
      <c r="A885" t="s">
        <v>3903</v>
      </c>
      <c r="B885" t="s">
        <v>102</v>
      </c>
      <c r="C885" t="s">
        <v>27</v>
      </c>
      <c r="D885" t="s">
        <v>3902</v>
      </c>
      <c r="E885" t="s">
        <v>3901</v>
      </c>
      <c r="F885" s="5">
        <v>45463</v>
      </c>
      <c r="G885" t="s">
        <v>126</v>
      </c>
      <c r="H885" t="s">
        <v>3900</v>
      </c>
      <c r="I885" t="s">
        <v>17</v>
      </c>
      <c r="J885" t="s">
        <v>48</v>
      </c>
      <c r="K885" t="s">
        <v>48</v>
      </c>
      <c r="L885" t="s">
        <v>25</v>
      </c>
      <c r="M885" t="s">
        <v>20</v>
      </c>
      <c r="N885">
        <v>1</v>
      </c>
      <c r="O885">
        <v>268</v>
      </c>
      <c r="P885">
        <v>399</v>
      </c>
      <c r="Q885">
        <v>0</v>
      </c>
      <c r="R885">
        <v>0</v>
      </c>
      <c r="S885">
        <v>399</v>
      </c>
      <c r="T885">
        <v>131</v>
      </c>
      <c r="U885">
        <v>32.83</v>
      </c>
      <c r="V885" t="s">
        <v>21</v>
      </c>
    </row>
    <row r="886" spans="1:22" x14ac:dyDescent="0.35">
      <c r="A886" t="s">
        <v>3899</v>
      </c>
      <c r="B886" t="s">
        <v>106</v>
      </c>
      <c r="C886" t="s">
        <v>27</v>
      </c>
      <c r="D886" t="s">
        <v>3898</v>
      </c>
      <c r="E886" t="s">
        <v>3897</v>
      </c>
      <c r="F886" s="5">
        <v>45579</v>
      </c>
      <c r="G886" t="s">
        <v>126</v>
      </c>
      <c r="H886" t="s">
        <v>3896</v>
      </c>
      <c r="I886" t="s">
        <v>28</v>
      </c>
      <c r="J886" t="s">
        <v>45</v>
      </c>
      <c r="K886" t="s">
        <v>45</v>
      </c>
      <c r="L886" t="s">
        <v>37</v>
      </c>
      <c r="M886" t="s">
        <v>20</v>
      </c>
      <c r="N886">
        <v>2</v>
      </c>
      <c r="O886">
        <v>1282</v>
      </c>
      <c r="P886">
        <v>1799</v>
      </c>
      <c r="Q886">
        <v>15</v>
      </c>
      <c r="R886">
        <v>600</v>
      </c>
      <c r="S886">
        <v>2998</v>
      </c>
      <c r="T886">
        <v>434</v>
      </c>
      <c r="U886">
        <v>14.48</v>
      </c>
      <c r="V886" t="s">
        <v>33</v>
      </c>
    </row>
    <row r="887" spans="1:22" x14ac:dyDescent="0.35">
      <c r="A887" t="s">
        <v>3895</v>
      </c>
      <c r="B887" t="s">
        <v>90</v>
      </c>
      <c r="C887" t="s">
        <v>27</v>
      </c>
      <c r="D887" t="s">
        <v>3894</v>
      </c>
      <c r="E887" t="s">
        <v>3893</v>
      </c>
      <c r="F887" s="5">
        <v>45606</v>
      </c>
      <c r="G887" t="s">
        <v>126</v>
      </c>
      <c r="H887" t="s">
        <v>1520</v>
      </c>
      <c r="I887" t="s">
        <v>28</v>
      </c>
      <c r="J887" t="s">
        <v>45</v>
      </c>
      <c r="K887" t="s">
        <v>45</v>
      </c>
      <c r="L887" t="s">
        <v>25</v>
      </c>
      <c r="M887" t="s">
        <v>19</v>
      </c>
      <c r="N887">
        <v>4</v>
      </c>
      <c r="O887">
        <v>945</v>
      </c>
      <c r="P887">
        <v>1599</v>
      </c>
      <c r="Q887">
        <v>5</v>
      </c>
      <c r="R887">
        <v>400</v>
      </c>
      <c r="S887">
        <v>5996</v>
      </c>
      <c r="T887">
        <v>2216</v>
      </c>
      <c r="U887">
        <v>36.96</v>
      </c>
      <c r="V887" t="s">
        <v>21</v>
      </c>
    </row>
    <row r="888" spans="1:22" x14ac:dyDescent="0.35">
      <c r="A888" t="s">
        <v>3892</v>
      </c>
      <c r="B888" t="s">
        <v>84</v>
      </c>
      <c r="C888" t="s">
        <v>27</v>
      </c>
      <c r="D888" t="s">
        <v>3891</v>
      </c>
      <c r="E888" t="s">
        <v>3890</v>
      </c>
      <c r="F888" s="5">
        <v>45463</v>
      </c>
      <c r="G888" t="s">
        <v>126</v>
      </c>
      <c r="H888" t="s">
        <v>1608</v>
      </c>
      <c r="I888" t="s">
        <v>35</v>
      </c>
      <c r="J888" t="s">
        <v>159</v>
      </c>
      <c r="K888" t="s">
        <v>36</v>
      </c>
      <c r="L888" t="s">
        <v>19</v>
      </c>
      <c r="M888" t="s">
        <v>20</v>
      </c>
      <c r="N888">
        <v>5</v>
      </c>
      <c r="O888">
        <v>331</v>
      </c>
      <c r="P888">
        <v>499</v>
      </c>
      <c r="Q888">
        <v>10</v>
      </c>
      <c r="R888">
        <v>500</v>
      </c>
      <c r="S888">
        <v>1995</v>
      </c>
      <c r="T888">
        <v>340</v>
      </c>
      <c r="U888">
        <v>17.04</v>
      </c>
      <c r="V888" t="s">
        <v>33</v>
      </c>
    </row>
    <row r="889" spans="1:22" x14ac:dyDescent="0.35">
      <c r="A889" t="s">
        <v>3889</v>
      </c>
      <c r="B889" t="s">
        <v>59</v>
      </c>
      <c r="C889" t="s">
        <v>27</v>
      </c>
      <c r="D889" t="s">
        <v>3888</v>
      </c>
      <c r="E889" t="s">
        <v>3887</v>
      </c>
      <c r="F889" s="5">
        <v>45572</v>
      </c>
      <c r="G889" t="s">
        <v>126</v>
      </c>
      <c r="H889" t="s">
        <v>2278</v>
      </c>
      <c r="I889" t="s">
        <v>17</v>
      </c>
      <c r="J889" t="s">
        <v>48</v>
      </c>
      <c r="K889" t="s">
        <v>48</v>
      </c>
      <c r="L889" t="s">
        <v>19</v>
      </c>
      <c r="M889" t="s">
        <v>19</v>
      </c>
      <c r="N889">
        <v>1</v>
      </c>
      <c r="O889">
        <v>427</v>
      </c>
      <c r="P889">
        <v>599</v>
      </c>
      <c r="Q889">
        <v>0</v>
      </c>
      <c r="R889">
        <v>0</v>
      </c>
      <c r="S889">
        <v>599</v>
      </c>
      <c r="T889">
        <v>172</v>
      </c>
      <c r="U889">
        <v>28.71</v>
      </c>
      <c r="V889" t="s">
        <v>21</v>
      </c>
    </row>
    <row r="890" spans="1:22" x14ac:dyDescent="0.35">
      <c r="A890" t="s">
        <v>3886</v>
      </c>
      <c r="B890" t="s">
        <v>94</v>
      </c>
      <c r="C890" t="s">
        <v>16</v>
      </c>
      <c r="D890" t="s">
        <v>3885</v>
      </c>
      <c r="E890" t="s">
        <v>3884</v>
      </c>
      <c r="F890" s="5">
        <v>45562</v>
      </c>
      <c r="G890" t="s">
        <v>126</v>
      </c>
      <c r="H890" t="s">
        <v>3883</v>
      </c>
      <c r="I890" t="s">
        <v>23</v>
      </c>
      <c r="J890" t="s">
        <v>142</v>
      </c>
      <c r="K890" t="s">
        <v>43</v>
      </c>
      <c r="L890" t="s">
        <v>25</v>
      </c>
      <c r="M890" t="s">
        <v>20</v>
      </c>
      <c r="N890">
        <v>1</v>
      </c>
      <c r="O890">
        <v>1520</v>
      </c>
      <c r="P890">
        <v>2799</v>
      </c>
      <c r="Q890">
        <v>10</v>
      </c>
      <c r="R890">
        <v>300</v>
      </c>
      <c r="S890">
        <v>2499</v>
      </c>
      <c r="T890">
        <v>979</v>
      </c>
      <c r="U890">
        <v>39.18</v>
      </c>
      <c r="V890" t="s">
        <v>21</v>
      </c>
    </row>
    <row r="891" spans="1:22" x14ac:dyDescent="0.35">
      <c r="A891" t="s">
        <v>3882</v>
      </c>
      <c r="B891" t="s">
        <v>77</v>
      </c>
      <c r="C891" t="s">
        <v>27</v>
      </c>
      <c r="D891" t="s">
        <v>3881</v>
      </c>
      <c r="E891" t="s">
        <v>3880</v>
      </c>
      <c r="F891" s="5">
        <v>45518</v>
      </c>
      <c r="G891" t="s">
        <v>126</v>
      </c>
      <c r="H891" t="s">
        <v>3879</v>
      </c>
      <c r="I891" t="s">
        <v>31</v>
      </c>
      <c r="J891" t="s">
        <v>32</v>
      </c>
      <c r="K891" t="s">
        <v>32</v>
      </c>
      <c r="L891" t="s">
        <v>37</v>
      </c>
      <c r="M891" t="s">
        <v>19</v>
      </c>
      <c r="N891">
        <v>2</v>
      </c>
      <c r="O891">
        <v>617</v>
      </c>
      <c r="P891">
        <v>1199</v>
      </c>
      <c r="Q891">
        <v>0</v>
      </c>
      <c r="R891">
        <v>0</v>
      </c>
      <c r="S891">
        <v>2398</v>
      </c>
      <c r="T891">
        <v>1164</v>
      </c>
      <c r="U891">
        <v>48.54</v>
      </c>
      <c r="V891" t="s">
        <v>21</v>
      </c>
    </row>
    <row r="892" spans="1:22" x14ac:dyDescent="0.35">
      <c r="A892" t="s">
        <v>3878</v>
      </c>
      <c r="B892" t="s">
        <v>108</v>
      </c>
      <c r="C892" t="s">
        <v>27</v>
      </c>
      <c r="D892" t="s">
        <v>3877</v>
      </c>
      <c r="E892" t="s">
        <v>3876</v>
      </c>
      <c r="F892" s="5">
        <v>45477</v>
      </c>
      <c r="G892" t="s">
        <v>126</v>
      </c>
      <c r="H892" t="s">
        <v>2549</v>
      </c>
      <c r="I892" t="s">
        <v>31</v>
      </c>
      <c r="J892" t="s">
        <v>76</v>
      </c>
      <c r="K892" t="s">
        <v>76</v>
      </c>
      <c r="L892" t="s">
        <v>37</v>
      </c>
      <c r="M892" t="s">
        <v>20</v>
      </c>
      <c r="N892">
        <v>1</v>
      </c>
      <c r="O892">
        <v>487</v>
      </c>
      <c r="P892">
        <v>699</v>
      </c>
      <c r="Q892">
        <v>0</v>
      </c>
      <c r="R892">
        <v>0</v>
      </c>
      <c r="S892">
        <v>699</v>
      </c>
      <c r="T892">
        <v>212</v>
      </c>
      <c r="U892">
        <v>30.33</v>
      </c>
      <c r="V892" t="s">
        <v>21</v>
      </c>
    </row>
    <row r="893" spans="1:22" x14ac:dyDescent="0.35">
      <c r="A893" t="s">
        <v>3875</v>
      </c>
      <c r="B893" t="s">
        <v>80</v>
      </c>
      <c r="C893" t="s">
        <v>27</v>
      </c>
      <c r="D893" t="s">
        <v>3874</v>
      </c>
      <c r="E893" t="s">
        <v>3873</v>
      </c>
      <c r="F893" s="5">
        <v>45645</v>
      </c>
      <c r="G893" t="s">
        <v>126</v>
      </c>
      <c r="H893" t="s">
        <v>1988</v>
      </c>
      <c r="I893" t="s">
        <v>17</v>
      </c>
      <c r="J893" t="s">
        <v>48</v>
      </c>
      <c r="K893" t="s">
        <v>48</v>
      </c>
      <c r="L893" t="s">
        <v>19</v>
      </c>
      <c r="M893" t="s">
        <v>20</v>
      </c>
      <c r="N893">
        <v>2</v>
      </c>
      <c r="O893">
        <v>286</v>
      </c>
      <c r="P893">
        <v>499</v>
      </c>
      <c r="Q893">
        <v>0</v>
      </c>
      <c r="R893">
        <v>0</v>
      </c>
      <c r="S893">
        <v>998</v>
      </c>
      <c r="T893">
        <v>426</v>
      </c>
      <c r="U893">
        <v>42.69</v>
      </c>
      <c r="V893" t="s">
        <v>33</v>
      </c>
    </row>
    <row r="894" spans="1:22" x14ac:dyDescent="0.35">
      <c r="A894" t="s">
        <v>3872</v>
      </c>
      <c r="B894" t="s">
        <v>79</v>
      </c>
      <c r="C894" t="s">
        <v>16</v>
      </c>
      <c r="D894" t="s">
        <v>3871</v>
      </c>
      <c r="E894" t="s">
        <v>3870</v>
      </c>
      <c r="F894" s="5">
        <v>45508</v>
      </c>
      <c r="G894" t="s">
        <v>126</v>
      </c>
      <c r="H894" t="s">
        <v>956</v>
      </c>
      <c r="I894" t="s">
        <v>31</v>
      </c>
      <c r="J894" t="s">
        <v>32</v>
      </c>
      <c r="K894" t="s">
        <v>32</v>
      </c>
      <c r="L894" t="s">
        <v>19</v>
      </c>
      <c r="M894" t="s">
        <v>19</v>
      </c>
      <c r="N894">
        <v>3</v>
      </c>
      <c r="O894">
        <v>578</v>
      </c>
      <c r="P894">
        <v>899</v>
      </c>
      <c r="Q894">
        <v>0</v>
      </c>
      <c r="R894">
        <v>0</v>
      </c>
      <c r="S894">
        <v>2697</v>
      </c>
      <c r="T894">
        <v>963</v>
      </c>
      <c r="U894">
        <v>35.71</v>
      </c>
      <c r="V894" t="s">
        <v>21</v>
      </c>
    </row>
    <row r="895" spans="1:22" x14ac:dyDescent="0.35">
      <c r="A895" t="s">
        <v>3869</v>
      </c>
      <c r="B895" t="s">
        <v>15</v>
      </c>
      <c r="C895" t="s">
        <v>16</v>
      </c>
      <c r="D895" t="s">
        <v>3868</v>
      </c>
      <c r="E895" t="s">
        <v>3867</v>
      </c>
      <c r="F895" s="5">
        <v>45512</v>
      </c>
      <c r="G895" t="s">
        <v>126</v>
      </c>
      <c r="H895" t="s">
        <v>249</v>
      </c>
      <c r="I895" t="s">
        <v>17</v>
      </c>
      <c r="J895" t="s">
        <v>48</v>
      </c>
      <c r="K895" t="s">
        <v>48</v>
      </c>
      <c r="L895" t="s">
        <v>19</v>
      </c>
      <c r="M895" t="s">
        <v>19</v>
      </c>
      <c r="N895">
        <v>1</v>
      </c>
      <c r="O895">
        <v>362</v>
      </c>
      <c r="P895">
        <v>599</v>
      </c>
      <c r="Q895">
        <v>0</v>
      </c>
      <c r="R895">
        <v>0</v>
      </c>
      <c r="S895">
        <v>599</v>
      </c>
      <c r="T895">
        <v>237</v>
      </c>
      <c r="U895">
        <v>39.57</v>
      </c>
      <c r="V895" t="s">
        <v>21</v>
      </c>
    </row>
    <row r="896" spans="1:22" x14ac:dyDescent="0.35">
      <c r="A896" t="s">
        <v>3866</v>
      </c>
      <c r="B896" t="s">
        <v>57</v>
      </c>
      <c r="C896" t="s">
        <v>27</v>
      </c>
      <c r="D896" t="s">
        <v>3865</v>
      </c>
      <c r="E896" t="s">
        <v>3864</v>
      </c>
      <c r="F896" s="5">
        <v>45536</v>
      </c>
      <c r="G896" t="s">
        <v>126</v>
      </c>
      <c r="H896" t="s">
        <v>3863</v>
      </c>
      <c r="I896" t="s">
        <v>28</v>
      </c>
      <c r="J896" t="s">
        <v>201</v>
      </c>
      <c r="K896" t="s">
        <v>29</v>
      </c>
      <c r="L896" t="s">
        <v>25</v>
      </c>
      <c r="M896" t="s">
        <v>19</v>
      </c>
      <c r="N896">
        <v>2</v>
      </c>
      <c r="O896">
        <v>360</v>
      </c>
      <c r="P896">
        <v>499</v>
      </c>
      <c r="Q896">
        <v>10</v>
      </c>
      <c r="R896">
        <v>200</v>
      </c>
      <c r="S896">
        <v>798</v>
      </c>
      <c r="T896">
        <v>78</v>
      </c>
      <c r="U896">
        <v>9.77</v>
      </c>
      <c r="V896" t="s">
        <v>21</v>
      </c>
    </row>
    <row r="897" spans="1:22" x14ac:dyDescent="0.35">
      <c r="A897" t="s">
        <v>3862</v>
      </c>
      <c r="B897" t="s">
        <v>106</v>
      </c>
      <c r="C897" t="s">
        <v>27</v>
      </c>
      <c r="D897" t="s">
        <v>3861</v>
      </c>
      <c r="E897" t="s">
        <v>3860</v>
      </c>
      <c r="F897" s="5">
        <v>45589</v>
      </c>
      <c r="G897" t="s">
        <v>126</v>
      </c>
      <c r="H897" t="s">
        <v>623</v>
      </c>
      <c r="I897" t="s">
        <v>31</v>
      </c>
      <c r="J897" t="s">
        <v>32</v>
      </c>
      <c r="K897" t="s">
        <v>32</v>
      </c>
      <c r="L897" t="s">
        <v>19</v>
      </c>
      <c r="M897" t="s">
        <v>19</v>
      </c>
      <c r="N897">
        <v>5</v>
      </c>
      <c r="O897">
        <v>1053</v>
      </c>
      <c r="P897">
        <v>1499</v>
      </c>
      <c r="Q897">
        <v>0</v>
      </c>
      <c r="R897">
        <v>0</v>
      </c>
      <c r="S897">
        <v>7495</v>
      </c>
      <c r="T897">
        <v>2230</v>
      </c>
      <c r="U897">
        <v>29.75</v>
      </c>
      <c r="V897" t="s">
        <v>21</v>
      </c>
    </row>
    <row r="898" spans="1:22" x14ac:dyDescent="0.35">
      <c r="A898" t="s">
        <v>3859</v>
      </c>
      <c r="B898" t="s">
        <v>59</v>
      </c>
      <c r="C898" t="s">
        <v>27</v>
      </c>
      <c r="D898" t="s">
        <v>3858</v>
      </c>
      <c r="E898" t="s">
        <v>3857</v>
      </c>
      <c r="F898" s="5">
        <v>45526</v>
      </c>
      <c r="G898" t="s">
        <v>126</v>
      </c>
      <c r="H898" t="s">
        <v>3856</v>
      </c>
      <c r="I898" t="s">
        <v>17</v>
      </c>
      <c r="J898" t="s">
        <v>48</v>
      </c>
      <c r="K898" t="s">
        <v>48</v>
      </c>
      <c r="L898" t="s">
        <v>19</v>
      </c>
      <c r="M898" t="s">
        <v>20</v>
      </c>
      <c r="N898">
        <v>1</v>
      </c>
      <c r="O898">
        <v>381</v>
      </c>
      <c r="P898">
        <v>599</v>
      </c>
      <c r="Q898">
        <v>0</v>
      </c>
      <c r="R898">
        <v>0</v>
      </c>
      <c r="S898">
        <v>599</v>
      </c>
      <c r="T898">
        <v>218</v>
      </c>
      <c r="U898">
        <v>36.39</v>
      </c>
      <c r="V898" t="s">
        <v>33</v>
      </c>
    </row>
    <row r="899" spans="1:22" x14ac:dyDescent="0.35">
      <c r="A899" t="s">
        <v>3855</v>
      </c>
      <c r="B899" t="s">
        <v>62</v>
      </c>
      <c r="C899" t="s">
        <v>16</v>
      </c>
      <c r="D899" t="s">
        <v>3854</v>
      </c>
      <c r="E899" t="s">
        <v>3853</v>
      </c>
      <c r="F899" s="5">
        <v>45466</v>
      </c>
      <c r="G899" t="s">
        <v>126</v>
      </c>
      <c r="H899" t="s">
        <v>249</v>
      </c>
      <c r="I899" t="s">
        <v>31</v>
      </c>
      <c r="J899" t="s">
        <v>76</v>
      </c>
      <c r="K899" t="s">
        <v>76</v>
      </c>
      <c r="L899" t="s">
        <v>37</v>
      </c>
      <c r="M899" t="s">
        <v>20</v>
      </c>
      <c r="N899">
        <v>1</v>
      </c>
      <c r="O899">
        <v>401</v>
      </c>
      <c r="P899">
        <v>799</v>
      </c>
      <c r="Q899">
        <v>0</v>
      </c>
      <c r="R899">
        <v>0</v>
      </c>
      <c r="S899">
        <v>799</v>
      </c>
      <c r="T899">
        <v>398</v>
      </c>
      <c r="U899">
        <v>49.81</v>
      </c>
      <c r="V899" t="s">
        <v>21</v>
      </c>
    </row>
    <row r="900" spans="1:22" x14ac:dyDescent="0.35">
      <c r="A900" t="s">
        <v>3852</v>
      </c>
      <c r="B900" t="s">
        <v>77</v>
      </c>
      <c r="C900" t="s">
        <v>27</v>
      </c>
      <c r="D900" t="s">
        <v>3851</v>
      </c>
      <c r="E900" t="s">
        <v>3850</v>
      </c>
      <c r="F900" s="5">
        <v>45542</v>
      </c>
      <c r="G900" t="s">
        <v>126</v>
      </c>
      <c r="H900" t="s">
        <v>990</v>
      </c>
      <c r="I900" t="s">
        <v>31</v>
      </c>
      <c r="J900" t="s">
        <v>76</v>
      </c>
      <c r="K900" t="s">
        <v>76</v>
      </c>
      <c r="L900" t="s">
        <v>25</v>
      </c>
      <c r="M900" t="s">
        <v>20</v>
      </c>
      <c r="N900">
        <v>1</v>
      </c>
      <c r="O900">
        <v>463</v>
      </c>
      <c r="P900">
        <v>699</v>
      </c>
      <c r="Q900">
        <v>0</v>
      </c>
      <c r="R900">
        <v>0</v>
      </c>
      <c r="S900">
        <v>699</v>
      </c>
      <c r="T900">
        <v>236</v>
      </c>
      <c r="U900">
        <v>33.76</v>
      </c>
      <c r="V900" t="s">
        <v>21</v>
      </c>
    </row>
    <row r="901" spans="1:22" x14ac:dyDescent="0.35">
      <c r="A901" t="s">
        <v>3849</v>
      </c>
      <c r="B901" t="s">
        <v>54</v>
      </c>
      <c r="C901" t="s">
        <v>27</v>
      </c>
      <c r="D901" t="s">
        <v>3848</v>
      </c>
      <c r="E901" t="s">
        <v>2557</v>
      </c>
      <c r="F901" s="5">
        <v>45452</v>
      </c>
      <c r="G901" t="s">
        <v>126</v>
      </c>
      <c r="H901" t="s">
        <v>1777</v>
      </c>
      <c r="I901" t="s">
        <v>23</v>
      </c>
      <c r="J901" t="s">
        <v>164</v>
      </c>
      <c r="K901" t="s">
        <v>24</v>
      </c>
      <c r="L901" t="s">
        <v>25</v>
      </c>
      <c r="M901" t="s">
        <v>20</v>
      </c>
      <c r="N901">
        <v>2</v>
      </c>
      <c r="O901">
        <v>1005</v>
      </c>
      <c r="P901">
        <v>1699</v>
      </c>
      <c r="Q901">
        <v>10</v>
      </c>
      <c r="R901">
        <v>400</v>
      </c>
      <c r="S901">
        <v>2998</v>
      </c>
      <c r="T901">
        <v>988</v>
      </c>
      <c r="U901">
        <v>32.96</v>
      </c>
      <c r="V901" t="s">
        <v>33</v>
      </c>
    </row>
    <row r="902" spans="1:22" x14ac:dyDescent="0.35">
      <c r="A902" t="s">
        <v>3847</v>
      </c>
      <c r="B902" t="s">
        <v>52</v>
      </c>
      <c r="C902" t="s">
        <v>27</v>
      </c>
      <c r="D902" t="s">
        <v>3846</v>
      </c>
      <c r="E902" t="s">
        <v>3845</v>
      </c>
      <c r="F902" s="5">
        <v>45499</v>
      </c>
      <c r="G902" t="s">
        <v>126</v>
      </c>
      <c r="H902" t="s">
        <v>3844</v>
      </c>
      <c r="I902" t="s">
        <v>17</v>
      </c>
      <c r="J902" t="s">
        <v>253</v>
      </c>
      <c r="K902" t="s">
        <v>72</v>
      </c>
      <c r="L902" t="s">
        <v>37</v>
      </c>
      <c r="M902" t="s">
        <v>19</v>
      </c>
      <c r="N902">
        <v>4</v>
      </c>
      <c r="O902">
        <v>371</v>
      </c>
      <c r="P902">
        <v>499</v>
      </c>
      <c r="Q902">
        <v>0</v>
      </c>
      <c r="R902">
        <v>0</v>
      </c>
      <c r="S902">
        <v>1996</v>
      </c>
      <c r="T902">
        <v>512</v>
      </c>
      <c r="U902">
        <v>25.65</v>
      </c>
      <c r="V902" t="s">
        <v>21</v>
      </c>
    </row>
    <row r="903" spans="1:22" x14ac:dyDescent="0.35">
      <c r="A903" t="s">
        <v>3843</v>
      </c>
      <c r="B903" t="s">
        <v>90</v>
      </c>
      <c r="C903" t="s">
        <v>27</v>
      </c>
      <c r="D903" t="s">
        <v>3842</v>
      </c>
      <c r="E903" t="s">
        <v>3841</v>
      </c>
      <c r="F903" s="5">
        <v>45579</v>
      </c>
      <c r="G903" t="s">
        <v>126</v>
      </c>
      <c r="H903" t="s">
        <v>2849</v>
      </c>
      <c r="I903" t="s">
        <v>31</v>
      </c>
      <c r="J903" t="s">
        <v>32</v>
      </c>
      <c r="K903" t="s">
        <v>32</v>
      </c>
      <c r="L903" t="s">
        <v>19</v>
      </c>
      <c r="M903" t="s">
        <v>19</v>
      </c>
      <c r="N903">
        <v>2</v>
      </c>
      <c r="O903">
        <v>736</v>
      </c>
      <c r="P903">
        <v>1199</v>
      </c>
      <c r="Q903">
        <v>0</v>
      </c>
      <c r="R903">
        <v>0</v>
      </c>
      <c r="S903">
        <v>2398</v>
      </c>
      <c r="T903">
        <v>926</v>
      </c>
      <c r="U903">
        <v>38.619999999999997</v>
      </c>
      <c r="V903" t="s">
        <v>21</v>
      </c>
    </row>
    <row r="904" spans="1:22" x14ac:dyDescent="0.35">
      <c r="A904" t="s">
        <v>3840</v>
      </c>
      <c r="B904" t="s">
        <v>57</v>
      </c>
      <c r="C904" t="s">
        <v>27</v>
      </c>
      <c r="D904" t="s">
        <v>3839</v>
      </c>
      <c r="E904" t="s">
        <v>3838</v>
      </c>
      <c r="F904" s="5">
        <v>45612</v>
      </c>
      <c r="G904" t="s">
        <v>126</v>
      </c>
      <c r="H904" t="s">
        <v>254</v>
      </c>
      <c r="I904" t="s">
        <v>31</v>
      </c>
      <c r="J904" t="s">
        <v>76</v>
      </c>
      <c r="K904" t="s">
        <v>76</v>
      </c>
      <c r="L904" t="s">
        <v>25</v>
      </c>
      <c r="M904" t="s">
        <v>19</v>
      </c>
      <c r="N904">
        <v>5</v>
      </c>
      <c r="O904">
        <v>574</v>
      </c>
      <c r="P904">
        <v>799</v>
      </c>
      <c r="Q904">
        <v>0</v>
      </c>
      <c r="R904">
        <v>0</v>
      </c>
      <c r="S904">
        <v>3995</v>
      </c>
      <c r="T904">
        <v>1125</v>
      </c>
      <c r="U904">
        <v>28.16</v>
      </c>
      <c r="V904" t="s">
        <v>21</v>
      </c>
    </row>
    <row r="905" spans="1:22" x14ac:dyDescent="0.35">
      <c r="A905" t="s">
        <v>3837</v>
      </c>
      <c r="B905" t="s">
        <v>69</v>
      </c>
      <c r="C905" t="s">
        <v>16</v>
      </c>
      <c r="D905" t="s">
        <v>3836</v>
      </c>
      <c r="E905" t="s">
        <v>3835</v>
      </c>
      <c r="F905" s="5">
        <v>45495</v>
      </c>
      <c r="G905" t="s">
        <v>126</v>
      </c>
      <c r="H905" t="s">
        <v>2133</v>
      </c>
      <c r="I905" t="s">
        <v>23</v>
      </c>
      <c r="J905" t="s">
        <v>142</v>
      </c>
      <c r="K905" t="s">
        <v>43</v>
      </c>
      <c r="L905" t="s">
        <v>37</v>
      </c>
      <c r="M905" t="s">
        <v>19</v>
      </c>
      <c r="N905">
        <v>1</v>
      </c>
      <c r="O905">
        <v>1950</v>
      </c>
      <c r="P905">
        <v>3799</v>
      </c>
      <c r="Q905">
        <v>20</v>
      </c>
      <c r="R905">
        <v>800</v>
      </c>
      <c r="S905">
        <v>2999</v>
      </c>
      <c r="T905">
        <v>1049</v>
      </c>
      <c r="U905">
        <v>34.979999999999997</v>
      </c>
      <c r="V905" t="s">
        <v>33</v>
      </c>
    </row>
    <row r="906" spans="1:22" x14ac:dyDescent="0.35">
      <c r="A906" t="s">
        <v>3834</v>
      </c>
      <c r="B906" t="s">
        <v>78</v>
      </c>
      <c r="C906" t="s">
        <v>16</v>
      </c>
      <c r="D906" t="s">
        <v>3833</v>
      </c>
      <c r="E906" t="s">
        <v>3832</v>
      </c>
      <c r="F906" s="5">
        <v>45553</v>
      </c>
      <c r="G906" t="s">
        <v>126</v>
      </c>
      <c r="H906" t="s">
        <v>3831</v>
      </c>
      <c r="I906" t="s">
        <v>28</v>
      </c>
      <c r="J906" t="s">
        <v>201</v>
      </c>
      <c r="K906" t="s">
        <v>29</v>
      </c>
      <c r="L906" t="s">
        <v>19</v>
      </c>
      <c r="M906" t="s">
        <v>20</v>
      </c>
      <c r="N906">
        <v>2</v>
      </c>
      <c r="O906">
        <v>448</v>
      </c>
      <c r="P906">
        <v>599</v>
      </c>
      <c r="Q906">
        <v>20</v>
      </c>
      <c r="R906">
        <v>300</v>
      </c>
      <c r="S906">
        <v>898</v>
      </c>
      <c r="T906">
        <v>2</v>
      </c>
      <c r="U906">
        <v>0.22</v>
      </c>
      <c r="V906" t="s">
        <v>21</v>
      </c>
    </row>
    <row r="907" spans="1:22" x14ac:dyDescent="0.35">
      <c r="A907" t="s">
        <v>3830</v>
      </c>
      <c r="B907" t="s">
        <v>26</v>
      </c>
      <c r="C907" t="s">
        <v>27</v>
      </c>
      <c r="D907" t="s">
        <v>3829</v>
      </c>
      <c r="E907" t="s">
        <v>3828</v>
      </c>
      <c r="F907" s="5">
        <v>45583</v>
      </c>
      <c r="G907" t="s">
        <v>126</v>
      </c>
      <c r="H907" t="s">
        <v>806</v>
      </c>
      <c r="I907" t="s">
        <v>23</v>
      </c>
      <c r="J907" t="s">
        <v>142</v>
      </c>
      <c r="K907" t="s">
        <v>43</v>
      </c>
      <c r="L907" t="s">
        <v>19</v>
      </c>
      <c r="M907" t="s">
        <v>20</v>
      </c>
      <c r="N907">
        <v>3</v>
      </c>
      <c r="O907">
        <v>2551</v>
      </c>
      <c r="P907">
        <v>4799</v>
      </c>
      <c r="Q907">
        <v>15</v>
      </c>
      <c r="R907">
        <v>2400</v>
      </c>
      <c r="S907">
        <v>11997</v>
      </c>
      <c r="T907">
        <v>4344</v>
      </c>
      <c r="U907">
        <v>36.21</v>
      </c>
      <c r="V907" t="s">
        <v>21</v>
      </c>
    </row>
    <row r="908" spans="1:22" x14ac:dyDescent="0.35">
      <c r="A908" t="s">
        <v>3827</v>
      </c>
      <c r="B908" t="s">
        <v>94</v>
      </c>
      <c r="C908" t="s">
        <v>16</v>
      </c>
      <c r="D908" t="s">
        <v>3826</v>
      </c>
      <c r="E908" t="s">
        <v>3825</v>
      </c>
      <c r="F908" s="5">
        <v>45534</v>
      </c>
      <c r="G908" t="s">
        <v>126</v>
      </c>
      <c r="H908" t="s">
        <v>3824</v>
      </c>
      <c r="I908" t="s">
        <v>23</v>
      </c>
      <c r="J908" t="s">
        <v>164</v>
      </c>
      <c r="K908" t="s">
        <v>24</v>
      </c>
      <c r="L908" t="s">
        <v>25</v>
      </c>
      <c r="M908" t="s">
        <v>19</v>
      </c>
      <c r="N908">
        <v>2</v>
      </c>
      <c r="O908">
        <v>655</v>
      </c>
      <c r="P908">
        <v>1199</v>
      </c>
      <c r="Q908">
        <v>15</v>
      </c>
      <c r="R908">
        <v>400</v>
      </c>
      <c r="S908">
        <v>1998</v>
      </c>
      <c r="T908">
        <v>688</v>
      </c>
      <c r="U908">
        <v>34.43</v>
      </c>
      <c r="V908" t="s">
        <v>21</v>
      </c>
    </row>
    <row r="909" spans="1:22" x14ac:dyDescent="0.35">
      <c r="A909" t="s">
        <v>3823</v>
      </c>
      <c r="B909" t="s">
        <v>84</v>
      </c>
      <c r="C909" t="s">
        <v>27</v>
      </c>
      <c r="D909" t="s">
        <v>3822</v>
      </c>
      <c r="E909" t="s">
        <v>3821</v>
      </c>
      <c r="F909" s="5">
        <v>45591</v>
      </c>
      <c r="G909" t="s">
        <v>126</v>
      </c>
      <c r="H909" t="s">
        <v>3820</v>
      </c>
      <c r="I909" t="s">
        <v>17</v>
      </c>
      <c r="J909" t="s">
        <v>235</v>
      </c>
      <c r="K909" t="s">
        <v>18</v>
      </c>
      <c r="L909" t="s">
        <v>19</v>
      </c>
      <c r="M909" t="s">
        <v>19</v>
      </c>
      <c r="N909">
        <v>3</v>
      </c>
      <c r="O909">
        <v>445</v>
      </c>
      <c r="P909">
        <v>599</v>
      </c>
      <c r="Q909">
        <v>0</v>
      </c>
      <c r="R909">
        <v>0</v>
      </c>
      <c r="S909">
        <v>1797</v>
      </c>
      <c r="T909">
        <v>462</v>
      </c>
      <c r="U909">
        <v>25.71</v>
      </c>
      <c r="V909" t="s">
        <v>33</v>
      </c>
    </row>
    <row r="910" spans="1:22" x14ac:dyDescent="0.35">
      <c r="A910" t="s">
        <v>3819</v>
      </c>
      <c r="B910" t="s">
        <v>44</v>
      </c>
      <c r="C910" t="s">
        <v>16</v>
      </c>
      <c r="D910" t="s">
        <v>3818</v>
      </c>
      <c r="E910" t="s">
        <v>3817</v>
      </c>
      <c r="F910" s="5">
        <v>45598</v>
      </c>
      <c r="G910" t="s">
        <v>126</v>
      </c>
      <c r="H910" t="s">
        <v>2072</v>
      </c>
      <c r="I910" t="s">
        <v>35</v>
      </c>
      <c r="J910" t="s">
        <v>244</v>
      </c>
      <c r="K910" t="s">
        <v>58</v>
      </c>
      <c r="L910" t="s">
        <v>37</v>
      </c>
      <c r="M910" t="s">
        <v>20</v>
      </c>
      <c r="N910">
        <v>1</v>
      </c>
      <c r="O910">
        <v>1185</v>
      </c>
      <c r="P910">
        <v>2299</v>
      </c>
      <c r="Q910">
        <v>10</v>
      </c>
      <c r="R910">
        <v>300</v>
      </c>
      <c r="S910">
        <v>1999</v>
      </c>
      <c r="T910">
        <v>814</v>
      </c>
      <c r="U910">
        <v>40.72</v>
      </c>
      <c r="V910" t="s">
        <v>21</v>
      </c>
    </row>
    <row r="911" spans="1:22" x14ac:dyDescent="0.35">
      <c r="A911" t="s">
        <v>3816</v>
      </c>
      <c r="B911" t="s">
        <v>92</v>
      </c>
      <c r="C911" t="s">
        <v>27</v>
      </c>
      <c r="D911" t="s">
        <v>3815</v>
      </c>
      <c r="E911" t="s">
        <v>3814</v>
      </c>
      <c r="F911" s="5">
        <v>45618</v>
      </c>
      <c r="G911" t="s">
        <v>126</v>
      </c>
      <c r="H911" t="s">
        <v>1077</v>
      </c>
      <c r="I911" t="s">
        <v>35</v>
      </c>
      <c r="J911" t="s">
        <v>39</v>
      </c>
      <c r="K911" t="s">
        <v>39</v>
      </c>
      <c r="L911" t="s">
        <v>37</v>
      </c>
      <c r="M911" t="s">
        <v>19</v>
      </c>
      <c r="N911">
        <v>1</v>
      </c>
      <c r="O911">
        <v>852</v>
      </c>
      <c r="P911">
        <v>1199</v>
      </c>
      <c r="Q911">
        <v>15</v>
      </c>
      <c r="R911">
        <v>200</v>
      </c>
      <c r="S911">
        <v>999</v>
      </c>
      <c r="T911">
        <v>147</v>
      </c>
      <c r="U911">
        <v>14.71</v>
      </c>
      <c r="V911" t="s">
        <v>21</v>
      </c>
    </row>
    <row r="912" spans="1:22" x14ac:dyDescent="0.35">
      <c r="A912" t="s">
        <v>3813</v>
      </c>
      <c r="B912" t="s">
        <v>80</v>
      </c>
      <c r="C912" t="s">
        <v>27</v>
      </c>
      <c r="D912" t="s">
        <v>3812</v>
      </c>
      <c r="E912" t="s">
        <v>3811</v>
      </c>
      <c r="F912" s="5">
        <v>45512</v>
      </c>
      <c r="G912" t="s">
        <v>126</v>
      </c>
      <c r="H912" t="s">
        <v>3810</v>
      </c>
      <c r="I912" t="s">
        <v>17</v>
      </c>
      <c r="J912" t="s">
        <v>48</v>
      </c>
      <c r="K912" t="s">
        <v>48</v>
      </c>
      <c r="L912" t="s">
        <v>25</v>
      </c>
      <c r="M912" t="s">
        <v>20</v>
      </c>
      <c r="N912">
        <v>1</v>
      </c>
      <c r="O912">
        <v>151</v>
      </c>
      <c r="P912">
        <v>299</v>
      </c>
      <c r="Q912">
        <v>0</v>
      </c>
      <c r="R912">
        <v>0</v>
      </c>
      <c r="S912">
        <v>299</v>
      </c>
      <c r="T912">
        <v>148</v>
      </c>
      <c r="U912">
        <v>49.5</v>
      </c>
      <c r="V912" t="s">
        <v>21</v>
      </c>
    </row>
    <row r="913" spans="1:22" x14ac:dyDescent="0.35">
      <c r="A913" t="s">
        <v>3809</v>
      </c>
      <c r="B913" t="s">
        <v>65</v>
      </c>
      <c r="C913" t="s">
        <v>16</v>
      </c>
      <c r="D913" t="s">
        <v>3808</v>
      </c>
      <c r="E913" t="s">
        <v>3807</v>
      </c>
      <c r="F913" s="5">
        <v>45570</v>
      </c>
      <c r="G913" t="s">
        <v>126</v>
      </c>
      <c r="H913" t="s">
        <v>1414</v>
      </c>
      <c r="I913" t="s">
        <v>23</v>
      </c>
      <c r="J913" t="s">
        <v>142</v>
      </c>
      <c r="K913" t="s">
        <v>43</v>
      </c>
      <c r="L913" t="s">
        <v>25</v>
      </c>
      <c r="M913" t="s">
        <v>20</v>
      </c>
      <c r="N913">
        <v>1</v>
      </c>
      <c r="O913">
        <v>1518</v>
      </c>
      <c r="P913">
        <v>2299</v>
      </c>
      <c r="Q913">
        <v>10</v>
      </c>
      <c r="R913">
        <v>300</v>
      </c>
      <c r="S913">
        <v>1999</v>
      </c>
      <c r="T913">
        <v>481</v>
      </c>
      <c r="U913">
        <v>24.06</v>
      </c>
      <c r="V913" t="s">
        <v>33</v>
      </c>
    </row>
    <row r="914" spans="1:22" x14ac:dyDescent="0.35">
      <c r="A914" t="s">
        <v>3806</v>
      </c>
      <c r="B914" t="s">
        <v>49</v>
      </c>
      <c r="C914" t="s">
        <v>27</v>
      </c>
      <c r="D914" t="s">
        <v>3805</v>
      </c>
      <c r="E914" t="s">
        <v>3804</v>
      </c>
      <c r="F914" s="5">
        <v>45518</v>
      </c>
      <c r="G914" t="s">
        <v>126</v>
      </c>
      <c r="H914" t="s">
        <v>3803</v>
      </c>
      <c r="I914" t="s">
        <v>31</v>
      </c>
      <c r="J914" t="s">
        <v>76</v>
      </c>
      <c r="K914" t="s">
        <v>76</v>
      </c>
      <c r="L914" t="s">
        <v>19</v>
      </c>
      <c r="M914" t="s">
        <v>20</v>
      </c>
      <c r="N914">
        <v>2</v>
      </c>
      <c r="O914">
        <v>757</v>
      </c>
      <c r="P914">
        <v>1499</v>
      </c>
      <c r="Q914">
        <v>0</v>
      </c>
      <c r="R914">
        <v>0</v>
      </c>
      <c r="S914">
        <v>2998</v>
      </c>
      <c r="T914">
        <v>1484</v>
      </c>
      <c r="U914">
        <v>49.5</v>
      </c>
      <c r="V914" t="s">
        <v>33</v>
      </c>
    </row>
    <row r="915" spans="1:22" x14ac:dyDescent="0.35">
      <c r="A915" t="s">
        <v>3802</v>
      </c>
      <c r="B915" t="s">
        <v>99</v>
      </c>
      <c r="C915" t="s">
        <v>27</v>
      </c>
      <c r="D915" t="s">
        <v>3801</v>
      </c>
      <c r="E915" t="s">
        <v>3800</v>
      </c>
      <c r="F915" s="5">
        <v>45490</v>
      </c>
      <c r="G915" t="s">
        <v>126</v>
      </c>
      <c r="H915" t="s">
        <v>1818</v>
      </c>
      <c r="I915" t="s">
        <v>31</v>
      </c>
      <c r="J915" t="s">
        <v>76</v>
      </c>
      <c r="K915" t="s">
        <v>76</v>
      </c>
      <c r="L915" t="s">
        <v>19</v>
      </c>
      <c r="M915" t="s">
        <v>19</v>
      </c>
      <c r="N915">
        <v>2</v>
      </c>
      <c r="O915">
        <v>805</v>
      </c>
      <c r="P915">
        <v>1199</v>
      </c>
      <c r="Q915">
        <v>0</v>
      </c>
      <c r="R915">
        <v>0</v>
      </c>
      <c r="S915">
        <v>2398</v>
      </c>
      <c r="T915">
        <v>788</v>
      </c>
      <c r="U915">
        <v>32.86</v>
      </c>
      <c r="V915" t="s">
        <v>21</v>
      </c>
    </row>
    <row r="916" spans="1:22" x14ac:dyDescent="0.35">
      <c r="A916" t="s">
        <v>3799</v>
      </c>
      <c r="B916" t="s">
        <v>108</v>
      </c>
      <c r="C916" t="s">
        <v>27</v>
      </c>
      <c r="D916" t="s">
        <v>3798</v>
      </c>
      <c r="E916" t="s">
        <v>3797</v>
      </c>
      <c r="F916" s="5">
        <v>45474</v>
      </c>
      <c r="G916" t="s">
        <v>126</v>
      </c>
      <c r="H916" t="s">
        <v>189</v>
      </c>
      <c r="I916" t="s">
        <v>31</v>
      </c>
      <c r="J916" t="s">
        <v>76</v>
      </c>
      <c r="K916" t="s">
        <v>76</v>
      </c>
      <c r="L916" t="s">
        <v>19</v>
      </c>
      <c r="M916" t="s">
        <v>19</v>
      </c>
      <c r="N916">
        <v>1</v>
      </c>
      <c r="O916">
        <v>443</v>
      </c>
      <c r="P916">
        <v>699</v>
      </c>
      <c r="Q916">
        <v>0</v>
      </c>
      <c r="R916">
        <v>0</v>
      </c>
      <c r="S916">
        <v>699</v>
      </c>
      <c r="T916">
        <v>256</v>
      </c>
      <c r="U916">
        <v>36.619999999999997</v>
      </c>
      <c r="V916" t="s">
        <v>21</v>
      </c>
    </row>
    <row r="917" spans="1:22" x14ac:dyDescent="0.35">
      <c r="A917" t="s">
        <v>3796</v>
      </c>
      <c r="B917" t="s">
        <v>59</v>
      </c>
      <c r="C917" t="s">
        <v>27</v>
      </c>
      <c r="D917" t="s">
        <v>3795</v>
      </c>
      <c r="E917" t="s">
        <v>3794</v>
      </c>
      <c r="F917" s="5">
        <v>45447</v>
      </c>
      <c r="G917" t="s">
        <v>126</v>
      </c>
      <c r="H917" t="s">
        <v>1351</v>
      </c>
      <c r="I917" t="s">
        <v>35</v>
      </c>
      <c r="J917" t="s">
        <v>41</v>
      </c>
      <c r="K917" t="s">
        <v>41</v>
      </c>
      <c r="L917" t="s">
        <v>25</v>
      </c>
      <c r="M917" t="s">
        <v>19</v>
      </c>
      <c r="N917">
        <v>1</v>
      </c>
      <c r="O917">
        <v>558</v>
      </c>
      <c r="P917">
        <v>999</v>
      </c>
      <c r="Q917">
        <v>15</v>
      </c>
      <c r="R917">
        <v>200</v>
      </c>
      <c r="S917">
        <v>799</v>
      </c>
      <c r="T917">
        <v>241</v>
      </c>
      <c r="U917">
        <v>30.16</v>
      </c>
      <c r="V917" t="s">
        <v>21</v>
      </c>
    </row>
    <row r="918" spans="1:22" x14ac:dyDescent="0.35">
      <c r="A918" t="s">
        <v>3793</v>
      </c>
      <c r="B918" t="s">
        <v>90</v>
      </c>
      <c r="C918" t="s">
        <v>27</v>
      </c>
      <c r="D918" t="s">
        <v>3792</v>
      </c>
      <c r="E918" t="s">
        <v>3791</v>
      </c>
      <c r="F918" s="5">
        <v>45494</v>
      </c>
      <c r="G918" t="s">
        <v>126</v>
      </c>
      <c r="H918" t="s">
        <v>2702</v>
      </c>
      <c r="I918" t="s">
        <v>31</v>
      </c>
      <c r="J918" t="s">
        <v>32</v>
      </c>
      <c r="K918" t="s">
        <v>32</v>
      </c>
      <c r="L918" t="s">
        <v>25</v>
      </c>
      <c r="M918" t="s">
        <v>19</v>
      </c>
      <c r="N918">
        <v>1</v>
      </c>
      <c r="O918">
        <v>559</v>
      </c>
      <c r="P918">
        <v>999</v>
      </c>
      <c r="Q918">
        <v>0</v>
      </c>
      <c r="R918">
        <v>0</v>
      </c>
      <c r="S918">
        <v>999</v>
      </c>
      <c r="T918">
        <v>440</v>
      </c>
      <c r="U918">
        <v>44.04</v>
      </c>
      <c r="V918" t="s">
        <v>21</v>
      </c>
    </row>
    <row r="919" spans="1:22" x14ac:dyDescent="0.35">
      <c r="A919" t="s">
        <v>3790</v>
      </c>
      <c r="B919" t="s">
        <v>38</v>
      </c>
      <c r="C919" t="s">
        <v>27</v>
      </c>
      <c r="D919" t="s">
        <v>3789</v>
      </c>
      <c r="E919" t="s">
        <v>3788</v>
      </c>
      <c r="F919" s="5">
        <v>45522</v>
      </c>
      <c r="G919" t="s">
        <v>126</v>
      </c>
      <c r="H919" t="s">
        <v>3787</v>
      </c>
      <c r="I919" t="s">
        <v>23</v>
      </c>
      <c r="J919" t="s">
        <v>142</v>
      </c>
      <c r="K919" t="s">
        <v>43</v>
      </c>
      <c r="L919" t="s">
        <v>37</v>
      </c>
      <c r="M919" t="s">
        <v>20</v>
      </c>
      <c r="N919">
        <v>1</v>
      </c>
      <c r="O919">
        <v>1900</v>
      </c>
      <c r="P919">
        <v>2699</v>
      </c>
      <c r="Q919">
        <v>5</v>
      </c>
      <c r="R919">
        <v>200</v>
      </c>
      <c r="S919">
        <v>2499</v>
      </c>
      <c r="T919">
        <v>599</v>
      </c>
      <c r="U919">
        <v>23.97</v>
      </c>
      <c r="V919" t="s">
        <v>21</v>
      </c>
    </row>
    <row r="920" spans="1:22" x14ac:dyDescent="0.35">
      <c r="A920" t="s">
        <v>3786</v>
      </c>
      <c r="B920" t="s">
        <v>102</v>
      </c>
      <c r="C920" t="s">
        <v>27</v>
      </c>
      <c r="D920" t="s">
        <v>3785</v>
      </c>
      <c r="E920" t="s">
        <v>3784</v>
      </c>
      <c r="F920" s="5">
        <v>45618</v>
      </c>
      <c r="G920" t="s">
        <v>126</v>
      </c>
      <c r="H920" t="s">
        <v>2786</v>
      </c>
      <c r="I920" t="s">
        <v>31</v>
      </c>
      <c r="J920" t="s">
        <v>32</v>
      </c>
      <c r="K920" t="s">
        <v>32</v>
      </c>
      <c r="L920" t="s">
        <v>37</v>
      </c>
      <c r="M920" t="s">
        <v>19</v>
      </c>
      <c r="N920">
        <v>5</v>
      </c>
      <c r="O920">
        <v>527</v>
      </c>
      <c r="P920">
        <v>899</v>
      </c>
      <c r="Q920">
        <v>0</v>
      </c>
      <c r="R920">
        <v>0</v>
      </c>
      <c r="S920">
        <v>4495</v>
      </c>
      <c r="T920">
        <v>1860</v>
      </c>
      <c r="U920">
        <v>41.38</v>
      </c>
      <c r="V920" t="s">
        <v>21</v>
      </c>
    </row>
    <row r="921" spans="1:22" x14ac:dyDescent="0.35">
      <c r="A921" t="s">
        <v>3783</v>
      </c>
      <c r="B921" t="s">
        <v>62</v>
      </c>
      <c r="C921" t="s">
        <v>16</v>
      </c>
      <c r="D921" t="s">
        <v>3782</v>
      </c>
      <c r="E921" t="s">
        <v>3781</v>
      </c>
      <c r="F921" s="5">
        <v>45612</v>
      </c>
      <c r="G921" t="s">
        <v>126</v>
      </c>
      <c r="H921" t="s">
        <v>722</v>
      </c>
      <c r="I921" t="s">
        <v>35</v>
      </c>
      <c r="J921" t="s">
        <v>39</v>
      </c>
      <c r="K921" t="s">
        <v>39</v>
      </c>
      <c r="L921" t="s">
        <v>25</v>
      </c>
      <c r="M921" t="s">
        <v>20</v>
      </c>
      <c r="N921">
        <v>2</v>
      </c>
      <c r="O921">
        <v>866</v>
      </c>
      <c r="P921">
        <v>1299</v>
      </c>
      <c r="Q921">
        <v>20</v>
      </c>
      <c r="R921">
        <v>600</v>
      </c>
      <c r="S921">
        <v>1998</v>
      </c>
      <c r="T921">
        <v>266</v>
      </c>
      <c r="U921">
        <v>13.31</v>
      </c>
      <c r="V921" t="s">
        <v>21</v>
      </c>
    </row>
    <row r="922" spans="1:22" x14ac:dyDescent="0.35">
      <c r="A922" t="s">
        <v>3780</v>
      </c>
      <c r="B922" t="s">
        <v>77</v>
      </c>
      <c r="C922" t="s">
        <v>27</v>
      </c>
      <c r="D922" t="s">
        <v>3779</v>
      </c>
      <c r="E922" t="s">
        <v>731</v>
      </c>
      <c r="F922" s="5">
        <v>45581</v>
      </c>
      <c r="G922" t="s">
        <v>126</v>
      </c>
      <c r="H922" t="s">
        <v>3136</v>
      </c>
      <c r="I922" t="s">
        <v>35</v>
      </c>
      <c r="J922" t="s">
        <v>39</v>
      </c>
      <c r="K922" t="s">
        <v>39</v>
      </c>
      <c r="L922" t="s">
        <v>25</v>
      </c>
      <c r="M922" t="s">
        <v>19</v>
      </c>
      <c r="N922">
        <v>3</v>
      </c>
      <c r="O922">
        <v>874</v>
      </c>
      <c r="P922">
        <v>1499</v>
      </c>
      <c r="Q922">
        <v>10</v>
      </c>
      <c r="R922">
        <v>600</v>
      </c>
      <c r="S922">
        <v>3897</v>
      </c>
      <c r="T922">
        <v>1275</v>
      </c>
      <c r="U922">
        <v>32.72</v>
      </c>
      <c r="V922" t="s">
        <v>21</v>
      </c>
    </row>
    <row r="923" spans="1:22" x14ac:dyDescent="0.35">
      <c r="A923" t="s">
        <v>3778</v>
      </c>
      <c r="B923" t="s">
        <v>49</v>
      </c>
      <c r="C923" t="s">
        <v>27</v>
      </c>
      <c r="D923" t="s">
        <v>3777</v>
      </c>
      <c r="E923" t="s">
        <v>3776</v>
      </c>
      <c r="F923" s="5">
        <v>45537</v>
      </c>
      <c r="G923" t="s">
        <v>126</v>
      </c>
      <c r="H923" t="s">
        <v>3775</v>
      </c>
      <c r="I923" t="s">
        <v>31</v>
      </c>
      <c r="J923" t="s">
        <v>76</v>
      </c>
      <c r="K923" t="s">
        <v>76</v>
      </c>
      <c r="L923" t="s">
        <v>25</v>
      </c>
      <c r="M923" t="s">
        <v>19</v>
      </c>
      <c r="N923">
        <v>1</v>
      </c>
      <c r="O923">
        <v>770</v>
      </c>
      <c r="P923">
        <v>1199</v>
      </c>
      <c r="Q923">
        <v>0</v>
      </c>
      <c r="R923">
        <v>0</v>
      </c>
      <c r="S923">
        <v>1199</v>
      </c>
      <c r="T923">
        <v>429</v>
      </c>
      <c r="U923">
        <v>35.78</v>
      </c>
      <c r="V923" t="s">
        <v>21</v>
      </c>
    </row>
    <row r="924" spans="1:22" x14ac:dyDescent="0.35">
      <c r="A924" t="s">
        <v>3774</v>
      </c>
      <c r="B924" t="s">
        <v>63</v>
      </c>
      <c r="C924" t="s">
        <v>27</v>
      </c>
      <c r="D924" t="s">
        <v>3773</v>
      </c>
      <c r="E924" t="s">
        <v>3772</v>
      </c>
      <c r="F924" s="5">
        <v>45502</v>
      </c>
      <c r="G924" t="s">
        <v>126</v>
      </c>
      <c r="H924" t="s">
        <v>2010</v>
      </c>
      <c r="I924" t="s">
        <v>35</v>
      </c>
      <c r="J924" t="s">
        <v>159</v>
      </c>
      <c r="K924" t="s">
        <v>36</v>
      </c>
      <c r="L924" t="s">
        <v>37</v>
      </c>
      <c r="M924" t="s">
        <v>20</v>
      </c>
      <c r="N924">
        <v>1</v>
      </c>
      <c r="O924">
        <v>204</v>
      </c>
      <c r="P924">
        <v>399</v>
      </c>
      <c r="Q924">
        <v>15</v>
      </c>
      <c r="R924">
        <v>100</v>
      </c>
      <c r="S924">
        <v>299</v>
      </c>
      <c r="T924">
        <v>95</v>
      </c>
      <c r="U924">
        <v>31.77</v>
      </c>
      <c r="V924" t="s">
        <v>21</v>
      </c>
    </row>
    <row r="925" spans="1:22" x14ac:dyDescent="0.35">
      <c r="A925" t="s">
        <v>3771</v>
      </c>
      <c r="B925" t="s">
        <v>44</v>
      </c>
      <c r="C925" t="s">
        <v>16</v>
      </c>
      <c r="D925" t="s">
        <v>3770</v>
      </c>
      <c r="E925" t="s">
        <v>3769</v>
      </c>
      <c r="F925" s="5">
        <v>45626</v>
      </c>
      <c r="G925" t="s">
        <v>126</v>
      </c>
      <c r="H925" t="s">
        <v>3768</v>
      </c>
      <c r="I925" t="s">
        <v>17</v>
      </c>
      <c r="J925" t="s">
        <v>55</v>
      </c>
      <c r="K925" t="s">
        <v>55</v>
      </c>
      <c r="L925" t="s">
        <v>25</v>
      </c>
      <c r="M925" t="s">
        <v>19</v>
      </c>
      <c r="N925">
        <v>1</v>
      </c>
      <c r="O925">
        <v>241</v>
      </c>
      <c r="P925">
        <v>399</v>
      </c>
      <c r="Q925">
        <v>0</v>
      </c>
      <c r="R925">
        <v>0</v>
      </c>
      <c r="S925">
        <v>399</v>
      </c>
      <c r="T925">
        <v>158</v>
      </c>
      <c r="U925">
        <v>39.6</v>
      </c>
      <c r="V925" t="s">
        <v>21</v>
      </c>
    </row>
    <row r="926" spans="1:22" x14ac:dyDescent="0.35">
      <c r="A926" t="s">
        <v>3767</v>
      </c>
      <c r="B926" t="s">
        <v>98</v>
      </c>
      <c r="C926" t="s">
        <v>16</v>
      </c>
      <c r="D926" t="s">
        <v>3766</v>
      </c>
      <c r="E926" t="s">
        <v>3765</v>
      </c>
      <c r="F926" s="5">
        <v>45448</v>
      </c>
      <c r="G926" t="s">
        <v>126</v>
      </c>
      <c r="H926" t="s">
        <v>641</v>
      </c>
      <c r="I926" t="s">
        <v>31</v>
      </c>
      <c r="J926" t="s">
        <v>76</v>
      </c>
      <c r="K926" t="s">
        <v>76</v>
      </c>
      <c r="L926" t="s">
        <v>25</v>
      </c>
      <c r="M926" t="s">
        <v>19</v>
      </c>
      <c r="N926">
        <v>1</v>
      </c>
      <c r="O926">
        <v>552</v>
      </c>
      <c r="P926">
        <v>999</v>
      </c>
      <c r="Q926">
        <v>0</v>
      </c>
      <c r="R926">
        <v>0</v>
      </c>
      <c r="S926">
        <v>999</v>
      </c>
      <c r="T926">
        <v>447</v>
      </c>
      <c r="U926">
        <v>44.74</v>
      </c>
      <c r="V926" t="s">
        <v>21</v>
      </c>
    </row>
    <row r="927" spans="1:22" x14ac:dyDescent="0.35">
      <c r="A927" t="s">
        <v>3764</v>
      </c>
      <c r="B927" t="s">
        <v>94</v>
      </c>
      <c r="C927" t="s">
        <v>16</v>
      </c>
      <c r="D927" t="s">
        <v>3763</v>
      </c>
      <c r="E927" t="s">
        <v>2066</v>
      </c>
      <c r="F927" s="5">
        <v>45484</v>
      </c>
      <c r="G927" t="s">
        <v>126</v>
      </c>
      <c r="H927" t="s">
        <v>3762</v>
      </c>
      <c r="I927" t="s">
        <v>17</v>
      </c>
      <c r="J927" t="s">
        <v>253</v>
      </c>
      <c r="K927" t="s">
        <v>72</v>
      </c>
      <c r="L927" t="s">
        <v>37</v>
      </c>
      <c r="M927" t="s">
        <v>19</v>
      </c>
      <c r="N927">
        <v>1</v>
      </c>
      <c r="O927">
        <v>281</v>
      </c>
      <c r="P927">
        <v>399</v>
      </c>
      <c r="Q927">
        <v>0</v>
      </c>
      <c r="R927">
        <v>0</v>
      </c>
      <c r="S927">
        <v>399</v>
      </c>
      <c r="T927">
        <v>118</v>
      </c>
      <c r="U927">
        <v>29.57</v>
      </c>
      <c r="V927" t="s">
        <v>21</v>
      </c>
    </row>
    <row r="928" spans="1:22" x14ac:dyDescent="0.35">
      <c r="A928" t="s">
        <v>3761</v>
      </c>
      <c r="B928" t="s">
        <v>67</v>
      </c>
      <c r="C928" t="s">
        <v>27</v>
      </c>
      <c r="D928" t="s">
        <v>3760</v>
      </c>
      <c r="E928" t="s">
        <v>3759</v>
      </c>
      <c r="F928" s="5">
        <v>45631</v>
      </c>
      <c r="G928" t="s">
        <v>126</v>
      </c>
      <c r="H928" t="s">
        <v>516</v>
      </c>
      <c r="I928" t="s">
        <v>17</v>
      </c>
      <c r="J928" t="s">
        <v>253</v>
      </c>
      <c r="K928" t="s">
        <v>72</v>
      </c>
      <c r="L928" t="s">
        <v>19</v>
      </c>
      <c r="M928" t="s">
        <v>20</v>
      </c>
      <c r="N928">
        <v>1</v>
      </c>
      <c r="O928">
        <v>297</v>
      </c>
      <c r="P928">
        <v>399</v>
      </c>
      <c r="Q928">
        <v>0</v>
      </c>
      <c r="R928">
        <v>0</v>
      </c>
      <c r="S928">
        <v>399</v>
      </c>
      <c r="T928">
        <v>102</v>
      </c>
      <c r="U928">
        <v>25.56</v>
      </c>
      <c r="V928" t="s">
        <v>33</v>
      </c>
    </row>
    <row r="929" spans="1:22" x14ac:dyDescent="0.35">
      <c r="A929" t="s">
        <v>3758</v>
      </c>
      <c r="B929" t="s">
        <v>90</v>
      </c>
      <c r="C929" t="s">
        <v>27</v>
      </c>
      <c r="D929" t="s">
        <v>3757</v>
      </c>
      <c r="E929" t="s">
        <v>3756</v>
      </c>
      <c r="F929" s="5">
        <v>45478</v>
      </c>
      <c r="G929" t="s">
        <v>126</v>
      </c>
      <c r="H929" t="s">
        <v>286</v>
      </c>
      <c r="I929" t="s">
        <v>17</v>
      </c>
      <c r="J929" t="s">
        <v>253</v>
      </c>
      <c r="K929" t="s">
        <v>72</v>
      </c>
      <c r="L929" t="s">
        <v>25</v>
      </c>
      <c r="M929" t="s">
        <v>20</v>
      </c>
      <c r="N929">
        <v>1</v>
      </c>
      <c r="O929">
        <v>374</v>
      </c>
      <c r="P929">
        <v>499</v>
      </c>
      <c r="Q929">
        <v>0</v>
      </c>
      <c r="R929">
        <v>0</v>
      </c>
      <c r="S929">
        <v>499</v>
      </c>
      <c r="T929">
        <v>125</v>
      </c>
      <c r="U929">
        <v>25.05</v>
      </c>
      <c r="V929" t="s">
        <v>21</v>
      </c>
    </row>
    <row r="930" spans="1:22" x14ac:dyDescent="0.35">
      <c r="A930" t="s">
        <v>3755</v>
      </c>
      <c r="B930" t="s">
        <v>47</v>
      </c>
      <c r="C930" t="s">
        <v>16</v>
      </c>
      <c r="D930" t="s">
        <v>3754</v>
      </c>
      <c r="E930" t="s">
        <v>3753</v>
      </c>
      <c r="F930" s="5">
        <v>45611</v>
      </c>
      <c r="G930" t="s">
        <v>126</v>
      </c>
      <c r="H930" t="s">
        <v>3752</v>
      </c>
      <c r="I930" t="s">
        <v>35</v>
      </c>
      <c r="J930" t="s">
        <v>214</v>
      </c>
      <c r="K930" t="s">
        <v>50</v>
      </c>
      <c r="L930" t="s">
        <v>25</v>
      </c>
      <c r="M930" t="s">
        <v>20</v>
      </c>
      <c r="N930">
        <v>1</v>
      </c>
      <c r="O930">
        <v>718</v>
      </c>
      <c r="P930">
        <v>999</v>
      </c>
      <c r="Q930">
        <v>15</v>
      </c>
      <c r="R930">
        <v>200</v>
      </c>
      <c r="S930">
        <v>799</v>
      </c>
      <c r="T930">
        <v>81</v>
      </c>
      <c r="U930">
        <v>10.14</v>
      </c>
      <c r="V930" t="s">
        <v>21</v>
      </c>
    </row>
    <row r="931" spans="1:22" x14ac:dyDescent="0.35">
      <c r="A931" t="s">
        <v>3751</v>
      </c>
      <c r="B931" t="s">
        <v>34</v>
      </c>
      <c r="C931" t="s">
        <v>27</v>
      </c>
      <c r="D931" t="s">
        <v>3750</v>
      </c>
      <c r="E931" t="s">
        <v>3749</v>
      </c>
      <c r="F931" s="5">
        <v>45625</v>
      </c>
      <c r="G931" t="s">
        <v>126</v>
      </c>
      <c r="H931" t="s">
        <v>641</v>
      </c>
      <c r="I931" t="s">
        <v>35</v>
      </c>
      <c r="J931" t="s">
        <v>159</v>
      </c>
      <c r="K931" t="s">
        <v>100</v>
      </c>
      <c r="L931" t="s">
        <v>19</v>
      </c>
      <c r="M931" t="s">
        <v>20</v>
      </c>
      <c r="N931">
        <v>1</v>
      </c>
      <c r="O931">
        <v>1709</v>
      </c>
      <c r="P931">
        <v>2299</v>
      </c>
      <c r="Q931">
        <v>10</v>
      </c>
      <c r="R931">
        <v>300</v>
      </c>
      <c r="S931">
        <v>1999</v>
      </c>
      <c r="T931">
        <v>290</v>
      </c>
      <c r="U931">
        <v>14.51</v>
      </c>
      <c r="V931" t="s">
        <v>21</v>
      </c>
    </row>
    <row r="932" spans="1:22" x14ac:dyDescent="0.35">
      <c r="A932" t="s">
        <v>3748</v>
      </c>
      <c r="B932" t="s">
        <v>63</v>
      </c>
      <c r="C932" t="s">
        <v>27</v>
      </c>
      <c r="D932" t="s">
        <v>3747</v>
      </c>
      <c r="E932" t="s">
        <v>3746</v>
      </c>
      <c r="F932" s="5">
        <v>45628</v>
      </c>
      <c r="G932" t="s">
        <v>126</v>
      </c>
      <c r="H932" t="s">
        <v>2799</v>
      </c>
      <c r="I932" t="s">
        <v>31</v>
      </c>
      <c r="J932" t="s">
        <v>76</v>
      </c>
      <c r="K932" t="s">
        <v>76</v>
      </c>
      <c r="L932" t="s">
        <v>25</v>
      </c>
      <c r="M932" t="s">
        <v>20</v>
      </c>
      <c r="N932">
        <v>1</v>
      </c>
      <c r="O932">
        <v>690</v>
      </c>
      <c r="P932">
        <v>1199</v>
      </c>
      <c r="Q932">
        <v>0</v>
      </c>
      <c r="R932">
        <v>0</v>
      </c>
      <c r="S932">
        <v>1199</v>
      </c>
      <c r="T932">
        <v>509</v>
      </c>
      <c r="U932">
        <v>42.45</v>
      </c>
      <c r="V932" t="s">
        <v>21</v>
      </c>
    </row>
    <row r="933" spans="1:22" x14ac:dyDescent="0.35">
      <c r="A933" t="s">
        <v>3745</v>
      </c>
      <c r="B933" t="s">
        <v>109</v>
      </c>
      <c r="C933" t="s">
        <v>16</v>
      </c>
      <c r="D933" t="s">
        <v>3744</v>
      </c>
      <c r="E933" t="s">
        <v>3743</v>
      </c>
      <c r="F933" s="5">
        <v>45614</v>
      </c>
      <c r="G933" t="s">
        <v>126</v>
      </c>
      <c r="H933" t="s">
        <v>3742</v>
      </c>
      <c r="I933" t="s">
        <v>35</v>
      </c>
      <c r="J933" t="s">
        <v>244</v>
      </c>
      <c r="K933" t="s">
        <v>58</v>
      </c>
      <c r="L933" t="s">
        <v>25</v>
      </c>
      <c r="M933" t="s">
        <v>20</v>
      </c>
      <c r="N933">
        <v>1</v>
      </c>
      <c r="O933">
        <v>747</v>
      </c>
      <c r="P933">
        <v>1099</v>
      </c>
      <c r="Q933">
        <v>5</v>
      </c>
      <c r="R933">
        <v>100</v>
      </c>
      <c r="S933">
        <v>999</v>
      </c>
      <c r="T933">
        <v>252</v>
      </c>
      <c r="U933">
        <v>25.23</v>
      </c>
      <c r="V933" t="s">
        <v>21</v>
      </c>
    </row>
    <row r="934" spans="1:22" x14ac:dyDescent="0.35">
      <c r="A934" t="s">
        <v>3741</v>
      </c>
      <c r="B934" t="s">
        <v>73</v>
      </c>
      <c r="C934" t="s">
        <v>16</v>
      </c>
      <c r="D934" t="s">
        <v>3740</v>
      </c>
      <c r="E934" t="s">
        <v>3739</v>
      </c>
      <c r="F934" s="5">
        <v>45467</v>
      </c>
      <c r="G934" t="s">
        <v>126</v>
      </c>
      <c r="H934" t="s">
        <v>1198</v>
      </c>
      <c r="I934" t="s">
        <v>28</v>
      </c>
      <c r="J934" t="s">
        <v>201</v>
      </c>
      <c r="K934" t="s">
        <v>29</v>
      </c>
      <c r="L934" t="s">
        <v>25</v>
      </c>
      <c r="M934" t="s">
        <v>20</v>
      </c>
      <c r="N934">
        <v>3</v>
      </c>
      <c r="O934">
        <v>493</v>
      </c>
      <c r="P934">
        <v>799</v>
      </c>
      <c r="Q934">
        <v>20</v>
      </c>
      <c r="R934">
        <v>600</v>
      </c>
      <c r="S934">
        <v>1797</v>
      </c>
      <c r="T934">
        <v>318</v>
      </c>
      <c r="U934">
        <v>17.7</v>
      </c>
      <c r="V934" t="s">
        <v>33</v>
      </c>
    </row>
    <row r="935" spans="1:22" x14ac:dyDescent="0.35">
      <c r="A935" t="s">
        <v>3738</v>
      </c>
      <c r="B935" t="s">
        <v>71</v>
      </c>
      <c r="C935" t="s">
        <v>16</v>
      </c>
      <c r="D935" t="s">
        <v>3737</v>
      </c>
      <c r="E935" t="s">
        <v>3736</v>
      </c>
      <c r="F935" s="5">
        <v>45593</v>
      </c>
      <c r="G935" t="s">
        <v>126</v>
      </c>
      <c r="H935" t="s">
        <v>2193</v>
      </c>
      <c r="I935" t="s">
        <v>35</v>
      </c>
      <c r="J935" t="s">
        <v>39</v>
      </c>
      <c r="K935" t="s">
        <v>39</v>
      </c>
      <c r="L935" t="s">
        <v>19</v>
      </c>
      <c r="M935" t="s">
        <v>19</v>
      </c>
      <c r="N935">
        <v>1</v>
      </c>
      <c r="O935">
        <v>859</v>
      </c>
      <c r="P935">
        <v>1399</v>
      </c>
      <c r="Q935">
        <v>5</v>
      </c>
      <c r="R935">
        <v>100</v>
      </c>
      <c r="S935">
        <v>1299</v>
      </c>
      <c r="T935">
        <v>440</v>
      </c>
      <c r="U935">
        <v>33.869999999999997</v>
      </c>
      <c r="V935" t="s">
        <v>21</v>
      </c>
    </row>
    <row r="936" spans="1:22" x14ac:dyDescent="0.35">
      <c r="A936" t="s">
        <v>3735</v>
      </c>
      <c r="B936" t="s">
        <v>81</v>
      </c>
      <c r="C936" t="s">
        <v>27</v>
      </c>
      <c r="D936" t="s">
        <v>3734</v>
      </c>
      <c r="E936" t="s">
        <v>3733</v>
      </c>
      <c r="F936" s="5">
        <v>45544</v>
      </c>
      <c r="G936" t="s">
        <v>126</v>
      </c>
      <c r="H936" t="s">
        <v>3632</v>
      </c>
      <c r="I936" t="s">
        <v>23</v>
      </c>
      <c r="J936" t="s">
        <v>164</v>
      </c>
      <c r="K936" t="s">
        <v>24</v>
      </c>
      <c r="L936" t="s">
        <v>25</v>
      </c>
      <c r="M936" t="s">
        <v>20</v>
      </c>
      <c r="N936">
        <v>5</v>
      </c>
      <c r="O936">
        <v>1113</v>
      </c>
      <c r="P936">
        <v>1799</v>
      </c>
      <c r="Q936">
        <v>15</v>
      </c>
      <c r="R936">
        <v>1500</v>
      </c>
      <c r="S936">
        <v>7495</v>
      </c>
      <c r="T936">
        <v>1930</v>
      </c>
      <c r="U936">
        <v>25.75</v>
      </c>
      <c r="V936" t="s">
        <v>21</v>
      </c>
    </row>
    <row r="937" spans="1:22" x14ac:dyDescent="0.35">
      <c r="A937" t="s">
        <v>3732</v>
      </c>
      <c r="B937" t="s">
        <v>107</v>
      </c>
      <c r="C937" t="s">
        <v>27</v>
      </c>
      <c r="D937" t="s">
        <v>3731</v>
      </c>
      <c r="E937" t="s">
        <v>3730</v>
      </c>
      <c r="F937" s="5">
        <v>45656</v>
      </c>
      <c r="G937" t="s">
        <v>126</v>
      </c>
      <c r="H937" t="s">
        <v>3729</v>
      </c>
      <c r="I937" t="s">
        <v>17</v>
      </c>
      <c r="J937" t="s">
        <v>48</v>
      </c>
      <c r="K937" t="s">
        <v>48</v>
      </c>
      <c r="L937" t="s">
        <v>37</v>
      </c>
      <c r="M937" t="s">
        <v>20</v>
      </c>
      <c r="N937">
        <v>3</v>
      </c>
      <c r="O937">
        <v>329</v>
      </c>
      <c r="P937">
        <v>599</v>
      </c>
      <c r="Q937">
        <v>0</v>
      </c>
      <c r="R937">
        <v>0</v>
      </c>
      <c r="S937">
        <v>1797</v>
      </c>
      <c r="T937">
        <v>810</v>
      </c>
      <c r="U937">
        <v>45.08</v>
      </c>
      <c r="V937" t="s">
        <v>21</v>
      </c>
    </row>
    <row r="938" spans="1:22" x14ac:dyDescent="0.35">
      <c r="A938" t="s">
        <v>3728</v>
      </c>
      <c r="B938" t="s">
        <v>82</v>
      </c>
      <c r="C938" t="s">
        <v>27</v>
      </c>
      <c r="D938" t="s">
        <v>3727</v>
      </c>
      <c r="E938" t="s">
        <v>3726</v>
      </c>
      <c r="F938" s="5">
        <v>45572</v>
      </c>
      <c r="G938" t="s">
        <v>126</v>
      </c>
      <c r="H938" t="s">
        <v>3007</v>
      </c>
      <c r="I938" t="s">
        <v>35</v>
      </c>
      <c r="J938" t="s">
        <v>244</v>
      </c>
      <c r="K938" t="s">
        <v>58</v>
      </c>
      <c r="L938" t="s">
        <v>19</v>
      </c>
      <c r="M938" t="s">
        <v>20</v>
      </c>
      <c r="N938">
        <v>2</v>
      </c>
      <c r="O938">
        <v>1662</v>
      </c>
      <c r="P938">
        <v>2299</v>
      </c>
      <c r="Q938">
        <v>10</v>
      </c>
      <c r="R938">
        <v>600</v>
      </c>
      <c r="S938">
        <v>3998</v>
      </c>
      <c r="T938">
        <v>674</v>
      </c>
      <c r="U938">
        <v>16.86</v>
      </c>
      <c r="V938" t="s">
        <v>33</v>
      </c>
    </row>
    <row r="939" spans="1:22" x14ac:dyDescent="0.35">
      <c r="A939" t="s">
        <v>3725</v>
      </c>
      <c r="B939" t="s">
        <v>53</v>
      </c>
      <c r="C939" t="s">
        <v>27</v>
      </c>
      <c r="D939" t="s">
        <v>3724</v>
      </c>
      <c r="E939" t="s">
        <v>3723</v>
      </c>
      <c r="F939" s="5">
        <v>45591</v>
      </c>
      <c r="G939" t="s">
        <v>126</v>
      </c>
      <c r="H939" t="s">
        <v>1745</v>
      </c>
      <c r="I939" t="s">
        <v>17</v>
      </c>
      <c r="J939" t="s">
        <v>48</v>
      </c>
      <c r="K939" t="s">
        <v>48</v>
      </c>
      <c r="L939" t="s">
        <v>19</v>
      </c>
      <c r="M939" t="s">
        <v>19</v>
      </c>
      <c r="N939">
        <v>2</v>
      </c>
      <c r="O939">
        <v>390</v>
      </c>
      <c r="P939">
        <v>599</v>
      </c>
      <c r="Q939">
        <v>0</v>
      </c>
      <c r="R939">
        <v>0</v>
      </c>
      <c r="S939">
        <v>1198</v>
      </c>
      <c r="T939">
        <v>418</v>
      </c>
      <c r="U939">
        <v>34.89</v>
      </c>
      <c r="V939" t="s">
        <v>21</v>
      </c>
    </row>
    <row r="940" spans="1:22" x14ac:dyDescent="0.35">
      <c r="A940" t="s">
        <v>3722</v>
      </c>
      <c r="B940" t="s">
        <v>109</v>
      </c>
      <c r="C940" t="s">
        <v>16</v>
      </c>
      <c r="D940" t="s">
        <v>3721</v>
      </c>
      <c r="E940" t="s">
        <v>3720</v>
      </c>
      <c r="F940" s="5">
        <v>45563</v>
      </c>
      <c r="G940" t="s">
        <v>126</v>
      </c>
      <c r="H940" t="s">
        <v>3719</v>
      </c>
      <c r="I940" t="s">
        <v>28</v>
      </c>
      <c r="J940" t="s">
        <v>45</v>
      </c>
      <c r="K940" t="s">
        <v>45</v>
      </c>
      <c r="L940" t="s">
        <v>37</v>
      </c>
      <c r="M940" t="s">
        <v>20</v>
      </c>
      <c r="N940">
        <v>2</v>
      </c>
      <c r="O940">
        <v>735</v>
      </c>
      <c r="P940">
        <v>1099</v>
      </c>
      <c r="Q940">
        <v>5</v>
      </c>
      <c r="R940">
        <v>200</v>
      </c>
      <c r="S940">
        <v>1998</v>
      </c>
      <c r="T940">
        <v>528</v>
      </c>
      <c r="U940">
        <v>26.43</v>
      </c>
      <c r="V940" t="s">
        <v>33</v>
      </c>
    </row>
    <row r="941" spans="1:22" x14ac:dyDescent="0.35">
      <c r="A941" t="s">
        <v>3718</v>
      </c>
      <c r="B941" t="s">
        <v>90</v>
      </c>
      <c r="C941" t="s">
        <v>27</v>
      </c>
      <c r="D941" t="s">
        <v>3717</v>
      </c>
      <c r="E941" t="s">
        <v>3716</v>
      </c>
      <c r="F941" s="5">
        <v>45599</v>
      </c>
      <c r="G941" t="s">
        <v>126</v>
      </c>
      <c r="H941" t="s">
        <v>1429</v>
      </c>
      <c r="I941" t="s">
        <v>23</v>
      </c>
      <c r="J941" t="s">
        <v>164</v>
      </c>
      <c r="K941" t="s">
        <v>24</v>
      </c>
      <c r="L941" t="s">
        <v>37</v>
      </c>
      <c r="M941" t="s">
        <v>20</v>
      </c>
      <c r="N941">
        <v>4</v>
      </c>
      <c r="O941">
        <v>899</v>
      </c>
      <c r="P941">
        <v>1699</v>
      </c>
      <c r="Q941">
        <v>10</v>
      </c>
      <c r="R941">
        <v>800</v>
      </c>
      <c r="S941">
        <v>5996</v>
      </c>
      <c r="T941">
        <v>2400</v>
      </c>
      <c r="U941">
        <v>40.03</v>
      </c>
      <c r="V941" t="s">
        <v>33</v>
      </c>
    </row>
    <row r="942" spans="1:22" x14ac:dyDescent="0.35">
      <c r="A942" t="s">
        <v>3715</v>
      </c>
      <c r="B942" t="s">
        <v>40</v>
      </c>
      <c r="C942" t="s">
        <v>27</v>
      </c>
      <c r="D942" t="s">
        <v>3714</v>
      </c>
      <c r="E942" t="s">
        <v>3713</v>
      </c>
      <c r="F942" s="5">
        <v>45559</v>
      </c>
      <c r="G942" t="s">
        <v>126</v>
      </c>
      <c r="H942" t="s">
        <v>3712</v>
      </c>
      <c r="I942" t="s">
        <v>23</v>
      </c>
      <c r="J942" t="s">
        <v>164</v>
      </c>
      <c r="K942" t="s">
        <v>24</v>
      </c>
      <c r="L942" t="s">
        <v>19</v>
      </c>
      <c r="M942" t="s">
        <v>20</v>
      </c>
      <c r="N942">
        <v>1</v>
      </c>
      <c r="O942">
        <v>1468</v>
      </c>
      <c r="P942">
        <v>2299</v>
      </c>
      <c r="Q942">
        <v>10</v>
      </c>
      <c r="R942">
        <v>300</v>
      </c>
      <c r="S942">
        <v>1999</v>
      </c>
      <c r="T942">
        <v>531</v>
      </c>
      <c r="U942">
        <v>26.56</v>
      </c>
      <c r="V942" t="s">
        <v>21</v>
      </c>
    </row>
    <row r="943" spans="1:22" x14ac:dyDescent="0.35">
      <c r="A943" t="s">
        <v>3711</v>
      </c>
      <c r="B943" t="s">
        <v>46</v>
      </c>
      <c r="C943" t="s">
        <v>16</v>
      </c>
      <c r="D943" t="s">
        <v>3710</v>
      </c>
      <c r="E943" t="s">
        <v>3709</v>
      </c>
      <c r="F943" s="5">
        <v>45472</v>
      </c>
      <c r="G943" t="s">
        <v>126</v>
      </c>
      <c r="H943" t="s">
        <v>1184</v>
      </c>
      <c r="I943" t="s">
        <v>23</v>
      </c>
      <c r="J943" t="s">
        <v>164</v>
      </c>
      <c r="K943" t="s">
        <v>24</v>
      </c>
      <c r="L943" t="s">
        <v>25</v>
      </c>
      <c r="M943" t="s">
        <v>20</v>
      </c>
      <c r="N943">
        <v>1</v>
      </c>
      <c r="O943">
        <v>1033</v>
      </c>
      <c r="P943">
        <v>1799</v>
      </c>
      <c r="Q943">
        <v>15</v>
      </c>
      <c r="R943">
        <v>300</v>
      </c>
      <c r="S943">
        <v>1499</v>
      </c>
      <c r="T943">
        <v>466</v>
      </c>
      <c r="U943">
        <v>31.09</v>
      </c>
      <c r="V943" t="s">
        <v>21</v>
      </c>
    </row>
    <row r="944" spans="1:22" x14ac:dyDescent="0.35">
      <c r="A944" t="s">
        <v>3708</v>
      </c>
      <c r="B944" t="s">
        <v>99</v>
      </c>
      <c r="C944" t="s">
        <v>27</v>
      </c>
      <c r="D944" t="s">
        <v>3707</v>
      </c>
      <c r="E944" t="s">
        <v>3706</v>
      </c>
      <c r="F944" s="5">
        <v>45609</v>
      </c>
      <c r="G944" t="s">
        <v>126</v>
      </c>
      <c r="H944" t="s">
        <v>3611</v>
      </c>
      <c r="I944" t="s">
        <v>17</v>
      </c>
      <c r="J944" t="s">
        <v>253</v>
      </c>
      <c r="K944" t="s">
        <v>72</v>
      </c>
      <c r="L944" t="s">
        <v>37</v>
      </c>
      <c r="M944" t="s">
        <v>19</v>
      </c>
      <c r="N944">
        <v>1</v>
      </c>
      <c r="O944">
        <v>220</v>
      </c>
      <c r="P944">
        <v>399</v>
      </c>
      <c r="Q944">
        <v>0</v>
      </c>
      <c r="R944">
        <v>0</v>
      </c>
      <c r="S944">
        <v>399</v>
      </c>
      <c r="T944">
        <v>179</v>
      </c>
      <c r="U944">
        <v>44.86</v>
      </c>
      <c r="V944" t="s">
        <v>21</v>
      </c>
    </row>
    <row r="945" spans="1:22" x14ac:dyDescent="0.35">
      <c r="A945" t="s">
        <v>3705</v>
      </c>
      <c r="B945" t="s">
        <v>63</v>
      </c>
      <c r="C945" t="s">
        <v>27</v>
      </c>
      <c r="D945" t="s">
        <v>3704</v>
      </c>
      <c r="E945" t="s">
        <v>3703</v>
      </c>
      <c r="F945" s="5">
        <v>45616</v>
      </c>
      <c r="G945" t="s">
        <v>126</v>
      </c>
      <c r="H945" t="s">
        <v>1648</v>
      </c>
      <c r="I945" t="s">
        <v>28</v>
      </c>
      <c r="J945" t="s">
        <v>201</v>
      </c>
      <c r="K945" t="s">
        <v>29</v>
      </c>
      <c r="L945" t="s">
        <v>19</v>
      </c>
      <c r="M945" t="s">
        <v>20</v>
      </c>
      <c r="N945">
        <v>3</v>
      </c>
      <c r="O945">
        <v>363</v>
      </c>
      <c r="P945">
        <v>499</v>
      </c>
      <c r="Q945">
        <v>5</v>
      </c>
      <c r="R945">
        <v>150</v>
      </c>
      <c r="S945">
        <v>1347</v>
      </c>
      <c r="T945">
        <v>258</v>
      </c>
      <c r="U945">
        <v>19.149999999999999</v>
      </c>
      <c r="V945" t="s">
        <v>33</v>
      </c>
    </row>
    <row r="946" spans="1:22" x14ac:dyDescent="0.35">
      <c r="A946" t="s">
        <v>3702</v>
      </c>
      <c r="B946" t="s">
        <v>89</v>
      </c>
      <c r="C946" t="s">
        <v>16</v>
      </c>
      <c r="D946" t="s">
        <v>3701</v>
      </c>
      <c r="E946" t="s">
        <v>3700</v>
      </c>
      <c r="F946" s="5">
        <v>45480</v>
      </c>
      <c r="G946" t="s">
        <v>126</v>
      </c>
      <c r="H946" t="s">
        <v>3343</v>
      </c>
      <c r="I946" t="s">
        <v>35</v>
      </c>
      <c r="J946" t="s">
        <v>244</v>
      </c>
      <c r="K946" t="s">
        <v>58</v>
      </c>
      <c r="L946" t="s">
        <v>25</v>
      </c>
      <c r="M946" t="s">
        <v>19</v>
      </c>
      <c r="N946">
        <v>5</v>
      </c>
      <c r="O946">
        <v>1404</v>
      </c>
      <c r="P946">
        <v>1899</v>
      </c>
      <c r="Q946">
        <v>20</v>
      </c>
      <c r="R946">
        <v>2000</v>
      </c>
      <c r="S946">
        <v>7495</v>
      </c>
      <c r="T946">
        <v>475</v>
      </c>
      <c r="U946">
        <v>6.34</v>
      </c>
      <c r="V946" t="s">
        <v>21</v>
      </c>
    </row>
    <row r="947" spans="1:22" x14ac:dyDescent="0.35">
      <c r="A947" t="s">
        <v>3699</v>
      </c>
      <c r="B947" t="s">
        <v>81</v>
      </c>
      <c r="C947" t="s">
        <v>27</v>
      </c>
      <c r="D947" t="s">
        <v>3698</v>
      </c>
      <c r="E947" t="s">
        <v>3697</v>
      </c>
      <c r="F947" s="5">
        <v>45530</v>
      </c>
      <c r="G947" t="s">
        <v>126</v>
      </c>
      <c r="H947" t="s">
        <v>2378</v>
      </c>
      <c r="I947" t="s">
        <v>35</v>
      </c>
      <c r="J947" t="s">
        <v>41</v>
      </c>
      <c r="K947" t="s">
        <v>41</v>
      </c>
      <c r="L947" t="s">
        <v>19</v>
      </c>
      <c r="M947" t="s">
        <v>19</v>
      </c>
      <c r="N947">
        <v>1</v>
      </c>
      <c r="O947">
        <v>344</v>
      </c>
      <c r="P947">
        <v>599</v>
      </c>
      <c r="Q947">
        <v>5</v>
      </c>
      <c r="R947">
        <v>100</v>
      </c>
      <c r="S947">
        <v>499</v>
      </c>
      <c r="T947">
        <v>155</v>
      </c>
      <c r="U947">
        <v>31.06</v>
      </c>
      <c r="V947" t="s">
        <v>21</v>
      </c>
    </row>
    <row r="948" spans="1:22" x14ac:dyDescent="0.35">
      <c r="A948" t="s">
        <v>3696</v>
      </c>
      <c r="B948" t="s">
        <v>108</v>
      </c>
      <c r="C948" t="s">
        <v>27</v>
      </c>
      <c r="D948" t="s">
        <v>3695</v>
      </c>
      <c r="E948" t="s">
        <v>3694</v>
      </c>
      <c r="F948" s="5">
        <v>45446</v>
      </c>
      <c r="G948" t="s">
        <v>126</v>
      </c>
      <c r="H948" t="s">
        <v>2097</v>
      </c>
      <c r="I948" t="s">
        <v>35</v>
      </c>
      <c r="J948" t="s">
        <v>214</v>
      </c>
      <c r="K948" t="s">
        <v>50</v>
      </c>
      <c r="L948" t="s">
        <v>25</v>
      </c>
      <c r="M948" t="s">
        <v>19</v>
      </c>
      <c r="N948">
        <v>4</v>
      </c>
      <c r="O948">
        <v>917</v>
      </c>
      <c r="P948">
        <v>1799</v>
      </c>
      <c r="Q948">
        <v>15</v>
      </c>
      <c r="R948">
        <v>1200</v>
      </c>
      <c r="S948">
        <v>5996</v>
      </c>
      <c r="T948">
        <v>2328</v>
      </c>
      <c r="U948">
        <v>38.83</v>
      </c>
      <c r="V948" t="s">
        <v>21</v>
      </c>
    </row>
    <row r="949" spans="1:22" x14ac:dyDescent="0.35">
      <c r="A949" t="s">
        <v>3693</v>
      </c>
      <c r="B949" t="s">
        <v>61</v>
      </c>
      <c r="C949" t="s">
        <v>27</v>
      </c>
      <c r="D949" t="s">
        <v>3692</v>
      </c>
      <c r="E949" t="s">
        <v>3691</v>
      </c>
      <c r="F949" s="5">
        <v>45527</v>
      </c>
      <c r="G949" t="s">
        <v>126</v>
      </c>
      <c r="H949" t="s">
        <v>1162</v>
      </c>
      <c r="I949" t="s">
        <v>17</v>
      </c>
      <c r="J949" t="s">
        <v>253</v>
      </c>
      <c r="K949" t="s">
        <v>72</v>
      </c>
      <c r="L949" t="s">
        <v>25</v>
      </c>
      <c r="M949" t="s">
        <v>19</v>
      </c>
      <c r="N949">
        <v>1</v>
      </c>
      <c r="O949">
        <v>367</v>
      </c>
      <c r="P949">
        <v>499</v>
      </c>
      <c r="Q949">
        <v>0</v>
      </c>
      <c r="R949">
        <v>0</v>
      </c>
      <c r="S949">
        <v>499</v>
      </c>
      <c r="T949">
        <v>132</v>
      </c>
      <c r="U949">
        <v>26.45</v>
      </c>
      <c r="V949" t="s">
        <v>33</v>
      </c>
    </row>
    <row r="950" spans="1:22" x14ac:dyDescent="0.35">
      <c r="A950" t="s">
        <v>3690</v>
      </c>
      <c r="B950" t="s">
        <v>80</v>
      </c>
      <c r="C950" t="s">
        <v>27</v>
      </c>
      <c r="D950" t="s">
        <v>3689</v>
      </c>
      <c r="E950" t="s">
        <v>3688</v>
      </c>
      <c r="F950" s="5">
        <v>45640</v>
      </c>
      <c r="G950" t="s">
        <v>126</v>
      </c>
      <c r="H950" t="s">
        <v>2340</v>
      </c>
      <c r="I950" t="s">
        <v>35</v>
      </c>
      <c r="J950" t="s">
        <v>244</v>
      </c>
      <c r="K950" t="s">
        <v>58</v>
      </c>
      <c r="L950" t="s">
        <v>25</v>
      </c>
      <c r="M950" t="s">
        <v>19</v>
      </c>
      <c r="N950">
        <v>1</v>
      </c>
      <c r="O950">
        <v>1053</v>
      </c>
      <c r="P950">
        <v>1599</v>
      </c>
      <c r="Q950">
        <v>5</v>
      </c>
      <c r="R950">
        <v>100</v>
      </c>
      <c r="S950">
        <v>1499</v>
      </c>
      <c r="T950">
        <v>446</v>
      </c>
      <c r="U950">
        <v>29.75</v>
      </c>
      <c r="V950" t="s">
        <v>21</v>
      </c>
    </row>
    <row r="951" spans="1:22" x14ac:dyDescent="0.35">
      <c r="A951" t="s">
        <v>3687</v>
      </c>
      <c r="B951" t="s">
        <v>67</v>
      </c>
      <c r="C951" t="s">
        <v>27</v>
      </c>
      <c r="D951" t="s">
        <v>3686</v>
      </c>
      <c r="E951" t="s">
        <v>3685</v>
      </c>
      <c r="F951" s="5">
        <v>45647</v>
      </c>
      <c r="G951" t="s">
        <v>126</v>
      </c>
      <c r="H951" t="s">
        <v>3553</v>
      </c>
      <c r="I951" t="s">
        <v>31</v>
      </c>
      <c r="J951" t="s">
        <v>76</v>
      </c>
      <c r="K951" t="s">
        <v>76</v>
      </c>
      <c r="L951" t="s">
        <v>25</v>
      </c>
      <c r="M951" t="s">
        <v>20</v>
      </c>
      <c r="N951">
        <v>1</v>
      </c>
      <c r="O951">
        <v>831</v>
      </c>
      <c r="P951">
        <v>1499</v>
      </c>
      <c r="Q951">
        <v>0</v>
      </c>
      <c r="R951">
        <v>0</v>
      </c>
      <c r="S951">
        <v>1499</v>
      </c>
      <c r="T951">
        <v>668</v>
      </c>
      <c r="U951">
        <v>44.56</v>
      </c>
      <c r="V951" t="s">
        <v>21</v>
      </c>
    </row>
    <row r="952" spans="1:22" x14ac:dyDescent="0.35">
      <c r="A952" t="s">
        <v>3684</v>
      </c>
      <c r="B952" t="s">
        <v>44</v>
      </c>
      <c r="C952" t="s">
        <v>16</v>
      </c>
      <c r="D952" t="s">
        <v>3683</v>
      </c>
      <c r="E952" t="s">
        <v>3682</v>
      </c>
      <c r="F952" s="5">
        <v>45510</v>
      </c>
      <c r="G952" t="s">
        <v>126</v>
      </c>
      <c r="H952" t="s">
        <v>450</v>
      </c>
      <c r="I952" t="s">
        <v>23</v>
      </c>
      <c r="J952" t="s">
        <v>142</v>
      </c>
      <c r="K952" t="s">
        <v>43</v>
      </c>
      <c r="L952" t="s">
        <v>37</v>
      </c>
      <c r="M952" t="s">
        <v>20</v>
      </c>
      <c r="N952">
        <v>1</v>
      </c>
      <c r="O952">
        <v>2505</v>
      </c>
      <c r="P952">
        <v>3399</v>
      </c>
      <c r="Q952">
        <v>10</v>
      </c>
      <c r="R952">
        <v>400</v>
      </c>
      <c r="S952">
        <v>2999</v>
      </c>
      <c r="T952">
        <v>494</v>
      </c>
      <c r="U952">
        <v>16.47</v>
      </c>
      <c r="V952" t="s">
        <v>21</v>
      </c>
    </row>
    <row r="953" spans="1:22" x14ac:dyDescent="0.35">
      <c r="A953" t="s">
        <v>3681</v>
      </c>
      <c r="B953" t="s">
        <v>57</v>
      </c>
      <c r="C953" t="s">
        <v>27</v>
      </c>
      <c r="D953" t="s">
        <v>3680</v>
      </c>
      <c r="E953" t="s">
        <v>3679</v>
      </c>
      <c r="F953" s="5">
        <v>45518</v>
      </c>
      <c r="G953" t="s">
        <v>126</v>
      </c>
      <c r="H953" t="s">
        <v>3678</v>
      </c>
      <c r="I953" t="s">
        <v>31</v>
      </c>
      <c r="J953" t="s">
        <v>76</v>
      </c>
      <c r="K953" t="s">
        <v>76</v>
      </c>
      <c r="L953" t="s">
        <v>19</v>
      </c>
      <c r="M953" t="s">
        <v>19</v>
      </c>
      <c r="N953">
        <v>1</v>
      </c>
      <c r="O953">
        <v>889</v>
      </c>
      <c r="P953">
        <v>1199</v>
      </c>
      <c r="Q953">
        <v>0</v>
      </c>
      <c r="R953">
        <v>0</v>
      </c>
      <c r="S953">
        <v>1199</v>
      </c>
      <c r="T953">
        <v>310</v>
      </c>
      <c r="U953">
        <v>25.85</v>
      </c>
      <c r="V953" t="s">
        <v>21</v>
      </c>
    </row>
    <row r="954" spans="1:22" x14ac:dyDescent="0.35">
      <c r="A954" t="s">
        <v>3677</v>
      </c>
      <c r="B954" t="s">
        <v>66</v>
      </c>
      <c r="C954" t="s">
        <v>27</v>
      </c>
      <c r="D954" t="s">
        <v>3676</v>
      </c>
      <c r="E954" t="s">
        <v>3675</v>
      </c>
      <c r="F954" s="5">
        <v>45536</v>
      </c>
      <c r="G954" t="s">
        <v>126</v>
      </c>
      <c r="H954" t="s">
        <v>2123</v>
      </c>
      <c r="I954" t="s">
        <v>28</v>
      </c>
      <c r="J954" t="s">
        <v>45</v>
      </c>
      <c r="K954" t="s">
        <v>45</v>
      </c>
      <c r="L954" t="s">
        <v>25</v>
      </c>
      <c r="M954" t="s">
        <v>19</v>
      </c>
      <c r="N954">
        <v>1</v>
      </c>
      <c r="O954">
        <v>891</v>
      </c>
      <c r="P954">
        <v>1699</v>
      </c>
      <c r="Q954">
        <v>10</v>
      </c>
      <c r="R954">
        <v>200</v>
      </c>
      <c r="S954">
        <v>1499</v>
      </c>
      <c r="T954">
        <v>608</v>
      </c>
      <c r="U954">
        <v>40.56</v>
      </c>
      <c r="V954" t="s">
        <v>21</v>
      </c>
    </row>
    <row r="955" spans="1:22" x14ac:dyDescent="0.35">
      <c r="A955" t="s">
        <v>3674</v>
      </c>
      <c r="B955" t="s">
        <v>59</v>
      </c>
      <c r="C955" t="s">
        <v>27</v>
      </c>
      <c r="D955" t="s">
        <v>3673</v>
      </c>
      <c r="E955" t="s">
        <v>3672</v>
      </c>
      <c r="F955" s="5">
        <v>45617</v>
      </c>
      <c r="G955" t="s">
        <v>126</v>
      </c>
      <c r="H955" t="s">
        <v>2987</v>
      </c>
      <c r="I955" t="s">
        <v>17</v>
      </c>
      <c r="J955" t="s">
        <v>235</v>
      </c>
      <c r="K955" t="s">
        <v>18</v>
      </c>
      <c r="L955" t="s">
        <v>25</v>
      </c>
      <c r="M955" t="s">
        <v>20</v>
      </c>
      <c r="N955">
        <v>1</v>
      </c>
      <c r="O955">
        <v>311</v>
      </c>
      <c r="P955">
        <v>599</v>
      </c>
      <c r="Q955">
        <v>0</v>
      </c>
      <c r="R955">
        <v>0</v>
      </c>
      <c r="S955">
        <v>599</v>
      </c>
      <c r="T955">
        <v>288</v>
      </c>
      <c r="U955">
        <v>48.08</v>
      </c>
      <c r="V955" t="s">
        <v>21</v>
      </c>
    </row>
    <row r="956" spans="1:22" x14ac:dyDescent="0.35">
      <c r="A956" t="s">
        <v>3671</v>
      </c>
      <c r="B956" t="s">
        <v>57</v>
      </c>
      <c r="C956" t="s">
        <v>27</v>
      </c>
      <c r="D956" t="s">
        <v>3670</v>
      </c>
      <c r="E956" t="s">
        <v>3669</v>
      </c>
      <c r="F956" s="5">
        <v>45531</v>
      </c>
      <c r="G956" t="s">
        <v>126</v>
      </c>
      <c r="H956" t="s">
        <v>1260</v>
      </c>
      <c r="I956" t="s">
        <v>23</v>
      </c>
      <c r="J956" t="s">
        <v>164</v>
      </c>
      <c r="K956" t="s">
        <v>24</v>
      </c>
      <c r="L956" t="s">
        <v>25</v>
      </c>
      <c r="M956" t="s">
        <v>20</v>
      </c>
      <c r="N956">
        <v>3</v>
      </c>
      <c r="O956">
        <v>705</v>
      </c>
      <c r="P956">
        <v>1299</v>
      </c>
      <c r="Q956">
        <v>20</v>
      </c>
      <c r="R956">
        <v>900</v>
      </c>
      <c r="S956">
        <v>2997</v>
      </c>
      <c r="T956">
        <v>882</v>
      </c>
      <c r="U956">
        <v>29.43</v>
      </c>
      <c r="V956" t="s">
        <v>33</v>
      </c>
    </row>
    <row r="957" spans="1:22" x14ac:dyDescent="0.35">
      <c r="A957" t="s">
        <v>3668</v>
      </c>
      <c r="B957" t="s">
        <v>84</v>
      </c>
      <c r="C957" t="s">
        <v>27</v>
      </c>
      <c r="D957" t="s">
        <v>3667</v>
      </c>
      <c r="E957" t="s">
        <v>3666</v>
      </c>
      <c r="F957" s="5">
        <v>45494</v>
      </c>
      <c r="G957" t="s">
        <v>126</v>
      </c>
      <c r="H957" t="s">
        <v>1446</v>
      </c>
      <c r="I957" t="s">
        <v>23</v>
      </c>
      <c r="J957" t="s">
        <v>142</v>
      </c>
      <c r="K957" t="s">
        <v>43</v>
      </c>
      <c r="L957" t="s">
        <v>25</v>
      </c>
      <c r="M957" t="s">
        <v>19</v>
      </c>
      <c r="N957">
        <v>4</v>
      </c>
      <c r="O957">
        <v>1173</v>
      </c>
      <c r="P957">
        <v>2199</v>
      </c>
      <c r="Q957">
        <v>10</v>
      </c>
      <c r="R957">
        <v>1200</v>
      </c>
      <c r="S957">
        <v>7596</v>
      </c>
      <c r="T957">
        <v>2904</v>
      </c>
      <c r="U957">
        <v>38.229999999999997</v>
      </c>
      <c r="V957" t="s">
        <v>21</v>
      </c>
    </row>
    <row r="958" spans="1:22" x14ac:dyDescent="0.35">
      <c r="A958" t="s">
        <v>3665</v>
      </c>
      <c r="B958" t="s">
        <v>49</v>
      </c>
      <c r="C958" t="s">
        <v>27</v>
      </c>
      <c r="D958" t="s">
        <v>3664</v>
      </c>
      <c r="E958" t="s">
        <v>3663</v>
      </c>
      <c r="F958" s="5">
        <v>45619</v>
      </c>
      <c r="G958" t="s">
        <v>126</v>
      </c>
      <c r="H958" t="s">
        <v>1113</v>
      </c>
      <c r="I958" t="s">
        <v>17</v>
      </c>
      <c r="J958" t="s">
        <v>48</v>
      </c>
      <c r="K958" t="s">
        <v>48</v>
      </c>
      <c r="L958" t="s">
        <v>37</v>
      </c>
      <c r="M958" t="s">
        <v>19</v>
      </c>
      <c r="N958">
        <v>4</v>
      </c>
      <c r="O958">
        <v>246</v>
      </c>
      <c r="P958">
        <v>399</v>
      </c>
      <c r="Q958">
        <v>0</v>
      </c>
      <c r="R958">
        <v>0</v>
      </c>
      <c r="S958">
        <v>1596</v>
      </c>
      <c r="T958">
        <v>612</v>
      </c>
      <c r="U958">
        <v>38.35</v>
      </c>
      <c r="V958" t="s">
        <v>21</v>
      </c>
    </row>
    <row r="959" spans="1:22" x14ac:dyDescent="0.35">
      <c r="A959" t="s">
        <v>3662</v>
      </c>
      <c r="B959" t="s">
        <v>34</v>
      </c>
      <c r="C959" t="s">
        <v>27</v>
      </c>
      <c r="D959" t="s">
        <v>3661</v>
      </c>
      <c r="E959" t="s">
        <v>2970</v>
      </c>
      <c r="F959" s="5">
        <v>45610</v>
      </c>
      <c r="G959" t="s">
        <v>126</v>
      </c>
      <c r="H959" t="s">
        <v>3660</v>
      </c>
      <c r="I959" t="s">
        <v>35</v>
      </c>
      <c r="J959" t="s">
        <v>39</v>
      </c>
      <c r="K959" t="s">
        <v>39</v>
      </c>
      <c r="L959" t="s">
        <v>19</v>
      </c>
      <c r="M959" t="s">
        <v>19</v>
      </c>
      <c r="N959">
        <v>2</v>
      </c>
      <c r="O959">
        <v>806</v>
      </c>
      <c r="P959">
        <v>1199</v>
      </c>
      <c r="Q959">
        <v>10</v>
      </c>
      <c r="R959">
        <v>400</v>
      </c>
      <c r="S959">
        <v>1998</v>
      </c>
      <c r="T959">
        <v>386</v>
      </c>
      <c r="U959">
        <v>19.32</v>
      </c>
      <c r="V959" t="s">
        <v>21</v>
      </c>
    </row>
    <row r="960" spans="1:22" x14ac:dyDescent="0.35">
      <c r="A960" t="s">
        <v>3659</v>
      </c>
      <c r="B960" t="s">
        <v>22</v>
      </c>
      <c r="C960" t="s">
        <v>16</v>
      </c>
      <c r="D960" t="s">
        <v>3658</v>
      </c>
      <c r="E960" t="s">
        <v>3657</v>
      </c>
      <c r="F960" s="5">
        <v>45465</v>
      </c>
      <c r="G960" t="s">
        <v>126</v>
      </c>
      <c r="H960" t="s">
        <v>3656</v>
      </c>
      <c r="I960" t="s">
        <v>35</v>
      </c>
      <c r="J960" t="s">
        <v>39</v>
      </c>
      <c r="K960" t="s">
        <v>39</v>
      </c>
      <c r="L960" t="s">
        <v>19</v>
      </c>
      <c r="M960" t="s">
        <v>19</v>
      </c>
      <c r="N960">
        <v>5</v>
      </c>
      <c r="O960">
        <v>531</v>
      </c>
      <c r="P960">
        <v>799</v>
      </c>
      <c r="Q960">
        <v>5</v>
      </c>
      <c r="R960">
        <v>500</v>
      </c>
      <c r="S960">
        <v>3495</v>
      </c>
      <c r="T960">
        <v>840</v>
      </c>
      <c r="U960">
        <v>24.03</v>
      </c>
      <c r="V960" t="s">
        <v>21</v>
      </c>
    </row>
    <row r="961" spans="1:22" x14ac:dyDescent="0.35">
      <c r="A961" t="s">
        <v>3655</v>
      </c>
      <c r="B961" t="s">
        <v>94</v>
      </c>
      <c r="C961" t="s">
        <v>16</v>
      </c>
      <c r="D961" t="s">
        <v>3654</v>
      </c>
      <c r="E961" t="s">
        <v>3653</v>
      </c>
      <c r="F961" s="5">
        <v>45614</v>
      </c>
      <c r="G961" t="s">
        <v>126</v>
      </c>
      <c r="H961" t="s">
        <v>2532</v>
      </c>
      <c r="I961" t="s">
        <v>31</v>
      </c>
      <c r="J961" t="s">
        <v>32</v>
      </c>
      <c r="K961" t="s">
        <v>32</v>
      </c>
      <c r="L961" t="s">
        <v>19</v>
      </c>
      <c r="M961" t="s">
        <v>20</v>
      </c>
      <c r="N961">
        <v>4</v>
      </c>
      <c r="O961">
        <v>792</v>
      </c>
      <c r="P961">
        <v>1399</v>
      </c>
      <c r="Q961">
        <v>0</v>
      </c>
      <c r="R961">
        <v>0</v>
      </c>
      <c r="S961">
        <v>5596</v>
      </c>
      <c r="T961">
        <v>2428</v>
      </c>
      <c r="U961">
        <v>43.39</v>
      </c>
      <c r="V961" t="s">
        <v>33</v>
      </c>
    </row>
    <row r="962" spans="1:22" x14ac:dyDescent="0.35">
      <c r="A962" t="s">
        <v>3652</v>
      </c>
      <c r="B962" t="s">
        <v>52</v>
      </c>
      <c r="C962" t="s">
        <v>27</v>
      </c>
      <c r="D962" t="s">
        <v>3651</v>
      </c>
      <c r="E962" t="s">
        <v>3650</v>
      </c>
      <c r="F962" s="5">
        <v>45627</v>
      </c>
      <c r="G962" t="s">
        <v>126</v>
      </c>
      <c r="H962" t="s">
        <v>852</v>
      </c>
      <c r="I962" t="s">
        <v>23</v>
      </c>
      <c r="J962" t="s">
        <v>164</v>
      </c>
      <c r="K962" t="s">
        <v>24</v>
      </c>
      <c r="L962" t="s">
        <v>37</v>
      </c>
      <c r="M962" t="s">
        <v>19</v>
      </c>
      <c r="N962">
        <v>2</v>
      </c>
      <c r="O962">
        <v>994</v>
      </c>
      <c r="P962">
        <v>1499</v>
      </c>
      <c r="Q962">
        <v>15</v>
      </c>
      <c r="R962">
        <v>600</v>
      </c>
      <c r="S962">
        <v>2398</v>
      </c>
      <c r="T962">
        <v>410</v>
      </c>
      <c r="U962">
        <v>17.100000000000001</v>
      </c>
      <c r="V962" t="s">
        <v>33</v>
      </c>
    </row>
    <row r="963" spans="1:22" x14ac:dyDescent="0.35">
      <c r="A963" t="s">
        <v>3649</v>
      </c>
      <c r="B963" t="s">
        <v>90</v>
      </c>
      <c r="C963" t="s">
        <v>27</v>
      </c>
      <c r="D963" t="s">
        <v>3648</v>
      </c>
      <c r="E963" t="s">
        <v>3647</v>
      </c>
      <c r="F963" s="5">
        <v>45523</v>
      </c>
      <c r="G963" t="s">
        <v>126</v>
      </c>
      <c r="H963" t="s">
        <v>1084</v>
      </c>
      <c r="I963" t="s">
        <v>35</v>
      </c>
      <c r="J963" t="s">
        <v>39</v>
      </c>
      <c r="K963" t="s">
        <v>39</v>
      </c>
      <c r="L963" t="s">
        <v>25</v>
      </c>
      <c r="M963" t="s">
        <v>19</v>
      </c>
      <c r="N963">
        <v>2</v>
      </c>
      <c r="O963">
        <v>657</v>
      </c>
      <c r="P963">
        <v>1199</v>
      </c>
      <c r="Q963">
        <v>10</v>
      </c>
      <c r="R963">
        <v>400</v>
      </c>
      <c r="S963">
        <v>1998</v>
      </c>
      <c r="T963">
        <v>684</v>
      </c>
      <c r="U963">
        <v>34.229999999999997</v>
      </c>
      <c r="V963" t="s">
        <v>21</v>
      </c>
    </row>
    <row r="964" spans="1:22" x14ac:dyDescent="0.35">
      <c r="A964" t="s">
        <v>3646</v>
      </c>
      <c r="B964" t="s">
        <v>91</v>
      </c>
      <c r="C964" t="s">
        <v>16</v>
      </c>
      <c r="D964" t="s">
        <v>3645</v>
      </c>
      <c r="E964" t="s">
        <v>3644</v>
      </c>
      <c r="F964" s="5">
        <v>45583</v>
      </c>
      <c r="G964" t="s">
        <v>126</v>
      </c>
      <c r="H964" t="s">
        <v>2956</v>
      </c>
      <c r="I964" t="s">
        <v>31</v>
      </c>
      <c r="J964" t="s">
        <v>32</v>
      </c>
      <c r="K964" t="s">
        <v>32</v>
      </c>
      <c r="L964" t="s">
        <v>25</v>
      </c>
      <c r="M964" t="s">
        <v>19</v>
      </c>
      <c r="N964">
        <v>4</v>
      </c>
      <c r="O964">
        <v>826</v>
      </c>
      <c r="P964">
        <v>1499</v>
      </c>
      <c r="Q964">
        <v>0</v>
      </c>
      <c r="R964">
        <v>0</v>
      </c>
      <c r="S964">
        <v>5996</v>
      </c>
      <c r="T964">
        <v>2692</v>
      </c>
      <c r="U964">
        <v>44.9</v>
      </c>
      <c r="V964" t="s">
        <v>21</v>
      </c>
    </row>
    <row r="965" spans="1:22" x14ac:dyDescent="0.35">
      <c r="A965" t="s">
        <v>3643</v>
      </c>
      <c r="B965" t="s">
        <v>54</v>
      </c>
      <c r="C965" t="s">
        <v>27</v>
      </c>
      <c r="D965" t="s">
        <v>3642</v>
      </c>
      <c r="E965" t="s">
        <v>3641</v>
      </c>
      <c r="F965" s="5">
        <v>45450</v>
      </c>
      <c r="G965" t="s">
        <v>126</v>
      </c>
      <c r="H965" t="s">
        <v>3640</v>
      </c>
      <c r="I965" t="s">
        <v>23</v>
      </c>
      <c r="J965" t="s">
        <v>164</v>
      </c>
      <c r="K965" t="s">
        <v>24</v>
      </c>
      <c r="L965" t="s">
        <v>37</v>
      </c>
      <c r="M965" t="s">
        <v>19</v>
      </c>
      <c r="N965">
        <v>1</v>
      </c>
      <c r="O965">
        <v>653</v>
      </c>
      <c r="P965">
        <v>1199</v>
      </c>
      <c r="Q965">
        <v>10</v>
      </c>
      <c r="R965">
        <v>200</v>
      </c>
      <c r="S965">
        <v>999</v>
      </c>
      <c r="T965">
        <v>346</v>
      </c>
      <c r="U965">
        <v>34.630000000000003</v>
      </c>
      <c r="V965" t="s">
        <v>21</v>
      </c>
    </row>
    <row r="966" spans="1:22" x14ac:dyDescent="0.35">
      <c r="A966" t="s">
        <v>3639</v>
      </c>
      <c r="B966" t="s">
        <v>61</v>
      </c>
      <c r="C966" t="s">
        <v>27</v>
      </c>
      <c r="D966" t="s">
        <v>3638</v>
      </c>
      <c r="E966" t="s">
        <v>3637</v>
      </c>
      <c r="F966" s="5">
        <v>45567</v>
      </c>
      <c r="G966" t="s">
        <v>126</v>
      </c>
      <c r="H966" t="s">
        <v>3636</v>
      </c>
      <c r="I966" t="s">
        <v>28</v>
      </c>
      <c r="J966" t="s">
        <v>201</v>
      </c>
      <c r="K966" t="s">
        <v>29</v>
      </c>
      <c r="L966" t="s">
        <v>37</v>
      </c>
      <c r="M966" t="s">
        <v>19</v>
      </c>
      <c r="N966">
        <v>1</v>
      </c>
      <c r="O966">
        <v>432</v>
      </c>
      <c r="P966">
        <v>599</v>
      </c>
      <c r="Q966">
        <v>10</v>
      </c>
      <c r="R966">
        <v>100</v>
      </c>
      <c r="S966">
        <v>499</v>
      </c>
      <c r="T966">
        <v>67</v>
      </c>
      <c r="U966">
        <v>13.43</v>
      </c>
      <c r="V966" t="s">
        <v>33</v>
      </c>
    </row>
    <row r="967" spans="1:22" x14ac:dyDescent="0.35">
      <c r="A967" t="s">
        <v>3635</v>
      </c>
      <c r="B967" t="s">
        <v>54</v>
      </c>
      <c r="C967" t="s">
        <v>27</v>
      </c>
      <c r="D967" t="s">
        <v>3634</v>
      </c>
      <c r="E967" t="s">
        <v>3633</v>
      </c>
      <c r="F967" s="5">
        <v>45570</v>
      </c>
      <c r="G967" t="s">
        <v>126</v>
      </c>
      <c r="H967" t="s">
        <v>3632</v>
      </c>
      <c r="I967" t="s">
        <v>35</v>
      </c>
      <c r="J967" t="s">
        <v>39</v>
      </c>
      <c r="K967" t="s">
        <v>39</v>
      </c>
      <c r="L967" t="s">
        <v>19</v>
      </c>
      <c r="M967" t="s">
        <v>20</v>
      </c>
      <c r="N967">
        <v>1</v>
      </c>
      <c r="O967">
        <v>527</v>
      </c>
      <c r="P967">
        <v>799</v>
      </c>
      <c r="Q967">
        <v>10</v>
      </c>
      <c r="R967">
        <v>100</v>
      </c>
      <c r="S967">
        <v>699</v>
      </c>
      <c r="T967">
        <v>172</v>
      </c>
      <c r="U967">
        <v>24.61</v>
      </c>
      <c r="V967" t="s">
        <v>33</v>
      </c>
    </row>
    <row r="968" spans="1:22" x14ac:dyDescent="0.35">
      <c r="A968" t="s">
        <v>3631</v>
      </c>
      <c r="B968" t="s">
        <v>63</v>
      </c>
      <c r="C968" t="s">
        <v>27</v>
      </c>
      <c r="D968" t="s">
        <v>3630</v>
      </c>
      <c r="E968" t="s">
        <v>3629</v>
      </c>
      <c r="F968" s="5">
        <v>45499</v>
      </c>
      <c r="G968" t="s">
        <v>126</v>
      </c>
      <c r="H968" t="s">
        <v>3628</v>
      </c>
      <c r="I968" t="s">
        <v>31</v>
      </c>
      <c r="J968" t="s">
        <v>32</v>
      </c>
      <c r="K968" t="s">
        <v>32</v>
      </c>
      <c r="L968" t="s">
        <v>25</v>
      </c>
      <c r="M968" t="s">
        <v>20</v>
      </c>
      <c r="N968">
        <v>1</v>
      </c>
      <c r="O968">
        <v>653</v>
      </c>
      <c r="P968">
        <v>899</v>
      </c>
      <c r="Q968">
        <v>0</v>
      </c>
      <c r="R968">
        <v>0</v>
      </c>
      <c r="S968">
        <v>899</v>
      </c>
      <c r="T968">
        <v>246</v>
      </c>
      <c r="U968">
        <v>27.36</v>
      </c>
      <c r="V968" t="s">
        <v>33</v>
      </c>
    </row>
    <row r="969" spans="1:22" x14ac:dyDescent="0.35">
      <c r="A969" t="s">
        <v>3627</v>
      </c>
      <c r="B969" t="s">
        <v>30</v>
      </c>
      <c r="C969" t="s">
        <v>16</v>
      </c>
      <c r="D969" t="s">
        <v>3626</v>
      </c>
      <c r="E969" t="s">
        <v>3625</v>
      </c>
      <c r="F969" s="5">
        <v>45523</v>
      </c>
      <c r="G969" t="s">
        <v>126</v>
      </c>
      <c r="H969" t="s">
        <v>660</v>
      </c>
      <c r="I969" t="s">
        <v>23</v>
      </c>
      <c r="J969" t="s">
        <v>142</v>
      </c>
      <c r="K969" t="s">
        <v>43</v>
      </c>
      <c r="L969" t="s">
        <v>19</v>
      </c>
      <c r="M969" t="s">
        <v>20</v>
      </c>
      <c r="N969">
        <v>1</v>
      </c>
      <c r="O969">
        <v>3069</v>
      </c>
      <c r="P969">
        <v>4299</v>
      </c>
      <c r="Q969">
        <v>5</v>
      </c>
      <c r="R969">
        <v>300</v>
      </c>
      <c r="S969">
        <v>3999</v>
      </c>
      <c r="T969">
        <v>930</v>
      </c>
      <c r="U969">
        <v>23.26</v>
      </c>
      <c r="V969" t="s">
        <v>21</v>
      </c>
    </row>
    <row r="970" spans="1:22" x14ac:dyDescent="0.35">
      <c r="A970" t="s">
        <v>3624</v>
      </c>
      <c r="B970" t="s">
        <v>34</v>
      </c>
      <c r="C970" t="s">
        <v>27</v>
      </c>
      <c r="D970" t="s">
        <v>3623</v>
      </c>
      <c r="E970" t="s">
        <v>3622</v>
      </c>
      <c r="F970" s="5">
        <v>45651</v>
      </c>
      <c r="G970" t="s">
        <v>126</v>
      </c>
      <c r="H970" t="s">
        <v>3343</v>
      </c>
      <c r="I970" t="s">
        <v>31</v>
      </c>
      <c r="J970" t="s">
        <v>32</v>
      </c>
      <c r="K970" t="s">
        <v>32</v>
      </c>
      <c r="L970" t="s">
        <v>19</v>
      </c>
      <c r="M970" t="s">
        <v>19</v>
      </c>
      <c r="N970">
        <v>2</v>
      </c>
      <c r="O970">
        <v>553</v>
      </c>
      <c r="P970">
        <v>999</v>
      </c>
      <c r="Q970">
        <v>0</v>
      </c>
      <c r="R970">
        <v>0</v>
      </c>
      <c r="S970">
        <v>1998</v>
      </c>
      <c r="T970">
        <v>892</v>
      </c>
      <c r="U970">
        <v>44.64</v>
      </c>
      <c r="V970" t="s">
        <v>21</v>
      </c>
    </row>
    <row r="971" spans="1:22" x14ac:dyDescent="0.35">
      <c r="A971" t="s">
        <v>3621</v>
      </c>
      <c r="B971" t="s">
        <v>77</v>
      </c>
      <c r="C971" t="s">
        <v>27</v>
      </c>
      <c r="D971" t="s">
        <v>3620</v>
      </c>
      <c r="E971" t="s">
        <v>3619</v>
      </c>
      <c r="F971" s="5">
        <v>45639</v>
      </c>
      <c r="G971" t="s">
        <v>126</v>
      </c>
      <c r="H971" t="s">
        <v>2611</v>
      </c>
      <c r="I971" t="s">
        <v>31</v>
      </c>
      <c r="J971" t="s">
        <v>32</v>
      </c>
      <c r="K971" t="s">
        <v>32</v>
      </c>
      <c r="L971" t="s">
        <v>37</v>
      </c>
      <c r="M971" t="s">
        <v>19</v>
      </c>
      <c r="N971">
        <v>1</v>
      </c>
      <c r="O971">
        <v>718</v>
      </c>
      <c r="P971">
        <v>999</v>
      </c>
      <c r="Q971">
        <v>0</v>
      </c>
      <c r="R971">
        <v>0</v>
      </c>
      <c r="S971">
        <v>999</v>
      </c>
      <c r="T971">
        <v>281</v>
      </c>
      <c r="U971">
        <v>28.13</v>
      </c>
      <c r="V971" t="s">
        <v>21</v>
      </c>
    </row>
    <row r="972" spans="1:22" x14ac:dyDescent="0.35">
      <c r="A972" t="s">
        <v>3618</v>
      </c>
      <c r="B972" t="s">
        <v>66</v>
      </c>
      <c r="C972" t="s">
        <v>27</v>
      </c>
      <c r="D972" t="s">
        <v>3617</v>
      </c>
      <c r="E972" t="s">
        <v>3616</v>
      </c>
      <c r="F972" s="5">
        <v>45586</v>
      </c>
      <c r="G972" t="s">
        <v>126</v>
      </c>
      <c r="H972" t="s">
        <v>3615</v>
      </c>
      <c r="I972" t="s">
        <v>35</v>
      </c>
      <c r="J972" t="s">
        <v>159</v>
      </c>
      <c r="K972" t="s">
        <v>100</v>
      </c>
      <c r="L972" t="s">
        <v>25</v>
      </c>
      <c r="M972" t="s">
        <v>19</v>
      </c>
      <c r="N972">
        <v>1</v>
      </c>
      <c r="O972">
        <v>765</v>
      </c>
      <c r="P972">
        <v>1199</v>
      </c>
      <c r="Q972">
        <v>10</v>
      </c>
      <c r="R972">
        <v>200</v>
      </c>
      <c r="S972">
        <v>999</v>
      </c>
      <c r="T972">
        <v>234</v>
      </c>
      <c r="U972">
        <v>23.42</v>
      </c>
      <c r="V972" t="s">
        <v>21</v>
      </c>
    </row>
    <row r="973" spans="1:22" x14ac:dyDescent="0.35">
      <c r="A973" t="s">
        <v>3614</v>
      </c>
      <c r="B973" t="s">
        <v>63</v>
      </c>
      <c r="C973" t="s">
        <v>27</v>
      </c>
      <c r="D973" t="s">
        <v>3613</v>
      </c>
      <c r="E973" t="s">
        <v>3612</v>
      </c>
      <c r="F973" s="5">
        <v>45645</v>
      </c>
      <c r="G973" t="s">
        <v>126</v>
      </c>
      <c r="H973" t="s">
        <v>3611</v>
      </c>
      <c r="I973" t="s">
        <v>35</v>
      </c>
      <c r="J973" t="s">
        <v>214</v>
      </c>
      <c r="K973" t="s">
        <v>87</v>
      </c>
      <c r="L973" t="s">
        <v>19</v>
      </c>
      <c r="M973" t="s">
        <v>20</v>
      </c>
      <c r="N973">
        <v>1</v>
      </c>
      <c r="O973">
        <v>1970</v>
      </c>
      <c r="P973">
        <v>3599</v>
      </c>
      <c r="Q973">
        <v>15</v>
      </c>
      <c r="R973">
        <v>600</v>
      </c>
      <c r="S973">
        <v>2999</v>
      </c>
      <c r="T973">
        <v>1029</v>
      </c>
      <c r="U973">
        <v>34.31</v>
      </c>
      <c r="V973" t="s">
        <v>33</v>
      </c>
    </row>
    <row r="974" spans="1:22" x14ac:dyDescent="0.35">
      <c r="A974" t="s">
        <v>3610</v>
      </c>
      <c r="B974" t="s">
        <v>63</v>
      </c>
      <c r="C974" t="s">
        <v>27</v>
      </c>
      <c r="D974" t="s">
        <v>3609</v>
      </c>
      <c r="E974" t="s">
        <v>3608</v>
      </c>
      <c r="F974" s="5">
        <v>45506</v>
      </c>
      <c r="G974" t="s">
        <v>126</v>
      </c>
      <c r="H974" t="s">
        <v>1069</v>
      </c>
      <c r="I974" t="s">
        <v>31</v>
      </c>
      <c r="J974" t="s">
        <v>76</v>
      </c>
      <c r="K974" t="s">
        <v>76</v>
      </c>
      <c r="L974" t="s">
        <v>19</v>
      </c>
      <c r="M974" t="s">
        <v>19</v>
      </c>
      <c r="N974">
        <v>1</v>
      </c>
      <c r="O974">
        <v>624</v>
      </c>
      <c r="P974">
        <v>999</v>
      </c>
      <c r="Q974">
        <v>0</v>
      </c>
      <c r="R974">
        <v>0</v>
      </c>
      <c r="S974">
        <v>999</v>
      </c>
      <c r="T974">
        <v>375</v>
      </c>
      <c r="U974">
        <v>37.54</v>
      </c>
      <c r="V974" t="s">
        <v>21</v>
      </c>
    </row>
    <row r="975" spans="1:22" x14ac:dyDescent="0.35">
      <c r="A975" t="s">
        <v>3607</v>
      </c>
      <c r="B975" t="s">
        <v>26</v>
      </c>
      <c r="C975" t="s">
        <v>27</v>
      </c>
      <c r="D975" t="s">
        <v>3606</v>
      </c>
      <c r="E975" t="s">
        <v>3605</v>
      </c>
      <c r="F975" s="5">
        <v>45486</v>
      </c>
      <c r="G975" t="s">
        <v>126</v>
      </c>
      <c r="H975" t="s">
        <v>3604</v>
      </c>
      <c r="I975" t="s">
        <v>35</v>
      </c>
      <c r="J975" t="s">
        <v>214</v>
      </c>
      <c r="K975" t="s">
        <v>87</v>
      </c>
      <c r="L975" t="s">
        <v>37</v>
      </c>
      <c r="M975" t="s">
        <v>19</v>
      </c>
      <c r="N975">
        <v>1</v>
      </c>
      <c r="O975">
        <v>1510</v>
      </c>
      <c r="P975">
        <v>2799</v>
      </c>
      <c r="Q975">
        <v>10</v>
      </c>
      <c r="R975">
        <v>300</v>
      </c>
      <c r="S975">
        <v>2499</v>
      </c>
      <c r="T975">
        <v>989</v>
      </c>
      <c r="U975">
        <v>39.58</v>
      </c>
      <c r="V975" t="s">
        <v>33</v>
      </c>
    </row>
    <row r="976" spans="1:22" x14ac:dyDescent="0.35">
      <c r="A976" t="s">
        <v>3603</v>
      </c>
      <c r="B976" t="s">
        <v>34</v>
      </c>
      <c r="C976" t="s">
        <v>27</v>
      </c>
      <c r="D976" t="s">
        <v>3602</v>
      </c>
      <c r="E976" t="s">
        <v>735</v>
      </c>
      <c r="F976" s="5">
        <v>45506</v>
      </c>
      <c r="G976" t="s">
        <v>126</v>
      </c>
      <c r="H976" t="s">
        <v>3601</v>
      </c>
      <c r="I976" t="s">
        <v>35</v>
      </c>
      <c r="J976" t="s">
        <v>41</v>
      </c>
      <c r="K976" t="s">
        <v>41</v>
      </c>
      <c r="L976" t="s">
        <v>37</v>
      </c>
      <c r="M976" t="s">
        <v>20</v>
      </c>
      <c r="N976">
        <v>1</v>
      </c>
      <c r="O976">
        <v>562</v>
      </c>
      <c r="P976">
        <v>999</v>
      </c>
      <c r="Q976">
        <v>20</v>
      </c>
      <c r="R976">
        <v>200</v>
      </c>
      <c r="S976">
        <v>799</v>
      </c>
      <c r="T976">
        <v>237</v>
      </c>
      <c r="U976">
        <v>29.66</v>
      </c>
      <c r="V976" t="s">
        <v>21</v>
      </c>
    </row>
    <row r="977" spans="1:22" x14ac:dyDescent="0.35">
      <c r="A977" t="s">
        <v>3600</v>
      </c>
      <c r="B977" t="s">
        <v>26</v>
      </c>
      <c r="C977" t="s">
        <v>27</v>
      </c>
      <c r="D977" t="s">
        <v>3599</v>
      </c>
      <c r="E977" t="s">
        <v>2323</v>
      </c>
      <c r="F977" s="5">
        <v>45577</v>
      </c>
      <c r="G977" t="s">
        <v>126</v>
      </c>
      <c r="H977" t="s">
        <v>427</v>
      </c>
      <c r="I977" t="s">
        <v>35</v>
      </c>
      <c r="J977" t="s">
        <v>41</v>
      </c>
      <c r="K977" t="s">
        <v>41</v>
      </c>
      <c r="L977" t="s">
        <v>19</v>
      </c>
      <c r="M977" t="s">
        <v>19</v>
      </c>
      <c r="N977">
        <v>1</v>
      </c>
      <c r="O977">
        <v>306</v>
      </c>
      <c r="P977">
        <v>599</v>
      </c>
      <c r="Q977">
        <v>15</v>
      </c>
      <c r="R977">
        <v>100</v>
      </c>
      <c r="S977">
        <v>499</v>
      </c>
      <c r="T977">
        <v>193</v>
      </c>
      <c r="U977">
        <v>38.68</v>
      </c>
      <c r="V977" t="s">
        <v>21</v>
      </c>
    </row>
    <row r="978" spans="1:22" x14ac:dyDescent="0.35">
      <c r="A978" t="s">
        <v>3598</v>
      </c>
      <c r="B978" t="s">
        <v>95</v>
      </c>
      <c r="C978" t="s">
        <v>27</v>
      </c>
      <c r="D978" t="s">
        <v>3597</v>
      </c>
      <c r="E978" t="s">
        <v>3596</v>
      </c>
      <c r="F978" s="5">
        <v>45499</v>
      </c>
      <c r="G978" t="s">
        <v>126</v>
      </c>
      <c r="H978" t="s">
        <v>707</v>
      </c>
      <c r="I978" t="s">
        <v>28</v>
      </c>
      <c r="J978" t="s">
        <v>201</v>
      </c>
      <c r="K978" t="s">
        <v>29</v>
      </c>
      <c r="L978" t="s">
        <v>19</v>
      </c>
      <c r="M978" t="s">
        <v>20</v>
      </c>
      <c r="N978">
        <v>1</v>
      </c>
      <c r="O978">
        <v>499</v>
      </c>
      <c r="P978">
        <v>699</v>
      </c>
      <c r="Q978">
        <v>20</v>
      </c>
      <c r="R978">
        <v>200</v>
      </c>
      <c r="S978">
        <v>499</v>
      </c>
      <c r="T978">
        <v>0</v>
      </c>
      <c r="U978">
        <v>0</v>
      </c>
      <c r="V978" t="s">
        <v>33</v>
      </c>
    </row>
    <row r="979" spans="1:22" x14ac:dyDescent="0.35">
      <c r="A979" t="s">
        <v>3595</v>
      </c>
      <c r="B979" t="s">
        <v>82</v>
      </c>
      <c r="C979" t="s">
        <v>27</v>
      </c>
      <c r="D979" t="s">
        <v>3594</v>
      </c>
      <c r="E979" t="s">
        <v>3593</v>
      </c>
      <c r="F979" s="5">
        <v>45462</v>
      </c>
      <c r="G979" t="s">
        <v>126</v>
      </c>
      <c r="H979" t="s">
        <v>3592</v>
      </c>
      <c r="I979" t="s">
        <v>31</v>
      </c>
      <c r="J979" t="s">
        <v>32</v>
      </c>
      <c r="K979" t="s">
        <v>32</v>
      </c>
      <c r="L979" t="s">
        <v>19</v>
      </c>
      <c r="M979" t="s">
        <v>20</v>
      </c>
      <c r="N979">
        <v>1</v>
      </c>
      <c r="O979">
        <v>665</v>
      </c>
      <c r="P979">
        <v>1199</v>
      </c>
      <c r="Q979">
        <v>0</v>
      </c>
      <c r="R979">
        <v>0</v>
      </c>
      <c r="S979">
        <v>1199</v>
      </c>
      <c r="T979">
        <v>534</v>
      </c>
      <c r="U979">
        <v>44.54</v>
      </c>
      <c r="V979" t="s">
        <v>33</v>
      </c>
    </row>
    <row r="980" spans="1:22" x14ac:dyDescent="0.35">
      <c r="A980" t="s">
        <v>3591</v>
      </c>
      <c r="B980" t="s">
        <v>105</v>
      </c>
      <c r="C980" t="s">
        <v>16</v>
      </c>
      <c r="D980" t="s">
        <v>3590</v>
      </c>
      <c r="E980" t="s">
        <v>3589</v>
      </c>
      <c r="F980" s="5">
        <v>45521</v>
      </c>
      <c r="G980" t="s">
        <v>126</v>
      </c>
      <c r="H980" t="s">
        <v>125</v>
      </c>
      <c r="I980" t="s">
        <v>35</v>
      </c>
      <c r="J980" t="s">
        <v>214</v>
      </c>
      <c r="K980" t="s">
        <v>50</v>
      </c>
      <c r="L980" t="s">
        <v>25</v>
      </c>
      <c r="M980" t="s">
        <v>19</v>
      </c>
      <c r="N980">
        <v>1</v>
      </c>
      <c r="O980">
        <v>1368</v>
      </c>
      <c r="P980">
        <v>1899</v>
      </c>
      <c r="Q980">
        <v>20</v>
      </c>
      <c r="R980">
        <v>400</v>
      </c>
      <c r="S980">
        <v>1499</v>
      </c>
      <c r="T980">
        <v>131</v>
      </c>
      <c r="U980">
        <v>8.74</v>
      </c>
      <c r="V980" t="s">
        <v>21</v>
      </c>
    </row>
    <row r="981" spans="1:22" x14ac:dyDescent="0.35">
      <c r="A981" t="s">
        <v>3588</v>
      </c>
      <c r="B981" t="s">
        <v>80</v>
      </c>
      <c r="C981" t="s">
        <v>27</v>
      </c>
      <c r="D981" t="s">
        <v>3587</v>
      </c>
      <c r="E981" t="s">
        <v>3586</v>
      </c>
      <c r="F981" s="5">
        <v>45565</v>
      </c>
      <c r="G981" t="s">
        <v>126</v>
      </c>
      <c r="H981" t="s">
        <v>2382</v>
      </c>
      <c r="I981" t="s">
        <v>17</v>
      </c>
      <c r="J981" t="s">
        <v>55</v>
      </c>
      <c r="K981" t="s">
        <v>55</v>
      </c>
      <c r="L981" t="s">
        <v>19</v>
      </c>
      <c r="M981" t="s">
        <v>20</v>
      </c>
      <c r="N981">
        <v>2</v>
      </c>
      <c r="O981">
        <v>178</v>
      </c>
      <c r="P981">
        <v>299</v>
      </c>
      <c r="Q981">
        <v>0</v>
      </c>
      <c r="R981">
        <v>0</v>
      </c>
      <c r="S981">
        <v>598</v>
      </c>
      <c r="T981">
        <v>242</v>
      </c>
      <c r="U981">
        <v>40.47</v>
      </c>
      <c r="V981" t="s">
        <v>21</v>
      </c>
    </row>
    <row r="982" spans="1:22" x14ac:dyDescent="0.35">
      <c r="A982" t="s">
        <v>3585</v>
      </c>
      <c r="B982" t="s">
        <v>86</v>
      </c>
      <c r="C982" t="s">
        <v>27</v>
      </c>
      <c r="D982" t="s">
        <v>3584</v>
      </c>
      <c r="E982" t="s">
        <v>3583</v>
      </c>
      <c r="F982" s="5">
        <v>45654</v>
      </c>
      <c r="G982" t="s">
        <v>126</v>
      </c>
      <c r="H982" t="s">
        <v>3582</v>
      </c>
      <c r="I982" t="s">
        <v>35</v>
      </c>
      <c r="J982" t="s">
        <v>244</v>
      </c>
      <c r="K982" t="s">
        <v>58</v>
      </c>
      <c r="L982" t="s">
        <v>25</v>
      </c>
      <c r="M982" t="s">
        <v>20</v>
      </c>
      <c r="N982">
        <v>1</v>
      </c>
      <c r="O982">
        <v>1076</v>
      </c>
      <c r="P982">
        <v>1899</v>
      </c>
      <c r="Q982">
        <v>20</v>
      </c>
      <c r="R982">
        <v>400</v>
      </c>
      <c r="S982">
        <v>1499</v>
      </c>
      <c r="T982">
        <v>423</v>
      </c>
      <c r="U982">
        <v>28.22</v>
      </c>
      <c r="V982" t="s">
        <v>21</v>
      </c>
    </row>
    <row r="983" spans="1:22" x14ac:dyDescent="0.35">
      <c r="A983" t="s">
        <v>3581</v>
      </c>
      <c r="B983" t="s">
        <v>64</v>
      </c>
      <c r="C983" t="s">
        <v>16</v>
      </c>
      <c r="D983" t="s">
        <v>3580</v>
      </c>
      <c r="E983" t="s">
        <v>3579</v>
      </c>
      <c r="F983" s="5">
        <v>45562</v>
      </c>
      <c r="G983" t="s">
        <v>126</v>
      </c>
      <c r="H983" t="s">
        <v>3307</v>
      </c>
      <c r="I983" t="s">
        <v>31</v>
      </c>
      <c r="J983" t="s">
        <v>76</v>
      </c>
      <c r="K983" t="s">
        <v>76</v>
      </c>
      <c r="L983" t="s">
        <v>19</v>
      </c>
      <c r="M983" t="s">
        <v>19</v>
      </c>
      <c r="N983">
        <v>1</v>
      </c>
      <c r="O983">
        <v>481</v>
      </c>
      <c r="P983">
        <v>799</v>
      </c>
      <c r="Q983">
        <v>0</v>
      </c>
      <c r="R983">
        <v>0</v>
      </c>
      <c r="S983">
        <v>799</v>
      </c>
      <c r="T983">
        <v>318</v>
      </c>
      <c r="U983">
        <v>39.799999999999997</v>
      </c>
      <c r="V983" t="s">
        <v>33</v>
      </c>
    </row>
    <row r="984" spans="1:22" x14ac:dyDescent="0.35">
      <c r="A984" t="s">
        <v>3578</v>
      </c>
      <c r="B984" t="s">
        <v>83</v>
      </c>
      <c r="C984" t="s">
        <v>27</v>
      </c>
      <c r="D984" t="s">
        <v>3577</v>
      </c>
      <c r="E984" t="s">
        <v>3576</v>
      </c>
      <c r="F984" s="5">
        <v>45636</v>
      </c>
      <c r="G984" t="s">
        <v>126</v>
      </c>
      <c r="H984" t="s">
        <v>1439</v>
      </c>
      <c r="I984" t="s">
        <v>23</v>
      </c>
      <c r="J984" t="s">
        <v>164</v>
      </c>
      <c r="K984" t="s">
        <v>24</v>
      </c>
      <c r="L984" t="s">
        <v>25</v>
      </c>
      <c r="M984" t="s">
        <v>19</v>
      </c>
      <c r="N984">
        <v>2</v>
      </c>
      <c r="O984">
        <v>665</v>
      </c>
      <c r="P984">
        <v>999</v>
      </c>
      <c r="Q984">
        <v>20</v>
      </c>
      <c r="R984">
        <v>400</v>
      </c>
      <c r="S984">
        <v>1598</v>
      </c>
      <c r="T984">
        <v>268</v>
      </c>
      <c r="U984">
        <v>16.77</v>
      </c>
      <c r="V984" t="s">
        <v>21</v>
      </c>
    </row>
    <row r="985" spans="1:22" x14ac:dyDescent="0.35">
      <c r="A985" t="s">
        <v>3575</v>
      </c>
      <c r="B985" t="s">
        <v>38</v>
      </c>
      <c r="C985" t="s">
        <v>27</v>
      </c>
      <c r="D985" t="s">
        <v>3574</v>
      </c>
      <c r="E985" t="s">
        <v>3573</v>
      </c>
      <c r="F985" s="5">
        <v>45594</v>
      </c>
      <c r="G985" t="s">
        <v>126</v>
      </c>
      <c r="H985" t="s">
        <v>1598</v>
      </c>
      <c r="I985" t="s">
        <v>35</v>
      </c>
      <c r="J985" t="s">
        <v>244</v>
      </c>
      <c r="K985" t="s">
        <v>58</v>
      </c>
      <c r="L985" t="s">
        <v>25</v>
      </c>
      <c r="M985" t="s">
        <v>20</v>
      </c>
      <c r="N985">
        <v>2</v>
      </c>
      <c r="O985">
        <v>796</v>
      </c>
      <c r="P985">
        <v>1299</v>
      </c>
      <c r="Q985">
        <v>20</v>
      </c>
      <c r="R985">
        <v>600</v>
      </c>
      <c r="S985">
        <v>1998</v>
      </c>
      <c r="T985">
        <v>406</v>
      </c>
      <c r="U985">
        <v>20.32</v>
      </c>
      <c r="V985" t="s">
        <v>21</v>
      </c>
    </row>
    <row r="986" spans="1:22" x14ac:dyDescent="0.35">
      <c r="A986" t="s">
        <v>3572</v>
      </c>
      <c r="B986" t="s">
        <v>85</v>
      </c>
      <c r="C986" t="s">
        <v>27</v>
      </c>
      <c r="D986" t="s">
        <v>3571</v>
      </c>
      <c r="E986" t="s">
        <v>3570</v>
      </c>
      <c r="F986" s="5">
        <v>45616</v>
      </c>
      <c r="G986" t="s">
        <v>126</v>
      </c>
      <c r="H986" t="s">
        <v>3569</v>
      </c>
      <c r="I986" t="s">
        <v>35</v>
      </c>
      <c r="J986" t="s">
        <v>214</v>
      </c>
      <c r="K986" t="s">
        <v>50</v>
      </c>
      <c r="L986" t="s">
        <v>25</v>
      </c>
      <c r="M986" t="s">
        <v>20</v>
      </c>
      <c r="N986">
        <v>4</v>
      </c>
      <c r="O986">
        <v>586</v>
      </c>
      <c r="P986">
        <v>999</v>
      </c>
      <c r="Q986">
        <v>20</v>
      </c>
      <c r="R986">
        <v>800</v>
      </c>
      <c r="S986">
        <v>3196</v>
      </c>
      <c r="T986">
        <v>852</v>
      </c>
      <c r="U986">
        <v>26.66</v>
      </c>
      <c r="V986" t="s">
        <v>33</v>
      </c>
    </row>
    <row r="987" spans="1:22" x14ac:dyDescent="0.35">
      <c r="A987" t="s">
        <v>3568</v>
      </c>
      <c r="B987" t="s">
        <v>59</v>
      </c>
      <c r="C987" t="s">
        <v>27</v>
      </c>
      <c r="D987" t="s">
        <v>3567</v>
      </c>
      <c r="E987" t="s">
        <v>3566</v>
      </c>
      <c r="F987" s="5">
        <v>45596</v>
      </c>
      <c r="G987" t="s">
        <v>126</v>
      </c>
      <c r="H987" t="s">
        <v>3565</v>
      </c>
      <c r="I987" t="s">
        <v>23</v>
      </c>
      <c r="J987" t="s">
        <v>164</v>
      </c>
      <c r="K987" t="s">
        <v>24</v>
      </c>
      <c r="L987" t="s">
        <v>37</v>
      </c>
      <c r="M987" t="s">
        <v>20</v>
      </c>
      <c r="N987">
        <v>3</v>
      </c>
      <c r="O987">
        <v>839</v>
      </c>
      <c r="P987">
        <v>1199</v>
      </c>
      <c r="Q987">
        <v>15</v>
      </c>
      <c r="R987">
        <v>600</v>
      </c>
      <c r="S987">
        <v>2997</v>
      </c>
      <c r="T987">
        <v>480</v>
      </c>
      <c r="U987">
        <v>16.02</v>
      </c>
      <c r="V987" t="s">
        <v>33</v>
      </c>
    </row>
    <row r="988" spans="1:22" x14ac:dyDescent="0.35">
      <c r="A988" t="s">
        <v>3564</v>
      </c>
      <c r="B988" t="s">
        <v>84</v>
      </c>
      <c r="C988" t="s">
        <v>27</v>
      </c>
      <c r="D988" t="s">
        <v>3563</v>
      </c>
      <c r="E988" t="s">
        <v>3562</v>
      </c>
      <c r="F988" s="5">
        <v>45503</v>
      </c>
      <c r="G988" t="s">
        <v>126</v>
      </c>
      <c r="H988" t="s">
        <v>3561</v>
      </c>
      <c r="I988" t="s">
        <v>35</v>
      </c>
      <c r="J988" t="s">
        <v>244</v>
      </c>
      <c r="K988" t="s">
        <v>58</v>
      </c>
      <c r="L988" t="s">
        <v>25</v>
      </c>
      <c r="M988" t="s">
        <v>20</v>
      </c>
      <c r="N988">
        <v>1</v>
      </c>
      <c r="O988">
        <v>1502</v>
      </c>
      <c r="P988">
        <v>2399</v>
      </c>
      <c r="Q988">
        <v>15</v>
      </c>
      <c r="R988">
        <v>400</v>
      </c>
      <c r="S988">
        <v>1999</v>
      </c>
      <c r="T988">
        <v>497</v>
      </c>
      <c r="U988">
        <v>24.86</v>
      </c>
      <c r="V988" t="s">
        <v>21</v>
      </c>
    </row>
    <row r="989" spans="1:22" x14ac:dyDescent="0.35">
      <c r="A989" t="s">
        <v>3560</v>
      </c>
      <c r="B989" t="s">
        <v>98</v>
      </c>
      <c r="C989" t="s">
        <v>16</v>
      </c>
      <c r="D989" t="s">
        <v>3559</v>
      </c>
      <c r="E989" t="s">
        <v>3558</v>
      </c>
      <c r="F989" s="5">
        <v>45650</v>
      </c>
      <c r="G989" t="s">
        <v>126</v>
      </c>
      <c r="H989" t="s">
        <v>3336</v>
      </c>
      <c r="I989" t="s">
        <v>28</v>
      </c>
      <c r="J989" t="s">
        <v>45</v>
      </c>
      <c r="K989" t="s">
        <v>45</v>
      </c>
      <c r="L989" t="s">
        <v>37</v>
      </c>
      <c r="M989" t="s">
        <v>20</v>
      </c>
      <c r="N989">
        <v>1</v>
      </c>
      <c r="O989">
        <v>664</v>
      </c>
      <c r="P989">
        <v>1299</v>
      </c>
      <c r="Q989">
        <v>20</v>
      </c>
      <c r="R989">
        <v>300</v>
      </c>
      <c r="S989">
        <v>999</v>
      </c>
      <c r="T989">
        <v>335</v>
      </c>
      <c r="U989">
        <v>33.53</v>
      </c>
      <c r="V989" t="s">
        <v>21</v>
      </c>
    </row>
    <row r="990" spans="1:22" x14ac:dyDescent="0.35">
      <c r="A990" t="s">
        <v>3557</v>
      </c>
      <c r="B990" t="s">
        <v>69</v>
      </c>
      <c r="C990" t="s">
        <v>16</v>
      </c>
      <c r="D990" t="s">
        <v>3556</v>
      </c>
      <c r="E990" t="s">
        <v>299</v>
      </c>
      <c r="F990" s="5">
        <v>45530</v>
      </c>
      <c r="G990" t="s">
        <v>126</v>
      </c>
      <c r="H990" t="s">
        <v>2913</v>
      </c>
      <c r="I990" t="s">
        <v>17</v>
      </c>
      <c r="J990" t="s">
        <v>235</v>
      </c>
      <c r="K990" t="s">
        <v>18</v>
      </c>
      <c r="L990" t="s">
        <v>19</v>
      </c>
      <c r="M990" t="s">
        <v>19</v>
      </c>
      <c r="N990">
        <v>1</v>
      </c>
      <c r="O990">
        <v>367</v>
      </c>
      <c r="P990">
        <v>599</v>
      </c>
      <c r="Q990">
        <v>0</v>
      </c>
      <c r="R990">
        <v>0</v>
      </c>
      <c r="S990">
        <v>599</v>
      </c>
      <c r="T990">
        <v>232</v>
      </c>
      <c r="U990">
        <v>38.729999999999997</v>
      </c>
      <c r="V990" t="s">
        <v>21</v>
      </c>
    </row>
    <row r="991" spans="1:22" x14ac:dyDescent="0.35">
      <c r="A991" t="s">
        <v>3555</v>
      </c>
      <c r="B991" t="s">
        <v>34</v>
      </c>
      <c r="C991" t="s">
        <v>27</v>
      </c>
      <c r="D991" t="s">
        <v>3554</v>
      </c>
      <c r="E991" t="s">
        <v>2950</v>
      </c>
      <c r="F991" s="5">
        <v>45477</v>
      </c>
      <c r="G991" t="s">
        <v>126</v>
      </c>
      <c r="H991" t="s">
        <v>3553</v>
      </c>
      <c r="I991" t="s">
        <v>28</v>
      </c>
      <c r="J991" t="s">
        <v>201</v>
      </c>
      <c r="K991" t="s">
        <v>29</v>
      </c>
      <c r="L991" t="s">
        <v>37</v>
      </c>
      <c r="M991" t="s">
        <v>19</v>
      </c>
      <c r="N991">
        <v>1</v>
      </c>
      <c r="O991">
        <v>309</v>
      </c>
      <c r="P991">
        <v>499</v>
      </c>
      <c r="Q991">
        <v>20</v>
      </c>
      <c r="R991">
        <v>100</v>
      </c>
      <c r="S991">
        <v>399</v>
      </c>
      <c r="T991">
        <v>90</v>
      </c>
      <c r="U991">
        <v>22.56</v>
      </c>
      <c r="V991" t="s">
        <v>21</v>
      </c>
    </row>
    <row r="992" spans="1:22" x14ac:dyDescent="0.35">
      <c r="A992" t="s">
        <v>3552</v>
      </c>
      <c r="B992" t="s">
        <v>70</v>
      </c>
      <c r="C992" t="s">
        <v>27</v>
      </c>
      <c r="D992" t="s">
        <v>3551</v>
      </c>
      <c r="E992" t="s">
        <v>3550</v>
      </c>
      <c r="F992" s="5">
        <v>45642</v>
      </c>
      <c r="G992" t="s">
        <v>126</v>
      </c>
      <c r="H992" t="s">
        <v>125</v>
      </c>
      <c r="I992" t="s">
        <v>35</v>
      </c>
      <c r="J992" t="s">
        <v>159</v>
      </c>
      <c r="K992" t="s">
        <v>100</v>
      </c>
      <c r="L992" t="s">
        <v>37</v>
      </c>
      <c r="M992" t="s">
        <v>20</v>
      </c>
      <c r="N992">
        <v>1</v>
      </c>
      <c r="O992">
        <v>740</v>
      </c>
      <c r="P992">
        <v>1099</v>
      </c>
      <c r="Q992">
        <v>5</v>
      </c>
      <c r="R992">
        <v>100</v>
      </c>
      <c r="S992">
        <v>999</v>
      </c>
      <c r="T992">
        <v>259</v>
      </c>
      <c r="U992">
        <v>25.93</v>
      </c>
      <c r="V992" t="s">
        <v>21</v>
      </c>
    </row>
    <row r="993" spans="1:22" x14ac:dyDescent="0.35">
      <c r="A993" t="s">
        <v>3549</v>
      </c>
      <c r="B993" t="s">
        <v>109</v>
      </c>
      <c r="C993" t="s">
        <v>16</v>
      </c>
      <c r="D993" t="s">
        <v>3548</v>
      </c>
      <c r="E993" t="s">
        <v>3547</v>
      </c>
      <c r="F993" s="5">
        <v>45455</v>
      </c>
      <c r="G993" t="s">
        <v>126</v>
      </c>
      <c r="H993" t="s">
        <v>1065</v>
      </c>
      <c r="I993" t="s">
        <v>28</v>
      </c>
      <c r="J993" t="s">
        <v>201</v>
      </c>
      <c r="K993" t="s">
        <v>29</v>
      </c>
      <c r="L993" t="s">
        <v>19</v>
      </c>
      <c r="M993" t="s">
        <v>20</v>
      </c>
      <c r="N993">
        <v>1</v>
      </c>
      <c r="O993">
        <v>361</v>
      </c>
      <c r="P993">
        <v>699</v>
      </c>
      <c r="Q993">
        <v>10</v>
      </c>
      <c r="R993">
        <v>100</v>
      </c>
      <c r="S993">
        <v>599</v>
      </c>
      <c r="T993">
        <v>238</v>
      </c>
      <c r="U993">
        <v>39.729999999999997</v>
      </c>
      <c r="V993" t="s">
        <v>21</v>
      </c>
    </row>
    <row r="994" spans="1:22" x14ac:dyDescent="0.35">
      <c r="A994" t="s">
        <v>3546</v>
      </c>
      <c r="B994" t="s">
        <v>56</v>
      </c>
      <c r="C994" t="s">
        <v>27</v>
      </c>
      <c r="D994" t="s">
        <v>3545</v>
      </c>
      <c r="E994" t="s">
        <v>3544</v>
      </c>
      <c r="F994" s="5">
        <v>45561</v>
      </c>
      <c r="G994" t="s">
        <v>126</v>
      </c>
      <c r="H994" t="s">
        <v>3543</v>
      </c>
      <c r="I994" t="s">
        <v>28</v>
      </c>
      <c r="J994" t="s">
        <v>45</v>
      </c>
      <c r="K994" t="s">
        <v>45</v>
      </c>
      <c r="L994" t="s">
        <v>25</v>
      </c>
      <c r="M994" t="s">
        <v>20</v>
      </c>
      <c r="N994">
        <v>4</v>
      </c>
      <c r="O994">
        <v>418</v>
      </c>
      <c r="P994">
        <v>699</v>
      </c>
      <c r="Q994">
        <v>10</v>
      </c>
      <c r="R994">
        <v>400</v>
      </c>
      <c r="S994">
        <v>2396</v>
      </c>
      <c r="T994">
        <v>724</v>
      </c>
      <c r="U994">
        <v>30.22</v>
      </c>
      <c r="V994" t="s">
        <v>21</v>
      </c>
    </row>
    <row r="995" spans="1:22" x14ac:dyDescent="0.35">
      <c r="A995" t="s">
        <v>3542</v>
      </c>
      <c r="B995" t="s">
        <v>52</v>
      </c>
      <c r="C995" t="s">
        <v>27</v>
      </c>
      <c r="D995" t="s">
        <v>3541</v>
      </c>
      <c r="E995" t="s">
        <v>3540</v>
      </c>
      <c r="F995" s="5">
        <v>45568</v>
      </c>
      <c r="G995" t="s">
        <v>126</v>
      </c>
      <c r="H995" t="s">
        <v>540</v>
      </c>
      <c r="I995" t="s">
        <v>31</v>
      </c>
      <c r="J995" t="s">
        <v>32</v>
      </c>
      <c r="K995" t="s">
        <v>32</v>
      </c>
      <c r="L995" t="s">
        <v>19</v>
      </c>
      <c r="M995" t="s">
        <v>19</v>
      </c>
      <c r="N995">
        <v>3</v>
      </c>
      <c r="O995">
        <v>843</v>
      </c>
      <c r="P995">
        <v>1199</v>
      </c>
      <c r="Q995">
        <v>0</v>
      </c>
      <c r="R995">
        <v>0</v>
      </c>
      <c r="S995">
        <v>3597</v>
      </c>
      <c r="T995">
        <v>1068</v>
      </c>
      <c r="U995">
        <v>29.69</v>
      </c>
      <c r="V995" t="s">
        <v>33</v>
      </c>
    </row>
    <row r="996" spans="1:22" x14ac:dyDescent="0.35">
      <c r="A996" t="s">
        <v>3539</v>
      </c>
      <c r="B996" t="s">
        <v>52</v>
      </c>
      <c r="C996" t="s">
        <v>27</v>
      </c>
      <c r="D996" t="s">
        <v>3538</v>
      </c>
      <c r="E996" t="s">
        <v>3537</v>
      </c>
      <c r="F996" s="5">
        <v>45455</v>
      </c>
      <c r="G996" t="s">
        <v>126</v>
      </c>
      <c r="H996" t="s">
        <v>3536</v>
      </c>
      <c r="I996" t="s">
        <v>35</v>
      </c>
      <c r="J996" t="s">
        <v>41</v>
      </c>
      <c r="K996" t="s">
        <v>41</v>
      </c>
      <c r="L996" t="s">
        <v>19</v>
      </c>
      <c r="M996" t="s">
        <v>19</v>
      </c>
      <c r="N996">
        <v>4</v>
      </c>
      <c r="O996">
        <v>680</v>
      </c>
      <c r="P996">
        <v>1299</v>
      </c>
      <c r="Q996">
        <v>20</v>
      </c>
      <c r="R996">
        <v>1200</v>
      </c>
      <c r="S996">
        <v>3996</v>
      </c>
      <c r="T996">
        <v>1276</v>
      </c>
      <c r="U996">
        <v>31.93</v>
      </c>
      <c r="V996" t="s">
        <v>21</v>
      </c>
    </row>
    <row r="997" spans="1:22" x14ac:dyDescent="0.35">
      <c r="A997" t="s">
        <v>3535</v>
      </c>
      <c r="B997" t="s">
        <v>52</v>
      </c>
      <c r="C997" t="s">
        <v>27</v>
      </c>
      <c r="D997" t="s">
        <v>3534</v>
      </c>
      <c r="E997" t="s">
        <v>3533</v>
      </c>
      <c r="F997" s="5">
        <v>45641</v>
      </c>
      <c r="G997" t="s">
        <v>126</v>
      </c>
      <c r="H997" t="s">
        <v>1180</v>
      </c>
      <c r="I997" t="s">
        <v>35</v>
      </c>
      <c r="J997" t="s">
        <v>39</v>
      </c>
      <c r="K997" t="s">
        <v>39</v>
      </c>
      <c r="L997" t="s">
        <v>37</v>
      </c>
      <c r="M997" t="s">
        <v>19</v>
      </c>
      <c r="N997">
        <v>2</v>
      </c>
      <c r="O997">
        <v>723</v>
      </c>
      <c r="P997">
        <v>1099</v>
      </c>
      <c r="Q997">
        <v>5</v>
      </c>
      <c r="R997">
        <v>200</v>
      </c>
      <c r="S997">
        <v>1998</v>
      </c>
      <c r="T997">
        <v>552</v>
      </c>
      <c r="U997">
        <v>27.63</v>
      </c>
      <c r="V997" t="s">
        <v>21</v>
      </c>
    </row>
    <row r="998" spans="1:22" x14ac:dyDescent="0.35">
      <c r="A998" t="s">
        <v>3532</v>
      </c>
      <c r="B998" t="s">
        <v>77</v>
      </c>
      <c r="C998" t="s">
        <v>27</v>
      </c>
      <c r="D998" t="s">
        <v>3531</v>
      </c>
      <c r="E998" t="s">
        <v>3530</v>
      </c>
      <c r="F998" s="5">
        <v>45632</v>
      </c>
      <c r="G998" t="s">
        <v>126</v>
      </c>
      <c r="H998" t="s">
        <v>2219</v>
      </c>
      <c r="I998" t="s">
        <v>28</v>
      </c>
      <c r="J998" t="s">
        <v>45</v>
      </c>
      <c r="K998" t="s">
        <v>45</v>
      </c>
      <c r="L998" t="s">
        <v>37</v>
      </c>
      <c r="M998" t="s">
        <v>19</v>
      </c>
      <c r="N998">
        <v>1</v>
      </c>
      <c r="O998">
        <v>888</v>
      </c>
      <c r="P998">
        <v>1199</v>
      </c>
      <c r="Q998">
        <v>10</v>
      </c>
      <c r="R998">
        <v>200</v>
      </c>
      <c r="S998">
        <v>999</v>
      </c>
      <c r="T998">
        <v>111</v>
      </c>
      <c r="U998">
        <v>11.11</v>
      </c>
      <c r="V998" t="s">
        <v>21</v>
      </c>
    </row>
    <row r="999" spans="1:22" x14ac:dyDescent="0.35">
      <c r="A999" t="s">
        <v>3529</v>
      </c>
      <c r="B999" t="s">
        <v>26</v>
      </c>
      <c r="C999" t="s">
        <v>27</v>
      </c>
      <c r="D999" t="s">
        <v>3528</v>
      </c>
      <c r="E999" t="s">
        <v>3527</v>
      </c>
      <c r="F999" s="5">
        <v>45638</v>
      </c>
      <c r="G999" t="s">
        <v>126</v>
      </c>
      <c r="H999" t="s">
        <v>3526</v>
      </c>
      <c r="I999" t="s">
        <v>31</v>
      </c>
      <c r="J999" t="s">
        <v>76</v>
      </c>
      <c r="K999" t="s">
        <v>76</v>
      </c>
      <c r="L999" t="s">
        <v>25</v>
      </c>
      <c r="M999" t="s">
        <v>19</v>
      </c>
      <c r="N999">
        <v>2</v>
      </c>
      <c r="O999">
        <v>825</v>
      </c>
      <c r="P999">
        <v>1199</v>
      </c>
      <c r="Q999">
        <v>0</v>
      </c>
      <c r="R999">
        <v>0</v>
      </c>
      <c r="S999">
        <v>2398</v>
      </c>
      <c r="T999">
        <v>748</v>
      </c>
      <c r="U999">
        <v>31.19</v>
      </c>
      <c r="V999" t="s">
        <v>21</v>
      </c>
    </row>
    <row r="1000" spans="1:22" x14ac:dyDescent="0.35">
      <c r="A1000" t="s">
        <v>3525</v>
      </c>
      <c r="B1000" t="s">
        <v>54</v>
      </c>
      <c r="C1000" t="s">
        <v>27</v>
      </c>
      <c r="D1000" t="s">
        <v>3524</v>
      </c>
      <c r="E1000" t="s">
        <v>3523</v>
      </c>
      <c r="F1000" s="5">
        <v>45450</v>
      </c>
      <c r="G1000" t="s">
        <v>126</v>
      </c>
      <c r="H1000" t="s">
        <v>3522</v>
      </c>
      <c r="I1000" t="s">
        <v>35</v>
      </c>
      <c r="J1000" t="s">
        <v>41</v>
      </c>
      <c r="K1000" t="s">
        <v>41</v>
      </c>
      <c r="L1000" t="s">
        <v>25</v>
      </c>
      <c r="M1000" t="s">
        <v>19</v>
      </c>
      <c r="N1000">
        <v>4</v>
      </c>
      <c r="O1000">
        <v>909</v>
      </c>
      <c r="P1000">
        <v>1299</v>
      </c>
      <c r="Q1000">
        <v>20</v>
      </c>
      <c r="R1000">
        <v>1200</v>
      </c>
      <c r="S1000">
        <v>3996</v>
      </c>
      <c r="T1000">
        <v>360</v>
      </c>
      <c r="U1000">
        <v>9.01</v>
      </c>
      <c r="V1000" t="s">
        <v>33</v>
      </c>
    </row>
    <row r="1001" spans="1:22" x14ac:dyDescent="0.35">
      <c r="A1001" t="s">
        <v>3521</v>
      </c>
      <c r="B1001" t="s">
        <v>69</v>
      </c>
      <c r="C1001" t="s">
        <v>16</v>
      </c>
      <c r="D1001" t="s">
        <v>3520</v>
      </c>
      <c r="E1001" t="s">
        <v>3519</v>
      </c>
      <c r="F1001" s="5">
        <v>45612</v>
      </c>
      <c r="G1001" t="s">
        <v>126</v>
      </c>
      <c r="H1001" t="s">
        <v>1084</v>
      </c>
      <c r="I1001" t="s">
        <v>35</v>
      </c>
      <c r="J1001" t="s">
        <v>159</v>
      </c>
      <c r="K1001" t="s">
        <v>36</v>
      </c>
      <c r="L1001" t="s">
        <v>19</v>
      </c>
      <c r="M1001" t="s">
        <v>19</v>
      </c>
      <c r="N1001">
        <v>2</v>
      </c>
      <c r="O1001">
        <v>268</v>
      </c>
      <c r="P1001">
        <v>499</v>
      </c>
      <c r="Q1001">
        <v>20</v>
      </c>
      <c r="R1001">
        <v>200</v>
      </c>
      <c r="S1001">
        <v>798</v>
      </c>
      <c r="T1001">
        <v>262</v>
      </c>
      <c r="U1001">
        <v>32.83</v>
      </c>
      <c r="V1001" t="s">
        <v>33</v>
      </c>
    </row>
    <row r="1002" spans="1:22" x14ac:dyDescent="0.35">
      <c r="A1002" t="s">
        <v>3518</v>
      </c>
      <c r="B1002" t="s">
        <v>83</v>
      </c>
      <c r="C1002" t="s">
        <v>27</v>
      </c>
      <c r="D1002" t="s">
        <v>3517</v>
      </c>
      <c r="E1002" t="s">
        <v>3516</v>
      </c>
      <c r="F1002" s="5">
        <v>45472</v>
      </c>
      <c r="G1002" t="s">
        <v>126</v>
      </c>
      <c r="H1002" t="s">
        <v>864</v>
      </c>
      <c r="I1002" t="s">
        <v>35</v>
      </c>
      <c r="J1002" t="s">
        <v>159</v>
      </c>
      <c r="K1002" t="s">
        <v>100</v>
      </c>
      <c r="L1002" t="s">
        <v>37</v>
      </c>
      <c r="M1002" t="s">
        <v>19</v>
      </c>
      <c r="N1002">
        <v>2</v>
      </c>
      <c r="O1002">
        <v>1242</v>
      </c>
      <c r="P1002">
        <v>2399</v>
      </c>
      <c r="Q1002">
        <v>15</v>
      </c>
      <c r="R1002">
        <v>800</v>
      </c>
      <c r="S1002">
        <v>3998</v>
      </c>
      <c r="T1002">
        <v>1514</v>
      </c>
      <c r="U1002">
        <v>37.869999999999997</v>
      </c>
      <c r="V1002" t="s">
        <v>21</v>
      </c>
    </row>
    <row r="1003" spans="1:22" x14ac:dyDescent="0.35">
      <c r="A1003" t="s">
        <v>3515</v>
      </c>
      <c r="B1003" t="s">
        <v>60</v>
      </c>
      <c r="C1003" t="s">
        <v>27</v>
      </c>
      <c r="D1003" t="s">
        <v>3514</v>
      </c>
      <c r="E1003" t="s">
        <v>1372</v>
      </c>
      <c r="F1003" s="5">
        <v>45524</v>
      </c>
      <c r="G1003" t="s">
        <v>126</v>
      </c>
      <c r="H1003" t="s">
        <v>3513</v>
      </c>
      <c r="I1003" t="s">
        <v>35</v>
      </c>
      <c r="J1003" t="s">
        <v>244</v>
      </c>
      <c r="K1003" t="s">
        <v>58</v>
      </c>
      <c r="L1003" t="s">
        <v>25</v>
      </c>
      <c r="M1003" t="s">
        <v>19</v>
      </c>
      <c r="N1003">
        <v>1</v>
      </c>
      <c r="O1003">
        <v>759</v>
      </c>
      <c r="P1003">
        <v>1299</v>
      </c>
      <c r="Q1003">
        <v>20</v>
      </c>
      <c r="R1003">
        <v>300</v>
      </c>
      <c r="S1003">
        <v>999</v>
      </c>
      <c r="T1003">
        <v>240</v>
      </c>
      <c r="U1003">
        <v>24.02</v>
      </c>
      <c r="V1003" t="s">
        <v>21</v>
      </c>
    </row>
    <row r="1004" spans="1:22" x14ac:dyDescent="0.35">
      <c r="A1004" t="s">
        <v>3512</v>
      </c>
      <c r="B1004" t="s">
        <v>26</v>
      </c>
      <c r="C1004" t="s">
        <v>27</v>
      </c>
      <c r="D1004" t="s">
        <v>3511</v>
      </c>
      <c r="E1004" t="s">
        <v>3510</v>
      </c>
      <c r="F1004" s="5">
        <v>45465</v>
      </c>
      <c r="G1004" t="s">
        <v>126</v>
      </c>
      <c r="H1004" t="s">
        <v>3509</v>
      </c>
      <c r="I1004" t="s">
        <v>23</v>
      </c>
      <c r="J1004" t="s">
        <v>164</v>
      </c>
      <c r="K1004" t="s">
        <v>24</v>
      </c>
      <c r="L1004" t="s">
        <v>19</v>
      </c>
      <c r="M1004" t="s">
        <v>19</v>
      </c>
      <c r="N1004">
        <v>1</v>
      </c>
      <c r="O1004">
        <v>1076</v>
      </c>
      <c r="P1004">
        <v>1699</v>
      </c>
      <c r="Q1004">
        <v>10</v>
      </c>
      <c r="R1004">
        <v>200</v>
      </c>
      <c r="S1004">
        <v>1499</v>
      </c>
      <c r="T1004">
        <v>423</v>
      </c>
      <c r="U1004">
        <v>28.22</v>
      </c>
      <c r="V1004" t="s">
        <v>21</v>
      </c>
    </row>
    <row r="1005" spans="1:22" x14ac:dyDescent="0.35">
      <c r="A1005" t="s">
        <v>3508</v>
      </c>
      <c r="B1005" t="s">
        <v>49</v>
      </c>
      <c r="C1005" t="s">
        <v>27</v>
      </c>
      <c r="D1005" t="s">
        <v>3507</v>
      </c>
      <c r="E1005" t="s">
        <v>3506</v>
      </c>
      <c r="F1005" s="5">
        <v>45466</v>
      </c>
      <c r="G1005" t="s">
        <v>126</v>
      </c>
      <c r="H1005" t="s">
        <v>3505</v>
      </c>
      <c r="I1005" t="s">
        <v>31</v>
      </c>
      <c r="J1005" t="s">
        <v>76</v>
      </c>
      <c r="K1005" t="s">
        <v>76</v>
      </c>
      <c r="L1005" t="s">
        <v>37</v>
      </c>
      <c r="M1005" t="s">
        <v>19</v>
      </c>
      <c r="N1005">
        <v>2</v>
      </c>
      <c r="O1005">
        <v>1032</v>
      </c>
      <c r="P1005">
        <v>1499</v>
      </c>
      <c r="Q1005">
        <v>0</v>
      </c>
      <c r="R1005">
        <v>0</v>
      </c>
      <c r="S1005">
        <v>2998</v>
      </c>
      <c r="T1005">
        <v>934</v>
      </c>
      <c r="U1005">
        <v>31.15</v>
      </c>
      <c r="V1005" t="s">
        <v>21</v>
      </c>
    </row>
    <row r="1006" spans="1:22" x14ac:dyDescent="0.35">
      <c r="A1006" t="s">
        <v>3504</v>
      </c>
      <c r="B1006" t="s">
        <v>105</v>
      </c>
      <c r="C1006" t="s">
        <v>16</v>
      </c>
      <c r="D1006" t="s">
        <v>3503</v>
      </c>
      <c r="E1006" t="s">
        <v>3502</v>
      </c>
      <c r="F1006" s="5">
        <v>45583</v>
      </c>
      <c r="G1006" t="s">
        <v>126</v>
      </c>
      <c r="H1006" t="s">
        <v>2026</v>
      </c>
      <c r="I1006" t="s">
        <v>28</v>
      </c>
      <c r="J1006" t="s">
        <v>201</v>
      </c>
      <c r="K1006" t="s">
        <v>29</v>
      </c>
      <c r="L1006" t="s">
        <v>25</v>
      </c>
      <c r="M1006" t="s">
        <v>20</v>
      </c>
      <c r="N1006">
        <v>1</v>
      </c>
      <c r="O1006">
        <v>518</v>
      </c>
      <c r="P1006">
        <v>799</v>
      </c>
      <c r="Q1006">
        <v>15</v>
      </c>
      <c r="R1006">
        <v>200</v>
      </c>
      <c r="S1006">
        <v>599</v>
      </c>
      <c r="T1006">
        <v>81</v>
      </c>
      <c r="U1006">
        <v>13.52</v>
      </c>
      <c r="V1006" t="s">
        <v>21</v>
      </c>
    </row>
    <row r="1007" spans="1:22" x14ac:dyDescent="0.35">
      <c r="A1007" t="s">
        <v>3501</v>
      </c>
      <c r="B1007" t="s">
        <v>97</v>
      </c>
      <c r="C1007" t="s">
        <v>16</v>
      </c>
      <c r="D1007" t="s">
        <v>3500</v>
      </c>
      <c r="E1007" t="s">
        <v>3499</v>
      </c>
      <c r="F1007" s="5">
        <v>45590</v>
      </c>
      <c r="G1007" t="s">
        <v>126</v>
      </c>
      <c r="H1007" t="s">
        <v>223</v>
      </c>
      <c r="I1007" t="s">
        <v>31</v>
      </c>
      <c r="J1007" t="s">
        <v>32</v>
      </c>
      <c r="K1007" t="s">
        <v>32</v>
      </c>
      <c r="L1007" t="s">
        <v>25</v>
      </c>
      <c r="M1007" t="s">
        <v>19</v>
      </c>
      <c r="N1007">
        <v>1</v>
      </c>
      <c r="O1007">
        <v>1005</v>
      </c>
      <c r="P1007">
        <v>1499</v>
      </c>
      <c r="Q1007">
        <v>0</v>
      </c>
      <c r="R1007">
        <v>0</v>
      </c>
      <c r="S1007">
        <v>1499</v>
      </c>
      <c r="T1007">
        <v>494</v>
      </c>
      <c r="U1007">
        <v>32.96</v>
      </c>
      <c r="V1007" t="s">
        <v>21</v>
      </c>
    </row>
    <row r="1008" spans="1:22" x14ac:dyDescent="0.35">
      <c r="A1008" t="s">
        <v>3498</v>
      </c>
      <c r="B1008" t="s">
        <v>54</v>
      </c>
      <c r="C1008" t="s">
        <v>27</v>
      </c>
      <c r="D1008" t="s">
        <v>3497</v>
      </c>
      <c r="E1008" t="s">
        <v>3496</v>
      </c>
      <c r="F1008" s="5">
        <v>45586</v>
      </c>
      <c r="G1008" t="s">
        <v>126</v>
      </c>
      <c r="H1008" t="s">
        <v>567</v>
      </c>
      <c r="I1008" t="s">
        <v>17</v>
      </c>
      <c r="J1008" t="s">
        <v>48</v>
      </c>
      <c r="K1008" t="s">
        <v>48</v>
      </c>
      <c r="L1008" t="s">
        <v>25</v>
      </c>
      <c r="M1008" t="s">
        <v>19</v>
      </c>
      <c r="N1008">
        <v>1</v>
      </c>
      <c r="O1008">
        <v>332</v>
      </c>
      <c r="P1008">
        <v>499</v>
      </c>
      <c r="Q1008">
        <v>0</v>
      </c>
      <c r="R1008">
        <v>0</v>
      </c>
      <c r="S1008">
        <v>499</v>
      </c>
      <c r="T1008">
        <v>167</v>
      </c>
      <c r="U1008">
        <v>33.47</v>
      </c>
      <c r="V1008" t="s">
        <v>21</v>
      </c>
    </row>
    <row r="1009" spans="1:22" x14ac:dyDescent="0.35">
      <c r="A1009" t="s">
        <v>3495</v>
      </c>
      <c r="B1009" t="s">
        <v>69</v>
      </c>
      <c r="C1009" t="s">
        <v>16</v>
      </c>
      <c r="D1009" t="s">
        <v>3494</v>
      </c>
      <c r="E1009" t="s">
        <v>3493</v>
      </c>
      <c r="F1009" s="5">
        <v>45529</v>
      </c>
      <c r="G1009" t="s">
        <v>126</v>
      </c>
      <c r="H1009" t="s">
        <v>3492</v>
      </c>
      <c r="I1009" t="s">
        <v>31</v>
      </c>
      <c r="J1009" t="s">
        <v>32</v>
      </c>
      <c r="K1009" t="s">
        <v>32</v>
      </c>
      <c r="L1009" t="s">
        <v>19</v>
      </c>
      <c r="M1009" t="s">
        <v>19</v>
      </c>
      <c r="N1009">
        <v>3</v>
      </c>
      <c r="O1009">
        <v>491</v>
      </c>
      <c r="P1009">
        <v>899</v>
      </c>
      <c r="Q1009">
        <v>0</v>
      </c>
      <c r="R1009">
        <v>0</v>
      </c>
      <c r="S1009">
        <v>2697</v>
      </c>
      <c r="T1009">
        <v>1224</v>
      </c>
      <c r="U1009">
        <v>45.38</v>
      </c>
      <c r="V1009" t="s">
        <v>21</v>
      </c>
    </row>
    <row r="1010" spans="1:22" x14ac:dyDescent="0.35">
      <c r="A1010" t="s">
        <v>3491</v>
      </c>
      <c r="B1010" t="s">
        <v>75</v>
      </c>
      <c r="C1010" t="s">
        <v>27</v>
      </c>
      <c r="D1010" t="s">
        <v>3490</v>
      </c>
      <c r="E1010" t="s">
        <v>3489</v>
      </c>
      <c r="F1010" s="5">
        <v>45653</v>
      </c>
      <c r="G1010" t="s">
        <v>126</v>
      </c>
      <c r="H1010" t="s">
        <v>2062</v>
      </c>
      <c r="I1010" t="s">
        <v>17</v>
      </c>
      <c r="J1010" t="s">
        <v>235</v>
      </c>
      <c r="K1010" t="s">
        <v>18</v>
      </c>
      <c r="L1010" t="s">
        <v>37</v>
      </c>
      <c r="M1010" t="s">
        <v>20</v>
      </c>
      <c r="N1010">
        <v>1</v>
      </c>
      <c r="O1010">
        <v>397</v>
      </c>
      <c r="P1010">
        <v>599</v>
      </c>
      <c r="Q1010">
        <v>0</v>
      </c>
      <c r="R1010">
        <v>0</v>
      </c>
      <c r="S1010">
        <v>599</v>
      </c>
      <c r="T1010">
        <v>202</v>
      </c>
      <c r="U1010">
        <v>33.72</v>
      </c>
      <c r="V1010" t="s">
        <v>21</v>
      </c>
    </row>
    <row r="1011" spans="1:22" x14ac:dyDescent="0.35">
      <c r="A1011" t="s">
        <v>3488</v>
      </c>
      <c r="B1011" t="s">
        <v>70</v>
      </c>
      <c r="C1011" t="s">
        <v>27</v>
      </c>
      <c r="D1011" t="s">
        <v>3487</v>
      </c>
      <c r="E1011" t="s">
        <v>3486</v>
      </c>
      <c r="F1011" s="5">
        <v>45590</v>
      </c>
      <c r="G1011" t="s">
        <v>126</v>
      </c>
      <c r="H1011" t="s">
        <v>3485</v>
      </c>
      <c r="I1011" t="s">
        <v>17</v>
      </c>
      <c r="J1011" t="s">
        <v>235</v>
      </c>
      <c r="K1011" t="s">
        <v>18</v>
      </c>
      <c r="L1011" t="s">
        <v>37</v>
      </c>
      <c r="M1011" t="s">
        <v>19</v>
      </c>
      <c r="N1011">
        <v>1</v>
      </c>
      <c r="O1011">
        <v>346</v>
      </c>
      <c r="P1011">
        <v>599</v>
      </c>
      <c r="Q1011">
        <v>0</v>
      </c>
      <c r="R1011">
        <v>0</v>
      </c>
      <c r="S1011">
        <v>599</v>
      </c>
      <c r="T1011">
        <v>253</v>
      </c>
      <c r="U1011">
        <v>42.24</v>
      </c>
      <c r="V1011" t="s">
        <v>21</v>
      </c>
    </row>
    <row r="1012" spans="1:22" x14ac:dyDescent="0.35">
      <c r="A1012" t="s">
        <v>3484</v>
      </c>
      <c r="B1012" t="s">
        <v>62</v>
      </c>
      <c r="C1012" t="s">
        <v>16</v>
      </c>
      <c r="D1012" t="s">
        <v>3483</v>
      </c>
      <c r="E1012" t="s">
        <v>3482</v>
      </c>
      <c r="F1012" s="5">
        <v>45564</v>
      </c>
      <c r="G1012" t="s">
        <v>126</v>
      </c>
      <c r="H1012" t="s">
        <v>3481</v>
      </c>
      <c r="I1012" t="s">
        <v>17</v>
      </c>
      <c r="J1012" t="s">
        <v>55</v>
      </c>
      <c r="K1012" t="s">
        <v>55</v>
      </c>
      <c r="L1012" t="s">
        <v>19</v>
      </c>
      <c r="M1012" t="s">
        <v>19</v>
      </c>
      <c r="N1012">
        <v>5</v>
      </c>
      <c r="O1012">
        <v>545</v>
      </c>
      <c r="P1012">
        <v>799</v>
      </c>
      <c r="Q1012">
        <v>0</v>
      </c>
      <c r="R1012">
        <v>0</v>
      </c>
      <c r="S1012">
        <v>3995</v>
      </c>
      <c r="T1012">
        <v>1270</v>
      </c>
      <c r="U1012">
        <v>31.79</v>
      </c>
      <c r="V1012" t="s">
        <v>21</v>
      </c>
    </row>
    <row r="1013" spans="1:22" x14ac:dyDescent="0.35">
      <c r="A1013" t="s">
        <v>3480</v>
      </c>
      <c r="B1013" t="s">
        <v>103</v>
      </c>
      <c r="C1013" t="s">
        <v>16</v>
      </c>
      <c r="D1013" t="s">
        <v>3479</v>
      </c>
      <c r="E1013" t="s">
        <v>3478</v>
      </c>
      <c r="F1013" s="5">
        <v>45467</v>
      </c>
      <c r="G1013" t="s">
        <v>126</v>
      </c>
      <c r="H1013" t="s">
        <v>3265</v>
      </c>
      <c r="I1013" t="s">
        <v>23</v>
      </c>
      <c r="J1013" t="s">
        <v>164</v>
      </c>
      <c r="K1013" t="s">
        <v>24</v>
      </c>
      <c r="L1013" t="s">
        <v>19</v>
      </c>
      <c r="M1013" t="s">
        <v>20</v>
      </c>
      <c r="N1013">
        <v>3</v>
      </c>
      <c r="O1013">
        <v>1192</v>
      </c>
      <c r="P1013">
        <v>1799</v>
      </c>
      <c r="Q1013">
        <v>15</v>
      </c>
      <c r="R1013">
        <v>900</v>
      </c>
      <c r="S1013">
        <v>4497</v>
      </c>
      <c r="T1013">
        <v>921</v>
      </c>
      <c r="U1013">
        <v>20.48</v>
      </c>
      <c r="V1013" t="s">
        <v>21</v>
      </c>
    </row>
    <row r="1014" spans="1:22" x14ac:dyDescent="0.35">
      <c r="A1014" t="s">
        <v>3477</v>
      </c>
      <c r="B1014" t="s">
        <v>68</v>
      </c>
      <c r="C1014" t="s">
        <v>16</v>
      </c>
      <c r="D1014" t="s">
        <v>3476</v>
      </c>
      <c r="E1014" t="s">
        <v>3475</v>
      </c>
      <c r="F1014" s="5">
        <v>45451</v>
      </c>
      <c r="G1014" t="s">
        <v>126</v>
      </c>
      <c r="H1014" t="s">
        <v>637</v>
      </c>
      <c r="I1014" t="s">
        <v>17</v>
      </c>
      <c r="J1014" t="s">
        <v>253</v>
      </c>
      <c r="K1014" t="s">
        <v>72</v>
      </c>
      <c r="L1014" t="s">
        <v>25</v>
      </c>
      <c r="M1014" t="s">
        <v>19</v>
      </c>
      <c r="N1014">
        <v>2</v>
      </c>
      <c r="O1014">
        <v>260</v>
      </c>
      <c r="P1014">
        <v>499</v>
      </c>
      <c r="Q1014">
        <v>0</v>
      </c>
      <c r="R1014">
        <v>0</v>
      </c>
      <c r="S1014">
        <v>998</v>
      </c>
      <c r="T1014">
        <v>478</v>
      </c>
      <c r="U1014">
        <v>47.9</v>
      </c>
      <c r="V1014" t="s">
        <v>21</v>
      </c>
    </row>
    <row r="1015" spans="1:22" x14ac:dyDescent="0.35">
      <c r="A1015" t="s">
        <v>3474</v>
      </c>
      <c r="B1015" t="s">
        <v>88</v>
      </c>
      <c r="C1015" t="s">
        <v>27</v>
      </c>
      <c r="D1015" t="s">
        <v>3473</v>
      </c>
      <c r="E1015" t="s">
        <v>3472</v>
      </c>
      <c r="F1015" s="5">
        <v>45625</v>
      </c>
      <c r="G1015" t="s">
        <v>126</v>
      </c>
      <c r="H1015" t="s">
        <v>1378</v>
      </c>
      <c r="I1015" t="s">
        <v>28</v>
      </c>
      <c r="J1015" t="s">
        <v>201</v>
      </c>
      <c r="K1015" t="s">
        <v>29</v>
      </c>
      <c r="L1015" t="s">
        <v>37</v>
      </c>
      <c r="M1015" t="s">
        <v>19</v>
      </c>
      <c r="N1015">
        <v>4</v>
      </c>
      <c r="O1015">
        <v>319</v>
      </c>
      <c r="P1015">
        <v>499</v>
      </c>
      <c r="Q1015">
        <v>10</v>
      </c>
      <c r="R1015">
        <v>200</v>
      </c>
      <c r="S1015">
        <v>1796</v>
      </c>
      <c r="T1015">
        <v>520</v>
      </c>
      <c r="U1015">
        <v>28.95</v>
      </c>
      <c r="V1015" t="s">
        <v>21</v>
      </c>
    </row>
    <row r="1016" spans="1:22" x14ac:dyDescent="0.35">
      <c r="A1016" t="s">
        <v>3471</v>
      </c>
      <c r="B1016" t="s">
        <v>56</v>
      </c>
      <c r="C1016" t="s">
        <v>27</v>
      </c>
      <c r="D1016" t="s">
        <v>3470</v>
      </c>
      <c r="E1016" t="s">
        <v>3469</v>
      </c>
      <c r="F1016" s="5">
        <v>45472</v>
      </c>
      <c r="G1016" t="s">
        <v>126</v>
      </c>
      <c r="H1016" t="s">
        <v>3468</v>
      </c>
      <c r="I1016" t="s">
        <v>31</v>
      </c>
      <c r="J1016" t="s">
        <v>32</v>
      </c>
      <c r="K1016" t="s">
        <v>32</v>
      </c>
      <c r="L1016" t="s">
        <v>25</v>
      </c>
      <c r="M1016" t="s">
        <v>20</v>
      </c>
      <c r="N1016">
        <v>3</v>
      </c>
      <c r="O1016">
        <v>1081</v>
      </c>
      <c r="P1016">
        <v>1499</v>
      </c>
      <c r="Q1016">
        <v>0</v>
      </c>
      <c r="R1016">
        <v>0</v>
      </c>
      <c r="S1016">
        <v>4497</v>
      </c>
      <c r="T1016">
        <v>1254</v>
      </c>
      <c r="U1016">
        <v>27.89</v>
      </c>
      <c r="V1016" t="s">
        <v>21</v>
      </c>
    </row>
    <row r="1017" spans="1:22" x14ac:dyDescent="0.35">
      <c r="A1017" t="s">
        <v>3467</v>
      </c>
      <c r="B1017" t="s">
        <v>38</v>
      </c>
      <c r="C1017" t="s">
        <v>27</v>
      </c>
      <c r="D1017" t="s">
        <v>3466</v>
      </c>
      <c r="E1017" t="s">
        <v>1257</v>
      </c>
      <c r="F1017" s="5">
        <v>45530</v>
      </c>
      <c r="G1017" t="s">
        <v>126</v>
      </c>
      <c r="H1017" t="s">
        <v>2887</v>
      </c>
      <c r="I1017" t="s">
        <v>31</v>
      </c>
      <c r="J1017" t="s">
        <v>32</v>
      </c>
      <c r="K1017" t="s">
        <v>32</v>
      </c>
      <c r="L1017" t="s">
        <v>25</v>
      </c>
      <c r="M1017" t="s">
        <v>19</v>
      </c>
      <c r="N1017">
        <v>4</v>
      </c>
      <c r="O1017">
        <v>626</v>
      </c>
      <c r="P1017">
        <v>1199</v>
      </c>
      <c r="Q1017">
        <v>0</v>
      </c>
      <c r="R1017">
        <v>0</v>
      </c>
      <c r="S1017">
        <v>4796</v>
      </c>
      <c r="T1017">
        <v>2292</v>
      </c>
      <c r="U1017">
        <v>47.79</v>
      </c>
      <c r="V1017" t="s">
        <v>21</v>
      </c>
    </row>
    <row r="1018" spans="1:22" x14ac:dyDescent="0.35">
      <c r="A1018" t="s">
        <v>3465</v>
      </c>
      <c r="B1018" t="s">
        <v>80</v>
      </c>
      <c r="C1018" t="s">
        <v>27</v>
      </c>
      <c r="D1018" t="s">
        <v>3464</v>
      </c>
      <c r="E1018" t="s">
        <v>3463</v>
      </c>
      <c r="F1018" s="5">
        <v>45599</v>
      </c>
      <c r="G1018" t="s">
        <v>126</v>
      </c>
      <c r="H1018" t="s">
        <v>2137</v>
      </c>
      <c r="I1018" t="s">
        <v>31</v>
      </c>
      <c r="J1018" t="s">
        <v>76</v>
      </c>
      <c r="K1018" t="s">
        <v>76</v>
      </c>
      <c r="L1018" t="s">
        <v>25</v>
      </c>
      <c r="M1018" t="s">
        <v>20</v>
      </c>
      <c r="N1018">
        <v>1</v>
      </c>
      <c r="O1018">
        <v>375</v>
      </c>
      <c r="P1018">
        <v>699</v>
      </c>
      <c r="Q1018">
        <v>0</v>
      </c>
      <c r="R1018">
        <v>0</v>
      </c>
      <c r="S1018">
        <v>699</v>
      </c>
      <c r="T1018">
        <v>324</v>
      </c>
      <c r="U1018">
        <v>46.35</v>
      </c>
      <c r="V1018" t="s">
        <v>21</v>
      </c>
    </row>
    <row r="1019" spans="1:22" x14ac:dyDescent="0.35">
      <c r="A1019" t="s">
        <v>3462</v>
      </c>
      <c r="B1019" t="s">
        <v>51</v>
      </c>
      <c r="C1019" t="s">
        <v>16</v>
      </c>
      <c r="D1019" t="s">
        <v>3461</v>
      </c>
      <c r="E1019" t="s">
        <v>3460</v>
      </c>
      <c r="F1019" s="5">
        <v>45543</v>
      </c>
      <c r="G1019" t="s">
        <v>126</v>
      </c>
      <c r="H1019" t="s">
        <v>1549</v>
      </c>
      <c r="I1019" t="s">
        <v>23</v>
      </c>
      <c r="J1019" t="s">
        <v>164</v>
      </c>
      <c r="K1019" t="s">
        <v>24</v>
      </c>
      <c r="L1019" t="s">
        <v>37</v>
      </c>
      <c r="M1019" t="s">
        <v>20</v>
      </c>
      <c r="N1019">
        <v>5</v>
      </c>
      <c r="O1019">
        <v>1100</v>
      </c>
      <c r="P1019">
        <v>1899</v>
      </c>
      <c r="Q1019">
        <v>20</v>
      </c>
      <c r="R1019">
        <v>2000</v>
      </c>
      <c r="S1019">
        <v>7495</v>
      </c>
      <c r="T1019">
        <v>1995</v>
      </c>
      <c r="U1019">
        <v>26.62</v>
      </c>
      <c r="V1019" t="s">
        <v>21</v>
      </c>
    </row>
    <row r="1020" spans="1:22" x14ac:dyDescent="0.35">
      <c r="A1020" t="s">
        <v>3459</v>
      </c>
      <c r="B1020" t="s">
        <v>70</v>
      </c>
      <c r="C1020" t="s">
        <v>27</v>
      </c>
      <c r="D1020" t="s">
        <v>3458</v>
      </c>
      <c r="E1020" t="s">
        <v>3457</v>
      </c>
      <c r="F1020" s="5">
        <v>45470</v>
      </c>
      <c r="G1020" t="s">
        <v>126</v>
      </c>
      <c r="H1020" t="s">
        <v>1020</v>
      </c>
      <c r="I1020" t="s">
        <v>31</v>
      </c>
      <c r="J1020" t="s">
        <v>76</v>
      </c>
      <c r="K1020" t="s">
        <v>76</v>
      </c>
      <c r="L1020" t="s">
        <v>25</v>
      </c>
      <c r="M1020" t="s">
        <v>20</v>
      </c>
      <c r="N1020">
        <v>4</v>
      </c>
      <c r="O1020">
        <v>409</v>
      </c>
      <c r="P1020">
        <v>799</v>
      </c>
      <c r="Q1020">
        <v>0</v>
      </c>
      <c r="R1020">
        <v>0</v>
      </c>
      <c r="S1020">
        <v>3196</v>
      </c>
      <c r="T1020">
        <v>1560</v>
      </c>
      <c r="U1020">
        <v>48.81</v>
      </c>
      <c r="V1020" t="s">
        <v>21</v>
      </c>
    </row>
    <row r="1021" spans="1:22" x14ac:dyDescent="0.35">
      <c r="A1021" t="s">
        <v>3456</v>
      </c>
      <c r="B1021" t="s">
        <v>103</v>
      </c>
      <c r="C1021" t="s">
        <v>16</v>
      </c>
      <c r="D1021" t="s">
        <v>3455</v>
      </c>
      <c r="E1021" t="s">
        <v>3454</v>
      </c>
      <c r="F1021" s="5">
        <v>45622</v>
      </c>
      <c r="G1021" t="s">
        <v>126</v>
      </c>
      <c r="H1021" t="s">
        <v>3453</v>
      </c>
      <c r="I1021" t="s">
        <v>31</v>
      </c>
      <c r="J1021" t="s">
        <v>76</v>
      </c>
      <c r="K1021" t="s">
        <v>76</v>
      </c>
      <c r="L1021" t="s">
        <v>37</v>
      </c>
      <c r="M1021" t="s">
        <v>20</v>
      </c>
      <c r="N1021">
        <v>5</v>
      </c>
      <c r="O1021">
        <v>616</v>
      </c>
      <c r="P1021">
        <v>999</v>
      </c>
      <c r="Q1021">
        <v>0</v>
      </c>
      <c r="R1021">
        <v>0</v>
      </c>
      <c r="S1021">
        <v>4995</v>
      </c>
      <c r="T1021">
        <v>1915</v>
      </c>
      <c r="U1021">
        <v>38.340000000000003</v>
      </c>
      <c r="V1021" t="s">
        <v>21</v>
      </c>
    </row>
    <row r="1022" spans="1:22" x14ac:dyDescent="0.35">
      <c r="A1022" t="s">
        <v>3452</v>
      </c>
      <c r="B1022" t="s">
        <v>51</v>
      </c>
      <c r="C1022" t="s">
        <v>16</v>
      </c>
      <c r="D1022" t="s">
        <v>3451</v>
      </c>
      <c r="E1022" t="s">
        <v>3450</v>
      </c>
      <c r="F1022" s="5">
        <v>45563</v>
      </c>
      <c r="G1022" t="s">
        <v>126</v>
      </c>
      <c r="H1022" t="s">
        <v>1243</v>
      </c>
      <c r="I1022" t="s">
        <v>31</v>
      </c>
      <c r="J1022" t="s">
        <v>32</v>
      </c>
      <c r="K1022" t="s">
        <v>32</v>
      </c>
      <c r="L1022" t="s">
        <v>19</v>
      </c>
      <c r="M1022" t="s">
        <v>19</v>
      </c>
      <c r="N1022">
        <v>5</v>
      </c>
      <c r="O1022">
        <v>522</v>
      </c>
      <c r="P1022">
        <v>999</v>
      </c>
      <c r="Q1022">
        <v>0</v>
      </c>
      <c r="R1022">
        <v>0</v>
      </c>
      <c r="S1022">
        <v>4995</v>
      </c>
      <c r="T1022">
        <v>2385</v>
      </c>
      <c r="U1022">
        <v>47.75</v>
      </c>
      <c r="V1022" t="s">
        <v>33</v>
      </c>
    </row>
    <row r="1023" spans="1:22" x14ac:dyDescent="0.35">
      <c r="A1023" t="s">
        <v>3449</v>
      </c>
      <c r="B1023" t="s">
        <v>104</v>
      </c>
      <c r="C1023" t="s">
        <v>27</v>
      </c>
      <c r="D1023" t="s">
        <v>3448</v>
      </c>
      <c r="E1023" t="s">
        <v>3223</v>
      </c>
      <c r="F1023" s="5">
        <v>45538</v>
      </c>
      <c r="G1023" t="s">
        <v>126</v>
      </c>
      <c r="H1023" t="s">
        <v>3447</v>
      </c>
      <c r="I1023" t="s">
        <v>35</v>
      </c>
      <c r="J1023" t="s">
        <v>214</v>
      </c>
      <c r="K1023" t="s">
        <v>50</v>
      </c>
      <c r="L1023" t="s">
        <v>19</v>
      </c>
      <c r="M1023" t="s">
        <v>20</v>
      </c>
      <c r="N1023">
        <v>4</v>
      </c>
      <c r="O1023">
        <v>659</v>
      </c>
      <c r="P1023">
        <v>1199</v>
      </c>
      <c r="Q1023">
        <v>15</v>
      </c>
      <c r="R1023">
        <v>800</v>
      </c>
      <c r="S1023">
        <v>3996</v>
      </c>
      <c r="T1023">
        <v>1360</v>
      </c>
      <c r="U1023">
        <v>34.03</v>
      </c>
      <c r="V1023" t="s">
        <v>21</v>
      </c>
    </row>
    <row r="1024" spans="1:22" x14ac:dyDescent="0.35">
      <c r="A1024" t="s">
        <v>3446</v>
      </c>
      <c r="B1024" t="s">
        <v>63</v>
      </c>
      <c r="C1024" t="s">
        <v>27</v>
      </c>
      <c r="D1024" t="s">
        <v>3445</v>
      </c>
      <c r="E1024" t="s">
        <v>3444</v>
      </c>
      <c r="F1024" s="5">
        <v>45513</v>
      </c>
      <c r="G1024" t="s">
        <v>126</v>
      </c>
      <c r="H1024" t="s">
        <v>500</v>
      </c>
      <c r="I1024" t="s">
        <v>31</v>
      </c>
      <c r="J1024" t="s">
        <v>76</v>
      </c>
      <c r="K1024" t="s">
        <v>76</v>
      </c>
      <c r="L1024" t="s">
        <v>37</v>
      </c>
      <c r="M1024" t="s">
        <v>19</v>
      </c>
      <c r="N1024">
        <v>1</v>
      </c>
      <c r="O1024">
        <v>506</v>
      </c>
      <c r="P1024">
        <v>699</v>
      </c>
      <c r="Q1024">
        <v>0</v>
      </c>
      <c r="R1024">
        <v>0</v>
      </c>
      <c r="S1024">
        <v>699</v>
      </c>
      <c r="T1024">
        <v>193</v>
      </c>
      <c r="U1024">
        <v>27.61</v>
      </c>
      <c r="V1024" t="s">
        <v>21</v>
      </c>
    </row>
    <row r="1025" spans="1:22" x14ac:dyDescent="0.35">
      <c r="A1025" t="s">
        <v>3443</v>
      </c>
      <c r="B1025" t="s">
        <v>86</v>
      </c>
      <c r="C1025" t="s">
        <v>27</v>
      </c>
      <c r="D1025" t="s">
        <v>3442</v>
      </c>
      <c r="E1025" t="s">
        <v>3441</v>
      </c>
      <c r="F1025" s="5">
        <v>45629</v>
      </c>
      <c r="G1025" t="s">
        <v>126</v>
      </c>
      <c r="H1025" t="s">
        <v>3440</v>
      </c>
      <c r="I1025" t="s">
        <v>28</v>
      </c>
      <c r="J1025" t="s">
        <v>45</v>
      </c>
      <c r="K1025" t="s">
        <v>45</v>
      </c>
      <c r="L1025" t="s">
        <v>37</v>
      </c>
      <c r="M1025" t="s">
        <v>19</v>
      </c>
      <c r="N1025">
        <v>1</v>
      </c>
      <c r="O1025">
        <v>553</v>
      </c>
      <c r="P1025">
        <v>1099</v>
      </c>
      <c r="Q1025">
        <v>5</v>
      </c>
      <c r="R1025">
        <v>100</v>
      </c>
      <c r="S1025">
        <v>999</v>
      </c>
      <c r="T1025">
        <v>446</v>
      </c>
      <c r="U1025">
        <v>44.64</v>
      </c>
      <c r="V1025" t="s">
        <v>21</v>
      </c>
    </row>
    <row r="1026" spans="1:22" x14ac:dyDescent="0.35">
      <c r="A1026" t="s">
        <v>3439</v>
      </c>
      <c r="B1026" t="s">
        <v>90</v>
      </c>
      <c r="C1026" t="s">
        <v>27</v>
      </c>
      <c r="D1026" t="s">
        <v>3438</v>
      </c>
      <c r="E1026" t="s">
        <v>3437</v>
      </c>
      <c r="F1026" s="5">
        <v>45530</v>
      </c>
      <c r="G1026" t="s">
        <v>126</v>
      </c>
      <c r="H1026" t="s">
        <v>2638</v>
      </c>
      <c r="I1026" t="s">
        <v>28</v>
      </c>
      <c r="J1026" t="s">
        <v>45</v>
      </c>
      <c r="K1026" t="s">
        <v>45</v>
      </c>
      <c r="L1026" t="s">
        <v>37</v>
      </c>
      <c r="M1026" t="s">
        <v>19</v>
      </c>
      <c r="N1026">
        <v>1</v>
      </c>
      <c r="O1026">
        <v>1260</v>
      </c>
      <c r="P1026">
        <v>1899</v>
      </c>
      <c r="Q1026">
        <v>5</v>
      </c>
      <c r="R1026">
        <v>100</v>
      </c>
      <c r="S1026">
        <v>1799</v>
      </c>
      <c r="T1026">
        <v>539</v>
      </c>
      <c r="U1026">
        <v>29.96</v>
      </c>
      <c r="V1026" t="s">
        <v>33</v>
      </c>
    </row>
    <row r="1027" spans="1:22" x14ac:dyDescent="0.35">
      <c r="A1027" t="s">
        <v>3436</v>
      </c>
      <c r="B1027" t="s">
        <v>81</v>
      </c>
      <c r="C1027" t="s">
        <v>27</v>
      </c>
      <c r="D1027" t="s">
        <v>3435</v>
      </c>
      <c r="E1027" t="s">
        <v>3434</v>
      </c>
      <c r="F1027" s="5">
        <v>45529</v>
      </c>
      <c r="G1027" t="s">
        <v>126</v>
      </c>
      <c r="H1027" t="s">
        <v>3075</v>
      </c>
      <c r="I1027" t="s">
        <v>35</v>
      </c>
      <c r="J1027" t="s">
        <v>41</v>
      </c>
      <c r="K1027" t="s">
        <v>41</v>
      </c>
      <c r="L1027" t="s">
        <v>37</v>
      </c>
      <c r="M1027" t="s">
        <v>19</v>
      </c>
      <c r="N1027">
        <v>1</v>
      </c>
      <c r="O1027">
        <v>804</v>
      </c>
      <c r="P1027">
        <v>1199</v>
      </c>
      <c r="Q1027">
        <v>10</v>
      </c>
      <c r="R1027">
        <v>200</v>
      </c>
      <c r="S1027">
        <v>999</v>
      </c>
      <c r="T1027">
        <v>195</v>
      </c>
      <c r="U1027">
        <v>19.52</v>
      </c>
      <c r="V1027" t="s">
        <v>21</v>
      </c>
    </row>
    <row r="1028" spans="1:22" x14ac:dyDescent="0.35">
      <c r="A1028" t="s">
        <v>3433</v>
      </c>
      <c r="B1028" t="s">
        <v>104</v>
      </c>
      <c r="C1028" t="s">
        <v>27</v>
      </c>
      <c r="D1028" t="s">
        <v>3432</v>
      </c>
      <c r="E1028" t="s">
        <v>3431</v>
      </c>
      <c r="F1028" s="5">
        <v>45576</v>
      </c>
      <c r="G1028" t="s">
        <v>126</v>
      </c>
      <c r="H1028" t="s">
        <v>3279</v>
      </c>
      <c r="I1028" t="s">
        <v>17</v>
      </c>
      <c r="J1028" t="s">
        <v>253</v>
      </c>
      <c r="K1028" t="s">
        <v>72</v>
      </c>
      <c r="L1028" t="s">
        <v>25</v>
      </c>
      <c r="M1028" t="s">
        <v>20</v>
      </c>
      <c r="N1028">
        <v>2</v>
      </c>
      <c r="O1028">
        <v>241</v>
      </c>
      <c r="P1028">
        <v>399</v>
      </c>
      <c r="Q1028">
        <v>0</v>
      </c>
      <c r="R1028">
        <v>0</v>
      </c>
      <c r="S1028">
        <v>798</v>
      </c>
      <c r="T1028">
        <v>316</v>
      </c>
      <c r="U1028">
        <v>39.6</v>
      </c>
      <c r="V1028" t="s">
        <v>21</v>
      </c>
    </row>
    <row r="1029" spans="1:22" x14ac:dyDescent="0.35">
      <c r="A1029" t="s">
        <v>3430</v>
      </c>
      <c r="B1029" t="s">
        <v>96</v>
      </c>
      <c r="C1029" t="s">
        <v>16</v>
      </c>
      <c r="D1029" t="s">
        <v>3429</v>
      </c>
      <c r="E1029" t="s">
        <v>3428</v>
      </c>
      <c r="F1029" s="5">
        <v>45472</v>
      </c>
      <c r="G1029" t="s">
        <v>126</v>
      </c>
      <c r="H1029" t="s">
        <v>852</v>
      </c>
      <c r="I1029" t="s">
        <v>28</v>
      </c>
      <c r="J1029" t="s">
        <v>201</v>
      </c>
      <c r="K1029" t="s">
        <v>29</v>
      </c>
      <c r="L1029" t="s">
        <v>25</v>
      </c>
      <c r="M1029" t="s">
        <v>20</v>
      </c>
      <c r="N1029">
        <v>3</v>
      </c>
      <c r="O1029">
        <v>514</v>
      </c>
      <c r="P1029">
        <v>799</v>
      </c>
      <c r="Q1029">
        <v>15</v>
      </c>
      <c r="R1029">
        <v>600</v>
      </c>
      <c r="S1029">
        <v>1797</v>
      </c>
      <c r="T1029">
        <v>255</v>
      </c>
      <c r="U1029">
        <v>14.19</v>
      </c>
      <c r="V1029" t="s">
        <v>21</v>
      </c>
    </row>
    <row r="1030" spans="1:22" x14ac:dyDescent="0.35">
      <c r="A1030" t="s">
        <v>3427</v>
      </c>
      <c r="B1030" t="s">
        <v>69</v>
      </c>
      <c r="C1030" t="s">
        <v>16</v>
      </c>
      <c r="D1030" t="s">
        <v>3426</v>
      </c>
      <c r="E1030" t="s">
        <v>3425</v>
      </c>
      <c r="F1030" s="5">
        <v>45475</v>
      </c>
      <c r="G1030" t="s">
        <v>126</v>
      </c>
      <c r="H1030" t="s">
        <v>1888</v>
      </c>
      <c r="I1030" t="s">
        <v>28</v>
      </c>
      <c r="J1030" t="s">
        <v>45</v>
      </c>
      <c r="K1030" t="s">
        <v>45</v>
      </c>
      <c r="L1030" t="s">
        <v>37</v>
      </c>
      <c r="M1030" t="s">
        <v>20</v>
      </c>
      <c r="N1030">
        <v>4</v>
      </c>
      <c r="O1030">
        <v>884</v>
      </c>
      <c r="P1030">
        <v>1399</v>
      </c>
      <c r="Q1030">
        <v>10</v>
      </c>
      <c r="R1030">
        <v>800</v>
      </c>
      <c r="S1030">
        <v>4796</v>
      </c>
      <c r="T1030">
        <v>1260</v>
      </c>
      <c r="U1030">
        <v>26.27</v>
      </c>
      <c r="V1030" t="s">
        <v>21</v>
      </c>
    </row>
    <row r="1031" spans="1:22" x14ac:dyDescent="0.35">
      <c r="A1031" t="s">
        <v>3424</v>
      </c>
      <c r="B1031" t="s">
        <v>85</v>
      </c>
      <c r="C1031" t="s">
        <v>27</v>
      </c>
      <c r="D1031" t="s">
        <v>3423</v>
      </c>
      <c r="E1031" t="s">
        <v>3422</v>
      </c>
      <c r="F1031" s="5">
        <v>45568</v>
      </c>
      <c r="G1031" t="s">
        <v>126</v>
      </c>
      <c r="H1031" t="s">
        <v>998</v>
      </c>
      <c r="I1031" t="s">
        <v>17</v>
      </c>
      <c r="J1031" t="s">
        <v>235</v>
      </c>
      <c r="K1031" t="s">
        <v>18</v>
      </c>
      <c r="L1031" t="s">
        <v>25</v>
      </c>
      <c r="M1031" t="s">
        <v>20</v>
      </c>
      <c r="N1031">
        <v>5</v>
      </c>
      <c r="O1031">
        <v>342</v>
      </c>
      <c r="P1031">
        <v>499</v>
      </c>
      <c r="Q1031">
        <v>0</v>
      </c>
      <c r="R1031">
        <v>0</v>
      </c>
      <c r="S1031">
        <v>2495</v>
      </c>
      <c r="T1031">
        <v>785</v>
      </c>
      <c r="U1031">
        <v>31.46</v>
      </c>
      <c r="V1031" t="s">
        <v>33</v>
      </c>
    </row>
    <row r="1032" spans="1:22" x14ac:dyDescent="0.35">
      <c r="A1032" t="s">
        <v>3421</v>
      </c>
      <c r="B1032" t="s">
        <v>90</v>
      </c>
      <c r="C1032" t="s">
        <v>27</v>
      </c>
      <c r="D1032" t="s">
        <v>3420</v>
      </c>
      <c r="E1032" t="s">
        <v>3419</v>
      </c>
      <c r="F1032" s="5">
        <v>45571</v>
      </c>
      <c r="G1032" t="s">
        <v>126</v>
      </c>
      <c r="H1032" t="s">
        <v>3418</v>
      </c>
      <c r="I1032" t="s">
        <v>23</v>
      </c>
      <c r="J1032" t="s">
        <v>164</v>
      </c>
      <c r="K1032" t="s">
        <v>24</v>
      </c>
      <c r="L1032" t="s">
        <v>19</v>
      </c>
      <c r="M1032" t="s">
        <v>19</v>
      </c>
      <c r="N1032">
        <v>1</v>
      </c>
      <c r="O1032">
        <v>1335</v>
      </c>
      <c r="P1032">
        <v>2399</v>
      </c>
      <c r="Q1032">
        <v>15</v>
      </c>
      <c r="R1032">
        <v>400</v>
      </c>
      <c r="S1032">
        <v>1999</v>
      </c>
      <c r="T1032">
        <v>664</v>
      </c>
      <c r="U1032">
        <v>33.22</v>
      </c>
      <c r="V1032" t="s">
        <v>21</v>
      </c>
    </row>
    <row r="1033" spans="1:22" x14ac:dyDescent="0.35">
      <c r="A1033" t="s">
        <v>3417</v>
      </c>
      <c r="B1033" t="s">
        <v>71</v>
      </c>
      <c r="C1033" t="s">
        <v>16</v>
      </c>
      <c r="D1033" t="s">
        <v>3416</v>
      </c>
      <c r="E1033" t="s">
        <v>3415</v>
      </c>
      <c r="F1033" s="5">
        <v>45555</v>
      </c>
      <c r="G1033" t="s">
        <v>126</v>
      </c>
      <c r="H1033" t="s">
        <v>294</v>
      </c>
      <c r="I1033" t="s">
        <v>28</v>
      </c>
      <c r="J1033" t="s">
        <v>45</v>
      </c>
      <c r="K1033" t="s">
        <v>45</v>
      </c>
      <c r="L1033" t="s">
        <v>37</v>
      </c>
      <c r="M1033" t="s">
        <v>19</v>
      </c>
      <c r="N1033">
        <v>1</v>
      </c>
      <c r="O1033">
        <v>1201</v>
      </c>
      <c r="P1033">
        <v>1799</v>
      </c>
      <c r="Q1033">
        <v>15</v>
      </c>
      <c r="R1033">
        <v>300</v>
      </c>
      <c r="S1033">
        <v>1499</v>
      </c>
      <c r="T1033">
        <v>298</v>
      </c>
      <c r="U1033">
        <v>19.88</v>
      </c>
      <c r="V1033" t="s">
        <v>21</v>
      </c>
    </row>
    <row r="1034" spans="1:22" x14ac:dyDescent="0.35">
      <c r="A1034" t="s">
        <v>3414</v>
      </c>
      <c r="B1034" t="s">
        <v>34</v>
      </c>
      <c r="C1034" t="s">
        <v>27</v>
      </c>
      <c r="D1034" t="s">
        <v>3413</v>
      </c>
      <c r="E1034" t="s">
        <v>3412</v>
      </c>
      <c r="F1034" s="5">
        <v>45505</v>
      </c>
      <c r="G1034" t="s">
        <v>126</v>
      </c>
      <c r="H1034" t="s">
        <v>210</v>
      </c>
      <c r="I1034" t="s">
        <v>17</v>
      </c>
      <c r="J1034" t="s">
        <v>55</v>
      </c>
      <c r="K1034" t="s">
        <v>55</v>
      </c>
      <c r="L1034" t="s">
        <v>19</v>
      </c>
      <c r="M1034" t="s">
        <v>20</v>
      </c>
      <c r="N1034">
        <v>3</v>
      </c>
      <c r="O1034">
        <v>429</v>
      </c>
      <c r="P1034">
        <v>599</v>
      </c>
      <c r="Q1034">
        <v>0</v>
      </c>
      <c r="R1034">
        <v>0</v>
      </c>
      <c r="S1034">
        <v>1797</v>
      </c>
      <c r="T1034">
        <v>510</v>
      </c>
      <c r="U1034">
        <v>28.38</v>
      </c>
      <c r="V1034" t="s">
        <v>21</v>
      </c>
    </row>
    <row r="1035" spans="1:22" x14ac:dyDescent="0.35">
      <c r="A1035" t="s">
        <v>3411</v>
      </c>
      <c r="B1035" t="s">
        <v>73</v>
      </c>
      <c r="C1035" t="s">
        <v>16</v>
      </c>
      <c r="D1035" t="s">
        <v>3410</v>
      </c>
      <c r="E1035" t="s">
        <v>3409</v>
      </c>
      <c r="F1035" s="5">
        <v>45482</v>
      </c>
      <c r="G1035" t="s">
        <v>126</v>
      </c>
      <c r="H1035" t="s">
        <v>3408</v>
      </c>
      <c r="I1035" t="s">
        <v>28</v>
      </c>
      <c r="J1035" t="s">
        <v>45</v>
      </c>
      <c r="K1035" t="s">
        <v>45</v>
      </c>
      <c r="L1035" t="s">
        <v>19</v>
      </c>
      <c r="M1035" t="s">
        <v>20</v>
      </c>
      <c r="N1035">
        <v>2</v>
      </c>
      <c r="O1035">
        <v>538</v>
      </c>
      <c r="P1035">
        <v>899</v>
      </c>
      <c r="Q1035">
        <v>10</v>
      </c>
      <c r="R1035">
        <v>200</v>
      </c>
      <c r="S1035">
        <v>1598</v>
      </c>
      <c r="T1035">
        <v>522</v>
      </c>
      <c r="U1035">
        <v>32.67</v>
      </c>
      <c r="V1035" t="s">
        <v>21</v>
      </c>
    </row>
    <row r="1036" spans="1:22" x14ac:dyDescent="0.35">
      <c r="A1036" t="s">
        <v>3407</v>
      </c>
      <c r="B1036" t="s">
        <v>22</v>
      </c>
      <c r="C1036" t="s">
        <v>16</v>
      </c>
      <c r="D1036" t="s">
        <v>3406</v>
      </c>
      <c r="E1036" t="s">
        <v>3405</v>
      </c>
      <c r="F1036" s="5">
        <v>45623</v>
      </c>
      <c r="G1036" t="s">
        <v>126</v>
      </c>
      <c r="H1036" t="s">
        <v>3404</v>
      </c>
      <c r="I1036" t="s">
        <v>28</v>
      </c>
      <c r="J1036" t="s">
        <v>45</v>
      </c>
      <c r="K1036" t="s">
        <v>45</v>
      </c>
      <c r="L1036" t="s">
        <v>37</v>
      </c>
      <c r="M1036" t="s">
        <v>19</v>
      </c>
      <c r="N1036">
        <v>3</v>
      </c>
      <c r="O1036">
        <v>893</v>
      </c>
      <c r="P1036">
        <v>1299</v>
      </c>
      <c r="Q1036">
        <v>20</v>
      </c>
      <c r="R1036">
        <v>900</v>
      </c>
      <c r="S1036">
        <v>2997</v>
      </c>
      <c r="T1036">
        <v>318</v>
      </c>
      <c r="U1036">
        <v>10.61</v>
      </c>
      <c r="V1036" t="s">
        <v>33</v>
      </c>
    </row>
    <row r="1037" spans="1:22" x14ac:dyDescent="0.35">
      <c r="A1037" t="s">
        <v>3403</v>
      </c>
      <c r="B1037" t="s">
        <v>91</v>
      </c>
      <c r="C1037" t="s">
        <v>16</v>
      </c>
      <c r="D1037" t="s">
        <v>3402</v>
      </c>
      <c r="E1037" t="s">
        <v>3401</v>
      </c>
      <c r="F1037" s="5">
        <v>45657</v>
      </c>
      <c r="G1037" t="s">
        <v>126</v>
      </c>
      <c r="H1037" t="s">
        <v>3400</v>
      </c>
      <c r="I1037" t="s">
        <v>23</v>
      </c>
      <c r="J1037" t="s">
        <v>164</v>
      </c>
      <c r="K1037" t="s">
        <v>24</v>
      </c>
      <c r="L1037" t="s">
        <v>37</v>
      </c>
      <c r="M1037" t="s">
        <v>19</v>
      </c>
      <c r="N1037">
        <v>5</v>
      </c>
      <c r="O1037">
        <v>570</v>
      </c>
      <c r="P1037">
        <v>999</v>
      </c>
      <c r="Q1037">
        <v>20</v>
      </c>
      <c r="R1037">
        <v>1000</v>
      </c>
      <c r="S1037">
        <v>3995</v>
      </c>
      <c r="T1037">
        <v>1145</v>
      </c>
      <c r="U1037">
        <v>28.66</v>
      </c>
      <c r="V1037" t="s">
        <v>21</v>
      </c>
    </row>
    <row r="1038" spans="1:22" x14ac:dyDescent="0.35">
      <c r="A1038" t="s">
        <v>3399</v>
      </c>
      <c r="B1038" t="s">
        <v>103</v>
      </c>
      <c r="C1038" t="s">
        <v>16</v>
      </c>
      <c r="D1038" t="s">
        <v>3398</v>
      </c>
      <c r="E1038" t="s">
        <v>3397</v>
      </c>
      <c r="F1038" s="5">
        <v>45518</v>
      </c>
      <c r="G1038" t="s">
        <v>126</v>
      </c>
      <c r="H1038" t="s">
        <v>3396</v>
      </c>
      <c r="I1038" t="s">
        <v>31</v>
      </c>
      <c r="J1038" t="s">
        <v>32</v>
      </c>
      <c r="K1038" t="s">
        <v>32</v>
      </c>
      <c r="L1038" t="s">
        <v>25</v>
      </c>
      <c r="M1038" t="s">
        <v>20</v>
      </c>
      <c r="N1038">
        <v>1</v>
      </c>
      <c r="O1038">
        <v>932</v>
      </c>
      <c r="P1038">
        <v>1499</v>
      </c>
      <c r="Q1038">
        <v>0</v>
      </c>
      <c r="R1038">
        <v>0</v>
      </c>
      <c r="S1038">
        <v>1499</v>
      </c>
      <c r="T1038">
        <v>567</v>
      </c>
      <c r="U1038">
        <v>37.83</v>
      </c>
      <c r="V1038" t="s">
        <v>21</v>
      </c>
    </row>
    <row r="1039" spans="1:22" x14ac:dyDescent="0.35">
      <c r="A1039" t="s">
        <v>3395</v>
      </c>
      <c r="B1039" t="s">
        <v>34</v>
      </c>
      <c r="C1039" t="s">
        <v>27</v>
      </c>
      <c r="D1039" t="s">
        <v>3394</v>
      </c>
      <c r="E1039" t="s">
        <v>3393</v>
      </c>
      <c r="F1039" s="5">
        <v>45577</v>
      </c>
      <c r="G1039" t="s">
        <v>126</v>
      </c>
      <c r="H1039" t="s">
        <v>711</v>
      </c>
      <c r="I1039" t="s">
        <v>17</v>
      </c>
      <c r="J1039" t="s">
        <v>55</v>
      </c>
      <c r="K1039" t="s">
        <v>55</v>
      </c>
      <c r="L1039" t="s">
        <v>25</v>
      </c>
      <c r="M1039" t="s">
        <v>20</v>
      </c>
      <c r="N1039">
        <v>1</v>
      </c>
      <c r="O1039">
        <v>205</v>
      </c>
      <c r="P1039">
        <v>299</v>
      </c>
      <c r="Q1039">
        <v>0</v>
      </c>
      <c r="R1039">
        <v>0</v>
      </c>
      <c r="S1039">
        <v>299</v>
      </c>
      <c r="T1039">
        <v>94</v>
      </c>
      <c r="U1039">
        <v>31.44</v>
      </c>
      <c r="V1039" t="s">
        <v>33</v>
      </c>
    </row>
    <row r="1040" spans="1:22" x14ac:dyDescent="0.35">
      <c r="A1040" t="s">
        <v>3392</v>
      </c>
      <c r="B1040" t="s">
        <v>46</v>
      </c>
      <c r="C1040" t="s">
        <v>16</v>
      </c>
      <c r="D1040" t="s">
        <v>3391</v>
      </c>
      <c r="E1040" t="s">
        <v>3390</v>
      </c>
      <c r="F1040" s="5">
        <v>45456</v>
      </c>
      <c r="G1040" t="s">
        <v>126</v>
      </c>
      <c r="H1040" t="s">
        <v>3389</v>
      </c>
      <c r="I1040" t="s">
        <v>23</v>
      </c>
      <c r="J1040" t="s">
        <v>164</v>
      </c>
      <c r="K1040" t="s">
        <v>24</v>
      </c>
      <c r="L1040" t="s">
        <v>37</v>
      </c>
      <c r="M1040" t="s">
        <v>20</v>
      </c>
      <c r="N1040">
        <v>4</v>
      </c>
      <c r="O1040">
        <v>743</v>
      </c>
      <c r="P1040">
        <v>999</v>
      </c>
      <c r="Q1040">
        <v>15</v>
      </c>
      <c r="R1040">
        <v>800</v>
      </c>
      <c r="S1040">
        <v>3196</v>
      </c>
      <c r="T1040">
        <v>224</v>
      </c>
      <c r="U1040">
        <v>7.01</v>
      </c>
      <c r="V1040" t="s">
        <v>21</v>
      </c>
    </row>
    <row r="1041" spans="1:22" x14ac:dyDescent="0.35">
      <c r="A1041" t="s">
        <v>3388</v>
      </c>
      <c r="B1041" t="s">
        <v>66</v>
      </c>
      <c r="C1041" t="s">
        <v>27</v>
      </c>
      <c r="D1041" t="s">
        <v>3387</v>
      </c>
      <c r="E1041" t="s">
        <v>3386</v>
      </c>
      <c r="F1041" s="5">
        <v>45445</v>
      </c>
      <c r="G1041" t="s">
        <v>126</v>
      </c>
      <c r="H1041" t="s">
        <v>3182</v>
      </c>
      <c r="I1041" t="s">
        <v>31</v>
      </c>
      <c r="J1041" t="s">
        <v>32</v>
      </c>
      <c r="K1041" t="s">
        <v>32</v>
      </c>
      <c r="L1041" t="s">
        <v>19</v>
      </c>
      <c r="M1041" t="s">
        <v>19</v>
      </c>
      <c r="N1041">
        <v>1</v>
      </c>
      <c r="O1041">
        <v>617</v>
      </c>
      <c r="P1041">
        <v>899</v>
      </c>
      <c r="Q1041">
        <v>0</v>
      </c>
      <c r="R1041">
        <v>0</v>
      </c>
      <c r="S1041">
        <v>899</v>
      </c>
      <c r="T1041">
        <v>282</v>
      </c>
      <c r="U1041">
        <v>31.37</v>
      </c>
      <c r="V1041" t="s">
        <v>21</v>
      </c>
    </row>
    <row r="1042" spans="1:22" x14ac:dyDescent="0.35">
      <c r="A1042" t="s">
        <v>3385</v>
      </c>
      <c r="B1042" t="s">
        <v>30</v>
      </c>
      <c r="C1042" t="s">
        <v>16</v>
      </c>
      <c r="D1042" t="s">
        <v>3384</v>
      </c>
      <c r="E1042" t="s">
        <v>3383</v>
      </c>
      <c r="F1042" s="5">
        <v>45583</v>
      </c>
      <c r="G1042" t="s">
        <v>126</v>
      </c>
      <c r="H1042" t="s">
        <v>3382</v>
      </c>
      <c r="I1042" t="s">
        <v>23</v>
      </c>
      <c r="J1042" t="s">
        <v>164</v>
      </c>
      <c r="K1042" t="s">
        <v>24</v>
      </c>
      <c r="L1042" t="s">
        <v>37</v>
      </c>
      <c r="M1042" t="s">
        <v>20</v>
      </c>
      <c r="N1042">
        <v>4</v>
      </c>
      <c r="O1042">
        <v>579</v>
      </c>
      <c r="P1042">
        <v>899</v>
      </c>
      <c r="Q1042">
        <v>10</v>
      </c>
      <c r="R1042">
        <v>400</v>
      </c>
      <c r="S1042">
        <v>3196</v>
      </c>
      <c r="T1042">
        <v>880</v>
      </c>
      <c r="U1042">
        <v>27.53</v>
      </c>
      <c r="V1042" t="s">
        <v>21</v>
      </c>
    </row>
    <row r="1043" spans="1:22" x14ac:dyDescent="0.35">
      <c r="A1043" t="s">
        <v>3381</v>
      </c>
      <c r="B1043" t="s">
        <v>98</v>
      </c>
      <c r="C1043" t="s">
        <v>16</v>
      </c>
      <c r="D1043" t="s">
        <v>3380</v>
      </c>
      <c r="E1043" t="s">
        <v>3379</v>
      </c>
      <c r="F1043" s="5">
        <v>45564</v>
      </c>
      <c r="G1043" t="s">
        <v>126</v>
      </c>
      <c r="H1043" t="s">
        <v>3378</v>
      </c>
      <c r="I1043" t="s">
        <v>23</v>
      </c>
      <c r="J1043" t="s">
        <v>164</v>
      </c>
      <c r="K1043" t="s">
        <v>24</v>
      </c>
      <c r="L1043" t="s">
        <v>25</v>
      </c>
      <c r="M1043" t="s">
        <v>20</v>
      </c>
      <c r="N1043">
        <v>2</v>
      </c>
      <c r="O1043">
        <v>945</v>
      </c>
      <c r="P1043">
        <v>1499</v>
      </c>
      <c r="Q1043">
        <v>15</v>
      </c>
      <c r="R1043">
        <v>600</v>
      </c>
      <c r="S1043">
        <v>2398</v>
      </c>
      <c r="T1043">
        <v>508</v>
      </c>
      <c r="U1043">
        <v>21.18</v>
      </c>
      <c r="V1043" t="s">
        <v>33</v>
      </c>
    </row>
    <row r="1044" spans="1:22" x14ac:dyDescent="0.35">
      <c r="A1044" t="s">
        <v>3377</v>
      </c>
      <c r="B1044" t="s">
        <v>89</v>
      </c>
      <c r="C1044" t="s">
        <v>16</v>
      </c>
      <c r="D1044" t="s">
        <v>3376</v>
      </c>
      <c r="E1044" t="s">
        <v>3375</v>
      </c>
      <c r="F1044" s="5">
        <v>45476</v>
      </c>
      <c r="G1044" t="s">
        <v>126</v>
      </c>
      <c r="H1044" t="s">
        <v>3374</v>
      </c>
      <c r="I1044" t="s">
        <v>23</v>
      </c>
      <c r="J1044" t="s">
        <v>142</v>
      </c>
      <c r="K1044" t="s">
        <v>43</v>
      </c>
      <c r="L1044" t="s">
        <v>19</v>
      </c>
      <c r="M1044" t="s">
        <v>20</v>
      </c>
      <c r="N1044">
        <v>1</v>
      </c>
      <c r="O1044">
        <v>2473</v>
      </c>
      <c r="P1044">
        <v>4499</v>
      </c>
      <c r="Q1044">
        <v>10</v>
      </c>
      <c r="R1044">
        <v>500</v>
      </c>
      <c r="S1044">
        <v>3999</v>
      </c>
      <c r="T1044">
        <v>1526</v>
      </c>
      <c r="U1044">
        <v>38.159999999999997</v>
      </c>
      <c r="V1044" t="s">
        <v>33</v>
      </c>
    </row>
    <row r="1045" spans="1:22" x14ac:dyDescent="0.35">
      <c r="A1045" t="s">
        <v>3373</v>
      </c>
      <c r="B1045" t="s">
        <v>108</v>
      </c>
      <c r="C1045" t="s">
        <v>27</v>
      </c>
      <c r="D1045" t="s">
        <v>3372</v>
      </c>
      <c r="E1045" t="s">
        <v>3371</v>
      </c>
      <c r="F1045" s="5">
        <v>45582</v>
      </c>
      <c r="G1045" t="s">
        <v>126</v>
      </c>
      <c r="H1045" t="s">
        <v>1227</v>
      </c>
      <c r="I1045" t="s">
        <v>17</v>
      </c>
      <c r="J1045" t="s">
        <v>55</v>
      </c>
      <c r="K1045" t="s">
        <v>55</v>
      </c>
      <c r="L1045" t="s">
        <v>25</v>
      </c>
      <c r="M1045" t="s">
        <v>19</v>
      </c>
      <c r="N1045">
        <v>5</v>
      </c>
      <c r="O1045">
        <v>374</v>
      </c>
      <c r="P1045">
        <v>599</v>
      </c>
      <c r="Q1045">
        <v>0</v>
      </c>
      <c r="R1045">
        <v>0</v>
      </c>
      <c r="S1045">
        <v>2995</v>
      </c>
      <c r="T1045">
        <v>1125</v>
      </c>
      <c r="U1045">
        <v>37.56</v>
      </c>
      <c r="V1045" t="s">
        <v>21</v>
      </c>
    </row>
    <row r="1046" spans="1:22" x14ac:dyDescent="0.35">
      <c r="A1046" t="s">
        <v>3370</v>
      </c>
      <c r="B1046" t="s">
        <v>26</v>
      </c>
      <c r="C1046" t="s">
        <v>27</v>
      </c>
      <c r="D1046" t="s">
        <v>3369</v>
      </c>
      <c r="E1046" t="s">
        <v>3368</v>
      </c>
      <c r="F1046" s="5">
        <v>45595</v>
      </c>
      <c r="G1046" t="s">
        <v>126</v>
      </c>
      <c r="H1046" t="s">
        <v>1855</v>
      </c>
      <c r="I1046" t="s">
        <v>35</v>
      </c>
      <c r="J1046" t="s">
        <v>41</v>
      </c>
      <c r="K1046" t="s">
        <v>41</v>
      </c>
      <c r="L1046" t="s">
        <v>25</v>
      </c>
      <c r="M1046" t="s">
        <v>20</v>
      </c>
      <c r="N1046">
        <v>5</v>
      </c>
      <c r="O1046">
        <v>502</v>
      </c>
      <c r="P1046">
        <v>999</v>
      </c>
      <c r="Q1046">
        <v>15</v>
      </c>
      <c r="R1046">
        <v>1000</v>
      </c>
      <c r="S1046">
        <v>3995</v>
      </c>
      <c r="T1046">
        <v>1485</v>
      </c>
      <c r="U1046">
        <v>37.17</v>
      </c>
      <c r="V1046" t="s">
        <v>21</v>
      </c>
    </row>
    <row r="1047" spans="1:22" x14ac:dyDescent="0.35">
      <c r="A1047" t="s">
        <v>3367</v>
      </c>
      <c r="B1047" t="s">
        <v>63</v>
      </c>
      <c r="C1047" t="s">
        <v>27</v>
      </c>
      <c r="D1047" t="s">
        <v>3366</v>
      </c>
      <c r="E1047" t="s">
        <v>2223</v>
      </c>
      <c r="F1047" s="5">
        <v>45551</v>
      </c>
      <c r="G1047" t="s">
        <v>126</v>
      </c>
      <c r="H1047" t="s">
        <v>1929</v>
      </c>
      <c r="I1047" t="s">
        <v>31</v>
      </c>
      <c r="J1047" t="s">
        <v>32</v>
      </c>
      <c r="K1047" t="s">
        <v>32</v>
      </c>
      <c r="L1047" t="s">
        <v>25</v>
      </c>
      <c r="M1047" t="s">
        <v>20</v>
      </c>
      <c r="N1047">
        <v>1</v>
      </c>
      <c r="O1047">
        <v>463</v>
      </c>
      <c r="P1047">
        <v>899</v>
      </c>
      <c r="Q1047">
        <v>0</v>
      </c>
      <c r="R1047">
        <v>0</v>
      </c>
      <c r="S1047">
        <v>899</v>
      </c>
      <c r="T1047">
        <v>436</v>
      </c>
      <c r="U1047">
        <v>48.5</v>
      </c>
      <c r="V1047" t="s">
        <v>21</v>
      </c>
    </row>
    <row r="1048" spans="1:22" x14ac:dyDescent="0.35">
      <c r="A1048" t="s">
        <v>3365</v>
      </c>
      <c r="B1048" t="s">
        <v>15</v>
      </c>
      <c r="C1048" t="s">
        <v>16</v>
      </c>
      <c r="D1048" t="s">
        <v>3364</v>
      </c>
      <c r="E1048" t="s">
        <v>3363</v>
      </c>
      <c r="F1048" s="5">
        <v>45655</v>
      </c>
      <c r="G1048" t="s">
        <v>126</v>
      </c>
      <c r="H1048" t="s">
        <v>2585</v>
      </c>
      <c r="I1048" t="s">
        <v>35</v>
      </c>
      <c r="J1048" t="s">
        <v>159</v>
      </c>
      <c r="K1048" t="s">
        <v>36</v>
      </c>
      <c r="L1048" t="s">
        <v>37</v>
      </c>
      <c r="M1048" t="s">
        <v>19</v>
      </c>
      <c r="N1048">
        <v>5</v>
      </c>
      <c r="O1048">
        <v>253</v>
      </c>
      <c r="P1048">
        <v>399</v>
      </c>
      <c r="Q1048">
        <v>20</v>
      </c>
      <c r="R1048">
        <v>500</v>
      </c>
      <c r="S1048">
        <v>1495</v>
      </c>
      <c r="T1048">
        <v>230</v>
      </c>
      <c r="U1048">
        <v>15.38</v>
      </c>
      <c r="V1048" t="s">
        <v>21</v>
      </c>
    </row>
    <row r="1049" spans="1:22" x14ac:dyDescent="0.35">
      <c r="A1049" t="s">
        <v>3362</v>
      </c>
      <c r="B1049" t="s">
        <v>90</v>
      </c>
      <c r="C1049" t="s">
        <v>27</v>
      </c>
      <c r="D1049" t="s">
        <v>3361</v>
      </c>
      <c r="E1049" t="s">
        <v>3360</v>
      </c>
      <c r="F1049" s="5">
        <v>45636</v>
      </c>
      <c r="G1049" t="s">
        <v>126</v>
      </c>
      <c r="H1049" t="s">
        <v>1723</v>
      </c>
      <c r="I1049" t="s">
        <v>35</v>
      </c>
      <c r="J1049" t="s">
        <v>214</v>
      </c>
      <c r="K1049" t="s">
        <v>87</v>
      </c>
      <c r="L1049" t="s">
        <v>25</v>
      </c>
      <c r="M1049" t="s">
        <v>20</v>
      </c>
      <c r="N1049">
        <v>1</v>
      </c>
      <c r="O1049">
        <v>1768</v>
      </c>
      <c r="P1049">
        <v>2999</v>
      </c>
      <c r="Q1049">
        <v>15</v>
      </c>
      <c r="R1049">
        <v>500</v>
      </c>
      <c r="S1049">
        <v>2499</v>
      </c>
      <c r="T1049">
        <v>731</v>
      </c>
      <c r="U1049">
        <v>29.25</v>
      </c>
      <c r="V1049" t="s">
        <v>33</v>
      </c>
    </row>
    <row r="1050" spans="1:22" x14ac:dyDescent="0.35">
      <c r="A1050" t="s">
        <v>3359</v>
      </c>
      <c r="B1050" t="s">
        <v>38</v>
      </c>
      <c r="C1050" t="s">
        <v>27</v>
      </c>
      <c r="D1050" t="s">
        <v>3358</v>
      </c>
      <c r="E1050" t="s">
        <v>3357</v>
      </c>
      <c r="F1050" s="5">
        <v>45556</v>
      </c>
      <c r="G1050" t="s">
        <v>126</v>
      </c>
      <c r="H1050" t="s">
        <v>1549</v>
      </c>
      <c r="I1050" t="s">
        <v>17</v>
      </c>
      <c r="J1050" t="s">
        <v>253</v>
      </c>
      <c r="K1050" t="s">
        <v>72</v>
      </c>
      <c r="L1050" t="s">
        <v>37</v>
      </c>
      <c r="M1050" t="s">
        <v>20</v>
      </c>
      <c r="N1050">
        <v>2</v>
      </c>
      <c r="O1050">
        <v>220</v>
      </c>
      <c r="P1050">
        <v>399</v>
      </c>
      <c r="Q1050">
        <v>0</v>
      </c>
      <c r="R1050">
        <v>0</v>
      </c>
      <c r="S1050">
        <v>798</v>
      </c>
      <c r="T1050">
        <v>358</v>
      </c>
      <c r="U1050">
        <v>44.86</v>
      </c>
      <c r="V1050" t="s">
        <v>21</v>
      </c>
    </row>
    <row r="1051" spans="1:22" x14ac:dyDescent="0.35">
      <c r="A1051" t="s">
        <v>3356</v>
      </c>
      <c r="B1051" t="s">
        <v>74</v>
      </c>
      <c r="C1051" t="s">
        <v>16</v>
      </c>
      <c r="D1051" t="s">
        <v>3355</v>
      </c>
      <c r="E1051" t="s">
        <v>3354</v>
      </c>
      <c r="F1051" s="5">
        <v>45559</v>
      </c>
      <c r="G1051" t="s">
        <v>126</v>
      </c>
      <c r="H1051" t="s">
        <v>3353</v>
      </c>
      <c r="I1051" t="s">
        <v>28</v>
      </c>
      <c r="J1051" t="s">
        <v>45</v>
      </c>
      <c r="K1051" t="s">
        <v>45</v>
      </c>
      <c r="L1051" t="s">
        <v>25</v>
      </c>
      <c r="M1051" t="s">
        <v>19</v>
      </c>
      <c r="N1051">
        <v>3</v>
      </c>
      <c r="O1051">
        <v>439</v>
      </c>
      <c r="P1051">
        <v>699</v>
      </c>
      <c r="Q1051">
        <v>10</v>
      </c>
      <c r="R1051">
        <v>300</v>
      </c>
      <c r="S1051">
        <v>1797</v>
      </c>
      <c r="T1051">
        <v>480</v>
      </c>
      <c r="U1051">
        <v>26.71</v>
      </c>
      <c r="V1051" t="s">
        <v>21</v>
      </c>
    </row>
    <row r="1052" spans="1:22" x14ac:dyDescent="0.35">
      <c r="A1052" t="s">
        <v>3352</v>
      </c>
      <c r="B1052" t="s">
        <v>90</v>
      </c>
      <c r="C1052" t="s">
        <v>27</v>
      </c>
      <c r="D1052" t="s">
        <v>3351</v>
      </c>
      <c r="E1052" t="s">
        <v>3350</v>
      </c>
      <c r="F1052" s="5">
        <v>45487</v>
      </c>
      <c r="G1052" t="s">
        <v>126</v>
      </c>
      <c r="H1052" t="s">
        <v>2687</v>
      </c>
      <c r="I1052" t="s">
        <v>17</v>
      </c>
      <c r="J1052" t="s">
        <v>253</v>
      </c>
      <c r="K1052" t="s">
        <v>72</v>
      </c>
      <c r="L1052" t="s">
        <v>19</v>
      </c>
      <c r="M1052" t="s">
        <v>20</v>
      </c>
      <c r="N1052">
        <v>3</v>
      </c>
      <c r="O1052">
        <v>229</v>
      </c>
      <c r="P1052">
        <v>399</v>
      </c>
      <c r="Q1052">
        <v>0</v>
      </c>
      <c r="R1052">
        <v>0</v>
      </c>
      <c r="S1052">
        <v>1197</v>
      </c>
      <c r="T1052">
        <v>510</v>
      </c>
      <c r="U1052">
        <v>42.61</v>
      </c>
      <c r="V1052" t="s">
        <v>21</v>
      </c>
    </row>
    <row r="1053" spans="1:22" x14ac:dyDescent="0.35">
      <c r="A1053" t="s">
        <v>3349</v>
      </c>
      <c r="B1053" t="s">
        <v>99</v>
      </c>
      <c r="C1053" t="s">
        <v>27</v>
      </c>
      <c r="D1053" t="s">
        <v>3348</v>
      </c>
      <c r="E1053" t="s">
        <v>3347</v>
      </c>
      <c r="F1053" s="5">
        <v>45583</v>
      </c>
      <c r="G1053" t="s">
        <v>126</v>
      </c>
      <c r="H1053" t="s">
        <v>1948</v>
      </c>
      <c r="I1053" t="s">
        <v>17</v>
      </c>
      <c r="J1053" t="s">
        <v>235</v>
      </c>
      <c r="K1053" t="s">
        <v>18</v>
      </c>
      <c r="L1053" t="s">
        <v>19</v>
      </c>
      <c r="M1053" t="s">
        <v>19</v>
      </c>
      <c r="N1053">
        <v>1</v>
      </c>
      <c r="O1053">
        <v>219</v>
      </c>
      <c r="P1053">
        <v>299</v>
      </c>
      <c r="Q1053">
        <v>0</v>
      </c>
      <c r="R1053">
        <v>0</v>
      </c>
      <c r="S1053">
        <v>299</v>
      </c>
      <c r="T1053">
        <v>80</v>
      </c>
      <c r="U1053">
        <v>26.76</v>
      </c>
      <c r="V1053" t="s">
        <v>21</v>
      </c>
    </row>
    <row r="1054" spans="1:22" x14ac:dyDescent="0.35">
      <c r="A1054" t="s">
        <v>3346</v>
      </c>
      <c r="B1054" t="s">
        <v>84</v>
      </c>
      <c r="C1054" t="s">
        <v>27</v>
      </c>
      <c r="D1054" t="s">
        <v>3345</v>
      </c>
      <c r="E1054" t="s">
        <v>3344</v>
      </c>
      <c r="F1054" s="5">
        <v>45563</v>
      </c>
      <c r="G1054" t="s">
        <v>126</v>
      </c>
      <c r="H1054" t="s">
        <v>3343</v>
      </c>
      <c r="I1054" t="s">
        <v>23</v>
      </c>
      <c r="J1054" t="s">
        <v>164</v>
      </c>
      <c r="K1054" t="s">
        <v>24</v>
      </c>
      <c r="L1054" t="s">
        <v>25</v>
      </c>
      <c r="M1054" t="s">
        <v>19</v>
      </c>
      <c r="N1054">
        <v>5</v>
      </c>
      <c r="O1054">
        <v>892</v>
      </c>
      <c r="P1054">
        <v>1499</v>
      </c>
      <c r="Q1054">
        <v>15</v>
      </c>
      <c r="R1054">
        <v>1500</v>
      </c>
      <c r="S1054">
        <v>5995</v>
      </c>
      <c r="T1054">
        <v>1535</v>
      </c>
      <c r="U1054">
        <v>25.6</v>
      </c>
      <c r="V1054" t="s">
        <v>21</v>
      </c>
    </row>
    <row r="1055" spans="1:22" x14ac:dyDescent="0.35">
      <c r="A1055" t="s">
        <v>3342</v>
      </c>
      <c r="B1055" t="s">
        <v>42</v>
      </c>
      <c r="C1055" t="s">
        <v>27</v>
      </c>
      <c r="D1055" t="s">
        <v>3341</v>
      </c>
      <c r="E1055" t="s">
        <v>3340</v>
      </c>
      <c r="F1055" s="5">
        <v>45641</v>
      </c>
      <c r="G1055" t="s">
        <v>126</v>
      </c>
      <c r="H1055" t="s">
        <v>2614</v>
      </c>
      <c r="I1055" t="s">
        <v>31</v>
      </c>
      <c r="J1055" t="s">
        <v>32</v>
      </c>
      <c r="K1055" t="s">
        <v>32</v>
      </c>
      <c r="L1055" t="s">
        <v>25</v>
      </c>
      <c r="M1055" t="s">
        <v>20</v>
      </c>
      <c r="N1055">
        <v>1</v>
      </c>
      <c r="O1055">
        <v>852</v>
      </c>
      <c r="P1055">
        <v>1199</v>
      </c>
      <c r="Q1055">
        <v>0</v>
      </c>
      <c r="R1055">
        <v>0</v>
      </c>
      <c r="S1055">
        <v>1199</v>
      </c>
      <c r="T1055">
        <v>347</v>
      </c>
      <c r="U1055">
        <v>28.94</v>
      </c>
      <c r="V1055" t="s">
        <v>21</v>
      </c>
    </row>
    <row r="1056" spans="1:22" x14ac:dyDescent="0.35">
      <c r="A1056" t="s">
        <v>3339</v>
      </c>
      <c r="B1056" t="s">
        <v>104</v>
      </c>
      <c r="C1056" t="s">
        <v>27</v>
      </c>
      <c r="D1056" t="s">
        <v>3338</v>
      </c>
      <c r="E1056" t="s">
        <v>3337</v>
      </c>
      <c r="F1056" s="5">
        <v>45609</v>
      </c>
      <c r="G1056" t="s">
        <v>126</v>
      </c>
      <c r="H1056" t="s">
        <v>3336</v>
      </c>
      <c r="I1056" t="s">
        <v>35</v>
      </c>
      <c r="J1056" t="s">
        <v>39</v>
      </c>
      <c r="K1056" t="s">
        <v>39</v>
      </c>
      <c r="L1056" t="s">
        <v>19</v>
      </c>
      <c r="M1056" t="s">
        <v>20</v>
      </c>
      <c r="N1056">
        <v>1</v>
      </c>
      <c r="O1056">
        <v>838</v>
      </c>
      <c r="P1056">
        <v>1599</v>
      </c>
      <c r="Q1056">
        <v>15</v>
      </c>
      <c r="R1056">
        <v>300</v>
      </c>
      <c r="S1056">
        <v>1299</v>
      </c>
      <c r="T1056">
        <v>461</v>
      </c>
      <c r="U1056">
        <v>35.49</v>
      </c>
      <c r="V1056" t="s">
        <v>21</v>
      </c>
    </row>
    <row r="1057" spans="1:22" x14ac:dyDescent="0.35">
      <c r="A1057" t="s">
        <v>3335</v>
      </c>
      <c r="B1057" t="s">
        <v>63</v>
      </c>
      <c r="C1057" t="s">
        <v>27</v>
      </c>
      <c r="D1057" t="s">
        <v>3334</v>
      </c>
      <c r="E1057" t="s">
        <v>3333</v>
      </c>
      <c r="F1057" s="5">
        <v>45654</v>
      </c>
      <c r="G1057" t="s">
        <v>126</v>
      </c>
      <c r="H1057" t="s">
        <v>3196</v>
      </c>
      <c r="I1057" t="s">
        <v>23</v>
      </c>
      <c r="J1057" t="s">
        <v>164</v>
      </c>
      <c r="K1057" t="s">
        <v>24</v>
      </c>
      <c r="L1057" t="s">
        <v>25</v>
      </c>
      <c r="M1057" t="s">
        <v>20</v>
      </c>
      <c r="N1057">
        <v>1</v>
      </c>
      <c r="O1057">
        <v>1255</v>
      </c>
      <c r="P1057">
        <v>1699</v>
      </c>
      <c r="Q1057">
        <v>10</v>
      </c>
      <c r="R1057">
        <v>200</v>
      </c>
      <c r="S1057">
        <v>1499</v>
      </c>
      <c r="T1057">
        <v>244</v>
      </c>
      <c r="U1057">
        <v>16.28</v>
      </c>
      <c r="V1057" t="s">
        <v>21</v>
      </c>
    </row>
    <row r="1058" spans="1:22" x14ac:dyDescent="0.35">
      <c r="A1058" t="s">
        <v>3332</v>
      </c>
      <c r="B1058" t="s">
        <v>42</v>
      </c>
      <c r="C1058" t="s">
        <v>27</v>
      </c>
      <c r="D1058" t="s">
        <v>3331</v>
      </c>
      <c r="E1058" t="s">
        <v>3330</v>
      </c>
      <c r="F1058" s="5">
        <v>45634</v>
      </c>
      <c r="G1058" t="s">
        <v>126</v>
      </c>
      <c r="H1058" t="s">
        <v>206</v>
      </c>
      <c r="I1058" t="s">
        <v>17</v>
      </c>
      <c r="J1058" t="s">
        <v>55</v>
      </c>
      <c r="K1058" t="s">
        <v>55</v>
      </c>
      <c r="L1058" t="s">
        <v>25</v>
      </c>
      <c r="M1058" t="s">
        <v>19</v>
      </c>
      <c r="N1058">
        <v>1</v>
      </c>
      <c r="O1058">
        <v>248</v>
      </c>
      <c r="P1058">
        <v>399</v>
      </c>
      <c r="Q1058">
        <v>0</v>
      </c>
      <c r="R1058">
        <v>0</v>
      </c>
      <c r="S1058">
        <v>399</v>
      </c>
      <c r="T1058">
        <v>151</v>
      </c>
      <c r="U1058">
        <v>37.840000000000003</v>
      </c>
      <c r="V1058" t="s">
        <v>33</v>
      </c>
    </row>
    <row r="1059" spans="1:22" x14ac:dyDescent="0.35">
      <c r="A1059" t="s">
        <v>3329</v>
      </c>
      <c r="B1059" t="s">
        <v>42</v>
      </c>
      <c r="C1059" t="s">
        <v>27</v>
      </c>
      <c r="D1059" t="s">
        <v>3328</v>
      </c>
      <c r="E1059" t="s">
        <v>3327</v>
      </c>
      <c r="F1059" s="5">
        <v>45526</v>
      </c>
      <c r="G1059" t="s">
        <v>126</v>
      </c>
      <c r="H1059" t="s">
        <v>3326</v>
      </c>
      <c r="I1059" t="s">
        <v>23</v>
      </c>
      <c r="J1059" t="s">
        <v>164</v>
      </c>
      <c r="K1059" t="s">
        <v>24</v>
      </c>
      <c r="L1059" t="s">
        <v>25</v>
      </c>
      <c r="M1059" t="s">
        <v>19</v>
      </c>
      <c r="N1059">
        <v>1</v>
      </c>
      <c r="O1059">
        <v>1266</v>
      </c>
      <c r="P1059">
        <v>2499</v>
      </c>
      <c r="Q1059">
        <v>20</v>
      </c>
      <c r="R1059">
        <v>500</v>
      </c>
      <c r="S1059">
        <v>1999</v>
      </c>
      <c r="T1059">
        <v>733</v>
      </c>
      <c r="U1059">
        <v>36.67</v>
      </c>
      <c r="V1059" t="s">
        <v>21</v>
      </c>
    </row>
    <row r="1060" spans="1:22" x14ac:dyDescent="0.35">
      <c r="A1060" t="s">
        <v>3325</v>
      </c>
      <c r="B1060" t="s">
        <v>64</v>
      </c>
      <c r="C1060" t="s">
        <v>16</v>
      </c>
      <c r="D1060" t="s">
        <v>3324</v>
      </c>
      <c r="E1060" t="s">
        <v>3323</v>
      </c>
      <c r="F1060" s="5">
        <v>45603</v>
      </c>
      <c r="G1060" t="s">
        <v>126</v>
      </c>
      <c r="H1060" t="s">
        <v>3079</v>
      </c>
      <c r="I1060" t="s">
        <v>31</v>
      </c>
      <c r="J1060" t="s">
        <v>32</v>
      </c>
      <c r="K1060" t="s">
        <v>32</v>
      </c>
      <c r="L1060" t="s">
        <v>37</v>
      </c>
      <c r="M1060" t="s">
        <v>19</v>
      </c>
      <c r="N1060">
        <v>1</v>
      </c>
      <c r="O1060">
        <v>653</v>
      </c>
      <c r="P1060">
        <v>1199</v>
      </c>
      <c r="Q1060">
        <v>0</v>
      </c>
      <c r="R1060">
        <v>0</v>
      </c>
      <c r="S1060">
        <v>1199</v>
      </c>
      <c r="T1060">
        <v>546</v>
      </c>
      <c r="U1060">
        <v>45.54</v>
      </c>
      <c r="V1060" t="s">
        <v>33</v>
      </c>
    </row>
    <row r="1061" spans="1:22" x14ac:dyDescent="0.35">
      <c r="A1061" t="s">
        <v>3322</v>
      </c>
      <c r="B1061" t="s">
        <v>88</v>
      </c>
      <c r="C1061" t="s">
        <v>27</v>
      </c>
      <c r="D1061" t="s">
        <v>3321</v>
      </c>
      <c r="E1061" t="s">
        <v>3320</v>
      </c>
      <c r="F1061" s="5">
        <v>45640</v>
      </c>
      <c r="G1061" t="s">
        <v>126</v>
      </c>
      <c r="H1061" t="s">
        <v>2542</v>
      </c>
      <c r="I1061" t="s">
        <v>17</v>
      </c>
      <c r="J1061" t="s">
        <v>235</v>
      </c>
      <c r="K1061" t="s">
        <v>18</v>
      </c>
      <c r="L1061" t="s">
        <v>37</v>
      </c>
      <c r="M1061" t="s">
        <v>19</v>
      </c>
      <c r="N1061">
        <v>3</v>
      </c>
      <c r="O1061">
        <v>177</v>
      </c>
      <c r="P1061">
        <v>299</v>
      </c>
      <c r="Q1061">
        <v>0</v>
      </c>
      <c r="R1061">
        <v>0</v>
      </c>
      <c r="S1061">
        <v>897</v>
      </c>
      <c r="T1061">
        <v>366</v>
      </c>
      <c r="U1061">
        <v>40.799999999999997</v>
      </c>
      <c r="V1061" t="s">
        <v>21</v>
      </c>
    </row>
    <row r="1062" spans="1:22" x14ac:dyDescent="0.35">
      <c r="A1062" t="s">
        <v>3319</v>
      </c>
      <c r="B1062" t="s">
        <v>98</v>
      </c>
      <c r="C1062" t="s">
        <v>16</v>
      </c>
      <c r="D1062" t="s">
        <v>3318</v>
      </c>
      <c r="E1062" t="s">
        <v>3317</v>
      </c>
      <c r="F1062" s="5">
        <v>45606</v>
      </c>
      <c r="G1062" t="s">
        <v>126</v>
      </c>
      <c r="H1062" t="s">
        <v>1013</v>
      </c>
      <c r="I1062" t="s">
        <v>31</v>
      </c>
      <c r="J1062" t="s">
        <v>32</v>
      </c>
      <c r="K1062" t="s">
        <v>32</v>
      </c>
      <c r="L1062" t="s">
        <v>25</v>
      </c>
      <c r="M1062" t="s">
        <v>20</v>
      </c>
      <c r="N1062">
        <v>1</v>
      </c>
      <c r="O1062">
        <v>589</v>
      </c>
      <c r="P1062">
        <v>999</v>
      </c>
      <c r="Q1062">
        <v>0</v>
      </c>
      <c r="R1062">
        <v>0</v>
      </c>
      <c r="S1062">
        <v>999</v>
      </c>
      <c r="T1062">
        <v>410</v>
      </c>
      <c r="U1062">
        <v>41.04</v>
      </c>
      <c r="V1062" t="s">
        <v>21</v>
      </c>
    </row>
    <row r="1063" spans="1:22" x14ac:dyDescent="0.35">
      <c r="A1063" t="s">
        <v>3316</v>
      </c>
      <c r="B1063" t="s">
        <v>56</v>
      </c>
      <c r="C1063" t="s">
        <v>27</v>
      </c>
      <c r="D1063" t="s">
        <v>3315</v>
      </c>
      <c r="E1063" t="s">
        <v>3314</v>
      </c>
      <c r="F1063" s="5">
        <v>45617</v>
      </c>
      <c r="G1063" t="s">
        <v>126</v>
      </c>
      <c r="H1063" t="s">
        <v>3313</v>
      </c>
      <c r="I1063" t="s">
        <v>31</v>
      </c>
      <c r="J1063" t="s">
        <v>32</v>
      </c>
      <c r="K1063" t="s">
        <v>32</v>
      </c>
      <c r="L1063" t="s">
        <v>37</v>
      </c>
      <c r="M1063" t="s">
        <v>19</v>
      </c>
      <c r="N1063">
        <v>2</v>
      </c>
      <c r="O1063">
        <v>644</v>
      </c>
      <c r="P1063">
        <v>1199</v>
      </c>
      <c r="Q1063">
        <v>0</v>
      </c>
      <c r="R1063">
        <v>0</v>
      </c>
      <c r="S1063">
        <v>2398</v>
      </c>
      <c r="T1063">
        <v>1110</v>
      </c>
      <c r="U1063">
        <v>46.29</v>
      </c>
      <c r="V1063" t="s">
        <v>21</v>
      </c>
    </row>
    <row r="1064" spans="1:22" x14ac:dyDescent="0.35">
      <c r="A1064" t="s">
        <v>3312</v>
      </c>
      <c r="B1064" t="s">
        <v>60</v>
      </c>
      <c r="C1064" t="s">
        <v>27</v>
      </c>
      <c r="D1064" t="s">
        <v>3311</v>
      </c>
      <c r="E1064" t="s">
        <v>2309</v>
      </c>
      <c r="F1064" s="5">
        <v>45593</v>
      </c>
      <c r="G1064" t="s">
        <v>126</v>
      </c>
      <c r="H1064" t="s">
        <v>500</v>
      </c>
      <c r="I1064" t="s">
        <v>23</v>
      </c>
      <c r="J1064" t="s">
        <v>164</v>
      </c>
      <c r="K1064" t="s">
        <v>24</v>
      </c>
      <c r="L1064" t="s">
        <v>37</v>
      </c>
      <c r="M1064" t="s">
        <v>20</v>
      </c>
      <c r="N1064">
        <v>1</v>
      </c>
      <c r="O1064">
        <v>1059</v>
      </c>
      <c r="P1064">
        <v>1699</v>
      </c>
      <c r="Q1064">
        <v>10</v>
      </c>
      <c r="R1064">
        <v>200</v>
      </c>
      <c r="S1064">
        <v>1499</v>
      </c>
      <c r="T1064">
        <v>440</v>
      </c>
      <c r="U1064">
        <v>29.35</v>
      </c>
      <c r="V1064" t="s">
        <v>21</v>
      </c>
    </row>
    <row r="1065" spans="1:22" x14ac:dyDescent="0.35">
      <c r="A1065" t="s">
        <v>3310</v>
      </c>
      <c r="B1065" t="s">
        <v>95</v>
      </c>
      <c r="C1065" t="s">
        <v>27</v>
      </c>
      <c r="D1065" t="s">
        <v>3309</v>
      </c>
      <c r="E1065" t="s">
        <v>3308</v>
      </c>
      <c r="F1065" s="5">
        <v>45559</v>
      </c>
      <c r="G1065" t="s">
        <v>126</v>
      </c>
      <c r="H1065" t="s">
        <v>3307</v>
      </c>
      <c r="I1065" t="s">
        <v>31</v>
      </c>
      <c r="J1065" t="s">
        <v>76</v>
      </c>
      <c r="K1065" t="s">
        <v>76</v>
      </c>
      <c r="L1065" t="s">
        <v>37</v>
      </c>
      <c r="M1065" t="s">
        <v>20</v>
      </c>
      <c r="N1065">
        <v>1</v>
      </c>
      <c r="O1065">
        <v>834</v>
      </c>
      <c r="P1065">
        <v>1199</v>
      </c>
      <c r="Q1065">
        <v>0</v>
      </c>
      <c r="R1065">
        <v>0</v>
      </c>
      <c r="S1065">
        <v>1199</v>
      </c>
      <c r="T1065">
        <v>365</v>
      </c>
      <c r="U1065">
        <v>30.44</v>
      </c>
      <c r="V1065" t="s">
        <v>21</v>
      </c>
    </row>
    <row r="1066" spans="1:22" x14ac:dyDescent="0.35">
      <c r="A1066" t="s">
        <v>3306</v>
      </c>
      <c r="B1066" t="s">
        <v>102</v>
      </c>
      <c r="C1066" t="s">
        <v>27</v>
      </c>
      <c r="D1066" t="s">
        <v>3305</v>
      </c>
      <c r="E1066" t="s">
        <v>3304</v>
      </c>
      <c r="F1066" s="5">
        <v>45565</v>
      </c>
      <c r="G1066" t="s">
        <v>126</v>
      </c>
      <c r="H1066" t="s">
        <v>3207</v>
      </c>
      <c r="I1066" t="s">
        <v>35</v>
      </c>
      <c r="J1066" t="s">
        <v>244</v>
      </c>
      <c r="K1066" t="s">
        <v>58</v>
      </c>
      <c r="L1066" t="s">
        <v>19</v>
      </c>
      <c r="M1066" t="s">
        <v>19</v>
      </c>
      <c r="N1066">
        <v>3</v>
      </c>
      <c r="O1066">
        <v>1261</v>
      </c>
      <c r="P1066">
        <v>2399</v>
      </c>
      <c r="Q1066">
        <v>15</v>
      </c>
      <c r="R1066">
        <v>1200</v>
      </c>
      <c r="S1066">
        <v>5997</v>
      </c>
      <c r="T1066">
        <v>2214</v>
      </c>
      <c r="U1066">
        <v>36.92</v>
      </c>
      <c r="V1066" t="s">
        <v>21</v>
      </c>
    </row>
    <row r="1067" spans="1:22" x14ac:dyDescent="0.35">
      <c r="A1067" t="s">
        <v>3303</v>
      </c>
      <c r="B1067" t="s">
        <v>66</v>
      </c>
      <c r="C1067" t="s">
        <v>27</v>
      </c>
      <c r="D1067" t="s">
        <v>3302</v>
      </c>
      <c r="E1067" t="s">
        <v>3301</v>
      </c>
      <c r="F1067" s="5">
        <v>45633</v>
      </c>
      <c r="G1067" t="s">
        <v>126</v>
      </c>
      <c r="H1067" t="s">
        <v>353</v>
      </c>
      <c r="I1067" t="s">
        <v>35</v>
      </c>
      <c r="J1067" t="s">
        <v>41</v>
      </c>
      <c r="K1067" t="s">
        <v>41</v>
      </c>
      <c r="L1067" t="s">
        <v>37</v>
      </c>
      <c r="M1067" t="s">
        <v>19</v>
      </c>
      <c r="N1067">
        <v>1</v>
      </c>
      <c r="O1067">
        <v>344</v>
      </c>
      <c r="P1067">
        <v>599</v>
      </c>
      <c r="Q1067">
        <v>10</v>
      </c>
      <c r="R1067">
        <v>100</v>
      </c>
      <c r="S1067">
        <v>499</v>
      </c>
      <c r="T1067">
        <v>155</v>
      </c>
      <c r="U1067">
        <v>31.06</v>
      </c>
      <c r="V1067" t="s">
        <v>21</v>
      </c>
    </row>
    <row r="1068" spans="1:22" x14ac:dyDescent="0.35">
      <c r="A1068" t="s">
        <v>3300</v>
      </c>
      <c r="B1068" t="s">
        <v>79</v>
      </c>
      <c r="C1068" t="s">
        <v>16</v>
      </c>
      <c r="D1068" t="s">
        <v>3299</v>
      </c>
      <c r="E1068" t="s">
        <v>2209</v>
      </c>
      <c r="F1068" s="5">
        <v>45501</v>
      </c>
      <c r="G1068" t="s">
        <v>126</v>
      </c>
      <c r="H1068" t="s">
        <v>1913</v>
      </c>
      <c r="I1068" t="s">
        <v>23</v>
      </c>
      <c r="J1068" t="s">
        <v>142</v>
      </c>
      <c r="K1068" t="s">
        <v>43</v>
      </c>
      <c r="L1068" t="s">
        <v>19</v>
      </c>
      <c r="M1068" t="s">
        <v>20</v>
      </c>
      <c r="N1068">
        <v>1</v>
      </c>
      <c r="O1068">
        <v>1262</v>
      </c>
      <c r="P1068">
        <v>2199</v>
      </c>
      <c r="Q1068">
        <v>5</v>
      </c>
      <c r="R1068">
        <v>200</v>
      </c>
      <c r="S1068">
        <v>1999</v>
      </c>
      <c r="T1068">
        <v>737</v>
      </c>
      <c r="U1068">
        <v>36.869999999999997</v>
      </c>
      <c r="V1068" t="s">
        <v>33</v>
      </c>
    </row>
    <row r="1069" spans="1:22" x14ac:dyDescent="0.35">
      <c r="A1069" t="s">
        <v>3298</v>
      </c>
      <c r="B1069" t="s">
        <v>66</v>
      </c>
      <c r="C1069" t="s">
        <v>27</v>
      </c>
      <c r="D1069" t="s">
        <v>3297</v>
      </c>
      <c r="E1069" t="s">
        <v>3296</v>
      </c>
      <c r="F1069" s="5">
        <v>45613</v>
      </c>
      <c r="G1069" t="s">
        <v>126</v>
      </c>
      <c r="H1069" t="s">
        <v>3182</v>
      </c>
      <c r="I1069" t="s">
        <v>35</v>
      </c>
      <c r="J1069" t="s">
        <v>41</v>
      </c>
      <c r="K1069" t="s">
        <v>41</v>
      </c>
      <c r="L1069" t="s">
        <v>19</v>
      </c>
      <c r="M1069" t="s">
        <v>19</v>
      </c>
      <c r="N1069">
        <v>1</v>
      </c>
      <c r="O1069">
        <v>343</v>
      </c>
      <c r="P1069">
        <v>599</v>
      </c>
      <c r="Q1069">
        <v>5</v>
      </c>
      <c r="R1069">
        <v>100</v>
      </c>
      <c r="S1069">
        <v>499</v>
      </c>
      <c r="T1069">
        <v>156</v>
      </c>
      <c r="U1069">
        <v>31.26</v>
      </c>
      <c r="V1069" t="s">
        <v>21</v>
      </c>
    </row>
    <row r="1070" spans="1:22" x14ac:dyDescent="0.35">
      <c r="A1070" t="s">
        <v>3295</v>
      </c>
      <c r="B1070" t="s">
        <v>60</v>
      </c>
      <c r="C1070" t="s">
        <v>27</v>
      </c>
      <c r="D1070" t="s">
        <v>3294</v>
      </c>
      <c r="E1070" t="s">
        <v>3293</v>
      </c>
      <c r="F1070" s="5">
        <v>45492</v>
      </c>
      <c r="G1070" t="s">
        <v>126</v>
      </c>
      <c r="H1070" t="s">
        <v>1656</v>
      </c>
      <c r="I1070" t="s">
        <v>35</v>
      </c>
      <c r="J1070" t="s">
        <v>41</v>
      </c>
      <c r="K1070" t="s">
        <v>41</v>
      </c>
      <c r="L1070" t="s">
        <v>37</v>
      </c>
      <c r="M1070" t="s">
        <v>20</v>
      </c>
      <c r="N1070">
        <v>1</v>
      </c>
      <c r="O1070">
        <v>468</v>
      </c>
      <c r="P1070">
        <v>899</v>
      </c>
      <c r="Q1070">
        <v>5</v>
      </c>
      <c r="R1070">
        <v>100</v>
      </c>
      <c r="S1070">
        <v>799</v>
      </c>
      <c r="T1070">
        <v>331</v>
      </c>
      <c r="U1070">
        <v>41.43</v>
      </c>
      <c r="V1070" t="s">
        <v>21</v>
      </c>
    </row>
    <row r="1071" spans="1:22" x14ac:dyDescent="0.35">
      <c r="A1071" t="s">
        <v>3292</v>
      </c>
      <c r="B1071" t="s">
        <v>67</v>
      </c>
      <c r="C1071" t="s">
        <v>27</v>
      </c>
      <c r="D1071" t="s">
        <v>3291</v>
      </c>
      <c r="E1071" t="s">
        <v>3290</v>
      </c>
      <c r="F1071" s="5">
        <v>45549</v>
      </c>
      <c r="G1071" t="s">
        <v>126</v>
      </c>
      <c r="H1071" t="s">
        <v>2600</v>
      </c>
      <c r="I1071" t="s">
        <v>28</v>
      </c>
      <c r="J1071" t="s">
        <v>45</v>
      </c>
      <c r="K1071" t="s">
        <v>45</v>
      </c>
      <c r="L1071" t="s">
        <v>25</v>
      </c>
      <c r="M1071" t="s">
        <v>19</v>
      </c>
      <c r="N1071">
        <v>5</v>
      </c>
      <c r="O1071">
        <v>871</v>
      </c>
      <c r="P1071">
        <v>1199</v>
      </c>
      <c r="Q1071">
        <v>10</v>
      </c>
      <c r="R1071">
        <v>1000</v>
      </c>
      <c r="S1071">
        <v>4995</v>
      </c>
      <c r="T1071">
        <v>640</v>
      </c>
      <c r="U1071">
        <v>12.81</v>
      </c>
      <c r="V1071" t="s">
        <v>21</v>
      </c>
    </row>
    <row r="1072" spans="1:22" x14ac:dyDescent="0.35">
      <c r="A1072" t="s">
        <v>3289</v>
      </c>
      <c r="B1072" t="s">
        <v>61</v>
      </c>
      <c r="C1072" t="s">
        <v>27</v>
      </c>
      <c r="D1072" t="s">
        <v>3288</v>
      </c>
      <c r="E1072" t="s">
        <v>3287</v>
      </c>
      <c r="F1072" s="5">
        <v>45614</v>
      </c>
      <c r="G1072" t="s">
        <v>126</v>
      </c>
      <c r="H1072" t="s">
        <v>3286</v>
      </c>
      <c r="I1072" t="s">
        <v>28</v>
      </c>
      <c r="J1072" t="s">
        <v>45</v>
      </c>
      <c r="K1072" t="s">
        <v>45</v>
      </c>
      <c r="L1072" t="s">
        <v>37</v>
      </c>
      <c r="M1072" t="s">
        <v>19</v>
      </c>
      <c r="N1072">
        <v>2</v>
      </c>
      <c r="O1072">
        <v>855</v>
      </c>
      <c r="P1072">
        <v>1499</v>
      </c>
      <c r="Q1072">
        <v>20</v>
      </c>
      <c r="R1072">
        <v>600</v>
      </c>
      <c r="S1072">
        <v>2398</v>
      </c>
      <c r="T1072">
        <v>688</v>
      </c>
      <c r="U1072">
        <v>28.69</v>
      </c>
      <c r="V1072" t="s">
        <v>21</v>
      </c>
    </row>
    <row r="1073" spans="1:22" x14ac:dyDescent="0.35">
      <c r="A1073" t="s">
        <v>3285</v>
      </c>
      <c r="B1073" t="s">
        <v>54</v>
      </c>
      <c r="C1073" t="s">
        <v>27</v>
      </c>
      <c r="D1073" t="s">
        <v>3284</v>
      </c>
      <c r="E1073" t="s">
        <v>3283</v>
      </c>
      <c r="F1073" s="5">
        <v>45650</v>
      </c>
      <c r="G1073" t="s">
        <v>126</v>
      </c>
      <c r="H1073" t="s">
        <v>2786</v>
      </c>
      <c r="I1073" t="s">
        <v>23</v>
      </c>
      <c r="J1073" t="s">
        <v>142</v>
      </c>
      <c r="K1073" t="s">
        <v>43</v>
      </c>
      <c r="L1073" t="s">
        <v>19</v>
      </c>
      <c r="M1073" t="s">
        <v>20</v>
      </c>
      <c r="N1073">
        <v>2</v>
      </c>
      <c r="O1073">
        <v>1439</v>
      </c>
      <c r="P1073">
        <v>2799</v>
      </c>
      <c r="Q1073">
        <v>10</v>
      </c>
      <c r="R1073">
        <v>600</v>
      </c>
      <c r="S1073">
        <v>4998</v>
      </c>
      <c r="T1073">
        <v>2120</v>
      </c>
      <c r="U1073">
        <v>42.42</v>
      </c>
      <c r="V1073" t="s">
        <v>21</v>
      </c>
    </row>
    <row r="1074" spans="1:22" x14ac:dyDescent="0.35">
      <c r="A1074" t="s">
        <v>3282</v>
      </c>
      <c r="B1074" t="s">
        <v>65</v>
      </c>
      <c r="C1074" t="s">
        <v>16</v>
      </c>
      <c r="D1074" t="s">
        <v>3281</v>
      </c>
      <c r="E1074" t="s">
        <v>3280</v>
      </c>
      <c r="F1074" s="5">
        <v>45645</v>
      </c>
      <c r="G1074" t="s">
        <v>126</v>
      </c>
      <c r="H1074" t="s">
        <v>3279</v>
      </c>
      <c r="I1074" t="s">
        <v>23</v>
      </c>
      <c r="J1074" t="s">
        <v>142</v>
      </c>
      <c r="K1074" t="s">
        <v>43</v>
      </c>
      <c r="L1074" t="s">
        <v>25</v>
      </c>
      <c r="M1074" t="s">
        <v>20</v>
      </c>
      <c r="N1074">
        <v>3</v>
      </c>
      <c r="O1074">
        <v>1583</v>
      </c>
      <c r="P1074">
        <v>2399</v>
      </c>
      <c r="Q1074">
        <v>5</v>
      </c>
      <c r="R1074">
        <v>600</v>
      </c>
      <c r="S1074">
        <v>6597</v>
      </c>
      <c r="T1074">
        <v>1848</v>
      </c>
      <c r="U1074">
        <v>28.01</v>
      </c>
      <c r="V1074" t="s">
        <v>21</v>
      </c>
    </row>
    <row r="1075" spans="1:22" x14ac:dyDescent="0.35">
      <c r="A1075" t="s">
        <v>3278</v>
      </c>
      <c r="B1075" t="s">
        <v>40</v>
      </c>
      <c r="C1075" t="s">
        <v>27</v>
      </c>
      <c r="D1075" t="s">
        <v>3277</v>
      </c>
      <c r="E1075" t="s">
        <v>3276</v>
      </c>
      <c r="F1075" s="5">
        <v>45448</v>
      </c>
      <c r="G1075" t="s">
        <v>126</v>
      </c>
      <c r="H1075" t="s">
        <v>371</v>
      </c>
      <c r="I1075" t="s">
        <v>28</v>
      </c>
      <c r="J1075" t="s">
        <v>45</v>
      </c>
      <c r="K1075" t="s">
        <v>45</v>
      </c>
      <c r="L1075" t="s">
        <v>25</v>
      </c>
      <c r="M1075" t="s">
        <v>19</v>
      </c>
      <c r="N1075">
        <v>1</v>
      </c>
      <c r="O1075">
        <v>974</v>
      </c>
      <c r="P1075">
        <v>1499</v>
      </c>
      <c r="Q1075">
        <v>15</v>
      </c>
      <c r="R1075">
        <v>300</v>
      </c>
      <c r="S1075">
        <v>1199</v>
      </c>
      <c r="T1075">
        <v>225</v>
      </c>
      <c r="U1075">
        <v>18.77</v>
      </c>
      <c r="V1075" t="s">
        <v>33</v>
      </c>
    </row>
    <row r="1076" spans="1:22" x14ac:dyDescent="0.35">
      <c r="A1076" t="s">
        <v>3275</v>
      </c>
      <c r="B1076" t="s">
        <v>52</v>
      </c>
      <c r="C1076" t="s">
        <v>27</v>
      </c>
      <c r="D1076" t="s">
        <v>3274</v>
      </c>
      <c r="E1076" t="s">
        <v>1117</v>
      </c>
      <c r="F1076" s="5">
        <v>45547</v>
      </c>
      <c r="G1076" t="s">
        <v>126</v>
      </c>
      <c r="H1076" t="s">
        <v>814</v>
      </c>
      <c r="I1076" t="s">
        <v>23</v>
      </c>
      <c r="J1076" t="s">
        <v>164</v>
      </c>
      <c r="K1076" t="s">
        <v>24</v>
      </c>
      <c r="L1076" t="s">
        <v>37</v>
      </c>
      <c r="M1076" t="s">
        <v>20</v>
      </c>
      <c r="N1076">
        <v>1</v>
      </c>
      <c r="O1076">
        <v>928</v>
      </c>
      <c r="P1076">
        <v>1299</v>
      </c>
      <c r="Q1076">
        <v>5</v>
      </c>
      <c r="R1076">
        <v>100</v>
      </c>
      <c r="S1076">
        <v>1199</v>
      </c>
      <c r="T1076">
        <v>271</v>
      </c>
      <c r="U1076">
        <v>22.6</v>
      </c>
      <c r="V1076" t="s">
        <v>21</v>
      </c>
    </row>
    <row r="1077" spans="1:22" x14ac:dyDescent="0.35">
      <c r="A1077" t="s">
        <v>3273</v>
      </c>
      <c r="B1077" t="s">
        <v>104</v>
      </c>
      <c r="C1077" t="s">
        <v>27</v>
      </c>
      <c r="D1077" t="s">
        <v>3272</v>
      </c>
      <c r="E1077" t="s">
        <v>3271</v>
      </c>
      <c r="F1077" s="5">
        <v>45628</v>
      </c>
      <c r="G1077" t="s">
        <v>126</v>
      </c>
      <c r="H1077" t="s">
        <v>333</v>
      </c>
      <c r="I1077" t="s">
        <v>31</v>
      </c>
      <c r="J1077" t="s">
        <v>32</v>
      </c>
      <c r="K1077" t="s">
        <v>32</v>
      </c>
      <c r="L1077" t="s">
        <v>19</v>
      </c>
      <c r="M1077" t="s">
        <v>19</v>
      </c>
      <c r="N1077">
        <v>4</v>
      </c>
      <c r="O1077">
        <v>541</v>
      </c>
      <c r="P1077">
        <v>999</v>
      </c>
      <c r="Q1077">
        <v>0</v>
      </c>
      <c r="R1077">
        <v>0</v>
      </c>
      <c r="S1077">
        <v>3996</v>
      </c>
      <c r="T1077">
        <v>1832</v>
      </c>
      <c r="U1077">
        <v>45.85</v>
      </c>
      <c r="V1077" t="s">
        <v>33</v>
      </c>
    </row>
    <row r="1078" spans="1:22" x14ac:dyDescent="0.35">
      <c r="A1078" t="s">
        <v>3270</v>
      </c>
      <c r="B1078" t="s">
        <v>67</v>
      </c>
      <c r="C1078" t="s">
        <v>27</v>
      </c>
      <c r="D1078" t="s">
        <v>3269</v>
      </c>
      <c r="E1078" t="s">
        <v>3268</v>
      </c>
      <c r="F1078" s="5">
        <v>45631</v>
      </c>
      <c r="G1078" t="s">
        <v>126</v>
      </c>
      <c r="H1078" t="s">
        <v>1981</v>
      </c>
      <c r="I1078" t="s">
        <v>31</v>
      </c>
      <c r="J1078" t="s">
        <v>32</v>
      </c>
      <c r="K1078" t="s">
        <v>32</v>
      </c>
      <c r="L1078" t="s">
        <v>37</v>
      </c>
      <c r="M1078" t="s">
        <v>19</v>
      </c>
      <c r="N1078">
        <v>4</v>
      </c>
      <c r="O1078">
        <v>817</v>
      </c>
      <c r="P1078">
        <v>1199</v>
      </c>
      <c r="Q1078">
        <v>0</v>
      </c>
      <c r="R1078">
        <v>0</v>
      </c>
      <c r="S1078">
        <v>4796</v>
      </c>
      <c r="T1078">
        <v>1528</v>
      </c>
      <c r="U1078">
        <v>31.86</v>
      </c>
      <c r="V1078" t="s">
        <v>33</v>
      </c>
    </row>
    <row r="1079" spans="1:22" x14ac:dyDescent="0.35">
      <c r="A1079" t="s">
        <v>3267</v>
      </c>
      <c r="B1079" t="s">
        <v>90</v>
      </c>
      <c r="C1079" t="s">
        <v>27</v>
      </c>
      <c r="D1079" t="s">
        <v>3266</v>
      </c>
      <c r="E1079" t="s">
        <v>2056</v>
      </c>
      <c r="F1079" s="5">
        <v>45563</v>
      </c>
      <c r="G1079" t="s">
        <v>126</v>
      </c>
      <c r="H1079" t="s">
        <v>3265</v>
      </c>
      <c r="I1079" t="s">
        <v>28</v>
      </c>
      <c r="J1079" t="s">
        <v>45</v>
      </c>
      <c r="K1079" t="s">
        <v>45</v>
      </c>
      <c r="L1079" t="s">
        <v>37</v>
      </c>
      <c r="M1079" t="s">
        <v>19</v>
      </c>
      <c r="N1079">
        <v>2</v>
      </c>
      <c r="O1079">
        <v>427</v>
      </c>
      <c r="P1079">
        <v>699</v>
      </c>
      <c r="Q1079">
        <v>10</v>
      </c>
      <c r="R1079">
        <v>200</v>
      </c>
      <c r="S1079">
        <v>1198</v>
      </c>
      <c r="T1079">
        <v>344</v>
      </c>
      <c r="U1079">
        <v>28.71</v>
      </c>
      <c r="V1079" t="s">
        <v>21</v>
      </c>
    </row>
    <row r="1080" spans="1:22" x14ac:dyDescent="0.35">
      <c r="A1080" t="s">
        <v>3264</v>
      </c>
      <c r="B1080" t="s">
        <v>22</v>
      </c>
      <c r="C1080" t="s">
        <v>16</v>
      </c>
      <c r="D1080" t="s">
        <v>3263</v>
      </c>
      <c r="E1080" t="s">
        <v>3262</v>
      </c>
      <c r="F1080" s="5">
        <v>45607</v>
      </c>
      <c r="G1080" t="s">
        <v>126</v>
      </c>
      <c r="H1080" t="s">
        <v>2464</v>
      </c>
      <c r="I1080" t="s">
        <v>17</v>
      </c>
      <c r="J1080" t="s">
        <v>253</v>
      </c>
      <c r="K1080" t="s">
        <v>72</v>
      </c>
      <c r="L1080" t="s">
        <v>37</v>
      </c>
      <c r="M1080" t="s">
        <v>19</v>
      </c>
      <c r="N1080">
        <v>1</v>
      </c>
      <c r="O1080">
        <v>325</v>
      </c>
      <c r="P1080">
        <v>499</v>
      </c>
      <c r="Q1080">
        <v>0</v>
      </c>
      <c r="R1080">
        <v>0</v>
      </c>
      <c r="S1080">
        <v>499</v>
      </c>
      <c r="T1080">
        <v>174</v>
      </c>
      <c r="U1080">
        <v>34.869999999999997</v>
      </c>
      <c r="V1080" t="s">
        <v>21</v>
      </c>
    </row>
    <row r="1081" spans="1:22" x14ac:dyDescent="0.35">
      <c r="A1081" t="s">
        <v>3261</v>
      </c>
      <c r="B1081" t="s">
        <v>54</v>
      </c>
      <c r="C1081" t="s">
        <v>27</v>
      </c>
      <c r="D1081" t="s">
        <v>3260</v>
      </c>
      <c r="E1081" t="s">
        <v>3259</v>
      </c>
      <c r="F1081" s="5">
        <v>45459</v>
      </c>
      <c r="G1081" t="s">
        <v>126</v>
      </c>
      <c r="H1081" t="s">
        <v>552</v>
      </c>
      <c r="I1081" t="s">
        <v>17</v>
      </c>
      <c r="J1081" t="s">
        <v>55</v>
      </c>
      <c r="K1081" t="s">
        <v>55</v>
      </c>
      <c r="L1081" t="s">
        <v>25</v>
      </c>
      <c r="M1081" t="s">
        <v>20</v>
      </c>
      <c r="N1081">
        <v>3</v>
      </c>
      <c r="O1081">
        <v>463</v>
      </c>
      <c r="P1081">
        <v>799</v>
      </c>
      <c r="Q1081">
        <v>0</v>
      </c>
      <c r="R1081">
        <v>0</v>
      </c>
      <c r="S1081">
        <v>2397</v>
      </c>
      <c r="T1081">
        <v>1008</v>
      </c>
      <c r="U1081">
        <v>42.05</v>
      </c>
      <c r="V1081" t="s">
        <v>33</v>
      </c>
    </row>
    <row r="1082" spans="1:22" x14ac:dyDescent="0.35">
      <c r="A1082" t="s">
        <v>3258</v>
      </c>
      <c r="B1082" t="s">
        <v>97</v>
      </c>
      <c r="C1082" t="s">
        <v>16</v>
      </c>
      <c r="D1082" t="s">
        <v>3257</v>
      </c>
      <c r="E1082" t="s">
        <v>3256</v>
      </c>
      <c r="F1082" s="5">
        <v>45549</v>
      </c>
      <c r="G1082" t="s">
        <v>126</v>
      </c>
      <c r="H1082" t="s">
        <v>3255</v>
      </c>
      <c r="I1082" t="s">
        <v>23</v>
      </c>
      <c r="J1082" t="s">
        <v>142</v>
      </c>
      <c r="K1082" t="s">
        <v>43</v>
      </c>
      <c r="L1082" t="s">
        <v>25</v>
      </c>
      <c r="M1082" t="s">
        <v>20</v>
      </c>
      <c r="N1082">
        <v>1</v>
      </c>
      <c r="O1082">
        <v>1641</v>
      </c>
      <c r="P1082">
        <v>2599</v>
      </c>
      <c r="Q1082">
        <v>15</v>
      </c>
      <c r="R1082">
        <v>400</v>
      </c>
      <c r="S1082">
        <v>2199</v>
      </c>
      <c r="T1082">
        <v>558</v>
      </c>
      <c r="U1082">
        <v>25.38</v>
      </c>
      <c r="V1082" t="s">
        <v>33</v>
      </c>
    </row>
    <row r="1083" spans="1:22" x14ac:dyDescent="0.35">
      <c r="A1083" t="s">
        <v>3254</v>
      </c>
      <c r="B1083" t="s">
        <v>97</v>
      </c>
      <c r="C1083" t="s">
        <v>16</v>
      </c>
      <c r="D1083" t="s">
        <v>3253</v>
      </c>
      <c r="E1083" t="s">
        <v>3252</v>
      </c>
      <c r="F1083" s="5">
        <v>45543</v>
      </c>
      <c r="G1083" t="s">
        <v>126</v>
      </c>
      <c r="H1083" t="s">
        <v>3251</v>
      </c>
      <c r="I1083" t="s">
        <v>28</v>
      </c>
      <c r="J1083" t="s">
        <v>201</v>
      </c>
      <c r="K1083" t="s">
        <v>29</v>
      </c>
      <c r="L1083" t="s">
        <v>25</v>
      </c>
      <c r="M1083" t="s">
        <v>19</v>
      </c>
      <c r="N1083">
        <v>2</v>
      </c>
      <c r="O1083">
        <v>478</v>
      </c>
      <c r="P1083">
        <v>699</v>
      </c>
      <c r="Q1083">
        <v>5</v>
      </c>
      <c r="R1083">
        <v>200</v>
      </c>
      <c r="S1083">
        <v>1198</v>
      </c>
      <c r="T1083">
        <v>242</v>
      </c>
      <c r="U1083">
        <v>20.2</v>
      </c>
      <c r="V1083" t="s">
        <v>21</v>
      </c>
    </row>
    <row r="1084" spans="1:22" x14ac:dyDescent="0.35">
      <c r="A1084" t="s">
        <v>3250</v>
      </c>
      <c r="B1084" t="s">
        <v>102</v>
      </c>
      <c r="C1084" t="s">
        <v>27</v>
      </c>
      <c r="D1084" t="s">
        <v>3249</v>
      </c>
      <c r="E1084" t="s">
        <v>3248</v>
      </c>
      <c r="F1084" s="5">
        <v>45656</v>
      </c>
      <c r="G1084" t="s">
        <v>126</v>
      </c>
      <c r="H1084" t="s">
        <v>2111</v>
      </c>
      <c r="I1084" t="s">
        <v>28</v>
      </c>
      <c r="J1084" t="s">
        <v>201</v>
      </c>
      <c r="K1084" t="s">
        <v>29</v>
      </c>
      <c r="L1084" t="s">
        <v>25</v>
      </c>
      <c r="M1084" t="s">
        <v>19</v>
      </c>
      <c r="N1084">
        <v>5</v>
      </c>
      <c r="O1084">
        <v>318</v>
      </c>
      <c r="P1084">
        <v>599</v>
      </c>
      <c r="Q1084">
        <v>15</v>
      </c>
      <c r="R1084">
        <v>500</v>
      </c>
      <c r="S1084">
        <v>2495</v>
      </c>
      <c r="T1084">
        <v>905</v>
      </c>
      <c r="U1084">
        <v>36.270000000000003</v>
      </c>
      <c r="V1084" t="s">
        <v>21</v>
      </c>
    </row>
    <row r="1085" spans="1:22" x14ac:dyDescent="0.35">
      <c r="A1085" t="s">
        <v>3247</v>
      </c>
      <c r="B1085" t="s">
        <v>86</v>
      </c>
      <c r="C1085" t="s">
        <v>27</v>
      </c>
      <c r="D1085" t="s">
        <v>3246</v>
      </c>
      <c r="E1085" t="s">
        <v>3245</v>
      </c>
      <c r="F1085" s="5">
        <v>45452</v>
      </c>
      <c r="G1085" t="s">
        <v>126</v>
      </c>
      <c r="H1085" t="s">
        <v>1400</v>
      </c>
      <c r="I1085" t="s">
        <v>17</v>
      </c>
      <c r="J1085" t="s">
        <v>55</v>
      </c>
      <c r="K1085" t="s">
        <v>55</v>
      </c>
      <c r="L1085" t="s">
        <v>37</v>
      </c>
      <c r="M1085" t="s">
        <v>19</v>
      </c>
      <c r="N1085">
        <v>3</v>
      </c>
      <c r="O1085">
        <v>396</v>
      </c>
      <c r="P1085">
        <v>599</v>
      </c>
      <c r="Q1085">
        <v>0</v>
      </c>
      <c r="R1085">
        <v>0</v>
      </c>
      <c r="S1085">
        <v>1797</v>
      </c>
      <c r="T1085">
        <v>609</v>
      </c>
      <c r="U1085">
        <v>33.89</v>
      </c>
      <c r="V1085" t="s">
        <v>21</v>
      </c>
    </row>
    <row r="1086" spans="1:22" x14ac:dyDescent="0.35">
      <c r="A1086" t="s">
        <v>3244</v>
      </c>
      <c r="B1086" t="s">
        <v>73</v>
      </c>
      <c r="C1086" t="s">
        <v>16</v>
      </c>
      <c r="D1086" t="s">
        <v>3243</v>
      </c>
      <c r="E1086" t="s">
        <v>3242</v>
      </c>
      <c r="F1086" s="5">
        <v>45574</v>
      </c>
      <c r="G1086" t="s">
        <v>126</v>
      </c>
      <c r="H1086" t="s">
        <v>766</v>
      </c>
      <c r="I1086" t="s">
        <v>35</v>
      </c>
      <c r="J1086" t="s">
        <v>159</v>
      </c>
      <c r="K1086" t="s">
        <v>100</v>
      </c>
      <c r="L1086" t="s">
        <v>37</v>
      </c>
      <c r="M1086" t="s">
        <v>20</v>
      </c>
      <c r="N1086">
        <v>2</v>
      </c>
      <c r="O1086">
        <v>887</v>
      </c>
      <c r="P1086">
        <v>1199</v>
      </c>
      <c r="Q1086">
        <v>10</v>
      </c>
      <c r="R1086">
        <v>400</v>
      </c>
      <c r="S1086">
        <v>1998</v>
      </c>
      <c r="T1086">
        <v>224</v>
      </c>
      <c r="U1086">
        <v>11.21</v>
      </c>
      <c r="V1086" t="s">
        <v>33</v>
      </c>
    </row>
    <row r="1087" spans="1:22" x14ac:dyDescent="0.35">
      <c r="A1087" t="s">
        <v>3241</v>
      </c>
      <c r="B1087" t="s">
        <v>67</v>
      </c>
      <c r="C1087" t="s">
        <v>27</v>
      </c>
      <c r="D1087" t="s">
        <v>3240</v>
      </c>
      <c r="E1087" t="s">
        <v>3239</v>
      </c>
      <c r="F1087" s="5">
        <v>45509</v>
      </c>
      <c r="G1087" t="s">
        <v>126</v>
      </c>
      <c r="H1087" t="s">
        <v>3238</v>
      </c>
      <c r="I1087" t="s">
        <v>23</v>
      </c>
      <c r="J1087" t="s">
        <v>164</v>
      </c>
      <c r="K1087" t="s">
        <v>24</v>
      </c>
      <c r="L1087" t="s">
        <v>37</v>
      </c>
      <c r="M1087" t="s">
        <v>19</v>
      </c>
      <c r="N1087">
        <v>1</v>
      </c>
      <c r="O1087">
        <v>1649</v>
      </c>
      <c r="P1087">
        <v>2299</v>
      </c>
      <c r="Q1087">
        <v>10</v>
      </c>
      <c r="R1087">
        <v>300</v>
      </c>
      <c r="S1087">
        <v>1999</v>
      </c>
      <c r="T1087">
        <v>350</v>
      </c>
      <c r="U1087">
        <v>17.510000000000002</v>
      </c>
      <c r="V1087" t="s">
        <v>21</v>
      </c>
    </row>
    <row r="1088" spans="1:22" x14ac:dyDescent="0.35">
      <c r="A1088" t="s">
        <v>3237</v>
      </c>
      <c r="B1088" t="s">
        <v>57</v>
      </c>
      <c r="C1088" t="s">
        <v>27</v>
      </c>
      <c r="D1088" t="s">
        <v>3236</v>
      </c>
      <c r="E1088" t="s">
        <v>2590</v>
      </c>
      <c r="F1088" s="5">
        <v>45582</v>
      </c>
      <c r="G1088" t="s">
        <v>126</v>
      </c>
      <c r="H1088" t="s">
        <v>193</v>
      </c>
      <c r="I1088" t="s">
        <v>28</v>
      </c>
      <c r="J1088" t="s">
        <v>201</v>
      </c>
      <c r="K1088" t="s">
        <v>29</v>
      </c>
      <c r="L1088" t="s">
        <v>37</v>
      </c>
      <c r="M1088" t="s">
        <v>20</v>
      </c>
      <c r="N1088">
        <v>1</v>
      </c>
      <c r="O1088">
        <v>310</v>
      </c>
      <c r="P1088">
        <v>499</v>
      </c>
      <c r="Q1088">
        <v>10</v>
      </c>
      <c r="R1088">
        <v>50</v>
      </c>
      <c r="S1088">
        <v>449</v>
      </c>
      <c r="T1088">
        <v>139</v>
      </c>
      <c r="U1088">
        <v>30.96</v>
      </c>
      <c r="V1088" t="s">
        <v>21</v>
      </c>
    </row>
    <row r="1089" spans="1:22" x14ac:dyDescent="0.35">
      <c r="A1089" t="s">
        <v>3235</v>
      </c>
      <c r="B1089" t="s">
        <v>34</v>
      </c>
      <c r="C1089" t="s">
        <v>27</v>
      </c>
      <c r="D1089" t="s">
        <v>3234</v>
      </c>
      <c r="E1089" t="s">
        <v>3233</v>
      </c>
      <c r="F1089" s="5">
        <v>45522</v>
      </c>
      <c r="G1089" t="s">
        <v>126</v>
      </c>
      <c r="H1089" t="s">
        <v>3232</v>
      </c>
      <c r="I1089" t="s">
        <v>35</v>
      </c>
      <c r="J1089" t="s">
        <v>41</v>
      </c>
      <c r="K1089" t="s">
        <v>41</v>
      </c>
      <c r="L1089" t="s">
        <v>19</v>
      </c>
      <c r="M1089" t="s">
        <v>19</v>
      </c>
      <c r="N1089">
        <v>2</v>
      </c>
      <c r="O1089">
        <v>850</v>
      </c>
      <c r="P1089">
        <v>1199</v>
      </c>
      <c r="Q1089">
        <v>10</v>
      </c>
      <c r="R1089">
        <v>400</v>
      </c>
      <c r="S1089">
        <v>1998</v>
      </c>
      <c r="T1089">
        <v>298</v>
      </c>
      <c r="U1089">
        <v>14.91</v>
      </c>
      <c r="V1089" t="s">
        <v>33</v>
      </c>
    </row>
    <row r="1090" spans="1:22" x14ac:dyDescent="0.35">
      <c r="A1090" t="s">
        <v>3231</v>
      </c>
      <c r="B1090" t="s">
        <v>34</v>
      </c>
      <c r="C1090" t="s">
        <v>27</v>
      </c>
      <c r="D1090" t="s">
        <v>3230</v>
      </c>
      <c r="E1090" t="s">
        <v>3229</v>
      </c>
      <c r="F1090" s="5">
        <v>45635</v>
      </c>
      <c r="G1090" t="s">
        <v>126</v>
      </c>
      <c r="H1090" t="s">
        <v>3228</v>
      </c>
      <c r="I1090" t="s">
        <v>31</v>
      </c>
      <c r="J1090" t="s">
        <v>32</v>
      </c>
      <c r="K1090" t="s">
        <v>32</v>
      </c>
      <c r="L1090" t="s">
        <v>19</v>
      </c>
      <c r="M1090" t="s">
        <v>20</v>
      </c>
      <c r="N1090">
        <v>2</v>
      </c>
      <c r="O1090">
        <v>839</v>
      </c>
      <c r="P1090">
        <v>1499</v>
      </c>
      <c r="Q1090">
        <v>0</v>
      </c>
      <c r="R1090">
        <v>0</v>
      </c>
      <c r="S1090">
        <v>2998</v>
      </c>
      <c r="T1090">
        <v>1320</v>
      </c>
      <c r="U1090">
        <v>44.03</v>
      </c>
      <c r="V1090" t="s">
        <v>21</v>
      </c>
    </row>
    <row r="1091" spans="1:22" x14ac:dyDescent="0.35">
      <c r="A1091" t="s">
        <v>3227</v>
      </c>
      <c r="B1091" t="s">
        <v>95</v>
      </c>
      <c r="C1091" t="s">
        <v>27</v>
      </c>
      <c r="D1091" t="s">
        <v>3226</v>
      </c>
      <c r="E1091" t="s">
        <v>1956</v>
      </c>
      <c r="F1091" s="5">
        <v>45543</v>
      </c>
      <c r="G1091" t="s">
        <v>126</v>
      </c>
      <c r="H1091" t="s">
        <v>1913</v>
      </c>
      <c r="I1091" t="s">
        <v>23</v>
      </c>
      <c r="J1091" t="s">
        <v>164</v>
      </c>
      <c r="K1091" t="s">
        <v>24</v>
      </c>
      <c r="L1091" t="s">
        <v>37</v>
      </c>
      <c r="M1091" t="s">
        <v>20</v>
      </c>
      <c r="N1091">
        <v>1</v>
      </c>
      <c r="O1091">
        <v>753</v>
      </c>
      <c r="P1091">
        <v>1299</v>
      </c>
      <c r="Q1091">
        <v>5</v>
      </c>
      <c r="R1091">
        <v>100</v>
      </c>
      <c r="S1091">
        <v>1199</v>
      </c>
      <c r="T1091">
        <v>446</v>
      </c>
      <c r="U1091">
        <v>37.200000000000003</v>
      </c>
      <c r="V1091" t="s">
        <v>21</v>
      </c>
    </row>
    <row r="1092" spans="1:22" x14ac:dyDescent="0.35">
      <c r="A1092" t="s">
        <v>3225</v>
      </c>
      <c r="B1092" t="s">
        <v>96</v>
      </c>
      <c r="C1092" t="s">
        <v>16</v>
      </c>
      <c r="D1092" t="s">
        <v>3224</v>
      </c>
      <c r="E1092" t="s">
        <v>3223</v>
      </c>
      <c r="F1092" s="5">
        <v>45544</v>
      </c>
      <c r="G1092" t="s">
        <v>126</v>
      </c>
      <c r="H1092" t="s">
        <v>1247</v>
      </c>
      <c r="I1092" t="s">
        <v>28</v>
      </c>
      <c r="J1092" t="s">
        <v>201</v>
      </c>
      <c r="K1092" t="s">
        <v>29</v>
      </c>
      <c r="L1092" t="s">
        <v>19</v>
      </c>
      <c r="M1092" t="s">
        <v>19</v>
      </c>
      <c r="N1092">
        <v>3</v>
      </c>
      <c r="O1092">
        <v>358</v>
      </c>
      <c r="P1092">
        <v>499</v>
      </c>
      <c r="Q1092">
        <v>10</v>
      </c>
      <c r="R1092">
        <v>300</v>
      </c>
      <c r="S1092">
        <v>1197</v>
      </c>
      <c r="T1092">
        <v>123</v>
      </c>
      <c r="U1092">
        <v>10.28</v>
      </c>
      <c r="V1092" t="s">
        <v>21</v>
      </c>
    </row>
    <row r="1093" spans="1:22" x14ac:dyDescent="0.35">
      <c r="A1093" t="s">
        <v>3222</v>
      </c>
      <c r="B1093" t="s">
        <v>84</v>
      </c>
      <c r="C1093" t="s">
        <v>27</v>
      </c>
      <c r="D1093" t="s">
        <v>3221</v>
      </c>
      <c r="E1093" t="s">
        <v>408</v>
      </c>
      <c r="F1093" s="5">
        <v>45468</v>
      </c>
      <c r="G1093" t="s">
        <v>126</v>
      </c>
      <c r="H1093" t="s">
        <v>3220</v>
      </c>
      <c r="I1093" t="s">
        <v>31</v>
      </c>
      <c r="J1093" t="s">
        <v>32</v>
      </c>
      <c r="K1093" t="s">
        <v>32</v>
      </c>
      <c r="L1093" t="s">
        <v>37</v>
      </c>
      <c r="M1093" t="s">
        <v>20</v>
      </c>
      <c r="N1093">
        <v>1</v>
      </c>
      <c r="O1093">
        <v>639</v>
      </c>
      <c r="P1093">
        <v>999</v>
      </c>
      <c r="Q1093">
        <v>0</v>
      </c>
      <c r="R1093">
        <v>0</v>
      </c>
      <c r="S1093">
        <v>999</v>
      </c>
      <c r="T1093">
        <v>360</v>
      </c>
      <c r="U1093">
        <v>36.04</v>
      </c>
      <c r="V1093" t="s">
        <v>33</v>
      </c>
    </row>
    <row r="1094" spans="1:22" x14ac:dyDescent="0.35">
      <c r="A1094" t="s">
        <v>3219</v>
      </c>
      <c r="B1094" t="s">
        <v>34</v>
      </c>
      <c r="C1094" t="s">
        <v>27</v>
      </c>
      <c r="D1094" t="s">
        <v>3218</v>
      </c>
      <c r="E1094" t="s">
        <v>2186</v>
      </c>
      <c r="F1094" s="5">
        <v>45486</v>
      </c>
      <c r="G1094" t="s">
        <v>126</v>
      </c>
      <c r="H1094" t="s">
        <v>1634</v>
      </c>
      <c r="I1094" t="s">
        <v>35</v>
      </c>
      <c r="J1094" t="s">
        <v>244</v>
      </c>
      <c r="K1094" t="s">
        <v>58</v>
      </c>
      <c r="L1094" t="s">
        <v>19</v>
      </c>
      <c r="M1094" t="s">
        <v>19</v>
      </c>
      <c r="N1094">
        <v>3</v>
      </c>
      <c r="O1094">
        <v>1721</v>
      </c>
      <c r="P1094">
        <v>2499</v>
      </c>
      <c r="Q1094">
        <v>20</v>
      </c>
      <c r="R1094">
        <v>1500</v>
      </c>
      <c r="S1094">
        <v>5997</v>
      </c>
      <c r="T1094">
        <v>834</v>
      </c>
      <c r="U1094">
        <v>13.91</v>
      </c>
      <c r="V1094" t="s">
        <v>33</v>
      </c>
    </row>
    <row r="1095" spans="1:22" x14ac:dyDescent="0.35">
      <c r="A1095" t="s">
        <v>3217</v>
      </c>
      <c r="B1095" t="s">
        <v>60</v>
      </c>
      <c r="C1095" t="s">
        <v>27</v>
      </c>
      <c r="D1095" t="s">
        <v>3216</v>
      </c>
      <c r="E1095" t="s">
        <v>3215</v>
      </c>
      <c r="F1095" s="5">
        <v>45459</v>
      </c>
      <c r="G1095" t="s">
        <v>126</v>
      </c>
      <c r="H1095" t="s">
        <v>3214</v>
      </c>
      <c r="I1095" t="s">
        <v>31</v>
      </c>
      <c r="J1095" t="s">
        <v>76</v>
      </c>
      <c r="K1095" t="s">
        <v>76</v>
      </c>
      <c r="L1095" t="s">
        <v>19</v>
      </c>
      <c r="M1095" t="s">
        <v>19</v>
      </c>
      <c r="N1095">
        <v>5</v>
      </c>
      <c r="O1095">
        <v>699</v>
      </c>
      <c r="P1095">
        <v>999</v>
      </c>
      <c r="Q1095">
        <v>0</v>
      </c>
      <c r="R1095">
        <v>0</v>
      </c>
      <c r="S1095">
        <v>4995</v>
      </c>
      <c r="T1095">
        <v>1500</v>
      </c>
      <c r="U1095">
        <v>30.03</v>
      </c>
      <c r="V1095" t="s">
        <v>21</v>
      </c>
    </row>
    <row r="1096" spans="1:22" x14ac:dyDescent="0.35">
      <c r="A1096" t="s">
        <v>3213</v>
      </c>
      <c r="B1096" t="s">
        <v>26</v>
      </c>
      <c r="C1096" t="s">
        <v>27</v>
      </c>
      <c r="D1096" t="s">
        <v>3212</v>
      </c>
      <c r="E1096" t="s">
        <v>3211</v>
      </c>
      <c r="F1096" s="5">
        <v>45545</v>
      </c>
      <c r="G1096" t="s">
        <v>126</v>
      </c>
      <c r="H1096" t="s">
        <v>540</v>
      </c>
      <c r="I1096" t="s">
        <v>28</v>
      </c>
      <c r="J1096" t="s">
        <v>201</v>
      </c>
      <c r="K1096" t="s">
        <v>29</v>
      </c>
      <c r="L1096" t="s">
        <v>37</v>
      </c>
      <c r="M1096" t="s">
        <v>19</v>
      </c>
      <c r="N1096">
        <v>2</v>
      </c>
      <c r="O1096">
        <v>382</v>
      </c>
      <c r="P1096">
        <v>599</v>
      </c>
      <c r="Q1096">
        <v>10</v>
      </c>
      <c r="R1096">
        <v>200</v>
      </c>
      <c r="S1096">
        <v>998</v>
      </c>
      <c r="T1096">
        <v>234</v>
      </c>
      <c r="U1096">
        <v>23.45</v>
      </c>
      <c r="V1096" t="s">
        <v>21</v>
      </c>
    </row>
    <row r="1097" spans="1:22" x14ac:dyDescent="0.35">
      <c r="A1097" t="s">
        <v>3210</v>
      </c>
      <c r="B1097" t="s">
        <v>40</v>
      </c>
      <c r="C1097" t="s">
        <v>27</v>
      </c>
      <c r="D1097" t="s">
        <v>3209</v>
      </c>
      <c r="E1097" t="s">
        <v>3208</v>
      </c>
      <c r="F1097" s="5">
        <v>45515</v>
      </c>
      <c r="G1097" t="s">
        <v>126</v>
      </c>
      <c r="H1097" t="s">
        <v>3207</v>
      </c>
      <c r="I1097" t="s">
        <v>28</v>
      </c>
      <c r="J1097" t="s">
        <v>45</v>
      </c>
      <c r="K1097" t="s">
        <v>45</v>
      </c>
      <c r="L1097" t="s">
        <v>25</v>
      </c>
      <c r="M1097" t="s">
        <v>20</v>
      </c>
      <c r="N1097">
        <v>5</v>
      </c>
      <c r="O1097">
        <v>1204</v>
      </c>
      <c r="P1097">
        <v>1699</v>
      </c>
      <c r="Q1097">
        <v>10</v>
      </c>
      <c r="R1097">
        <v>1000</v>
      </c>
      <c r="S1097">
        <v>7495</v>
      </c>
      <c r="T1097">
        <v>1475</v>
      </c>
      <c r="U1097">
        <v>19.68</v>
      </c>
      <c r="V1097" t="s">
        <v>33</v>
      </c>
    </row>
    <row r="1098" spans="1:22" x14ac:dyDescent="0.35">
      <c r="A1098" t="s">
        <v>3206</v>
      </c>
      <c r="B1098" t="s">
        <v>67</v>
      </c>
      <c r="C1098" t="s">
        <v>27</v>
      </c>
      <c r="D1098" t="s">
        <v>3205</v>
      </c>
      <c r="E1098" t="s">
        <v>3204</v>
      </c>
      <c r="F1098" s="5">
        <v>45521</v>
      </c>
      <c r="G1098" t="s">
        <v>126</v>
      </c>
      <c r="H1098" t="s">
        <v>3203</v>
      </c>
      <c r="I1098" t="s">
        <v>17</v>
      </c>
      <c r="J1098" t="s">
        <v>253</v>
      </c>
      <c r="K1098" t="s">
        <v>72</v>
      </c>
      <c r="L1098" t="s">
        <v>37</v>
      </c>
      <c r="M1098" t="s">
        <v>19</v>
      </c>
      <c r="N1098">
        <v>1</v>
      </c>
      <c r="O1098">
        <v>252</v>
      </c>
      <c r="P1098">
        <v>499</v>
      </c>
      <c r="Q1098">
        <v>0</v>
      </c>
      <c r="R1098">
        <v>0</v>
      </c>
      <c r="S1098">
        <v>499</v>
      </c>
      <c r="T1098">
        <v>247</v>
      </c>
      <c r="U1098">
        <v>49.5</v>
      </c>
      <c r="V1098" t="s">
        <v>33</v>
      </c>
    </row>
    <row r="1099" spans="1:22" x14ac:dyDescent="0.35">
      <c r="A1099" t="s">
        <v>3202</v>
      </c>
      <c r="B1099" t="s">
        <v>64</v>
      </c>
      <c r="C1099" t="s">
        <v>16</v>
      </c>
      <c r="D1099" t="s">
        <v>3201</v>
      </c>
      <c r="E1099" t="s">
        <v>3200</v>
      </c>
      <c r="F1099" s="5">
        <v>45487</v>
      </c>
      <c r="G1099" t="s">
        <v>126</v>
      </c>
      <c r="H1099" t="s">
        <v>1470</v>
      </c>
      <c r="I1099" t="s">
        <v>35</v>
      </c>
      <c r="J1099" t="s">
        <v>159</v>
      </c>
      <c r="K1099" t="s">
        <v>36</v>
      </c>
      <c r="L1099" t="s">
        <v>19</v>
      </c>
      <c r="M1099" t="s">
        <v>19</v>
      </c>
      <c r="N1099">
        <v>1</v>
      </c>
      <c r="O1099">
        <v>272</v>
      </c>
      <c r="P1099">
        <v>499</v>
      </c>
      <c r="Q1099">
        <v>20</v>
      </c>
      <c r="R1099">
        <v>100</v>
      </c>
      <c r="S1099">
        <v>399</v>
      </c>
      <c r="T1099">
        <v>127</v>
      </c>
      <c r="U1099">
        <v>31.83</v>
      </c>
      <c r="V1099" t="s">
        <v>21</v>
      </c>
    </row>
    <row r="1100" spans="1:22" x14ac:dyDescent="0.35">
      <c r="A1100" t="s">
        <v>3199</v>
      </c>
      <c r="B1100" t="s">
        <v>81</v>
      </c>
      <c r="C1100" t="s">
        <v>27</v>
      </c>
      <c r="D1100" t="s">
        <v>3198</v>
      </c>
      <c r="E1100" t="s">
        <v>3197</v>
      </c>
      <c r="F1100" s="5">
        <v>45648</v>
      </c>
      <c r="G1100" t="s">
        <v>126</v>
      </c>
      <c r="H1100" t="s">
        <v>3196</v>
      </c>
      <c r="I1100" t="s">
        <v>17</v>
      </c>
      <c r="J1100" t="s">
        <v>55</v>
      </c>
      <c r="K1100" t="s">
        <v>55</v>
      </c>
      <c r="L1100" t="s">
        <v>25</v>
      </c>
      <c r="M1100" t="s">
        <v>20</v>
      </c>
      <c r="N1100">
        <v>5</v>
      </c>
      <c r="O1100">
        <v>222</v>
      </c>
      <c r="P1100">
        <v>399</v>
      </c>
      <c r="Q1100">
        <v>0</v>
      </c>
      <c r="R1100">
        <v>0</v>
      </c>
      <c r="S1100">
        <v>1995</v>
      </c>
      <c r="T1100">
        <v>885</v>
      </c>
      <c r="U1100">
        <v>44.36</v>
      </c>
      <c r="V1100" t="s">
        <v>33</v>
      </c>
    </row>
    <row r="1101" spans="1:22" x14ac:dyDescent="0.35">
      <c r="A1101" t="s">
        <v>3195</v>
      </c>
      <c r="B1101" t="s">
        <v>93</v>
      </c>
      <c r="C1101" t="s">
        <v>16</v>
      </c>
      <c r="D1101" t="s">
        <v>3194</v>
      </c>
      <c r="E1101" t="s">
        <v>3193</v>
      </c>
      <c r="F1101" s="5">
        <v>45561</v>
      </c>
      <c r="G1101" t="s">
        <v>126</v>
      </c>
      <c r="H1101" t="s">
        <v>3192</v>
      </c>
      <c r="I1101" t="s">
        <v>31</v>
      </c>
      <c r="J1101" t="s">
        <v>32</v>
      </c>
      <c r="K1101" t="s">
        <v>32</v>
      </c>
      <c r="L1101" t="s">
        <v>37</v>
      </c>
      <c r="M1101" t="s">
        <v>19</v>
      </c>
      <c r="N1101">
        <v>5</v>
      </c>
      <c r="O1101">
        <v>914</v>
      </c>
      <c r="P1101">
        <v>1499</v>
      </c>
      <c r="Q1101">
        <v>0</v>
      </c>
      <c r="R1101">
        <v>0</v>
      </c>
      <c r="S1101">
        <v>7495</v>
      </c>
      <c r="T1101">
        <v>2925</v>
      </c>
      <c r="U1101">
        <v>39.03</v>
      </c>
      <c r="V1101" t="s">
        <v>21</v>
      </c>
    </row>
    <row r="1102" spans="1:22" x14ac:dyDescent="0.35">
      <c r="A1102" t="s">
        <v>3191</v>
      </c>
      <c r="B1102" t="s">
        <v>86</v>
      </c>
      <c r="C1102" t="s">
        <v>27</v>
      </c>
      <c r="D1102" t="s">
        <v>3190</v>
      </c>
      <c r="E1102" t="s">
        <v>3189</v>
      </c>
      <c r="F1102" s="5">
        <v>45574</v>
      </c>
      <c r="G1102" t="s">
        <v>126</v>
      </c>
      <c r="H1102" t="s">
        <v>552</v>
      </c>
      <c r="I1102" t="s">
        <v>35</v>
      </c>
      <c r="J1102" t="s">
        <v>214</v>
      </c>
      <c r="K1102" t="s">
        <v>87</v>
      </c>
      <c r="L1102" t="s">
        <v>37</v>
      </c>
      <c r="M1102" t="s">
        <v>20</v>
      </c>
      <c r="N1102">
        <v>1</v>
      </c>
      <c r="O1102">
        <v>1507</v>
      </c>
      <c r="P1102">
        <v>2699</v>
      </c>
      <c r="Q1102">
        <v>5</v>
      </c>
      <c r="R1102">
        <v>200</v>
      </c>
      <c r="S1102">
        <v>2499</v>
      </c>
      <c r="T1102">
        <v>992</v>
      </c>
      <c r="U1102">
        <v>39.700000000000003</v>
      </c>
      <c r="V1102" t="s">
        <v>33</v>
      </c>
    </row>
    <row r="1103" spans="1:22" x14ac:dyDescent="0.35">
      <c r="A1103" t="s">
        <v>3188</v>
      </c>
      <c r="B1103" t="s">
        <v>109</v>
      </c>
      <c r="C1103" t="s">
        <v>16</v>
      </c>
      <c r="D1103" t="s">
        <v>3187</v>
      </c>
      <c r="E1103" t="s">
        <v>3186</v>
      </c>
      <c r="F1103" s="5">
        <v>45642</v>
      </c>
      <c r="G1103" t="s">
        <v>126</v>
      </c>
      <c r="H1103" t="s">
        <v>1660</v>
      </c>
      <c r="I1103" t="s">
        <v>17</v>
      </c>
      <c r="J1103" t="s">
        <v>235</v>
      </c>
      <c r="K1103" t="s">
        <v>18</v>
      </c>
      <c r="L1103" t="s">
        <v>37</v>
      </c>
      <c r="M1103" t="s">
        <v>19</v>
      </c>
      <c r="N1103">
        <v>1</v>
      </c>
      <c r="O1103">
        <v>374</v>
      </c>
      <c r="P1103">
        <v>499</v>
      </c>
      <c r="Q1103">
        <v>0</v>
      </c>
      <c r="R1103">
        <v>0</v>
      </c>
      <c r="S1103">
        <v>499</v>
      </c>
      <c r="T1103">
        <v>125</v>
      </c>
      <c r="U1103">
        <v>25.05</v>
      </c>
      <c r="V1103" t="s">
        <v>21</v>
      </c>
    </row>
    <row r="1104" spans="1:22" x14ac:dyDescent="0.35">
      <c r="A1104" t="s">
        <v>3185</v>
      </c>
      <c r="B1104" t="s">
        <v>97</v>
      </c>
      <c r="C1104" t="s">
        <v>16</v>
      </c>
      <c r="D1104" t="s">
        <v>3184</v>
      </c>
      <c r="E1104" t="s">
        <v>3183</v>
      </c>
      <c r="F1104" s="5">
        <v>45526</v>
      </c>
      <c r="G1104" t="s">
        <v>126</v>
      </c>
      <c r="H1104" t="s">
        <v>3182</v>
      </c>
      <c r="I1104" t="s">
        <v>31</v>
      </c>
      <c r="J1104" t="s">
        <v>76</v>
      </c>
      <c r="K1104" t="s">
        <v>76</v>
      </c>
      <c r="L1104" t="s">
        <v>37</v>
      </c>
      <c r="M1104" t="s">
        <v>19</v>
      </c>
      <c r="N1104">
        <v>2</v>
      </c>
      <c r="O1104">
        <v>1075</v>
      </c>
      <c r="P1104">
        <v>1499</v>
      </c>
      <c r="Q1104">
        <v>0</v>
      </c>
      <c r="R1104">
        <v>0</v>
      </c>
      <c r="S1104">
        <v>2998</v>
      </c>
      <c r="T1104">
        <v>848</v>
      </c>
      <c r="U1104">
        <v>28.29</v>
      </c>
      <c r="V1104" t="s">
        <v>21</v>
      </c>
    </row>
    <row r="1105" spans="1:22" x14ac:dyDescent="0.35">
      <c r="A1105" t="s">
        <v>3181</v>
      </c>
      <c r="B1105" t="s">
        <v>89</v>
      </c>
      <c r="C1105" t="s">
        <v>16</v>
      </c>
      <c r="D1105" t="s">
        <v>3180</v>
      </c>
      <c r="E1105" t="s">
        <v>3179</v>
      </c>
      <c r="F1105" s="5">
        <v>45612</v>
      </c>
      <c r="G1105" t="s">
        <v>126</v>
      </c>
      <c r="H1105" t="s">
        <v>473</v>
      </c>
      <c r="I1105" t="s">
        <v>31</v>
      </c>
      <c r="J1105" t="s">
        <v>76</v>
      </c>
      <c r="K1105" t="s">
        <v>76</v>
      </c>
      <c r="L1105" t="s">
        <v>37</v>
      </c>
      <c r="M1105" t="s">
        <v>20</v>
      </c>
      <c r="N1105">
        <v>2</v>
      </c>
      <c r="O1105">
        <v>936</v>
      </c>
      <c r="P1105">
        <v>1499</v>
      </c>
      <c r="Q1105">
        <v>0</v>
      </c>
      <c r="R1105">
        <v>0</v>
      </c>
      <c r="S1105">
        <v>2998</v>
      </c>
      <c r="T1105">
        <v>1126</v>
      </c>
      <c r="U1105">
        <v>37.56</v>
      </c>
      <c r="V1105" t="s">
        <v>33</v>
      </c>
    </row>
    <row r="1106" spans="1:22" x14ac:dyDescent="0.35">
      <c r="A1106" t="s">
        <v>3178</v>
      </c>
      <c r="B1106" t="s">
        <v>80</v>
      </c>
      <c r="C1106" t="s">
        <v>27</v>
      </c>
      <c r="D1106" t="s">
        <v>3177</v>
      </c>
      <c r="E1106" t="s">
        <v>3176</v>
      </c>
      <c r="F1106" s="5">
        <v>45454</v>
      </c>
      <c r="G1106" t="s">
        <v>126</v>
      </c>
      <c r="H1106" t="s">
        <v>1077</v>
      </c>
      <c r="I1106" t="s">
        <v>28</v>
      </c>
      <c r="J1106" t="s">
        <v>45</v>
      </c>
      <c r="K1106" t="s">
        <v>45</v>
      </c>
      <c r="L1106" t="s">
        <v>37</v>
      </c>
      <c r="M1106" t="s">
        <v>20</v>
      </c>
      <c r="N1106">
        <v>1</v>
      </c>
      <c r="O1106">
        <v>1094</v>
      </c>
      <c r="P1106">
        <v>1499</v>
      </c>
      <c r="Q1106">
        <v>20</v>
      </c>
      <c r="R1106">
        <v>300</v>
      </c>
      <c r="S1106">
        <v>1199</v>
      </c>
      <c r="T1106">
        <v>105</v>
      </c>
      <c r="U1106">
        <v>8.76</v>
      </c>
      <c r="V1106" t="s">
        <v>33</v>
      </c>
    </row>
    <row r="1107" spans="1:22" x14ac:dyDescent="0.35">
      <c r="A1107" t="s">
        <v>3175</v>
      </c>
      <c r="B1107" t="s">
        <v>91</v>
      </c>
      <c r="C1107" t="s">
        <v>16</v>
      </c>
      <c r="D1107" t="s">
        <v>3174</v>
      </c>
      <c r="E1107" t="s">
        <v>3173</v>
      </c>
      <c r="F1107" s="5">
        <v>45586</v>
      </c>
      <c r="G1107" t="s">
        <v>126</v>
      </c>
      <c r="H1107" t="s">
        <v>197</v>
      </c>
      <c r="I1107" t="s">
        <v>17</v>
      </c>
      <c r="J1107" t="s">
        <v>55</v>
      </c>
      <c r="K1107" t="s">
        <v>55</v>
      </c>
      <c r="L1107" t="s">
        <v>25</v>
      </c>
      <c r="M1107" t="s">
        <v>20</v>
      </c>
      <c r="N1107">
        <v>1</v>
      </c>
      <c r="O1107">
        <v>278</v>
      </c>
      <c r="P1107">
        <v>499</v>
      </c>
      <c r="Q1107">
        <v>0</v>
      </c>
      <c r="R1107">
        <v>0</v>
      </c>
      <c r="S1107">
        <v>499</v>
      </c>
      <c r="T1107">
        <v>221</v>
      </c>
      <c r="U1107">
        <v>44.29</v>
      </c>
      <c r="V1107" t="s">
        <v>21</v>
      </c>
    </row>
    <row r="1108" spans="1:22" x14ac:dyDescent="0.35">
      <c r="A1108" t="s">
        <v>3172</v>
      </c>
      <c r="B1108" t="s">
        <v>86</v>
      </c>
      <c r="C1108" t="s">
        <v>27</v>
      </c>
      <c r="D1108" t="s">
        <v>3171</v>
      </c>
      <c r="E1108" t="s">
        <v>3170</v>
      </c>
      <c r="F1108" s="5">
        <v>45597</v>
      </c>
      <c r="G1108" t="s">
        <v>126</v>
      </c>
      <c r="H1108" t="s">
        <v>2006</v>
      </c>
      <c r="I1108" t="s">
        <v>31</v>
      </c>
      <c r="J1108" t="s">
        <v>32</v>
      </c>
      <c r="K1108" t="s">
        <v>32</v>
      </c>
      <c r="L1108" t="s">
        <v>37</v>
      </c>
      <c r="M1108" t="s">
        <v>19</v>
      </c>
      <c r="N1108">
        <v>2</v>
      </c>
      <c r="O1108">
        <v>490</v>
      </c>
      <c r="P1108">
        <v>899</v>
      </c>
      <c r="Q1108">
        <v>0</v>
      </c>
      <c r="R1108">
        <v>0</v>
      </c>
      <c r="S1108">
        <v>1798</v>
      </c>
      <c r="T1108">
        <v>818</v>
      </c>
      <c r="U1108">
        <v>45.49</v>
      </c>
      <c r="V1108" t="s">
        <v>21</v>
      </c>
    </row>
    <row r="1109" spans="1:22" x14ac:dyDescent="0.35">
      <c r="A1109" t="s">
        <v>3169</v>
      </c>
      <c r="B1109" t="s">
        <v>77</v>
      </c>
      <c r="C1109" t="s">
        <v>27</v>
      </c>
      <c r="D1109" t="s">
        <v>3168</v>
      </c>
      <c r="E1109" t="s">
        <v>3167</v>
      </c>
      <c r="F1109" s="5">
        <v>45581</v>
      </c>
      <c r="G1109" t="s">
        <v>126</v>
      </c>
      <c r="H1109" t="s">
        <v>3166</v>
      </c>
      <c r="I1109" t="s">
        <v>23</v>
      </c>
      <c r="J1109" t="s">
        <v>142</v>
      </c>
      <c r="K1109" t="s">
        <v>43</v>
      </c>
      <c r="L1109" t="s">
        <v>37</v>
      </c>
      <c r="M1109" t="s">
        <v>19</v>
      </c>
      <c r="N1109">
        <v>1</v>
      </c>
      <c r="O1109">
        <v>1694</v>
      </c>
      <c r="P1109">
        <v>2499</v>
      </c>
      <c r="Q1109">
        <v>20</v>
      </c>
      <c r="R1109">
        <v>500</v>
      </c>
      <c r="S1109">
        <v>1999</v>
      </c>
      <c r="T1109">
        <v>305</v>
      </c>
      <c r="U1109">
        <v>15.26</v>
      </c>
      <c r="V1109" t="s">
        <v>21</v>
      </c>
    </row>
    <row r="1110" spans="1:22" x14ac:dyDescent="0.35">
      <c r="A1110" t="s">
        <v>3165</v>
      </c>
      <c r="B1110" t="s">
        <v>53</v>
      </c>
      <c r="C1110" t="s">
        <v>27</v>
      </c>
      <c r="D1110" t="s">
        <v>3164</v>
      </c>
      <c r="E1110" t="s">
        <v>3163</v>
      </c>
      <c r="F1110" s="5">
        <v>45592</v>
      </c>
      <c r="G1110" t="s">
        <v>126</v>
      </c>
      <c r="H1110" t="s">
        <v>3162</v>
      </c>
      <c r="I1110" t="s">
        <v>35</v>
      </c>
      <c r="J1110" t="s">
        <v>41</v>
      </c>
      <c r="K1110" t="s">
        <v>41</v>
      </c>
      <c r="L1110" t="s">
        <v>37</v>
      </c>
      <c r="M1110" t="s">
        <v>20</v>
      </c>
      <c r="N1110">
        <v>1</v>
      </c>
      <c r="O1110">
        <v>626</v>
      </c>
      <c r="P1110">
        <v>899</v>
      </c>
      <c r="Q1110">
        <v>10</v>
      </c>
      <c r="R1110">
        <v>100</v>
      </c>
      <c r="S1110">
        <v>799</v>
      </c>
      <c r="T1110">
        <v>173</v>
      </c>
      <c r="U1110">
        <v>21.65</v>
      </c>
      <c r="V1110" t="s">
        <v>33</v>
      </c>
    </row>
    <row r="1111" spans="1:22" x14ac:dyDescent="0.35">
      <c r="A1111" t="s">
        <v>3161</v>
      </c>
      <c r="B1111" t="s">
        <v>80</v>
      </c>
      <c r="C1111" t="s">
        <v>27</v>
      </c>
      <c r="D1111" t="s">
        <v>3160</v>
      </c>
      <c r="E1111" t="s">
        <v>3159</v>
      </c>
      <c r="F1111" s="5">
        <v>45490</v>
      </c>
      <c r="G1111" t="s">
        <v>126</v>
      </c>
      <c r="H1111" t="s">
        <v>2347</v>
      </c>
      <c r="I1111" t="s">
        <v>23</v>
      </c>
      <c r="J1111" t="s">
        <v>164</v>
      </c>
      <c r="K1111" t="s">
        <v>24</v>
      </c>
      <c r="L1111" t="s">
        <v>19</v>
      </c>
      <c r="M1111" t="s">
        <v>20</v>
      </c>
      <c r="N1111">
        <v>2</v>
      </c>
      <c r="O1111">
        <v>838</v>
      </c>
      <c r="P1111">
        <v>1199</v>
      </c>
      <c r="Q1111">
        <v>10</v>
      </c>
      <c r="R1111">
        <v>400</v>
      </c>
      <c r="S1111">
        <v>1998</v>
      </c>
      <c r="T1111">
        <v>322</v>
      </c>
      <c r="U1111">
        <v>16.12</v>
      </c>
      <c r="V1111" t="s">
        <v>21</v>
      </c>
    </row>
    <row r="1112" spans="1:22" x14ac:dyDescent="0.35">
      <c r="A1112" t="s">
        <v>3158</v>
      </c>
      <c r="B1112" t="s">
        <v>61</v>
      </c>
      <c r="C1112" t="s">
        <v>27</v>
      </c>
      <c r="D1112" t="s">
        <v>3157</v>
      </c>
      <c r="E1112" t="s">
        <v>3156</v>
      </c>
      <c r="F1112" s="5">
        <v>45509</v>
      </c>
      <c r="G1112" t="s">
        <v>126</v>
      </c>
      <c r="H1112" t="s">
        <v>3155</v>
      </c>
      <c r="I1112" t="s">
        <v>31</v>
      </c>
      <c r="J1112" t="s">
        <v>32</v>
      </c>
      <c r="K1112" t="s">
        <v>32</v>
      </c>
      <c r="L1112" t="s">
        <v>25</v>
      </c>
      <c r="M1112" t="s">
        <v>20</v>
      </c>
      <c r="N1112">
        <v>5</v>
      </c>
      <c r="O1112">
        <v>521</v>
      </c>
      <c r="P1112">
        <v>999</v>
      </c>
      <c r="Q1112">
        <v>0</v>
      </c>
      <c r="R1112">
        <v>0</v>
      </c>
      <c r="S1112">
        <v>4995</v>
      </c>
      <c r="T1112">
        <v>2390</v>
      </c>
      <c r="U1112">
        <v>47.85</v>
      </c>
      <c r="V1112" t="s">
        <v>21</v>
      </c>
    </row>
    <row r="1113" spans="1:22" x14ac:dyDescent="0.35">
      <c r="A1113" t="s">
        <v>3154</v>
      </c>
      <c r="B1113" t="s">
        <v>89</v>
      </c>
      <c r="C1113" t="s">
        <v>16</v>
      </c>
      <c r="D1113" t="s">
        <v>3153</v>
      </c>
      <c r="E1113" t="s">
        <v>3152</v>
      </c>
      <c r="F1113" s="5">
        <v>45554</v>
      </c>
      <c r="G1113" t="s">
        <v>126</v>
      </c>
      <c r="H1113" t="s">
        <v>3151</v>
      </c>
      <c r="I1113" t="s">
        <v>17</v>
      </c>
      <c r="J1113" t="s">
        <v>235</v>
      </c>
      <c r="K1113" t="s">
        <v>18</v>
      </c>
      <c r="L1113" t="s">
        <v>25</v>
      </c>
      <c r="M1113" t="s">
        <v>20</v>
      </c>
      <c r="N1113">
        <v>4</v>
      </c>
      <c r="O1113">
        <v>410</v>
      </c>
      <c r="P1113">
        <v>599</v>
      </c>
      <c r="Q1113">
        <v>0</v>
      </c>
      <c r="R1113">
        <v>0</v>
      </c>
      <c r="S1113">
        <v>2396</v>
      </c>
      <c r="T1113">
        <v>756</v>
      </c>
      <c r="U1113">
        <v>31.55</v>
      </c>
      <c r="V1113" t="s">
        <v>21</v>
      </c>
    </row>
    <row r="1114" spans="1:22" x14ac:dyDescent="0.35">
      <c r="A1114" t="s">
        <v>3150</v>
      </c>
      <c r="B1114" t="s">
        <v>92</v>
      </c>
      <c r="C1114" t="s">
        <v>27</v>
      </c>
      <c r="D1114" t="s">
        <v>3149</v>
      </c>
      <c r="E1114" t="s">
        <v>3148</v>
      </c>
      <c r="F1114" s="5">
        <v>45558</v>
      </c>
      <c r="G1114" t="s">
        <v>126</v>
      </c>
      <c r="H1114" t="s">
        <v>3147</v>
      </c>
      <c r="I1114" t="s">
        <v>17</v>
      </c>
      <c r="J1114" t="s">
        <v>253</v>
      </c>
      <c r="K1114" t="s">
        <v>72</v>
      </c>
      <c r="L1114" t="s">
        <v>25</v>
      </c>
      <c r="M1114" t="s">
        <v>20</v>
      </c>
      <c r="N1114">
        <v>2</v>
      </c>
      <c r="O1114">
        <v>249</v>
      </c>
      <c r="P1114">
        <v>399</v>
      </c>
      <c r="Q1114">
        <v>0</v>
      </c>
      <c r="R1114">
        <v>0</v>
      </c>
      <c r="S1114">
        <v>798</v>
      </c>
      <c r="T1114">
        <v>300</v>
      </c>
      <c r="U1114">
        <v>37.590000000000003</v>
      </c>
      <c r="V1114" t="s">
        <v>21</v>
      </c>
    </row>
    <row r="1115" spans="1:22" x14ac:dyDescent="0.35">
      <c r="A1115" t="s">
        <v>3146</v>
      </c>
      <c r="B1115" t="s">
        <v>103</v>
      </c>
      <c r="C1115" t="s">
        <v>16</v>
      </c>
      <c r="D1115" t="s">
        <v>3145</v>
      </c>
      <c r="E1115" t="s">
        <v>3144</v>
      </c>
      <c r="F1115" s="5">
        <v>45515</v>
      </c>
      <c r="G1115" t="s">
        <v>126</v>
      </c>
      <c r="H1115" t="s">
        <v>791</v>
      </c>
      <c r="I1115" t="s">
        <v>17</v>
      </c>
      <c r="J1115" t="s">
        <v>253</v>
      </c>
      <c r="K1115" t="s">
        <v>72</v>
      </c>
      <c r="L1115" t="s">
        <v>37</v>
      </c>
      <c r="M1115" t="s">
        <v>19</v>
      </c>
      <c r="N1115">
        <v>1</v>
      </c>
      <c r="O1115">
        <v>359</v>
      </c>
      <c r="P1115">
        <v>499</v>
      </c>
      <c r="Q1115">
        <v>0</v>
      </c>
      <c r="R1115">
        <v>0</v>
      </c>
      <c r="S1115">
        <v>499</v>
      </c>
      <c r="T1115">
        <v>140</v>
      </c>
      <c r="U1115">
        <v>28.06</v>
      </c>
      <c r="V1115" t="s">
        <v>33</v>
      </c>
    </row>
    <row r="1116" spans="1:22" x14ac:dyDescent="0.35">
      <c r="A1116" t="s">
        <v>3143</v>
      </c>
      <c r="B1116" t="s">
        <v>99</v>
      </c>
      <c r="C1116" t="s">
        <v>27</v>
      </c>
      <c r="D1116" t="s">
        <v>3142</v>
      </c>
      <c r="E1116" t="s">
        <v>3141</v>
      </c>
      <c r="F1116" s="5">
        <v>45591</v>
      </c>
      <c r="G1116" t="s">
        <v>126</v>
      </c>
      <c r="H1116" t="s">
        <v>3140</v>
      </c>
      <c r="I1116" t="s">
        <v>17</v>
      </c>
      <c r="J1116" t="s">
        <v>55</v>
      </c>
      <c r="K1116" t="s">
        <v>55</v>
      </c>
      <c r="L1116" t="s">
        <v>25</v>
      </c>
      <c r="M1116" t="s">
        <v>20</v>
      </c>
      <c r="N1116">
        <v>5</v>
      </c>
      <c r="O1116">
        <v>393</v>
      </c>
      <c r="P1116">
        <v>599</v>
      </c>
      <c r="Q1116">
        <v>0</v>
      </c>
      <c r="R1116">
        <v>0</v>
      </c>
      <c r="S1116">
        <v>2995</v>
      </c>
      <c r="T1116">
        <v>1030</v>
      </c>
      <c r="U1116">
        <v>34.39</v>
      </c>
      <c r="V1116" t="s">
        <v>21</v>
      </c>
    </row>
    <row r="1117" spans="1:22" x14ac:dyDescent="0.35">
      <c r="A1117" t="s">
        <v>3139</v>
      </c>
      <c r="B1117" t="s">
        <v>85</v>
      </c>
      <c r="C1117" t="s">
        <v>27</v>
      </c>
      <c r="D1117" t="s">
        <v>3138</v>
      </c>
      <c r="E1117" t="s">
        <v>3137</v>
      </c>
      <c r="F1117" s="5">
        <v>45565</v>
      </c>
      <c r="G1117" t="s">
        <v>126</v>
      </c>
      <c r="H1117" t="s">
        <v>3136</v>
      </c>
      <c r="I1117" t="s">
        <v>17</v>
      </c>
      <c r="J1117" t="s">
        <v>253</v>
      </c>
      <c r="K1117" t="s">
        <v>72</v>
      </c>
      <c r="L1117" t="s">
        <v>19</v>
      </c>
      <c r="M1117" t="s">
        <v>20</v>
      </c>
      <c r="N1117">
        <v>5</v>
      </c>
      <c r="O1117">
        <v>271</v>
      </c>
      <c r="P1117">
        <v>399</v>
      </c>
      <c r="Q1117">
        <v>0</v>
      </c>
      <c r="R1117">
        <v>0</v>
      </c>
      <c r="S1117">
        <v>1995</v>
      </c>
      <c r="T1117">
        <v>640</v>
      </c>
      <c r="U1117">
        <v>32.08</v>
      </c>
      <c r="V1117" t="s">
        <v>21</v>
      </c>
    </row>
    <row r="1118" spans="1:22" x14ac:dyDescent="0.35">
      <c r="A1118" t="s">
        <v>3135</v>
      </c>
      <c r="B1118" t="s">
        <v>26</v>
      </c>
      <c r="C1118" t="s">
        <v>27</v>
      </c>
      <c r="D1118" t="s">
        <v>3134</v>
      </c>
      <c r="E1118" t="s">
        <v>3133</v>
      </c>
      <c r="F1118" s="5">
        <v>45653</v>
      </c>
      <c r="G1118" t="s">
        <v>126</v>
      </c>
      <c r="H1118" t="s">
        <v>2097</v>
      </c>
      <c r="I1118" t="s">
        <v>35</v>
      </c>
      <c r="J1118" t="s">
        <v>244</v>
      </c>
      <c r="K1118" t="s">
        <v>58</v>
      </c>
      <c r="L1118" t="s">
        <v>37</v>
      </c>
      <c r="M1118" t="s">
        <v>19</v>
      </c>
      <c r="N1118">
        <v>4</v>
      </c>
      <c r="O1118">
        <v>1138</v>
      </c>
      <c r="P1118">
        <v>1899</v>
      </c>
      <c r="Q1118">
        <v>20</v>
      </c>
      <c r="R1118">
        <v>1600</v>
      </c>
      <c r="S1118">
        <v>5996</v>
      </c>
      <c r="T1118">
        <v>1444</v>
      </c>
      <c r="U1118">
        <v>24.08</v>
      </c>
      <c r="V1118" t="s">
        <v>21</v>
      </c>
    </row>
    <row r="1119" spans="1:22" x14ac:dyDescent="0.35">
      <c r="A1119" t="s">
        <v>3132</v>
      </c>
      <c r="B1119" t="s">
        <v>91</v>
      </c>
      <c r="C1119" t="s">
        <v>16</v>
      </c>
      <c r="D1119" t="s">
        <v>3131</v>
      </c>
      <c r="E1119" t="s">
        <v>408</v>
      </c>
      <c r="F1119" s="5">
        <v>45469</v>
      </c>
      <c r="G1119" t="s">
        <v>126</v>
      </c>
      <c r="H1119" t="s">
        <v>3130</v>
      </c>
      <c r="I1119" t="s">
        <v>35</v>
      </c>
      <c r="J1119" t="s">
        <v>244</v>
      </c>
      <c r="K1119" t="s">
        <v>58</v>
      </c>
      <c r="L1119" t="s">
        <v>19</v>
      </c>
      <c r="M1119" t="s">
        <v>20</v>
      </c>
      <c r="N1119">
        <v>1</v>
      </c>
      <c r="O1119">
        <v>1505</v>
      </c>
      <c r="P1119">
        <v>2399</v>
      </c>
      <c r="Q1119">
        <v>15</v>
      </c>
      <c r="R1119">
        <v>400</v>
      </c>
      <c r="S1119">
        <v>1999</v>
      </c>
      <c r="T1119">
        <v>494</v>
      </c>
      <c r="U1119">
        <v>24.71</v>
      </c>
      <c r="V1119" t="s">
        <v>21</v>
      </c>
    </row>
    <row r="1120" spans="1:22" x14ac:dyDescent="0.35">
      <c r="A1120" t="s">
        <v>3129</v>
      </c>
      <c r="B1120" t="s">
        <v>46</v>
      </c>
      <c r="C1120" t="s">
        <v>16</v>
      </c>
      <c r="D1120" t="s">
        <v>3128</v>
      </c>
      <c r="E1120" t="s">
        <v>3127</v>
      </c>
      <c r="F1120" s="5">
        <v>45571</v>
      </c>
      <c r="G1120" t="s">
        <v>126</v>
      </c>
      <c r="H1120" t="s">
        <v>310</v>
      </c>
      <c r="I1120" t="s">
        <v>28</v>
      </c>
      <c r="J1120" t="s">
        <v>201</v>
      </c>
      <c r="K1120" t="s">
        <v>29</v>
      </c>
      <c r="L1120" t="s">
        <v>25</v>
      </c>
      <c r="M1120" t="s">
        <v>20</v>
      </c>
      <c r="N1120">
        <v>1</v>
      </c>
      <c r="O1120">
        <v>349</v>
      </c>
      <c r="P1120">
        <v>499</v>
      </c>
      <c r="Q1120">
        <v>10</v>
      </c>
      <c r="R1120">
        <v>100</v>
      </c>
      <c r="S1120">
        <v>399</v>
      </c>
      <c r="T1120">
        <v>50</v>
      </c>
      <c r="U1120">
        <v>12.53</v>
      </c>
      <c r="V1120" t="s">
        <v>21</v>
      </c>
    </row>
    <row r="1121" spans="1:22" x14ac:dyDescent="0.35">
      <c r="A1121" t="s">
        <v>3126</v>
      </c>
      <c r="B1121" t="s">
        <v>95</v>
      </c>
      <c r="C1121" t="s">
        <v>27</v>
      </c>
      <c r="D1121" t="s">
        <v>3125</v>
      </c>
      <c r="E1121" t="s">
        <v>3124</v>
      </c>
      <c r="F1121" s="5">
        <v>45614</v>
      </c>
      <c r="G1121" t="s">
        <v>126</v>
      </c>
      <c r="H1121" t="s">
        <v>1422</v>
      </c>
      <c r="I1121" t="s">
        <v>35</v>
      </c>
      <c r="J1121" t="s">
        <v>41</v>
      </c>
      <c r="K1121" t="s">
        <v>41</v>
      </c>
      <c r="L1121" t="s">
        <v>37</v>
      </c>
      <c r="M1121" t="s">
        <v>20</v>
      </c>
      <c r="N1121">
        <v>2</v>
      </c>
      <c r="O1121">
        <v>612</v>
      </c>
      <c r="P1121">
        <v>999</v>
      </c>
      <c r="Q1121">
        <v>20</v>
      </c>
      <c r="R1121">
        <v>400</v>
      </c>
      <c r="S1121">
        <v>1598</v>
      </c>
      <c r="T1121">
        <v>374</v>
      </c>
      <c r="U1121">
        <v>23.4</v>
      </c>
      <c r="V1121" t="s">
        <v>21</v>
      </c>
    </row>
    <row r="1122" spans="1:22" x14ac:dyDescent="0.35">
      <c r="A1122" t="s">
        <v>3123</v>
      </c>
      <c r="B1122" t="s">
        <v>30</v>
      </c>
      <c r="C1122" t="s">
        <v>16</v>
      </c>
      <c r="D1122" t="s">
        <v>3122</v>
      </c>
      <c r="E1122" t="s">
        <v>3121</v>
      </c>
      <c r="F1122" s="5">
        <v>45552</v>
      </c>
      <c r="G1122" t="s">
        <v>126</v>
      </c>
      <c r="H1122" t="s">
        <v>1906</v>
      </c>
      <c r="I1122" t="s">
        <v>31</v>
      </c>
      <c r="J1122" t="s">
        <v>76</v>
      </c>
      <c r="K1122" t="s">
        <v>76</v>
      </c>
      <c r="L1122" t="s">
        <v>25</v>
      </c>
      <c r="M1122" t="s">
        <v>19</v>
      </c>
      <c r="N1122">
        <v>2</v>
      </c>
      <c r="O1122">
        <v>1100</v>
      </c>
      <c r="P1122">
        <v>1499</v>
      </c>
      <c r="Q1122">
        <v>0</v>
      </c>
      <c r="R1122">
        <v>0</v>
      </c>
      <c r="S1122">
        <v>2998</v>
      </c>
      <c r="T1122">
        <v>798</v>
      </c>
      <c r="U1122">
        <v>26.62</v>
      </c>
      <c r="V1122" t="s">
        <v>21</v>
      </c>
    </row>
    <row r="1123" spans="1:22" x14ac:dyDescent="0.35">
      <c r="A1123" t="s">
        <v>3120</v>
      </c>
      <c r="B1123" t="s">
        <v>106</v>
      </c>
      <c r="C1123" t="s">
        <v>27</v>
      </c>
      <c r="D1123" t="s">
        <v>3119</v>
      </c>
      <c r="E1123" t="s">
        <v>3118</v>
      </c>
      <c r="F1123" s="5">
        <v>45553</v>
      </c>
      <c r="G1123" t="s">
        <v>126</v>
      </c>
      <c r="H1123" t="s">
        <v>3117</v>
      </c>
      <c r="I1123" t="s">
        <v>35</v>
      </c>
      <c r="J1123" t="s">
        <v>159</v>
      </c>
      <c r="K1123" t="s">
        <v>100</v>
      </c>
      <c r="L1123" t="s">
        <v>19</v>
      </c>
      <c r="M1123" t="s">
        <v>19</v>
      </c>
      <c r="N1123">
        <v>2</v>
      </c>
      <c r="O1123">
        <v>1186</v>
      </c>
      <c r="P1123">
        <v>2199</v>
      </c>
      <c r="Q1123">
        <v>5</v>
      </c>
      <c r="R1123">
        <v>400</v>
      </c>
      <c r="S1123">
        <v>3998</v>
      </c>
      <c r="T1123">
        <v>1626</v>
      </c>
      <c r="U1123">
        <v>40.67</v>
      </c>
      <c r="V1123" t="s">
        <v>21</v>
      </c>
    </row>
    <row r="1124" spans="1:22" x14ac:dyDescent="0.35">
      <c r="A1124" t="s">
        <v>3116</v>
      </c>
      <c r="B1124" t="s">
        <v>34</v>
      </c>
      <c r="C1124" t="s">
        <v>27</v>
      </c>
      <c r="D1124" t="s">
        <v>3115</v>
      </c>
      <c r="E1124" t="s">
        <v>3114</v>
      </c>
      <c r="F1124" s="5">
        <v>45513</v>
      </c>
      <c r="G1124" t="s">
        <v>126</v>
      </c>
      <c r="H1124" t="s">
        <v>3113</v>
      </c>
      <c r="I1124" t="s">
        <v>35</v>
      </c>
      <c r="J1124" t="s">
        <v>214</v>
      </c>
      <c r="K1124" t="s">
        <v>87</v>
      </c>
      <c r="L1124" t="s">
        <v>19</v>
      </c>
      <c r="M1124" t="s">
        <v>19</v>
      </c>
      <c r="N1124">
        <v>4</v>
      </c>
      <c r="O1124">
        <v>1561</v>
      </c>
      <c r="P1124">
        <v>2199</v>
      </c>
      <c r="Q1124">
        <v>5</v>
      </c>
      <c r="R1124">
        <v>800</v>
      </c>
      <c r="S1124">
        <v>7996</v>
      </c>
      <c r="T1124">
        <v>1752</v>
      </c>
      <c r="U1124">
        <v>21.91</v>
      </c>
      <c r="V1124" t="s">
        <v>21</v>
      </c>
    </row>
    <row r="1125" spans="1:22" x14ac:dyDescent="0.35">
      <c r="A1125" t="s">
        <v>3112</v>
      </c>
      <c r="B1125" t="s">
        <v>15</v>
      </c>
      <c r="C1125" t="s">
        <v>16</v>
      </c>
      <c r="D1125" t="s">
        <v>3111</v>
      </c>
      <c r="E1125" t="s">
        <v>203</v>
      </c>
      <c r="F1125" s="5">
        <v>45540</v>
      </c>
      <c r="G1125" t="s">
        <v>126</v>
      </c>
      <c r="H1125" t="s">
        <v>3110</v>
      </c>
      <c r="I1125" t="s">
        <v>35</v>
      </c>
      <c r="J1125" t="s">
        <v>39</v>
      </c>
      <c r="K1125" t="s">
        <v>39</v>
      </c>
      <c r="L1125" t="s">
        <v>19</v>
      </c>
      <c r="M1125" t="s">
        <v>19</v>
      </c>
      <c r="N1125">
        <v>2</v>
      </c>
      <c r="O1125">
        <v>959</v>
      </c>
      <c r="P1125">
        <v>1399</v>
      </c>
      <c r="Q1125">
        <v>5</v>
      </c>
      <c r="R1125">
        <v>200</v>
      </c>
      <c r="S1125">
        <v>2598</v>
      </c>
      <c r="T1125">
        <v>680</v>
      </c>
      <c r="U1125">
        <v>26.17</v>
      </c>
      <c r="V1125" t="s">
        <v>33</v>
      </c>
    </row>
    <row r="1126" spans="1:22" x14ac:dyDescent="0.35">
      <c r="A1126" t="s">
        <v>3109</v>
      </c>
      <c r="B1126" t="s">
        <v>108</v>
      </c>
      <c r="C1126" t="s">
        <v>27</v>
      </c>
      <c r="D1126" t="s">
        <v>3108</v>
      </c>
      <c r="E1126" t="s">
        <v>3107</v>
      </c>
      <c r="F1126" s="5">
        <v>45579</v>
      </c>
      <c r="G1126" t="s">
        <v>126</v>
      </c>
      <c r="H1126" t="s">
        <v>236</v>
      </c>
      <c r="I1126" t="s">
        <v>17</v>
      </c>
      <c r="J1126" t="s">
        <v>253</v>
      </c>
      <c r="K1126" t="s">
        <v>72</v>
      </c>
      <c r="L1126" t="s">
        <v>37</v>
      </c>
      <c r="M1126" t="s">
        <v>20</v>
      </c>
      <c r="N1126">
        <v>4</v>
      </c>
      <c r="O1126">
        <v>303</v>
      </c>
      <c r="P1126">
        <v>499</v>
      </c>
      <c r="Q1126">
        <v>0</v>
      </c>
      <c r="R1126">
        <v>0</v>
      </c>
      <c r="S1126">
        <v>1996</v>
      </c>
      <c r="T1126">
        <v>784</v>
      </c>
      <c r="U1126">
        <v>39.28</v>
      </c>
      <c r="V1126" t="s">
        <v>21</v>
      </c>
    </row>
    <row r="1127" spans="1:22" x14ac:dyDescent="0.35">
      <c r="A1127" t="s">
        <v>3106</v>
      </c>
      <c r="B1127" t="s">
        <v>78</v>
      </c>
      <c r="C1127" t="s">
        <v>16</v>
      </c>
      <c r="D1127" t="s">
        <v>3105</v>
      </c>
      <c r="E1127" t="s">
        <v>3104</v>
      </c>
      <c r="F1127" s="5">
        <v>45583</v>
      </c>
      <c r="G1127" t="s">
        <v>126</v>
      </c>
      <c r="H1127" t="s">
        <v>3103</v>
      </c>
      <c r="I1127" t="s">
        <v>28</v>
      </c>
      <c r="J1127" t="s">
        <v>45</v>
      </c>
      <c r="K1127" t="s">
        <v>45</v>
      </c>
      <c r="L1127" t="s">
        <v>37</v>
      </c>
      <c r="M1127" t="s">
        <v>20</v>
      </c>
      <c r="N1127">
        <v>2</v>
      </c>
      <c r="O1127">
        <v>1398</v>
      </c>
      <c r="P1127">
        <v>1999</v>
      </c>
      <c r="Q1127">
        <v>10</v>
      </c>
      <c r="R1127">
        <v>400</v>
      </c>
      <c r="S1127">
        <v>3598</v>
      </c>
      <c r="T1127">
        <v>802</v>
      </c>
      <c r="U1127">
        <v>22.29</v>
      </c>
      <c r="V1127" t="s">
        <v>21</v>
      </c>
    </row>
    <row r="1128" spans="1:22" x14ac:dyDescent="0.35">
      <c r="A1128" t="s">
        <v>3102</v>
      </c>
      <c r="B1128" t="s">
        <v>65</v>
      </c>
      <c r="C1128" t="s">
        <v>16</v>
      </c>
      <c r="D1128" t="s">
        <v>3101</v>
      </c>
      <c r="E1128" t="s">
        <v>3100</v>
      </c>
      <c r="F1128" s="5">
        <v>45567</v>
      </c>
      <c r="G1128" t="s">
        <v>126</v>
      </c>
      <c r="H1128" t="s">
        <v>3099</v>
      </c>
      <c r="I1128" t="s">
        <v>35</v>
      </c>
      <c r="J1128" t="s">
        <v>39</v>
      </c>
      <c r="K1128" t="s">
        <v>39</v>
      </c>
      <c r="L1128" t="s">
        <v>25</v>
      </c>
      <c r="M1128" t="s">
        <v>20</v>
      </c>
      <c r="N1128">
        <v>4</v>
      </c>
      <c r="O1128">
        <v>497</v>
      </c>
      <c r="P1128">
        <v>899</v>
      </c>
      <c r="Q1128">
        <v>15</v>
      </c>
      <c r="R1128">
        <v>800</v>
      </c>
      <c r="S1128">
        <v>2796</v>
      </c>
      <c r="T1128">
        <v>808</v>
      </c>
      <c r="U1128">
        <v>28.9</v>
      </c>
      <c r="V1128" t="s">
        <v>21</v>
      </c>
    </row>
    <row r="1129" spans="1:22" x14ac:dyDescent="0.35">
      <c r="A1129" t="s">
        <v>3098</v>
      </c>
      <c r="B1129" t="s">
        <v>30</v>
      </c>
      <c r="C1129" t="s">
        <v>16</v>
      </c>
      <c r="D1129" t="s">
        <v>3097</v>
      </c>
      <c r="E1129" t="s">
        <v>3096</v>
      </c>
      <c r="F1129" s="5">
        <v>45613</v>
      </c>
      <c r="G1129" t="s">
        <v>126</v>
      </c>
      <c r="H1129" t="s">
        <v>3095</v>
      </c>
      <c r="I1129" t="s">
        <v>17</v>
      </c>
      <c r="J1129" t="s">
        <v>48</v>
      </c>
      <c r="K1129" t="s">
        <v>48</v>
      </c>
      <c r="L1129" t="s">
        <v>19</v>
      </c>
      <c r="M1129" t="s">
        <v>20</v>
      </c>
      <c r="N1129">
        <v>1</v>
      </c>
      <c r="O1129">
        <v>175</v>
      </c>
      <c r="P1129">
        <v>299</v>
      </c>
      <c r="Q1129">
        <v>0</v>
      </c>
      <c r="R1129">
        <v>0</v>
      </c>
      <c r="S1129">
        <v>299</v>
      </c>
      <c r="T1129">
        <v>124</v>
      </c>
      <c r="U1129">
        <v>41.47</v>
      </c>
      <c r="V1129" t="s">
        <v>21</v>
      </c>
    </row>
    <row r="1130" spans="1:22" x14ac:dyDescent="0.35">
      <c r="A1130" t="s">
        <v>3094</v>
      </c>
      <c r="B1130" t="s">
        <v>90</v>
      </c>
      <c r="C1130" t="s">
        <v>27</v>
      </c>
      <c r="D1130" t="s">
        <v>3093</v>
      </c>
      <c r="E1130" t="s">
        <v>3092</v>
      </c>
      <c r="F1130" s="5">
        <v>45473</v>
      </c>
      <c r="G1130" t="s">
        <v>126</v>
      </c>
      <c r="H1130" t="s">
        <v>2634</v>
      </c>
      <c r="I1130" t="s">
        <v>28</v>
      </c>
      <c r="J1130" t="s">
        <v>201</v>
      </c>
      <c r="K1130" t="s">
        <v>29</v>
      </c>
      <c r="L1130" t="s">
        <v>19</v>
      </c>
      <c r="M1130" t="s">
        <v>19</v>
      </c>
      <c r="N1130">
        <v>5</v>
      </c>
      <c r="O1130">
        <v>544</v>
      </c>
      <c r="P1130">
        <v>799</v>
      </c>
      <c r="Q1130">
        <v>15</v>
      </c>
      <c r="R1130">
        <v>1000</v>
      </c>
      <c r="S1130">
        <v>2995</v>
      </c>
      <c r="T1130">
        <v>275</v>
      </c>
      <c r="U1130">
        <v>9.18</v>
      </c>
      <c r="V1130" t="s">
        <v>21</v>
      </c>
    </row>
    <row r="1131" spans="1:22" x14ac:dyDescent="0.35">
      <c r="A1131" t="s">
        <v>3091</v>
      </c>
      <c r="B1131" t="s">
        <v>73</v>
      </c>
      <c r="C1131" t="s">
        <v>16</v>
      </c>
      <c r="D1131" t="s">
        <v>3090</v>
      </c>
      <c r="E1131" t="s">
        <v>3089</v>
      </c>
      <c r="F1131" s="5">
        <v>45520</v>
      </c>
      <c r="G1131" t="s">
        <v>126</v>
      </c>
      <c r="H1131" t="s">
        <v>1612</v>
      </c>
      <c r="I1131" t="s">
        <v>35</v>
      </c>
      <c r="J1131" t="s">
        <v>41</v>
      </c>
      <c r="K1131" t="s">
        <v>41</v>
      </c>
      <c r="L1131" t="s">
        <v>19</v>
      </c>
      <c r="M1131" t="s">
        <v>20</v>
      </c>
      <c r="N1131">
        <v>2</v>
      </c>
      <c r="O1131">
        <v>453</v>
      </c>
      <c r="P1131">
        <v>699</v>
      </c>
      <c r="Q1131">
        <v>20</v>
      </c>
      <c r="R1131">
        <v>400</v>
      </c>
      <c r="S1131">
        <v>998</v>
      </c>
      <c r="T1131">
        <v>92</v>
      </c>
      <c r="U1131">
        <v>9.2200000000000006</v>
      </c>
      <c r="V1131" t="s">
        <v>21</v>
      </c>
    </row>
    <row r="1132" spans="1:22" x14ac:dyDescent="0.35">
      <c r="A1132" t="s">
        <v>3088</v>
      </c>
      <c r="B1132" t="s">
        <v>30</v>
      </c>
      <c r="C1132" t="s">
        <v>16</v>
      </c>
      <c r="D1132" t="s">
        <v>3087</v>
      </c>
      <c r="E1132" t="s">
        <v>3086</v>
      </c>
      <c r="F1132" s="5">
        <v>45462</v>
      </c>
      <c r="G1132" t="s">
        <v>126</v>
      </c>
      <c r="H1132" t="s">
        <v>2189</v>
      </c>
      <c r="I1132" t="s">
        <v>28</v>
      </c>
      <c r="J1132" t="s">
        <v>45</v>
      </c>
      <c r="K1132" t="s">
        <v>45</v>
      </c>
      <c r="L1132" t="s">
        <v>19</v>
      </c>
      <c r="M1132" t="s">
        <v>19</v>
      </c>
      <c r="N1132">
        <v>4</v>
      </c>
      <c r="O1132">
        <v>430</v>
      </c>
      <c r="P1132">
        <v>699</v>
      </c>
      <c r="Q1132">
        <v>5</v>
      </c>
      <c r="R1132">
        <v>400</v>
      </c>
      <c r="S1132">
        <v>2396</v>
      </c>
      <c r="T1132">
        <v>676</v>
      </c>
      <c r="U1132">
        <v>28.21</v>
      </c>
      <c r="V1132" t="s">
        <v>21</v>
      </c>
    </row>
    <row r="1133" spans="1:22" x14ac:dyDescent="0.35">
      <c r="A1133" t="s">
        <v>3085</v>
      </c>
      <c r="B1133" t="s">
        <v>82</v>
      </c>
      <c r="C1133" t="s">
        <v>27</v>
      </c>
      <c r="D1133" t="s">
        <v>3084</v>
      </c>
      <c r="E1133" t="s">
        <v>3083</v>
      </c>
      <c r="F1133" s="5">
        <v>45459</v>
      </c>
      <c r="G1133" t="s">
        <v>126</v>
      </c>
      <c r="H1133" t="s">
        <v>2660</v>
      </c>
      <c r="I1133" t="s">
        <v>17</v>
      </c>
      <c r="J1133" t="s">
        <v>55</v>
      </c>
      <c r="K1133" t="s">
        <v>55</v>
      </c>
      <c r="L1133" t="s">
        <v>25</v>
      </c>
      <c r="M1133" t="s">
        <v>20</v>
      </c>
      <c r="N1133">
        <v>4</v>
      </c>
      <c r="O1133">
        <v>212</v>
      </c>
      <c r="P1133">
        <v>299</v>
      </c>
      <c r="Q1133">
        <v>0</v>
      </c>
      <c r="R1133">
        <v>0</v>
      </c>
      <c r="S1133">
        <v>1196</v>
      </c>
      <c r="T1133">
        <v>348</v>
      </c>
      <c r="U1133">
        <v>29.1</v>
      </c>
      <c r="V1133" t="s">
        <v>33</v>
      </c>
    </row>
    <row r="1134" spans="1:22" x14ac:dyDescent="0.35">
      <c r="A1134" t="s">
        <v>3082</v>
      </c>
      <c r="B1134" t="s">
        <v>54</v>
      </c>
      <c r="C1134" t="s">
        <v>27</v>
      </c>
      <c r="D1134" t="s">
        <v>3081</v>
      </c>
      <c r="E1134" t="s">
        <v>3080</v>
      </c>
      <c r="F1134" s="5">
        <v>45507</v>
      </c>
      <c r="G1134" t="s">
        <v>126</v>
      </c>
      <c r="H1134" t="s">
        <v>3079</v>
      </c>
      <c r="I1134" t="s">
        <v>35</v>
      </c>
      <c r="J1134" t="s">
        <v>244</v>
      </c>
      <c r="K1134" t="s">
        <v>58</v>
      </c>
      <c r="L1134" t="s">
        <v>37</v>
      </c>
      <c r="M1134" t="s">
        <v>20</v>
      </c>
      <c r="N1134">
        <v>2</v>
      </c>
      <c r="O1134">
        <v>1123</v>
      </c>
      <c r="P1134">
        <v>2199</v>
      </c>
      <c r="Q1134">
        <v>5</v>
      </c>
      <c r="R1134">
        <v>400</v>
      </c>
      <c r="S1134">
        <v>3998</v>
      </c>
      <c r="T1134">
        <v>1752</v>
      </c>
      <c r="U1134">
        <v>43.82</v>
      </c>
      <c r="V1134" t="s">
        <v>21</v>
      </c>
    </row>
    <row r="1135" spans="1:22" x14ac:dyDescent="0.35">
      <c r="A1135" t="s">
        <v>3078</v>
      </c>
      <c r="B1135" t="s">
        <v>61</v>
      </c>
      <c r="C1135" t="s">
        <v>27</v>
      </c>
      <c r="D1135" t="s">
        <v>3077</v>
      </c>
      <c r="E1135" t="s">
        <v>3076</v>
      </c>
      <c r="F1135" s="5">
        <v>45583</v>
      </c>
      <c r="G1135" t="s">
        <v>126</v>
      </c>
      <c r="H1135" t="s">
        <v>3075</v>
      </c>
      <c r="I1135" t="s">
        <v>28</v>
      </c>
      <c r="J1135" t="s">
        <v>201</v>
      </c>
      <c r="K1135" t="s">
        <v>29</v>
      </c>
      <c r="L1135" t="s">
        <v>19</v>
      </c>
      <c r="M1135" t="s">
        <v>20</v>
      </c>
      <c r="N1135">
        <v>2</v>
      </c>
      <c r="O1135">
        <v>271</v>
      </c>
      <c r="P1135">
        <v>499</v>
      </c>
      <c r="Q1135">
        <v>20</v>
      </c>
      <c r="R1135">
        <v>200</v>
      </c>
      <c r="S1135">
        <v>798</v>
      </c>
      <c r="T1135">
        <v>256</v>
      </c>
      <c r="U1135">
        <v>32.08</v>
      </c>
      <c r="V1135" t="s">
        <v>21</v>
      </c>
    </row>
    <row r="1136" spans="1:22" x14ac:dyDescent="0.35">
      <c r="A1136" t="s">
        <v>3074</v>
      </c>
      <c r="B1136" t="s">
        <v>98</v>
      </c>
      <c r="C1136" t="s">
        <v>16</v>
      </c>
      <c r="D1136" t="s">
        <v>3073</v>
      </c>
      <c r="E1136" t="s">
        <v>3072</v>
      </c>
      <c r="F1136" s="5">
        <v>45524</v>
      </c>
      <c r="G1136" t="s">
        <v>126</v>
      </c>
      <c r="H1136" t="s">
        <v>1741</v>
      </c>
      <c r="I1136" t="s">
        <v>17</v>
      </c>
      <c r="J1136" t="s">
        <v>253</v>
      </c>
      <c r="K1136" t="s">
        <v>72</v>
      </c>
      <c r="L1136" t="s">
        <v>19</v>
      </c>
      <c r="M1136" t="s">
        <v>19</v>
      </c>
      <c r="N1136">
        <v>1</v>
      </c>
      <c r="O1136">
        <v>272</v>
      </c>
      <c r="P1136">
        <v>399</v>
      </c>
      <c r="Q1136">
        <v>0</v>
      </c>
      <c r="R1136">
        <v>0</v>
      </c>
      <c r="S1136">
        <v>399</v>
      </c>
      <c r="T1136">
        <v>127</v>
      </c>
      <c r="U1136">
        <v>31.83</v>
      </c>
      <c r="V1136" t="s">
        <v>21</v>
      </c>
    </row>
    <row r="1137" spans="1:22" x14ac:dyDescent="0.35">
      <c r="A1137" t="s">
        <v>3071</v>
      </c>
      <c r="B1137" t="s">
        <v>98</v>
      </c>
      <c r="C1137" t="s">
        <v>16</v>
      </c>
      <c r="D1137" t="s">
        <v>3070</v>
      </c>
      <c r="E1137" t="s">
        <v>3069</v>
      </c>
      <c r="F1137" s="5">
        <v>45479</v>
      </c>
      <c r="G1137" t="s">
        <v>126</v>
      </c>
      <c r="H1137" t="s">
        <v>2567</v>
      </c>
      <c r="I1137" t="s">
        <v>23</v>
      </c>
      <c r="J1137" t="s">
        <v>164</v>
      </c>
      <c r="K1137" t="s">
        <v>24</v>
      </c>
      <c r="L1137" t="s">
        <v>25</v>
      </c>
      <c r="M1137" t="s">
        <v>20</v>
      </c>
      <c r="N1137">
        <v>5</v>
      </c>
      <c r="O1137">
        <v>1503</v>
      </c>
      <c r="P1137">
        <v>2199</v>
      </c>
      <c r="Q1137">
        <v>5</v>
      </c>
      <c r="R1137">
        <v>1000</v>
      </c>
      <c r="S1137">
        <v>9995</v>
      </c>
      <c r="T1137">
        <v>2480</v>
      </c>
      <c r="U1137">
        <v>24.81</v>
      </c>
      <c r="V1137" t="s">
        <v>21</v>
      </c>
    </row>
    <row r="1138" spans="1:22" x14ac:dyDescent="0.35">
      <c r="A1138" t="s">
        <v>3068</v>
      </c>
      <c r="B1138" t="s">
        <v>108</v>
      </c>
      <c r="C1138" t="s">
        <v>27</v>
      </c>
      <c r="D1138" t="s">
        <v>3067</v>
      </c>
      <c r="E1138" t="s">
        <v>3066</v>
      </c>
      <c r="F1138" s="5">
        <v>45598</v>
      </c>
      <c r="G1138" t="s">
        <v>126</v>
      </c>
      <c r="H1138" t="s">
        <v>3065</v>
      </c>
      <c r="I1138" t="s">
        <v>23</v>
      </c>
      <c r="J1138" t="s">
        <v>142</v>
      </c>
      <c r="K1138" t="s">
        <v>43</v>
      </c>
      <c r="L1138" t="s">
        <v>37</v>
      </c>
      <c r="M1138" t="s">
        <v>19</v>
      </c>
      <c r="N1138">
        <v>1</v>
      </c>
      <c r="O1138">
        <v>1896</v>
      </c>
      <c r="P1138">
        <v>2699</v>
      </c>
      <c r="Q1138">
        <v>5</v>
      </c>
      <c r="R1138">
        <v>200</v>
      </c>
      <c r="S1138">
        <v>2499</v>
      </c>
      <c r="T1138">
        <v>603</v>
      </c>
      <c r="U1138">
        <v>24.13</v>
      </c>
      <c r="V1138" t="s">
        <v>21</v>
      </c>
    </row>
    <row r="1139" spans="1:22" x14ac:dyDescent="0.35">
      <c r="A1139" t="s">
        <v>3064</v>
      </c>
      <c r="B1139" t="s">
        <v>61</v>
      </c>
      <c r="C1139" t="s">
        <v>27</v>
      </c>
      <c r="D1139" t="s">
        <v>3063</v>
      </c>
      <c r="E1139" t="s">
        <v>1742</v>
      </c>
      <c r="F1139" s="5">
        <v>45634</v>
      </c>
      <c r="G1139" t="s">
        <v>126</v>
      </c>
      <c r="H1139" t="s">
        <v>1235</v>
      </c>
      <c r="I1139" t="s">
        <v>28</v>
      </c>
      <c r="J1139" t="s">
        <v>201</v>
      </c>
      <c r="K1139" t="s">
        <v>29</v>
      </c>
      <c r="L1139" t="s">
        <v>19</v>
      </c>
      <c r="M1139" t="s">
        <v>20</v>
      </c>
      <c r="N1139">
        <v>1</v>
      </c>
      <c r="O1139">
        <v>429</v>
      </c>
      <c r="P1139">
        <v>799</v>
      </c>
      <c r="Q1139">
        <v>15</v>
      </c>
      <c r="R1139">
        <v>200</v>
      </c>
      <c r="S1139">
        <v>599</v>
      </c>
      <c r="T1139">
        <v>170</v>
      </c>
      <c r="U1139">
        <v>28.38</v>
      </c>
      <c r="V1139" t="s">
        <v>33</v>
      </c>
    </row>
    <row r="1140" spans="1:22" x14ac:dyDescent="0.35">
      <c r="A1140" t="s">
        <v>3062</v>
      </c>
      <c r="B1140" t="s">
        <v>105</v>
      </c>
      <c r="C1140" t="s">
        <v>16</v>
      </c>
      <c r="D1140" t="s">
        <v>3061</v>
      </c>
      <c r="E1140" t="s">
        <v>3060</v>
      </c>
      <c r="F1140" s="5">
        <v>45536</v>
      </c>
      <c r="G1140" t="s">
        <v>126</v>
      </c>
      <c r="H1140" t="s">
        <v>3059</v>
      </c>
      <c r="I1140" t="s">
        <v>31</v>
      </c>
      <c r="J1140" t="s">
        <v>32</v>
      </c>
      <c r="K1140" t="s">
        <v>32</v>
      </c>
      <c r="L1140" t="s">
        <v>37</v>
      </c>
      <c r="M1140" t="s">
        <v>19</v>
      </c>
      <c r="N1140">
        <v>4</v>
      </c>
      <c r="O1140">
        <v>518</v>
      </c>
      <c r="P1140">
        <v>999</v>
      </c>
      <c r="Q1140">
        <v>0</v>
      </c>
      <c r="R1140">
        <v>0</v>
      </c>
      <c r="S1140">
        <v>3996</v>
      </c>
      <c r="T1140">
        <v>1924</v>
      </c>
      <c r="U1140">
        <v>48.15</v>
      </c>
      <c r="V1140" t="s">
        <v>33</v>
      </c>
    </row>
    <row r="1141" spans="1:22" x14ac:dyDescent="0.35">
      <c r="A1141" t="s">
        <v>3058</v>
      </c>
      <c r="B1141" t="s">
        <v>104</v>
      </c>
      <c r="C1141" t="s">
        <v>27</v>
      </c>
      <c r="D1141" t="s">
        <v>3057</v>
      </c>
      <c r="E1141" t="s">
        <v>2947</v>
      </c>
      <c r="F1141" s="5">
        <v>45539</v>
      </c>
      <c r="G1141" t="s">
        <v>126</v>
      </c>
      <c r="H1141" t="s">
        <v>3056</v>
      </c>
      <c r="I1141" t="s">
        <v>28</v>
      </c>
      <c r="J1141" t="s">
        <v>201</v>
      </c>
      <c r="K1141" t="s">
        <v>29</v>
      </c>
      <c r="L1141" t="s">
        <v>25</v>
      </c>
      <c r="M1141" t="s">
        <v>19</v>
      </c>
      <c r="N1141">
        <v>2</v>
      </c>
      <c r="O1141">
        <v>588</v>
      </c>
      <c r="P1141">
        <v>799</v>
      </c>
      <c r="Q1141">
        <v>20</v>
      </c>
      <c r="R1141">
        <v>400</v>
      </c>
      <c r="S1141">
        <v>1198</v>
      </c>
      <c r="T1141">
        <v>22</v>
      </c>
      <c r="U1141">
        <v>1.84</v>
      </c>
      <c r="V1141" t="s">
        <v>33</v>
      </c>
    </row>
    <row r="1142" spans="1:22" x14ac:dyDescent="0.35">
      <c r="A1142" t="s">
        <v>3055</v>
      </c>
      <c r="B1142" t="s">
        <v>67</v>
      </c>
      <c r="C1142" t="s">
        <v>27</v>
      </c>
      <c r="D1142" t="s">
        <v>3054</v>
      </c>
      <c r="E1142" t="s">
        <v>3053</v>
      </c>
      <c r="F1142" s="5">
        <v>45480</v>
      </c>
      <c r="G1142" t="s">
        <v>126</v>
      </c>
      <c r="H1142" t="s">
        <v>3052</v>
      </c>
      <c r="I1142" t="s">
        <v>31</v>
      </c>
      <c r="J1142" t="s">
        <v>32</v>
      </c>
      <c r="K1142" t="s">
        <v>32</v>
      </c>
      <c r="L1142" t="s">
        <v>25</v>
      </c>
      <c r="M1142" t="s">
        <v>20</v>
      </c>
      <c r="N1142">
        <v>1</v>
      </c>
      <c r="O1142">
        <v>640</v>
      </c>
      <c r="P1142">
        <v>899</v>
      </c>
      <c r="Q1142">
        <v>0</v>
      </c>
      <c r="R1142">
        <v>0</v>
      </c>
      <c r="S1142">
        <v>899</v>
      </c>
      <c r="T1142">
        <v>259</v>
      </c>
      <c r="U1142">
        <v>28.81</v>
      </c>
      <c r="V1142" t="s">
        <v>21</v>
      </c>
    </row>
    <row r="1143" spans="1:22" x14ac:dyDescent="0.35">
      <c r="A1143" t="s">
        <v>3051</v>
      </c>
      <c r="B1143" t="s">
        <v>104</v>
      </c>
      <c r="C1143" t="s">
        <v>27</v>
      </c>
      <c r="D1143" t="s">
        <v>3050</v>
      </c>
      <c r="E1143" t="s">
        <v>3049</v>
      </c>
      <c r="F1143" s="5">
        <v>45647</v>
      </c>
      <c r="G1143" t="s">
        <v>126</v>
      </c>
      <c r="H1143" t="s">
        <v>2454</v>
      </c>
      <c r="I1143" t="s">
        <v>35</v>
      </c>
      <c r="J1143" t="s">
        <v>159</v>
      </c>
      <c r="K1143" t="s">
        <v>36</v>
      </c>
      <c r="L1143" t="s">
        <v>25</v>
      </c>
      <c r="M1143" t="s">
        <v>19</v>
      </c>
      <c r="N1143">
        <v>1</v>
      </c>
      <c r="O1143">
        <v>246</v>
      </c>
      <c r="P1143">
        <v>399</v>
      </c>
      <c r="Q1143">
        <v>20</v>
      </c>
      <c r="R1143">
        <v>100</v>
      </c>
      <c r="S1143">
        <v>299</v>
      </c>
      <c r="T1143">
        <v>53</v>
      </c>
      <c r="U1143">
        <v>17.73</v>
      </c>
      <c r="V1143" t="s">
        <v>21</v>
      </c>
    </row>
    <row r="1144" spans="1:22" x14ac:dyDescent="0.35">
      <c r="A1144" t="s">
        <v>3048</v>
      </c>
      <c r="B1144" t="s">
        <v>66</v>
      </c>
      <c r="C1144" t="s">
        <v>27</v>
      </c>
      <c r="D1144" t="s">
        <v>3047</v>
      </c>
      <c r="E1144" t="s">
        <v>3046</v>
      </c>
      <c r="F1144" s="5">
        <v>45599</v>
      </c>
      <c r="G1144" t="s">
        <v>126</v>
      </c>
      <c r="H1144" t="s">
        <v>1848</v>
      </c>
      <c r="I1144" t="s">
        <v>23</v>
      </c>
      <c r="J1144" t="s">
        <v>142</v>
      </c>
      <c r="K1144" t="s">
        <v>43</v>
      </c>
      <c r="L1144" t="s">
        <v>25</v>
      </c>
      <c r="M1144" t="s">
        <v>20</v>
      </c>
      <c r="N1144">
        <v>5</v>
      </c>
      <c r="O1144">
        <v>1740</v>
      </c>
      <c r="P1144">
        <v>2799</v>
      </c>
      <c r="Q1144">
        <v>10</v>
      </c>
      <c r="R1144">
        <v>1500</v>
      </c>
      <c r="S1144">
        <v>12495</v>
      </c>
      <c r="T1144">
        <v>3795</v>
      </c>
      <c r="U1144">
        <v>30.37</v>
      </c>
      <c r="V1144" t="s">
        <v>21</v>
      </c>
    </row>
    <row r="1145" spans="1:22" x14ac:dyDescent="0.35">
      <c r="A1145" t="s">
        <v>3045</v>
      </c>
      <c r="B1145" t="s">
        <v>104</v>
      </c>
      <c r="C1145" t="s">
        <v>27</v>
      </c>
      <c r="D1145" t="s">
        <v>3044</v>
      </c>
      <c r="E1145" t="s">
        <v>3043</v>
      </c>
      <c r="F1145" s="5">
        <v>45589</v>
      </c>
      <c r="G1145" t="s">
        <v>126</v>
      </c>
      <c r="H1145" t="s">
        <v>1032</v>
      </c>
      <c r="I1145" t="s">
        <v>28</v>
      </c>
      <c r="J1145" t="s">
        <v>45</v>
      </c>
      <c r="K1145" t="s">
        <v>45</v>
      </c>
      <c r="L1145" t="s">
        <v>19</v>
      </c>
      <c r="M1145" t="s">
        <v>19</v>
      </c>
      <c r="N1145">
        <v>4</v>
      </c>
      <c r="O1145">
        <v>446</v>
      </c>
      <c r="P1145">
        <v>799</v>
      </c>
      <c r="Q1145">
        <v>15</v>
      </c>
      <c r="R1145">
        <v>800</v>
      </c>
      <c r="S1145">
        <v>2396</v>
      </c>
      <c r="T1145">
        <v>612</v>
      </c>
      <c r="U1145">
        <v>25.54</v>
      </c>
      <c r="V1145" t="s">
        <v>21</v>
      </c>
    </row>
    <row r="1146" spans="1:22" x14ac:dyDescent="0.35">
      <c r="A1146" t="s">
        <v>3042</v>
      </c>
      <c r="B1146" t="s">
        <v>80</v>
      </c>
      <c r="C1146" t="s">
        <v>27</v>
      </c>
      <c r="D1146" t="s">
        <v>3041</v>
      </c>
      <c r="E1146" t="s">
        <v>3040</v>
      </c>
      <c r="F1146" s="5">
        <v>45640</v>
      </c>
      <c r="G1146" t="s">
        <v>126</v>
      </c>
      <c r="H1146" t="s">
        <v>2300</v>
      </c>
      <c r="I1146" t="s">
        <v>17</v>
      </c>
      <c r="J1146" t="s">
        <v>253</v>
      </c>
      <c r="K1146" t="s">
        <v>72</v>
      </c>
      <c r="L1146" t="s">
        <v>25</v>
      </c>
      <c r="M1146" t="s">
        <v>20</v>
      </c>
      <c r="N1146">
        <v>1</v>
      </c>
      <c r="O1146">
        <v>208</v>
      </c>
      <c r="P1146">
        <v>399</v>
      </c>
      <c r="Q1146">
        <v>0</v>
      </c>
      <c r="R1146">
        <v>0</v>
      </c>
      <c r="S1146">
        <v>399</v>
      </c>
      <c r="T1146">
        <v>191</v>
      </c>
      <c r="U1146">
        <v>47.87</v>
      </c>
      <c r="V1146" t="s">
        <v>33</v>
      </c>
    </row>
    <row r="1147" spans="1:22" x14ac:dyDescent="0.35">
      <c r="A1147" t="s">
        <v>3039</v>
      </c>
      <c r="B1147" t="s">
        <v>68</v>
      </c>
      <c r="C1147" t="s">
        <v>16</v>
      </c>
      <c r="D1147" t="s">
        <v>3038</v>
      </c>
      <c r="E1147" t="s">
        <v>3037</v>
      </c>
      <c r="F1147" s="5">
        <v>45652</v>
      </c>
      <c r="G1147" t="s">
        <v>126</v>
      </c>
      <c r="H1147" t="s">
        <v>1142</v>
      </c>
      <c r="I1147" t="s">
        <v>35</v>
      </c>
      <c r="J1147" t="s">
        <v>244</v>
      </c>
      <c r="K1147" t="s">
        <v>58</v>
      </c>
      <c r="L1147" t="s">
        <v>19</v>
      </c>
      <c r="M1147" t="s">
        <v>19</v>
      </c>
      <c r="N1147">
        <v>1</v>
      </c>
      <c r="O1147">
        <v>1134</v>
      </c>
      <c r="P1147">
        <v>2199</v>
      </c>
      <c r="Q1147">
        <v>5</v>
      </c>
      <c r="R1147">
        <v>200</v>
      </c>
      <c r="S1147">
        <v>1999</v>
      </c>
      <c r="T1147">
        <v>865</v>
      </c>
      <c r="U1147">
        <v>43.27</v>
      </c>
      <c r="V1147" t="s">
        <v>33</v>
      </c>
    </row>
    <row r="1148" spans="1:22" x14ac:dyDescent="0.35">
      <c r="A1148" t="s">
        <v>3036</v>
      </c>
      <c r="B1148" t="s">
        <v>57</v>
      </c>
      <c r="C1148" t="s">
        <v>27</v>
      </c>
      <c r="D1148" t="s">
        <v>3035</v>
      </c>
      <c r="E1148" t="s">
        <v>3034</v>
      </c>
      <c r="F1148" s="5">
        <v>45648</v>
      </c>
      <c r="G1148" t="s">
        <v>126</v>
      </c>
      <c r="H1148" t="s">
        <v>2097</v>
      </c>
      <c r="I1148" t="s">
        <v>35</v>
      </c>
      <c r="J1148" t="s">
        <v>39</v>
      </c>
      <c r="K1148" t="s">
        <v>39</v>
      </c>
      <c r="L1148" t="s">
        <v>37</v>
      </c>
      <c r="M1148" t="s">
        <v>20</v>
      </c>
      <c r="N1148">
        <v>1</v>
      </c>
      <c r="O1148">
        <v>650</v>
      </c>
      <c r="P1148">
        <v>899</v>
      </c>
      <c r="Q1148">
        <v>15</v>
      </c>
      <c r="R1148">
        <v>200</v>
      </c>
      <c r="S1148">
        <v>699</v>
      </c>
      <c r="T1148">
        <v>49</v>
      </c>
      <c r="U1148">
        <v>7.01</v>
      </c>
      <c r="V1148" t="s">
        <v>21</v>
      </c>
    </row>
    <row r="1149" spans="1:22" x14ac:dyDescent="0.35">
      <c r="A1149" t="s">
        <v>3033</v>
      </c>
      <c r="B1149" t="s">
        <v>77</v>
      </c>
      <c r="C1149" t="s">
        <v>27</v>
      </c>
      <c r="D1149" t="s">
        <v>3032</v>
      </c>
      <c r="E1149" t="s">
        <v>2435</v>
      </c>
      <c r="F1149" s="5">
        <v>45486</v>
      </c>
      <c r="G1149" t="s">
        <v>126</v>
      </c>
      <c r="H1149" t="s">
        <v>2871</v>
      </c>
      <c r="I1149" t="s">
        <v>28</v>
      </c>
      <c r="J1149" t="s">
        <v>45</v>
      </c>
      <c r="K1149" t="s">
        <v>45</v>
      </c>
      <c r="L1149" t="s">
        <v>25</v>
      </c>
      <c r="M1149" t="s">
        <v>19</v>
      </c>
      <c r="N1149">
        <v>2</v>
      </c>
      <c r="O1149">
        <v>1412</v>
      </c>
      <c r="P1149">
        <v>1999</v>
      </c>
      <c r="Q1149">
        <v>10</v>
      </c>
      <c r="R1149">
        <v>400</v>
      </c>
      <c r="S1149">
        <v>3598</v>
      </c>
      <c r="T1149">
        <v>774</v>
      </c>
      <c r="U1149">
        <v>21.51</v>
      </c>
      <c r="V1149" t="s">
        <v>21</v>
      </c>
    </row>
    <row r="1150" spans="1:22" x14ac:dyDescent="0.35">
      <c r="A1150" t="s">
        <v>3031</v>
      </c>
      <c r="B1150" t="s">
        <v>92</v>
      </c>
      <c r="C1150" t="s">
        <v>27</v>
      </c>
      <c r="D1150" t="s">
        <v>3030</v>
      </c>
      <c r="E1150" t="s">
        <v>3029</v>
      </c>
      <c r="F1150" s="5">
        <v>45628</v>
      </c>
      <c r="G1150" t="s">
        <v>126</v>
      </c>
      <c r="H1150" t="s">
        <v>1006</v>
      </c>
      <c r="I1150" t="s">
        <v>31</v>
      </c>
      <c r="J1150" t="s">
        <v>76</v>
      </c>
      <c r="K1150" t="s">
        <v>76</v>
      </c>
      <c r="L1150" t="s">
        <v>25</v>
      </c>
      <c r="M1150" t="s">
        <v>20</v>
      </c>
      <c r="N1150">
        <v>1</v>
      </c>
      <c r="O1150">
        <v>395</v>
      </c>
      <c r="P1150">
        <v>699</v>
      </c>
      <c r="Q1150">
        <v>0</v>
      </c>
      <c r="R1150">
        <v>0</v>
      </c>
      <c r="S1150">
        <v>699</v>
      </c>
      <c r="T1150">
        <v>304</v>
      </c>
      <c r="U1150">
        <v>43.49</v>
      </c>
      <c r="V1150" t="s">
        <v>21</v>
      </c>
    </row>
    <row r="1151" spans="1:22" x14ac:dyDescent="0.35">
      <c r="A1151" t="s">
        <v>3028</v>
      </c>
      <c r="B1151" t="s">
        <v>63</v>
      </c>
      <c r="C1151" t="s">
        <v>27</v>
      </c>
      <c r="D1151" t="s">
        <v>3027</v>
      </c>
      <c r="E1151" t="s">
        <v>3026</v>
      </c>
      <c r="F1151" s="5">
        <v>45604</v>
      </c>
      <c r="G1151" t="s">
        <v>126</v>
      </c>
      <c r="H1151" t="s">
        <v>1095</v>
      </c>
      <c r="I1151" t="s">
        <v>31</v>
      </c>
      <c r="J1151" t="s">
        <v>76</v>
      </c>
      <c r="K1151" t="s">
        <v>76</v>
      </c>
      <c r="L1151" t="s">
        <v>25</v>
      </c>
      <c r="M1151" t="s">
        <v>19</v>
      </c>
      <c r="N1151">
        <v>1</v>
      </c>
      <c r="O1151">
        <v>688</v>
      </c>
      <c r="P1151">
        <v>999</v>
      </c>
      <c r="Q1151">
        <v>0</v>
      </c>
      <c r="R1151">
        <v>0</v>
      </c>
      <c r="S1151">
        <v>999</v>
      </c>
      <c r="T1151">
        <v>311</v>
      </c>
      <c r="U1151">
        <v>31.13</v>
      </c>
      <c r="V1151" t="s">
        <v>21</v>
      </c>
    </row>
    <row r="1152" spans="1:22" x14ac:dyDescent="0.35">
      <c r="A1152" t="s">
        <v>3025</v>
      </c>
      <c r="B1152" t="s">
        <v>54</v>
      </c>
      <c r="C1152" t="s">
        <v>27</v>
      </c>
      <c r="D1152" t="s">
        <v>3024</v>
      </c>
      <c r="E1152" t="s">
        <v>3023</v>
      </c>
      <c r="F1152" s="5">
        <v>45583</v>
      </c>
      <c r="G1152" t="s">
        <v>126</v>
      </c>
      <c r="H1152" t="s">
        <v>3022</v>
      </c>
      <c r="I1152" t="s">
        <v>17</v>
      </c>
      <c r="J1152" t="s">
        <v>253</v>
      </c>
      <c r="K1152" t="s">
        <v>72</v>
      </c>
      <c r="L1152" t="s">
        <v>19</v>
      </c>
      <c r="M1152" t="s">
        <v>20</v>
      </c>
      <c r="N1152">
        <v>1</v>
      </c>
      <c r="O1152">
        <v>258</v>
      </c>
      <c r="P1152">
        <v>499</v>
      </c>
      <c r="Q1152">
        <v>0</v>
      </c>
      <c r="R1152">
        <v>0</v>
      </c>
      <c r="S1152">
        <v>499</v>
      </c>
      <c r="T1152">
        <v>241</v>
      </c>
      <c r="U1152">
        <v>48.3</v>
      </c>
      <c r="V1152" t="s">
        <v>33</v>
      </c>
    </row>
    <row r="1153" spans="1:22" x14ac:dyDescent="0.35">
      <c r="A1153" t="s">
        <v>3021</v>
      </c>
      <c r="B1153" t="s">
        <v>69</v>
      </c>
      <c r="C1153" t="s">
        <v>16</v>
      </c>
      <c r="D1153" t="s">
        <v>3020</v>
      </c>
      <c r="E1153" t="s">
        <v>3019</v>
      </c>
      <c r="F1153" s="5">
        <v>45444</v>
      </c>
      <c r="G1153" t="s">
        <v>126</v>
      </c>
      <c r="H1153" t="s">
        <v>1579</v>
      </c>
      <c r="I1153" t="s">
        <v>17</v>
      </c>
      <c r="J1153" t="s">
        <v>235</v>
      </c>
      <c r="K1153" t="s">
        <v>18</v>
      </c>
      <c r="L1153" t="s">
        <v>19</v>
      </c>
      <c r="M1153" t="s">
        <v>19</v>
      </c>
      <c r="N1153">
        <v>1</v>
      </c>
      <c r="O1153">
        <v>418</v>
      </c>
      <c r="P1153">
        <v>599</v>
      </c>
      <c r="Q1153">
        <v>0</v>
      </c>
      <c r="R1153">
        <v>0</v>
      </c>
      <c r="S1153">
        <v>599</v>
      </c>
      <c r="T1153">
        <v>181</v>
      </c>
      <c r="U1153">
        <v>30.22</v>
      </c>
      <c r="V1153" t="s">
        <v>33</v>
      </c>
    </row>
    <row r="1154" spans="1:22" x14ac:dyDescent="0.35">
      <c r="A1154" t="s">
        <v>3018</v>
      </c>
      <c r="B1154" t="s">
        <v>70</v>
      </c>
      <c r="C1154" t="s">
        <v>27</v>
      </c>
      <c r="D1154" t="s">
        <v>3017</v>
      </c>
      <c r="E1154" t="s">
        <v>3016</v>
      </c>
      <c r="F1154" s="5">
        <v>45550</v>
      </c>
      <c r="G1154" t="s">
        <v>126</v>
      </c>
      <c r="H1154" t="s">
        <v>3015</v>
      </c>
      <c r="I1154" t="s">
        <v>35</v>
      </c>
      <c r="J1154" t="s">
        <v>214</v>
      </c>
      <c r="K1154" t="s">
        <v>50</v>
      </c>
      <c r="L1154" t="s">
        <v>19</v>
      </c>
      <c r="M1154" t="s">
        <v>20</v>
      </c>
      <c r="N1154">
        <v>1</v>
      </c>
      <c r="O1154">
        <v>559</v>
      </c>
      <c r="P1154">
        <v>899</v>
      </c>
      <c r="Q1154">
        <v>10</v>
      </c>
      <c r="R1154">
        <v>100</v>
      </c>
      <c r="S1154">
        <v>799</v>
      </c>
      <c r="T1154">
        <v>240</v>
      </c>
      <c r="U1154">
        <v>30.04</v>
      </c>
      <c r="V1154" t="s">
        <v>33</v>
      </c>
    </row>
    <row r="1155" spans="1:22" x14ac:dyDescent="0.35">
      <c r="A1155" t="s">
        <v>3014</v>
      </c>
      <c r="B1155" t="s">
        <v>79</v>
      </c>
      <c r="C1155" t="s">
        <v>16</v>
      </c>
      <c r="D1155" t="s">
        <v>3013</v>
      </c>
      <c r="E1155" t="s">
        <v>3012</v>
      </c>
      <c r="F1155" s="5">
        <v>45447</v>
      </c>
      <c r="G1155" t="s">
        <v>126</v>
      </c>
      <c r="H1155" t="s">
        <v>3011</v>
      </c>
      <c r="I1155" t="s">
        <v>35</v>
      </c>
      <c r="J1155" t="s">
        <v>41</v>
      </c>
      <c r="K1155" t="s">
        <v>41</v>
      </c>
      <c r="L1155" t="s">
        <v>37</v>
      </c>
      <c r="M1155" t="s">
        <v>19</v>
      </c>
      <c r="N1155">
        <v>4</v>
      </c>
      <c r="O1155">
        <v>642</v>
      </c>
      <c r="P1155">
        <v>899</v>
      </c>
      <c r="Q1155">
        <v>5</v>
      </c>
      <c r="R1155">
        <v>400</v>
      </c>
      <c r="S1155">
        <v>3196</v>
      </c>
      <c r="T1155">
        <v>628</v>
      </c>
      <c r="U1155">
        <v>19.649999999999999</v>
      </c>
      <c r="V1155" t="s">
        <v>21</v>
      </c>
    </row>
    <row r="1156" spans="1:22" x14ac:dyDescent="0.35">
      <c r="A1156" t="s">
        <v>3010</v>
      </c>
      <c r="B1156" t="s">
        <v>34</v>
      </c>
      <c r="C1156" t="s">
        <v>27</v>
      </c>
      <c r="D1156" t="s">
        <v>3009</v>
      </c>
      <c r="E1156" t="s">
        <v>3008</v>
      </c>
      <c r="F1156" s="5">
        <v>45447</v>
      </c>
      <c r="G1156" t="s">
        <v>126</v>
      </c>
      <c r="H1156" t="s">
        <v>3007</v>
      </c>
      <c r="I1156" t="s">
        <v>35</v>
      </c>
      <c r="J1156" t="s">
        <v>159</v>
      </c>
      <c r="K1156" t="s">
        <v>100</v>
      </c>
      <c r="L1156" t="s">
        <v>37</v>
      </c>
      <c r="M1156" t="s">
        <v>19</v>
      </c>
      <c r="N1156">
        <v>1</v>
      </c>
      <c r="O1156">
        <v>1333</v>
      </c>
      <c r="P1156">
        <v>1799</v>
      </c>
      <c r="Q1156">
        <v>15</v>
      </c>
      <c r="R1156">
        <v>300</v>
      </c>
      <c r="S1156">
        <v>1499</v>
      </c>
      <c r="T1156">
        <v>166</v>
      </c>
      <c r="U1156">
        <v>11.07</v>
      </c>
      <c r="V1156" t="s">
        <v>33</v>
      </c>
    </row>
    <row r="1157" spans="1:22" x14ac:dyDescent="0.35">
      <c r="A1157" t="s">
        <v>3006</v>
      </c>
      <c r="B1157" t="s">
        <v>75</v>
      </c>
      <c r="C1157" t="s">
        <v>27</v>
      </c>
      <c r="D1157" t="s">
        <v>3005</v>
      </c>
      <c r="E1157" t="s">
        <v>3004</v>
      </c>
      <c r="F1157" s="5">
        <v>45620</v>
      </c>
      <c r="G1157" t="s">
        <v>126</v>
      </c>
      <c r="H1157" t="s">
        <v>2417</v>
      </c>
      <c r="I1157" t="s">
        <v>28</v>
      </c>
      <c r="J1157" t="s">
        <v>45</v>
      </c>
      <c r="K1157" t="s">
        <v>45</v>
      </c>
      <c r="L1157" t="s">
        <v>25</v>
      </c>
      <c r="M1157" t="s">
        <v>20</v>
      </c>
      <c r="N1157">
        <v>1</v>
      </c>
      <c r="O1157">
        <v>719</v>
      </c>
      <c r="P1157">
        <v>1299</v>
      </c>
      <c r="Q1157">
        <v>20</v>
      </c>
      <c r="R1157">
        <v>300</v>
      </c>
      <c r="S1157">
        <v>999</v>
      </c>
      <c r="T1157">
        <v>280</v>
      </c>
      <c r="U1157">
        <v>28.03</v>
      </c>
      <c r="V1157" t="s">
        <v>33</v>
      </c>
    </row>
    <row r="1158" spans="1:22" x14ac:dyDescent="0.35">
      <c r="A1158" t="s">
        <v>3003</v>
      </c>
      <c r="B1158" t="s">
        <v>96</v>
      </c>
      <c r="C1158" t="s">
        <v>16</v>
      </c>
      <c r="D1158" t="s">
        <v>3002</v>
      </c>
      <c r="E1158" t="s">
        <v>3001</v>
      </c>
      <c r="F1158" s="5">
        <v>45645</v>
      </c>
      <c r="G1158" t="s">
        <v>126</v>
      </c>
      <c r="H1158" t="s">
        <v>1220</v>
      </c>
      <c r="I1158" t="s">
        <v>31</v>
      </c>
      <c r="J1158" t="s">
        <v>32</v>
      </c>
      <c r="K1158" t="s">
        <v>32</v>
      </c>
      <c r="L1158" t="s">
        <v>37</v>
      </c>
      <c r="M1158" t="s">
        <v>20</v>
      </c>
      <c r="N1158">
        <v>1</v>
      </c>
      <c r="O1158">
        <v>699</v>
      </c>
      <c r="P1158">
        <v>1199</v>
      </c>
      <c r="Q1158">
        <v>0</v>
      </c>
      <c r="R1158">
        <v>0</v>
      </c>
      <c r="S1158">
        <v>1199</v>
      </c>
      <c r="T1158">
        <v>500</v>
      </c>
      <c r="U1158">
        <v>41.7</v>
      </c>
      <c r="V1158" t="s">
        <v>33</v>
      </c>
    </row>
    <row r="1159" spans="1:22" x14ac:dyDescent="0.35">
      <c r="A1159" t="s">
        <v>3000</v>
      </c>
      <c r="B1159" t="s">
        <v>42</v>
      </c>
      <c r="C1159" t="s">
        <v>27</v>
      </c>
      <c r="D1159" t="s">
        <v>2999</v>
      </c>
      <c r="E1159" t="s">
        <v>2998</v>
      </c>
      <c r="F1159" s="5">
        <v>45473</v>
      </c>
      <c r="G1159" t="s">
        <v>126</v>
      </c>
      <c r="H1159" t="s">
        <v>2997</v>
      </c>
      <c r="I1159" t="s">
        <v>31</v>
      </c>
      <c r="J1159" t="s">
        <v>32</v>
      </c>
      <c r="K1159" t="s">
        <v>32</v>
      </c>
      <c r="L1159" t="s">
        <v>37</v>
      </c>
      <c r="M1159" t="s">
        <v>19</v>
      </c>
      <c r="N1159">
        <v>1</v>
      </c>
      <c r="O1159">
        <v>774</v>
      </c>
      <c r="P1159">
        <v>1199</v>
      </c>
      <c r="Q1159">
        <v>0</v>
      </c>
      <c r="R1159">
        <v>0</v>
      </c>
      <c r="S1159">
        <v>1199</v>
      </c>
      <c r="T1159">
        <v>425</v>
      </c>
      <c r="U1159">
        <v>35.450000000000003</v>
      </c>
      <c r="V1159" t="s">
        <v>21</v>
      </c>
    </row>
    <row r="1160" spans="1:22" x14ac:dyDescent="0.35">
      <c r="A1160" t="s">
        <v>2996</v>
      </c>
      <c r="B1160" t="s">
        <v>77</v>
      </c>
      <c r="C1160" t="s">
        <v>27</v>
      </c>
      <c r="D1160" t="s">
        <v>2995</v>
      </c>
      <c r="E1160" t="s">
        <v>2994</v>
      </c>
      <c r="F1160" s="5">
        <v>45503</v>
      </c>
      <c r="G1160" t="s">
        <v>126</v>
      </c>
      <c r="H1160" t="s">
        <v>1162</v>
      </c>
      <c r="I1160" t="s">
        <v>17</v>
      </c>
      <c r="J1160" t="s">
        <v>48</v>
      </c>
      <c r="K1160" t="s">
        <v>48</v>
      </c>
      <c r="L1160" t="s">
        <v>19</v>
      </c>
      <c r="M1160" t="s">
        <v>20</v>
      </c>
      <c r="N1160">
        <v>1</v>
      </c>
      <c r="O1160">
        <v>345</v>
      </c>
      <c r="P1160">
        <v>499</v>
      </c>
      <c r="Q1160">
        <v>0</v>
      </c>
      <c r="R1160">
        <v>0</v>
      </c>
      <c r="S1160">
        <v>499</v>
      </c>
      <c r="T1160">
        <v>154</v>
      </c>
      <c r="U1160">
        <v>30.86</v>
      </c>
      <c r="V1160" t="s">
        <v>33</v>
      </c>
    </row>
    <row r="1161" spans="1:22" x14ac:dyDescent="0.35">
      <c r="A1161" t="s">
        <v>2993</v>
      </c>
      <c r="B1161" t="s">
        <v>67</v>
      </c>
      <c r="C1161" t="s">
        <v>27</v>
      </c>
      <c r="D1161" t="s">
        <v>2992</v>
      </c>
      <c r="E1161" t="s">
        <v>2991</v>
      </c>
      <c r="F1161" s="5">
        <v>45600</v>
      </c>
      <c r="G1161" t="s">
        <v>126</v>
      </c>
      <c r="H1161" t="s">
        <v>423</v>
      </c>
      <c r="I1161" t="s">
        <v>28</v>
      </c>
      <c r="J1161" t="s">
        <v>201</v>
      </c>
      <c r="K1161" t="s">
        <v>29</v>
      </c>
      <c r="L1161" t="s">
        <v>19</v>
      </c>
      <c r="M1161" t="s">
        <v>20</v>
      </c>
      <c r="N1161">
        <v>2</v>
      </c>
      <c r="O1161">
        <v>381</v>
      </c>
      <c r="P1161">
        <v>599</v>
      </c>
      <c r="Q1161">
        <v>15</v>
      </c>
      <c r="R1161">
        <v>300</v>
      </c>
      <c r="S1161">
        <v>898</v>
      </c>
      <c r="T1161">
        <v>136</v>
      </c>
      <c r="U1161">
        <v>15.14</v>
      </c>
      <c r="V1161" t="s">
        <v>33</v>
      </c>
    </row>
    <row r="1162" spans="1:22" x14ac:dyDescent="0.35">
      <c r="A1162" t="s">
        <v>2990</v>
      </c>
      <c r="B1162" t="s">
        <v>68</v>
      </c>
      <c r="C1162" t="s">
        <v>16</v>
      </c>
      <c r="D1162" t="s">
        <v>2989</v>
      </c>
      <c r="E1162" t="s">
        <v>2988</v>
      </c>
      <c r="F1162" s="5">
        <v>45654</v>
      </c>
      <c r="G1162" t="s">
        <v>126</v>
      </c>
      <c r="H1162" t="s">
        <v>2987</v>
      </c>
      <c r="I1162" t="s">
        <v>35</v>
      </c>
      <c r="J1162" t="s">
        <v>41</v>
      </c>
      <c r="K1162" t="s">
        <v>41</v>
      </c>
      <c r="L1162" t="s">
        <v>37</v>
      </c>
      <c r="M1162" t="s">
        <v>20</v>
      </c>
      <c r="N1162">
        <v>1</v>
      </c>
      <c r="O1162">
        <v>913</v>
      </c>
      <c r="P1162">
        <v>1299</v>
      </c>
      <c r="Q1162">
        <v>20</v>
      </c>
      <c r="R1162">
        <v>300</v>
      </c>
      <c r="S1162">
        <v>999</v>
      </c>
      <c r="T1162">
        <v>86</v>
      </c>
      <c r="U1162">
        <v>8.61</v>
      </c>
      <c r="V1162" t="s">
        <v>33</v>
      </c>
    </row>
    <row r="1163" spans="1:22" x14ac:dyDescent="0.35">
      <c r="A1163" t="s">
        <v>2986</v>
      </c>
      <c r="B1163" t="s">
        <v>51</v>
      </c>
      <c r="C1163" t="s">
        <v>16</v>
      </c>
      <c r="D1163" t="s">
        <v>2985</v>
      </c>
      <c r="E1163" t="s">
        <v>2984</v>
      </c>
      <c r="F1163" s="5">
        <v>45580</v>
      </c>
      <c r="G1163" t="s">
        <v>126</v>
      </c>
      <c r="H1163" t="s">
        <v>2983</v>
      </c>
      <c r="I1163" t="s">
        <v>17</v>
      </c>
      <c r="J1163" t="s">
        <v>55</v>
      </c>
      <c r="K1163" t="s">
        <v>55</v>
      </c>
      <c r="L1163" t="s">
        <v>37</v>
      </c>
      <c r="M1163" t="s">
        <v>20</v>
      </c>
      <c r="N1163">
        <v>1</v>
      </c>
      <c r="O1163">
        <v>488</v>
      </c>
      <c r="P1163">
        <v>799</v>
      </c>
      <c r="Q1163">
        <v>0</v>
      </c>
      <c r="R1163">
        <v>0</v>
      </c>
      <c r="S1163">
        <v>799</v>
      </c>
      <c r="T1163">
        <v>311</v>
      </c>
      <c r="U1163">
        <v>38.92</v>
      </c>
      <c r="V1163" t="s">
        <v>21</v>
      </c>
    </row>
    <row r="1164" spans="1:22" x14ac:dyDescent="0.35">
      <c r="A1164" t="s">
        <v>2982</v>
      </c>
      <c r="B1164" t="s">
        <v>53</v>
      </c>
      <c r="C1164" t="s">
        <v>27</v>
      </c>
      <c r="D1164" t="s">
        <v>2981</v>
      </c>
      <c r="E1164" t="s">
        <v>2980</v>
      </c>
      <c r="F1164" s="5">
        <v>45648</v>
      </c>
      <c r="G1164" t="s">
        <v>126</v>
      </c>
      <c r="H1164" t="s">
        <v>1567</v>
      </c>
      <c r="I1164" t="s">
        <v>31</v>
      </c>
      <c r="J1164" t="s">
        <v>32</v>
      </c>
      <c r="K1164" t="s">
        <v>32</v>
      </c>
      <c r="L1164" t="s">
        <v>37</v>
      </c>
      <c r="M1164" t="s">
        <v>20</v>
      </c>
      <c r="N1164">
        <v>2</v>
      </c>
      <c r="O1164">
        <v>737</v>
      </c>
      <c r="P1164">
        <v>1399</v>
      </c>
      <c r="Q1164">
        <v>0</v>
      </c>
      <c r="R1164">
        <v>0</v>
      </c>
      <c r="S1164">
        <v>2798</v>
      </c>
      <c r="T1164">
        <v>1324</v>
      </c>
      <c r="U1164">
        <v>47.32</v>
      </c>
      <c r="V1164" t="s">
        <v>21</v>
      </c>
    </row>
    <row r="1165" spans="1:22" x14ac:dyDescent="0.35">
      <c r="A1165" t="s">
        <v>2979</v>
      </c>
      <c r="B1165" t="s">
        <v>101</v>
      </c>
      <c r="C1165" t="s">
        <v>16</v>
      </c>
      <c r="D1165" t="s">
        <v>2978</v>
      </c>
      <c r="E1165" t="s">
        <v>2977</v>
      </c>
      <c r="F1165" s="5">
        <v>45550</v>
      </c>
      <c r="G1165" t="s">
        <v>126</v>
      </c>
      <c r="H1165" t="s">
        <v>2404</v>
      </c>
      <c r="I1165" t="s">
        <v>28</v>
      </c>
      <c r="J1165" t="s">
        <v>201</v>
      </c>
      <c r="K1165" t="s">
        <v>29</v>
      </c>
      <c r="L1165" t="s">
        <v>19</v>
      </c>
      <c r="M1165" t="s">
        <v>19</v>
      </c>
      <c r="N1165">
        <v>1</v>
      </c>
      <c r="O1165">
        <v>343</v>
      </c>
      <c r="P1165">
        <v>499</v>
      </c>
      <c r="Q1165">
        <v>15</v>
      </c>
      <c r="R1165">
        <v>100</v>
      </c>
      <c r="S1165">
        <v>399</v>
      </c>
      <c r="T1165">
        <v>56</v>
      </c>
      <c r="U1165">
        <v>14.04</v>
      </c>
      <c r="V1165" t="s">
        <v>21</v>
      </c>
    </row>
    <row r="1166" spans="1:22" x14ac:dyDescent="0.35">
      <c r="A1166" t="s">
        <v>2976</v>
      </c>
      <c r="B1166" t="s">
        <v>99</v>
      </c>
      <c r="C1166" t="s">
        <v>27</v>
      </c>
      <c r="D1166" t="s">
        <v>2975</v>
      </c>
      <c r="E1166" t="s">
        <v>2974</v>
      </c>
      <c r="F1166" s="5">
        <v>45641</v>
      </c>
      <c r="G1166" t="s">
        <v>126</v>
      </c>
      <c r="H1166" t="s">
        <v>2973</v>
      </c>
      <c r="I1166" t="s">
        <v>28</v>
      </c>
      <c r="J1166" t="s">
        <v>45</v>
      </c>
      <c r="K1166" t="s">
        <v>45</v>
      </c>
      <c r="L1166" t="s">
        <v>19</v>
      </c>
      <c r="M1166" t="s">
        <v>19</v>
      </c>
      <c r="N1166">
        <v>5</v>
      </c>
      <c r="O1166">
        <v>778</v>
      </c>
      <c r="P1166">
        <v>1299</v>
      </c>
      <c r="Q1166">
        <v>20</v>
      </c>
      <c r="R1166">
        <v>1500</v>
      </c>
      <c r="S1166">
        <v>4995</v>
      </c>
      <c r="T1166">
        <v>1105</v>
      </c>
      <c r="U1166">
        <v>22.12</v>
      </c>
      <c r="V1166" t="s">
        <v>21</v>
      </c>
    </row>
    <row r="1167" spans="1:22" x14ac:dyDescent="0.35">
      <c r="A1167" t="s">
        <v>2972</v>
      </c>
      <c r="B1167" t="s">
        <v>106</v>
      </c>
      <c r="C1167" t="s">
        <v>27</v>
      </c>
      <c r="D1167" t="s">
        <v>2971</v>
      </c>
      <c r="E1167" t="s">
        <v>2970</v>
      </c>
      <c r="F1167" s="5">
        <v>45491</v>
      </c>
      <c r="G1167" t="s">
        <v>126</v>
      </c>
      <c r="H1167" t="s">
        <v>1652</v>
      </c>
      <c r="I1167" t="s">
        <v>23</v>
      </c>
      <c r="J1167" t="s">
        <v>142</v>
      </c>
      <c r="K1167" t="s">
        <v>43</v>
      </c>
      <c r="L1167" t="s">
        <v>37</v>
      </c>
      <c r="M1167" t="s">
        <v>19</v>
      </c>
      <c r="N1167">
        <v>1</v>
      </c>
      <c r="O1167">
        <v>1985</v>
      </c>
      <c r="P1167">
        <v>2799</v>
      </c>
      <c r="Q1167">
        <v>20</v>
      </c>
      <c r="R1167">
        <v>600</v>
      </c>
      <c r="S1167">
        <v>2199</v>
      </c>
      <c r="T1167">
        <v>214</v>
      </c>
      <c r="U1167">
        <v>9.73</v>
      </c>
      <c r="V1167" t="s">
        <v>21</v>
      </c>
    </row>
    <row r="1168" spans="1:22" x14ac:dyDescent="0.35">
      <c r="A1168" t="s">
        <v>2969</v>
      </c>
      <c r="B1168" t="s">
        <v>101</v>
      </c>
      <c r="C1168" t="s">
        <v>16</v>
      </c>
      <c r="D1168" t="s">
        <v>2968</v>
      </c>
      <c r="E1168" t="s">
        <v>2967</v>
      </c>
      <c r="F1168" s="5">
        <v>45637</v>
      </c>
      <c r="G1168" t="s">
        <v>126</v>
      </c>
      <c r="H1168" t="s">
        <v>917</v>
      </c>
      <c r="I1168" t="s">
        <v>28</v>
      </c>
      <c r="J1168" t="s">
        <v>201</v>
      </c>
      <c r="K1168" t="s">
        <v>29</v>
      </c>
      <c r="L1168" t="s">
        <v>25</v>
      </c>
      <c r="M1168" t="s">
        <v>19</v>
      </c>
      <c r="N1168">
        <v>1</v>
      </c>
      <c r="O1168">
        <v>346</v>
      </c>
      <c r="P1168">
        <v>599</v>
      </c>
      <c r="Q1168">
        <v>10</v>
      </c>
      <c r="R1168">
        <v>100</v>
      </c>
      <c r="S1168">
        <v>499</v>
      </c>
      <c r="T1168">
        <v>153</v>
      </c>
      <c r="U1168">
        <v>30.66</v>
      </c>
      <c r="V1168" t="s">
        <v>33</v>
      </c>
    </row>
    <row r="1169" spans="1:22" x14ac:dyDescent="0.35">
      <c r="A1169" t="s">
        <v>2966</v>
      </c>
      <c r="B1169" t="s">
        <v>79</v>
      </c>
      <c r="C1169" t="s">
        <v>16</v>
      </c>
      <c r="D1169" t="s">
        <v>2965</v>
      </c>
      <c r="E1169" t="s">
        <v>2964</v>
      </c>
      <c r="F1169" s="5">
        <v>45652</v>
      </c>
      <c r="G1169" t="s">
        <v>126</v>
      </c>
      <c r="H1169" t="s">
        <v>2963</v>
      </c>
      <c r="I1169" t="s">
        <v>23</v>
      </c>
      <c r="J1169" t="s">
        <v>164</v>
      </c>
      <c r="K1169" t="s">
        <v>24</v>
      </c>
      <c r="L1169" t="s">
        <v>37</v>
      </c>
      <c r="M1169" t="s">
        <v>19</v>
      </c>
      <c r="N1169">
        <v>1</v>
      </c>
      <c r="O1169">
        <v>870</v>
      </c>
      <c r="P1169">
        <v>1299</v>
      </c>
      <c r="Q1169">
        <v>5</v>
      </c>
      <c r="R1169">
        <v>100</v>
      </c>
      <c r="S1169">
        <v>1199</v>
      </c>
      <c r="T1169">
        <v>329</v>
      </c>
      <c r="U1169">
        <v>27.44</v>
      </c>
      <c r="V1169" t="s">
        <v>21</v>
      </c>
    </row>
    <row r="1170" spans="1:22" x14ac:dyDescent="0.35">
      <c r="A1170" t="s">
        <v>2962</v>
      </c>
      <c r="B1170" t="s">
        <v>85</v>
      </c>
      <c r="C1170" t="s">
        <v>27</v>
      </c>
      <c r="D1170" t="s">
        <v>2961</v>
      </c>
      <c r="E1170" t="s">
        <v>2960</v>
      </c>
      <c r="F1170" s="5">
        <v>45512</v>
      </c>
      <c r="G1170" t="s">
        <v>126</v>
      </c>
      <c r="H1170" t="s">
        <v>921</v>
      </c>
      <c r="I1170" t="s">
        <v>31</v>
      </c>
      <c r="J1170" t="s">
        <v>32</v>
      </c>
      <c r="K1170" t="s">
        <v>32</v>
      </c>
      <c r="L1170" t="s">
        <v>19</v>
      </c>
      <c r="M1170" t="s">
        <v>20</v>
      </c>
      <c r="N1170">
        <v>2</v>
      </c>
      <c r="O1170">
        <v>783</v>
      </c>
      <c r="P1170">
        <v>1499</v>
      </c>
      <c r="Q1170">
        <v>0</v>
      </c>
      <c r="R1170">
        <v>0</v>
      </c>
      <c r="S1170">
        <v>2998</v>
      </c>
      <c r="T1170">
        <v>1432</v>
      </c>
      <c r="U1170">
        <v>47.77</v>
      </c>
      <c r="V1170" t="s">
        <v>33</v>
      </c>
    </row>
    <row r="1171" spans="1:22" x14ac:dyDescent="0.35">
      <c r="A1171" t="s">
        <v>2959</v>
      </c>
      <c r="B1171" t="s">
        <v>75</v>
      </c>
      <c r="C1171" t="s">
        <v>27</v>
      </c>
      <c r="D1171" t="s">
        <v>2958</v>
      </c>
      <c r="E1171" t="s">
        <v>2957</v>
      </c>
      <c r="F1171" s="5">
        <v>45526</v>
      </c>
      <c r="G1171" t="s">
        <v>126</v>
      </c>
      <c r="H1171" t="s">
        <v>2956</v>
      </c>
      <c r="I1171" t="s">
        <v>31</v>
      </c>
      <c r="J1171" t="s">
        <v>76</v>
      </c>
      <c r="K1171" t="s">
        <v>76</v>
      </c>
      <c r="L1171" t="s">
        <v>37</v>
      </c>
      <c r="M1171" t="s">
        <v>20</v>
      </c>
      <c r="N1171">
        <v>1</v>
      </c>
      <c r="O1171">
        <v>480</v>
      </c>
      <c r="P1171">
        <v>799</v>
      </c>
      <c r="Q1171">
        <v>0</v>
      </c>
      <c r="R1171">
        <v>0</v>
      </c>
      <c r="S1171">
        <v>799</v>
      </c>
      <c r="T1171">
        <v>319</v>
      </c>
      <c r="U1171">
        <v>39.92</v>
      </c>
      <c r="V1171" t="s">
        <v>21</v>
      </c>
    </row>
    <row r="1172" spans="1:22" x14ac:dyDescent="0.35">
      <c r="A1172" t="s">
        <v>2955</v>
      </c>
      <c r="B1172" t="s">
        <v>26</v>
      </c>
      <c r="C1172" t="s">
        <v>27</v>
      </c>
      <c r="D1172" t="s">
        <v>2954</v>
      </c>
      <c r="E1172" t="s">
        <v>2953</v>
      </c>
      <c r="F1172" s="5">
        <v>45446</v>
      </c>
      <c r="G1172" t="s">
        <v>126</v>
      </c>
      <c r="H1172" t="s">
        <v>2322</v>
      </c>
      <c r="I1172" t="s">
        <v>17</v>
      </c>
      <c r="J1172" t="s">
        <v>48</v>
      </c>
      <c r="K1172" t="s">
        <v>48</v>
      </c>
      <c r="L1172" t="s">
        <v>19</v>
      </c>
      <c r="M1172" t="s">
        <v>19</v>
      </c>
      <c r="N1172">
        <v>1</v>
      </c>
      <c r="O1172">
        <v>306</v>
      </c>
      <c r="P1172">
        <v>499</v>
      </c>
      <c r="Q1172">
        <v>0</v>
      </c>
      <c r="R1172">
        <v>0</v>
      </c>
      <c r="S1172">
        <v>499</v>
      </c>
      <c r="T1172">
        <v>193</v>
      </c>
      <c r="U1172">
        <v>38.68</v>
      </c>
      <c r="V1172" t="s">
        <v>33</v>
      </c>
    </row>
    <row r="1173" spans="1:22" x14ac:dyDescent="0.35">
      <c r="A1173" t="s">
        <v>2952</v>
      </c>
      <c r="B1173" t="s">
        <v>71</v>
      </c>
      <c r="C1173" t="s">
        <v>16</v>
      </c>
      <c r="D1173" t="s">
        <v>2951</v>
      </c>
      <c r="E1173" t="s">
        <v>2950</v>
      </c>
      <c r="F1173" s="5">
        <v>45466</v>
      </c>
      <c r="G1173" t="s">
        <v>126</v>
      </c>
      <c r="H1173" t="s">
        <v>2714</v>
      </c>
      <c r="I1173" t="s">
        <v>23</v>
      </c>
      <c r="J1173" t="s">
        <v>142</v>
      </c>
      <c r="K1173" t="s">
        <v>43</v>
      </c>
      <c r="L1173" t="s">
        <v>25</v>
      </c>
      <c r="M1173" t="s">
        <v>20</v>
      </c>
      <c r="N1173">
        <v>1</v>
      </c>
      <c r="O1173">
        <v>1549</v>
      </c>
      <c r="P1173">
        <v>2399</v>
      </c>
      <c r="Q1173">
        <v>5</v>
      </c>
      <c r="R1173">
        <v>200</v>
      </c>
      <c r="S1173">
        <v>2199</v>
      </c>
      <c r="T1173">
        <v>650</v>
      </c>
      <c r="U1173">
        <v>29.56</v>
      </c>
      <c r="V1173" t="s">
        <v>33</v>
      </c>
    </row>
    <row r="1174" spans="1:22" x14ac:dyDescent="0.35">
      <c r="A1174" t="s">
        <v>2949</v>
      </c>
      <c r="B1174" t="s">
        <v>82</v>
      </c>
      <c r="C1174" t="s">
        <v>27</v>
      </c>
      <c r="D1174" t="s">
        <v>2948</v>
      </c>
      <c r="E1174" t="s">
        <v>2947</v>
      </c>
      <c r="F1174" s="5">
        <v>45466</v>
      </c>
      <c r="G1174" t="s">
        <v>126</v>
      </c>
      <c r="H1174" t="s">
        <v>2946</v>
      </c>
      <c r="I1174" t="s">
        <v>23</v>
      </c>
      <c r="J1174" t="s">
        <v>164</v>
      </c>
      <c r="K1174" t="s">
        <v>24</v>
      </c>
      <c r="L1174" t="s">
        <v>19</v>
      </c>
      <c r="M1174" t="s">
        <v>20</v>
      </c>
      <c r="N1174">
        <v>2</v>
      </c>
      <c r="O1174">
        <v>1188</v>
      </c>
      <c r="P1174">
        <v>1699</v>
      </c>
      <c r="Q1174">
        <v>10</v>
      </c>
      <c r="R1174">
        <v>400</v>
      </c>
      <c r="S1174">
        <v>2998</v>
      </c>
      <c r="T1174">
        <v>622</v>
      </c>
      <c r="U1174">
        <v>20.75</v>
      </c>
      <c r="V1174" t="s">
        <v>33</v>
      </c>
    </row>
    <row r="1175" spans="1:22" x14ac:dyDescent="0.35">
      <c r="A1175" t="s">
        <v>2945</v>
      </c>
      <c r="B1175" t="s">
        <v>65</v>
      </c>
      <c r="C1175" t="s">
        <v>16</v>
      </c>
      <c r="D1175" t="s">
        <v>2944</v>
      </c>
      <c r="E1175" t="s">
        <v>2943</v>
      </c>
      <c r="F1175" s="5">
        <v>45463</v>
      </c>
      <c r="G1175" t="s">
        <v>126</v>
      </c>
      <c r="H1175" t="s">
        <v>1652</v>
      </c>
      <c r="I1175" t="s">
        <v>23</v>
      </c>
      <c r="J1175" t="s">
        <v>142</v>
      </c>
      <c r="K1175" t="s">
        <v>43</v>
      </c>
      <c r="L1175" t="s">
        <v>25</v>
      </c>
      <c r="M1175" t="s">
        <v>19</v>
      </c>
      <c r="N1175">
        <v>1</v>
      </c>
      <c r="O1175">
        <v>1390</v>
      </c>
      <c r="P1175">
        <v>2599</v>
      </c>
      <c r="Q1175">
        <v>15</v>
      </c>
      <c r="R1175">
        <v>400</v>
      </c>
      <c r="S1175">
        <v>2199</v>
      </c>
      <c r="T1175">
        <v>809</v>
      </c>
      <c r="U1175">
        <v>36.79</v>
      </c>
      <c r="V1175" t="s">
        <v>21</v>
      </c>
    </row>
    <row r="1176" spans="1:22" x14ac:dyDescent="0.35">
      <c r="A1176" t="s">
        <v>2942</v>
      </c>
      <c r="B1176" t="s">
        <v>40</v>
      </c>
      <c r="C1176" t="s">
        <v>27</v>
      </c>
      <c r="D1176" t="s">
        <v>2941</v>
      </c>
      <c r="E1176" t="s">
        <v>2940</v>
      </c>
      <c r="F1176" s="5">
        <v>45644</v>
      </c>
      <c r="G1176" t="s">
        <v>126</v>
      </c>
      <c r="H1176" t="s">
        <v>1590</v>
      </c>
      <c r="I1176" t="s">
        <v>35</v>
      </c>
      <c r="J1176" t="s">
        <v>159</v>
      </c>
      <c r="K1176" t="s">
        <v>36</v>
      </c>
      <c r="L1176" t="s">
        <v>25</v>
      </c>
      <c r="M1176" t="s">
        <v>20</v>
      </c>
      <c r="N1176">
        <v>1</v>
      </c>
      <c r="O1176">
        <v>249</v>
      </c>
      <c r="P1176">
        <v>399</v>
      </c>
      <c r="Q1176">
        <v>5</v>
      </c>
      <c r="R1176">
        <v>100</v>
      </c>
      <c r="S1176">
        <v>299</v>
      </c>
      <c r="T1176">
        <v>50</v>
      </c>
      <c r="U1176">
        <v>16.72</v>
      </c>
      <c r="V1176" t="s">
        <v>33</v>
      </c>
    </row>
    <row r="1177" spans="1:22" x14ac:dyDescent="0.35">
      <c r="A1177" t="s">
        <v>2939</v>
      </c>
      <c r="B1177" t="s">
        <v>54</v>
      </c>
      <c r="C1177" t="s">
        <v>27</v>
      </c>
      <c r="D1177" t="s">
        <v>2938</v>
      </c>
      <c r="E1177" t="s">
        <v>2937</v>
      </c>
      <c r="F1177" s="5">
        <v>45621</v>
      </c>
      <c r="G1177" t="s">
        <v>126</v>
      </c>
      <c r="H1177" t="s">
        <v>427</v>
      </c>
      <c r="I1177" t="s">
        <v>23</v>
      </c>
      <c r="J1177" t="s">
        <v>164</v>
      </c>
      <c r="K1177" t="s">
        <v>24</v>
      </c>
      <c r="L1177" t="s">
        <v>25</v>
      </c>
      <c r="M1177" t="s">
        <v>20</v>
      </c>
      <c r="N1177">
        <v>2</v>
      </c>
      <c r="O1177">
        <v>994</v>
      </c>
      <c r="P1177">
        <v>1399</v>
      </c>
      <c r="Q1177">
        <v>10</v>
      </c>
      <c r="R1177">
        <v>400</v>
      </c>
      <c r="S1177">
        <v>2398</v>
      </c>
      <c r="T1177">
        <v>410</v>
      </c>
      <c r="U1177">
        <v>17.100000000000001</v>
      </c>
      <c r="V1177" t="s">
        <v>21</v>
      </c>
    </row>
    <row r="1178" spans="1:22" x14ac:dyDescent="0.35">
      <c r="A1178" t="s">
        <v>2936</v>
      </c>
      <c r="B1178" t="s">
        <v>57</v>
      </c>
      <c r="C1178" t="s">
        <v>27</v>
      </c>
      <c r="D1178" t="s">
        <v>2935</v>
      </c>
      <c r="E1178" t="s">
        <v>2934</v>
      </c>
      <c r="F1178" s="5">
        <v>45507</v>
      </c>
      <c r="G1178" t="s">
        <v>126</v>
      </c>
      <c r="H1178" t="s">
        <v>2404</v>
      </c>
      <c r="I1178" t="s">
        <v>35</v>
      </c>
      <c r="J1178" t="s">
        <v>41</v>
      </c>
      <c r="K1178" t="s">
        <v>41</v>
      </c>
      <c r="L1178" t="s">
        <v>19</v>
      </c>
      <c r="M1178" t="s">
        <v>19</v>
      </c>
      <c r="N1178">
        <v>5</v>
      </c>
      <c r="O1178">
        <v>652</v>
      </c>
      <c r="P1178">
        <v>899</v>
      </c>
      <c r="Q1178">
        <v>10</v>
      </c>
      <c r="R1178">
        <v>500</v>
      </c>
      <c r="S1178">
        <v>3995</v>
      </c>
      <c r="T1178">
        <v>735</v>
      </c>
      <c r="U1178">
        <v>18.399999999999999</v>
      </c>
      <c r="V1178" t="s">
        <v>21</v>
      </c>
    </row>
    <row r="1179" spans="1:22" x14ac:dyDescent="0.35">
      <c r="A1179" t="s">
        <v>2933</v>
      </c>
      <c r="B1179" t="s">
        <v>108</v>
      </c>
      <c r="C1179" t="s">
        <v>27</v>
      </c>
      <c r="D1179" t="s">
        <v>2932</v>
      </c>
      <c r="E1179" t="s">
        <v>2931</v>
      </c>
      <c r="F1179" s="5">
        <v>45609</v>
      </c>
      <c r="G1179" t="s">
        <v>126</v>
      </c>
      <c r="H1179" t="s">
        <v>2438</v>
      </c>
      <c r="I1179" t="s">
        <v>23</v>
      </c>
      <c r="J1179" t="s">
        <v>164</v>
      </c>
      <c r="K1179" t="s">
        <v>24</v>
      </c>
      <c r="L1179" t="s">
        <v>19</v>
      </c>
      <c r="M1179" t="s">
        <v>20</v>
      </c>
      <c r="N1179">
        <v>4</v>
      </c>
      <c r="O1179">
        <v>939</v>
      </c>
      <c r="P1179">
        <v>1399</v>
      </c>
      <c r="Q1179">
        <v>10</v>
      </c>
      <c r="R1179">
        <v>800</v>
      </c>
      <c r="S1179">
        <v>4796</v>
      </c>
      <c r="T1179">
        <v>1040</v>
      </c>
      <c r="U1179">
        <v>21.68</v>
      </c>
      <c r="V1179" t="s">
        <v>21</v>
      </c>
    </row>
    <row r="1180" spans="1:22" x14ac:dyDescent="0.35">
      <c r="A1180" t="s">
        <v>2930</v>
      </c>
      <c r="B1180" t="s">
        <v>105</v>
      </c>
      <c r="C1180" t="s">
        <v>16</v>
      </c>
      <c r="D1180" t="s">
        <v>2929</v>
      </c>
      <c r="E1180" t="s">
        <v>2928</v>
      </c>
      <c r="F1180" s="5">
        <v>45524</v>
      </c>
      <c r="G1180" t="s">
        <v>126</v>
      </c>
      <c r="H1180" t="s">
        <v>2927</v>
      </c>
      <c r="I1180" t="s">
        <v>28</v>
      </c>
      <c r="J1180" t="s">
        <v>201</v>
      </c>
      <c r="K1180" t="s">
        <v>29</v>
      </c>
      <c r="L1180" t="s">
        <v>25</v>
      </c>
      <c r="M1180" t="s">
        <v>20</v>
      </c>
      <c r="N1180">
        <v>1</v>
      </c>
      <c r="O1180">
        <v>440</v>
      </c>
      <c r="P1180">
        <v>699</v>
      </c>
      <c r="Q1180">
        <v>20</v>
      </c>
      <c r="R1180">
        <v>200</v>
      </c>
      <c r="S1180">
        <v>499</v>
      </c>
      <c r="T1180">
        <v>59</v>
      </c>
      <c r="U1180">
        <v>11.82</v>
      </c>
      <c r="V1180" t="s">
        <v>21</v>
      </c>
    </row>
    <row r="1181" spans="1:22" x14ac:dyDescent="0.35">
      <c r="A1181" t="s">
        <v>2926</v>
      </c>
      <c r="B1181" t="s">
        <v>66</v>
      </c>
      <c r="C1181" t="s">
        <v>27</v>
      </c>
      <c r="D1181" t="s">
        <v>2925</v>
      </c>
      <c r="E1181" t="s">
        <v>2924</v>
      </c>
      <c r="F1181" s="5">
        <v>45475</v>
      </c>
      <c r="G1181" t="s">
        <v>126</v>
      </c>
      <c r="H1181" t="s">
        <v>2923</v>
      </c>
      <c r="I1181" t="s">
        <v>35</v>
      </c>
      <c r="J1181" t="s">
        <v>39</v>
      </c>
      <c r="K1181" t="s">
        <v>39</v>
      </c>
      <c r="L1181" t="s">
        <v>37</v>
      </c>
      <c r="M1181" t="s">
        <v>19</v>
      </c>
      <c r="N1181">
        <v>4</v>
      </c>
      <c r="O1181">
        <v>913</v>
      </c>
      <c r="P1181">
        <v>1299</v>
      </c>
      <c r="Q1181">
        <v>20</v>
      </c>
      <c r="R1181">
        <v>1200</v>
      </c>
      <c r="S1181">
        <v>3996</v>
      </c>
      <c r="T1181">
        <v>344</v>
      </c>
      <c r="U1181">
        <v>8.61</v>
      </c>
      <c r="V1181" t="s">
        <v>21</v>
      </c>
    </row>
    <row r="1182" spans="1:22" x14ac:dyDescent="0.35">
      <c r="A1182" t="s">
        <v>2922</v>
      </c>
      <c r="B1182" t="s">
        <v>97</v>
      </c>
      <c r="C1182" t="s">
        <v>16</v>
      </c>
      <c r="D1182" t="s">
        <v>2921</v>
      </c>
      <c r="E1182" t="s">
        <v>2920</v>
      </c>
      <c r="F1182" s="5">
        <v>45458</v>
      </c>
      <c r="G1182" t="s">
        <v>126</v>
      </c>
      <c r="H1182" t="s">
        <v>2919</v>
      </c>
      <c r="I1182" t="s">
        <v>28</v>
      </c>
      <c r="J1182" t="s">
        <v>45</v>
      </c>
      <c r="K1182" t="s">
        <v>45</v>
      </c>
      <c r="L1182" t="s">
        <v>37</v>
      </c>
      <c r="M1182" t="s">
        <v>20</v>
      </c>
      <c r="N1182">
        <v>1</v>
      </c>
      <c r="O1182">
        <v>866</v>
      </c>
      <c r="P1182">
        <v>1299</v>
      </c>
      <c r="Q1182">
        <v>20</v>
      </c>
      <c r="R1182">
        <v>300</v>
      </c>
      <c r="S1182">
        <v>999</v>
      </c>
      <c r="T1182">
        <v>133</v>
      </c>
      <c r="U1182">
        <v>13.31</v>
      </c>
      <c r="V1182" t="s">
        <v>33</v>
      </c>
    </row>
    <row r="1183" spans="1:22" x14ac:dyDescent="0.35">
      <c r="A1183" t="s">
        <v>2918</v>
      </c>
      <c r="B1183" t="s">
        <v>34</v>
      </c>
      <c r="C1183" t="s">
        <v>27</v>
      </c>
      <c r="D1183" t="s">
        <v>2917</v>
      </c>
      <c r="E1183" t="s">
        <v>645</v>
      </c>
      <c r="F1183" s="5">
        <v>45620</v>
      </c>
      <c r="G1183" t="s">
        <v>126</v>
      </c>
      <c r="H1183" t="s">
        <v>1634</v>
      </c>
      <c r="I1183" t="s">
        <v>31</v>
      </c>
      <c r="J1183" t="s">
        <v>32</v>
      </c>
      <c r="K1183" t="s">
        <v>32</v>
      </c>
      <c r="L1183" t="s">
        <v>37</v>
      </c>
      <c r="M1183" t="s">
        <v>20</v>
      </c>
      <c r="N1183">
        <v>5</v>
      </c>
      <c r="O1183">
        <v>630</v>
      </c>
      <c r="P1183">
        <v>899</v>
      </c>
      <c r="Q1183">
        <v>0</v>
      </c>
      <c r="R1183">
        <v>0</v>
      </c>
      <c r="S1183">
        <v>4495</v>
      </c>
      <c r="T1183">
        <v>1345</v>
      </c>
      <c r="U1183">
        <v>29.92</v>
      </c>
      <c r="V1183" t="s">
        <v>21</v>
      </c>
    </row>
    <row r="1184" spans="1:22" x14ac:dyDescent="0.35">
      <c r="A1184" t="s">
        <v>2916</v>
      </c>
      <c r="B1184" t="s">
        <v>103</v>
      </c>
      <c r="C1184" t="s">
        <v>16</v>
      </c>
      <c r="D1184" t="s">
        <v>2915</v>
      </c>
      <c r="E1184" t="s">
        <v>2914</v>
      </c>
      <c r="F1184" s="5">
        <v>45557</v>
      </c>
      <c r="G1184" t="s">
        <v>126</v>
      </c>
      <c r="H1184" t="s">
        <v>2913</v>
      </c>
      <c r="I1184" t="s">
        <v>31</v>
      </c>
      <c r="J1184" t="s">
        <v>76</v>
      </c>
      <c r="K1184" t="s">
        <v>76</v>
      </c>
      <c r="L1184" t="s">
        <v>19</v>
      </c>
      <c r="M1184" t="s">
        <v>20</v>
      </c>
      <c r="N1184">
        <v>1</v>
      </c>
      <c r="O1184">
        <v>1083</v>
      </c>
      <c r="P1184">
        <v>1499</v>
      </c>
      <c r="Q1184">
        <v>0</v>
      </c>
      <c r="R1184">
        <v>0</v>
      </c>
      <c r="S1184">
        <v>1499</v>
      </c>
      <c r="T1184">
        <v>416</v>
      </c>
      <c r="U1184">
        <v>27.75</v>
      </c>
      <c r="V1184" t="s">
        <v>21</v>
      </c>
    </row>
    <row r="1185" spans="1:22" x14ac:dyDescent="0.35">
      <c r="A1185" t="s">
        <v>2912</v>
      </c>
      <c r="B1185" t="s">
        <v>44</v>
      </c>
      <c r="C1185" t="s">
        <v>16</v>
      </c>
      <c r="D1185" t="s">
        <v>2911</v>
      </c>
      <c r="E1185" t="s">
        <v>2910</v>
      </c>
      <c r="F1185" s="5">
        <v>45647</v>
      </c>
      <c r="G1185" t="s">
        <v>126</v>
      </c>
      <c r="H1185" t="s">
        <v>2909</v>
      </c>
      <c r="I1185" t="s">
        <v>35</v>
      </c>
      <c r="J1185" t="s">
        <v>244</v>
      </c>
      <c r="K1185" t="s">
        <v>58</v>
      </c>
      <c r="L1185" t="s">
        <v>25</v>
      </c>
      <c r="M1185" t="s">
        <v>19</v>
      </c>
      <c r="N1185">
        <v>4</v>
      </c>
      <c r="O1185">
        <v>1218</v>
      </c>
      <c r="P1185">
        <v>2199</v>
      </c>
      <c r="Q1185">
        <v>5</v>
      </c>
      <c r="R1185">
        <v>800</v>
      </c>
      <c r="S1185">
        <v>7996</v>
      </c>
      <c r="T1185">
        <v>3124</v>
      </c>
      <c r="U1185">
        <v>39.07</v>
      </c>
      <c r="V1185" t="s">
        <v>21</v>
      </c>
    </row>
    <row r="1186" spans="1:22" x14ac:dyDescent="0.35">
      <c r="A1186" t="s">
        <v>2908</v>
      </c>
      <c r="B1186" t="s">
        <v>99</v>
      </c>
      <c r="C1186" t="s">
        <v>27</v>
      </c>
      <c r="D1186" t="s">
        <v>2907</v>
      </c>
      <c r="E1186" t="s">
        <v>2906</v>
      </c>
      <c r="F1186" s="5">
        <v>45601</v>
      </c>
      <c r="G1186" t="s">
        <v>126</v>
      </c>
      <c r="H1186" t="s">
        <v>2803</v>
      </c>
      <c r="I1186" t="s">
        <v>28</v>
      </c>
      <c r="J1186" t="s">
        <v>201</v>
      </c>
      <c r="K1186" t="s">
        <v>29</v>
      </c>
      <c r="L1186" t="s">
        <v>25</v>
      </c>
      <c r="M1186" t="s">
        <v>19</v>
      </c>
      <c r="N1186">
        <v>3</v>
      </c>
      <c r="O1186">
        <v>490</v>
      </c>
      <c r="P1186">
        <v>699</v>
      </c>
      <c r="Q1186">
        <v>10</v>
      </c>
      <c r="R1186">
        <v>300</v>
      </c>
      <c r="S1186">
        <v>1797</v>
      </c>
      <c r="T1186">
        <v>327</v>
      </c>
      <c r="U1186">
        <v>18.2</v>
      </c>
      <c r="V1186" t="s">
        <v>21</v>
      </c>
    </row>
    <row r="1187" spans="1:22" x14ac:dyDescent="0.35">
      <c r="A1187" t="s">
        <v>2905</v>
      </c>
      <c r="B1187" t="s">
        <v>74</v>
      </c>
      <c r="C1187" t="s">
        <v>16</v>
      </c>
      <c r="D1187" t="s">
        <v>2904</v>
      </c>
      <c r="E1187" t="s">
        <v>2903</v>
      </c>
      <c r="F1187" s="5">
        <v>45531</v>
      </c>
      <c r="G1187" t="s">
        <v>126</v>
      </c>
      <c r="H1187" t="s">
        <v>2902</v>
      </c>
      <c r="I1187" t="s">
        <v>35</v>
      </c>
      <c r="J1187" t="s">
        <v>159</v>
      </c>
      <c r="K1187" t="s">
        <v>36</v>
      </c>
      <c r="L1187" t="s">
        <v>37</v>
      </c>
      <c r="M1187" t="s">
        <v>20</v>
      </c>
      <c r="N1187">
        <v>1</v>
      </c>
      <c r="O1187">
        <v>422</v>
      </c>
      <c r="P1187">
        <v>599</v>
      </c>
      <c r="Q1187">
        <v>10</v>
      </c>
      <c r="R1187">
        <v>100</v>
      </c>
      <c r="S1187">
        <v>499</v>
      </c>
      <c r="T1187">
        <v>77</v>
      </c>
      <c r="U1187">
        <v>15.43</v>
      </c>
      <c r="V1187" t="s">
        <v>21</v>
      </c>
    </row>
    <row r="1188" spans="1:22" x14ac:dyDescent="0.35">
      <c r="A1188" t="s">
        <v>2901</v>
      </c>
      <c r="B1188" t="s">
        <v>62</v>
      </c>
      <c r="C1188" t="s">
        <v>16</v>
      </c>
      <c r="D1188" t="s">
        <v>2900</v>
      </c>
      <c r="E1188" t="s">
        <v>2899</v>
      </c>
      <c r="F1188" s="5">
        <v>45521</v>
      </c>
      <c r="G1188" t="s">
        <v>126</v>
      </c>
      <c r="H1188" t="s">
        <v>2898</v>
      </c>
      <c r="I1188" t="s">
        <v>28</v>
      </c>
      <c r="J1188" t="s">
        <v>201</v>
      </c>
      <c r="K1188" t="s">
        <v>29</v>
      </c>
      <c r="L1188" t="s">
        <v>25</v>
      </c>
      <c r="M1188" t="s">
        <v>20</v>
      </c>
      <c r="N1188">
        <v>1</v>
      </c>
      <c r="O1188">
        <v>429</v>
      </c>
      <c r="P1188">
        <v>799</v>
      </c>
      <c r="Q1188">
        <v>15</v>
      </c>
      <c r="R1188">
        <v>200</v>
      </c>
      <c r="S1188">
        <v>599</v>
      </c>
      <c r="T1188">
        <v>170</v>
      </c>
      <c r="U1188">
        <v>28.38</v>
      </c>
      <c r="V1188" t="s">
        <v>21</v>
      </c>
    </row>
    <row r="1189" spans="1:22" x14ac:dyDescent="0.35">
      <c r="A1189" t="s">
        <v>2897</v>
      </c>
      <c r="B1189" t="s">
        <v>83</v>
      </c>
      <c r="C1189" t="s">
        <v>27</v>
      </c>
      <c r="D1189" t="s">
        <v>2896</v>
      </c>
      <c r="E1189" t="s">
        <v>2895</v>
      </c>
      <c r="F1189" s="5">
        <v>45605</v>
      </c>
      <c r="G1189" t="s">
        <v>126</v>
      </c>
      <c r="H1189" t="s">
        <v>2185</v>
      </c>
      <c r="I1189" t="s">
        <v>31</v>
      </c>
      <c r="J1189" t="s">
        <v>76</v>
      </c>
      <c r="K1189" t="s">
        <v>76</v>
      </c>
      <c r="L1189" t="s">
        <v>37</v>
      </c>
      <c r="M1189" t="s">
        <v>19</v>
      </c>
      <c r="N1189">
        <v>1</v>
      </c>
      <c r="O1189">
        <v>429</v>
      </c>
      <c r="P1189">
        <v>699</v>
      </c>
      <c r="Q1189">
        <v>0</v>
      </c>
      <c r="R1189">
        <v>0</v>
      </c>
      <c r="S1189">
        <v>699</v>
      </c>
      <c r="T1189">
        <v>270</v>
      </c>
      <c r="U1189">
        <v>38.630000000000003</v>
      </c>
      <c r="V1189" t="s">
        <v>21</v>
      </c>
    </row>
    <row r="1190" spans="1:22" x14ac:dyDescent="0.35">
      <c r="A1190" t="s">
        <v>2894</v>
      </c>
      <c r="B1190" t="s">
        <v>80</v>
      </c>
      <c r="C1190" t="s">
        <v>27</v>
      </c>
      <c r="D1190" t="s">
        <v>2893</v>
      </c>
      <c r="E1190" t="s">
        <v>2892</v>
      </c>
      <c r="F1190" s="5">
        <v>45568</v>
      </c>
      <c r="G1190" t="s">
        <v>126</v>
      </c>
      <c r="H1190" t="s">
        <v>2891</v>
      </c>
      <c r="I1190" t="s">
        <v>31</v>
      </c>
      <c r="J1190" t="s">
        <v>76</v>
      </c>
      <c r="K1190" t="s">
        <v>76</v>
      </c>
      <c r="L1190" t="s">
        <v>19</v>
      </c>
      <c r="M1190" t="s">
        <v>20</v>
      </c>
      <c r="N1190">
        <v>2</v>
      </c>
      <c r="O1190">
        <v>736</v>
      </c>
      <c r="P1190">
        <v>1199</v>
      </c>
      <c r="Q1190">
        <v>0</v>
      </c>
      <c r="R1190">
        <v>0</v>
      </c>
      <c r="S1190">
        <v>2398</v>
      </c>
      <c r="T1190">
        <v>926</v>
      </c>
      <c r="U1190">
        <v>38.619999999999997</v>
      </c>
      <c r="V1190" t="s">
        <v>33</v>
      </c>
    </row>
    <row r="1191" spans="1:22" x14ac:dyDescent="0.35">
      <c r="A1191" t="s">
        <v>2890</v>
      </c>
      <c r="B1191" t="s">
        <v>80</v>
      </c>
      <c r="C1191" t="s">
        <v>27</v>
      </c>
      <c r="D1191" t="s">
        <v>2889</v>
      </c>
      <c r="E1191" t="s">
        <v>2888</v>
      </c>
      <c r="F1191" s="5">
        <v>45470</v>
      </c>
      <c r="G1191" t="s">
        <v>126</v>
      </c>
      <c r="H1191" t="s">
        <v>2887</v>
      </c>
      <c r="I1191" t="s">
        <v>31</v>
      </c>
      <c r="J1191" t="s">
        <v>32</v>
      </c>
      <c r="K1191" t="s">
        <v>32</v>
      </c>
      <c r="L1191" t="s">
        <v>19</v>
      </c>
      <c r="M1191" t="s">
        <v>20</v>
      </c>
      <c r="N1191">
        <v>1</v>
      </c>
      <c r="O1191">
        <v>770</v>
      </c>
      <c r="P1191">
        <v>1499</v>
      </c>
      <c r="Q1191">
        <v>0</v>
      </c>
      <c r="R1191">
        <v>0</v>
      </c>
      <c r="S1191">
        <v>1499</v>
      </c>
      <c r="T1191">
        <v>729</v>
      </c>
      <c r="U1191">
        <v>48.63</v>
      </c>
      <c r="V1191" t="s">
        <v>21</v>
      </c>
    </row>
    <row r="1192" spans="1:22" x14ac:dyDescent="0.35">
      <c r="A1192" t="s">
        <v>2886</v>
      </c>
      <c r="B1192" t="s">
        <v>91</v>
      </c>
      <c r="C1192" t="s">
        <v>16</v>
      </c>
      <c r="D1192" t="s">
        <v>2885</v>
      </c>
      <c r="E1192" t="s">
        <v>2884</v>
      </c>
      <c r="F1192" s="5">
        <v>45542</v>
      </c>
      <c r="G1192" t="s">
        <v>126</v>
      </c>
      <c r="H1192" t="s">
        <v>2427</v>
      </c>
      <c r="I1192" t="s">
        <v>31</v>
      </c>
      <c r="J1192" t="s">
        <v>76</v>
      </c>
      <c r="K1192" t="s">
        <v>76</v>
      </c>
      <c r="L1192" t="s">
        <v>25</v>
      </c>
      <c r="M1192" t="s">
        <v>20</v>
      </c>
      <c r="N1192">
        <v>1</v>
      </c>
      <c r="O1192">
        <v>759</v>
      </c>
      <c r="P1192">
        <v>1499</v>
      </c>
      <c r="Q1192">
        <v>0</v>
      </c>
      <c r="R1192">
        <v>0</v>
      </c>
      <c r="S1192">
        <v>1499</v>
      </c>
      <c r="T1192">
        <v>740</v>
      </c>
      <c r="U1192">
        <v>49.37</v>
      </c>
      <c r="V1192" t="s">
        <v>21</v>
      </c>
    </row>
    <row r="1193" spans="1:22" x14ac:dyDescent="0.35">
      <c r="A1193" t="s">
        <v>2883</v>
      </c>
      <c r="B1193" t="s">
        <v>69</v>
      </c>
      <c r="C1193" t="s">
        <v>16</v>
      </c>
      <c r="D1193" t="s">
        <v>2882</v>
      </c>
      <c r="E1193" t="s">
        <v>2881</v>
      </c>
      <c r="F1193" s="5">
        <v>45641</v>
      </c>
      <c r="G1193" t="s">
        <v>126</v>
      </c>
      <c r="H1193" t="s">
        <v>2322</v>
      </c>
      <c r="I1193" t="s">
        <v>31</v>
      </c>
      <c r="J1193" t="s">
        <v>32</v>
      </c>
      <c r="K1193" t="s">
        <v>32</v>
      </c>
      <c r="L1193" t="s">
        <v>25</v>
      </c>
      <c r="M1193" t="s">
        <v>19</v>
      </c>
      <c r="N1193">
        <v>1</v>
      </c>
      <c r="O1193">
        <v>1026</v>
      </c>
      <c r="P1193">
        <v>1399</v>
      </c>
      <c r="Q1193">
        <v>0</v>
      </c>
      <c r="R1193">
        <v>0</v>
      </c>
      <c r="S1193">
        <v>1399</v>
      </c>
      <c r="T1193">
        <v>373</v>
      </c>
      <c r="U1193">
        <v>26.66</v>
      </c>
      <c r="V1193" t="s">
        <v>21</v>
      </c>
    </row>
    <row r="1194" spans="1:22" x14ac:dyDescent="0.35">
      <c r="A1194" t="s">
        <v>2880</v>
      </c>
      <c r="B1194" t="s">
        <v>61</v>
      </c>
      <c r="C1194" t="s">
        <v>27</v>
      </c>
      <c r="D1194" t="s">
        <v>2879</v>
      </c>
      <c r="E1194" t="s">
        <v>2578</v>
      </c>
      <c r="F1194" s="5">
        <v>45486</v>
      </c>
      <c r="G1194" t="s">
        <v>126</v>
      </c>
      <c r="H1194" t="s">
        <v>1549</v>
      </c>
      <c r="I1194" t="s">
        <v>17</v>
      </c>
      <c r="J1194" t="s">
        <v>55</v>
      </c>
      <c r="K1194" t="s">
        <v>55</v>
      </c>
      <c r="L1194" t="s">
        <v>25</v>
      </c>
      <c r="M1194" t="s">
        <v>19</v>
      </c>
      <c r="N1194">
        <v>1</v>
      </c>
      <c r="O1194">
        <v>482</v>
      </c>
      <c r="P1194">
        <v>699</v>
      </c>
      <c r="Q1194">
        <v>0</v>
      </c>
      <c r="R1194">
        <v>0</v>
      </c>
      <c r="S1194">
        <v>699</v>
      </c>
      <c r="T1194">
        <v>217</v>
      </c>
      <c r="U1194">
        <v>31.04</v>
      </c>
      <c r="V1194" t="s">
        <v>21</v>
      </c>
    </row>
    <row r="1195" spans="1:22" x14ac:dyDescent="0.35">
      <c r="A1195" t="s">
        <v>2878</v>
      </c>
      <c r="B1195" t="s">
        <v>70</v>
      </c>
      <c r="C1195" t="s">
        <v>27</v>
      </c>
      <c r="D1195" t="s">
        <v>2877</v>
      </c>
      <c r="E1195" t="s">
        <v>2876</v>
      </c>
      <c r="F1195" s="5">
        <v>45471</v>
      </c>
      <c r="G1195" t="s">
        <v>126</v>
      </c>
      <c r="H1195" t="s">
        <v>2875</v>
      </c>
      <c r="I1195" t="s">
        <v>23</v>
      </c>
      <c r="J1195" t="s">
        <v>164</v>
      </c>
      <c r="K1195" t="s">
        <v>24</v>
      </c>
      <c r="L1195" t="s">
        <v>19</v>
      </c>
      <c r="M1195" t="s">
        <v>19</v>
      </c>
      <c r="N1195">
        <v>3</v>
      </c>
      <c r="O1195">
        <v>514</v>
      </c>
      <c r="P1195">
        <v>899</v>
      </c>
      <c r="Q1195">
        <v>10</v>
      </c>
      <c r="R1195">
        <v>300</v>
      </c>
      <c r="S1195">
        <v>2397</v>
      </c>
      <c r="T1195">
        <v>855</v>
      </c>
      <c r="U1195">
        <v>35.67</v>
      </c>
      <c r="V1195" t="s">
        <v>21</v>
      </c>
    </row>
    <row r="1196" spans="1:22" x14ac:dyDescent="0.35">
      <c r="A1196" t="s">
        <v>2874</v>
      </c>
      <c r="B1196" t="s">
        <v>54</v>
      </c>
      <c r="C1196" t="s">
        <v>27</v>
      </c>
      <c r="D1196" t="s">
        <v>2873</v>
      </c>
      <c r="E1196" t="s">
        <v>2872</v>
      </c>
      <c r="F1196" s="5">
        <v>45467</v>
      </c>
      <c r="G1196" t="s">
        <v>126</v>
      </c>
      <c r="H1196" t="s">
        <v>2871</v>
      </c>
      <c r="I1196" t="s">
        <v>35</v>
      </c>
      <c r="J1196" t="s">
        <v>214</v>
      </c>
      <c r="K1196" t="s">
        <v>87</v>
      </c>
      <c r="L1196" t="s">
        <v>19</v>
      </c>
      <c r="M1196" t="s">
        <v>20</v>
      </c>
      <c r="N1196">
        <v>1</v>
      </c>
      <c r="O1196">
        <v>1838</v>
      </c>
      <c r="P1196">
        <v>2799</v>
      </c>
      <c r="Q1196">
        <v>10</v>
      </c>
      <c r="R1196">
        <v>300</v>
      </c>
      <c r="S1196">
        <v>2499</v>
      </c>
      <c r="T1196">
        <v>661</v>
      </c>
      <c r="U1196">
        <v>26.45</v>
      </c>
      <c r="V1196" t="s">
        <v>21</v>
      </c>
    </row>
    <row r="1197" spans="1:22" x14ac:dyDescent="0.35">
      <c r="A1197" t="s">
        <v>2870</v>
      </c>
      <c r="B1197" t="s">
        <v>49</v>
      </c>
      <c r="C1197" t="s">
        <v>27</v>
      </c>
      <c r="D1197" t="s">
        <v>2869</v>
      </c>
      <c r="E1197" t="s">
        <v>2868</v>
      </c>
      <c r="F1197" s="5">
        <v>45582</v>
      </c>
      <c r="G1197" t="s">
        <v>126</v>
      </c>
      <c r="H1197" t="s">
        <v>2867</v>
      </c>
      <c r="I1197" t="s">
        <v>35</v>
      </c>
      <c r="J1197" t="s">
        <v>41</v>
      </c>
      <c r="K1197" t="s">
        <v>41</v>
      </c>
      <c r="L1197" t="s">
        <v>37</v>
      </c>
      <c r="M1197" t="s">
        <v>19</v>
      </c>
      <c r="N1197">
        <v>1</v>
      </c>
      <c r="O1197">
        <v>519</v>
      </c>
      <c r="P1197">
        <v>899</v>
      </c>
      <c r="Q1197">
        <v>10</v>
      </c>
      <c r="R1197">
        <v>100</v>
      </c>
      <c r="S1197">
        <v>799</v>
      </c>
      <c r="T1197">
        <v>280</v>
      </c>
      <c r="U1197">
        <v>35.04</v>
      </c>
      <c r="V1197" t="s">
        <v>21</v>
      </c>
    </row>
    <row r="1198" spans="1:22" x14ac:dyDescent="0.35">
      <c r="A1198" t="s">
        <v>2866</v>
      </c>
      <c r="B1198" t="s">
        <v>88</v>
      </c>
      <c r="C1198" t="s">
        <v>27</v>
      </c>
      <c r="D1198" t="s">
        <v>2865</v>
      </c>
      <c r="E1198" t="s">
        <v>1697</v>
      </c>
      <c r="F1198" s="5">
        <v>45543</v>
      </c>
      <c r="G1198" t="s">
        <v>126</v>
      </c>
      <c r="H1198" t="s">
        <v>333</v>
      </c>
      <c r="I1198" t="s">
        <v>28</v>
      </c>
      <c r="J1198" t="s">
        <v>45</v>
      </c>
      <c r="K1198" t="s">
        <v>45</v>
      </c>
      <c r="L1198" t="s">
        <v>19</v>
      </c>
      <c r="M1198" t="s">
        <v>19</v>
      </c>
      <c r="N1198">
        <v>3</v>
      </c>
      <c r="O1198">
        <v>559</v>
      </c>
      <c r="P1198">
        <v>899</v>
      </c>
      <c r="Q1198">
        <v>10</v>
      </c>
      <c r="R1198">
        <v>300</v>
      </c>
      <c r="S1198">
        <v>2397</v>
      </c>
      <c r="T1198">
        <v>720</v>
      </c>
      <c r="U1198">
        <v>30.04</v>
      </c>
      <c r="V1198" t="s">
        <v>21</v>
      </c>
    </row>
    <row r="1199" spans="1:22" x14ac:dyDescent="0.35">
      <c r="A1199" t="s">
        <v>2864</v>
      </c>
      <c r="B1199" t="s">
        <v>81</v>
      </c>
      <c r="C1199" t="s">
        <v>27</v>
      </c>
      <c r="D1199" t="s">
        <v>2863</v>
      </c>
      <c r="E1199" t="s">
        <v>2862</v>
      </c>
      <c r="F1199" s="5">
        <v>45625</v>
      </c>
      <c r="G1199" t="s">
        <v>126</v>
      </c>
      <c r="H1199" t="s">
        <v>2861</v>
      </c>
      <c r="I1199" t="s">
        <v>23</v>
      </c>
      <c r="J1199" t="s">
        <v>142</v>
      </c>
      <c r="K1199" t="s">
        <v>43</v>
      </c>
      <c r="L1199" t="s">
        <v>37</v>
      </c>
      <c r="M1199" t="s">
        <v>19</v>
      </c>
      <c r="N1199">
        <v>1</v>
      </c>
      <c r="O1199">
        <v>1166</v>
      </c>
      <c r="P1199">
        <v>1999</v>
      </c>
      <c r="Q1199">
        <v>5</v>
      </c>
      <c r="R1199">
        <v>100</v>
      </c>
      <c r="S1199">
        <v>1899</v>
      </c>
      <c r="T1199">
        <v>733</v>
      </c>
      <c r="U1199">
        <v>38.6</v>
      </c>
      <c r="V1199" t="s">
        <v>21</v>
      </c>
    </row>
    <row r="1200" spans="1:22" x14ac:dyDescent="0.35">
      <c r="A1200" t="s">
        <v>2860</v>
      </c>
      <c r="B1200" t="s">
        <v>83</v>
      </c>
      <c r="C1200" t="s">
        <v>27</v>
      </c>
      <c r="D1200" t="s">
        <v>2859</v>
      </c>
      <c r="E1200" t="s">
        <v>2858</v>
      </c>
      <c r="F1200" s="5">
        <v>45649</v>
      </c>
      <c r="G1200" t="s">
        <v>126</v>
      </c>
      <c r="H1200" t="s">
        <v>2604</v>
      </c>
      <c r="I1200" t="s">
        <v>17</v>
      </c>
      <c r="J1200" t="s">
        <v>235</v>
      </c>
      <c r="K1200" t="s">
        <v>18</v>
      </c>
      <c r="L1200" t="s">
        <v>37</v>
      </c>
      <c r="M1200" t="s">
        <v>19</v>
      </c>
      <c r="N1200">
        <v>5</v>
      </c>
      <c r="O1200">
        <v>417</v>
      </c>
      <c r="P1200">
        <v>599</v>
      </c>
      <c r="Q1200">
        <v>0</v>
      </c>
      <c r="R1200">
        <v>0</v>
      </c>
      <c r="S1200">
        <v>2995</v>
      </c>
      <c r="T1200">
        <v>910</v>
      </c>
      <c r="U1200">
        <v>30.38</v>
      </c>
      <c r="V1200" t="s">
        <v>21</v>
      </c>
    </row>
    <row r="1201" spans="1:22" x14ac:dyDescent="0.35">
      <c r="A1201" t="s">
        <v>2857</v>
      </c>
      <c r="B1201" t="s">
        <v>53</v>
      </c>
      <c r="C1201" t="s">
        <v>27</v>
      </c>
      <c r="D1201" t="s">
        <v>2856</v>
      </c>
      <c r="E1201" t="s">
        <v>2127</v>
      </c>
      <c r="F1201" s="5">
        <v>45638</v>
      </c>
      <c r="G1201" t="s">
        <v>126</v>
      </c>
      <c r="H1201" t="s">
        <v>1348</v>
      </c>
      <c r="I1201" t="s">
        <v>35</v>
      </c>
      <c r="J1201" t="s">
        <v>39</v>
      </c>
      <c r="K1201" t="s">
        <v>39</v>
      </c>
      <c r="L1201" t="s">
        <v>25</v>
      </c>
      <c r="M1201" t="s">
        <v>19</v>
      </c>
      <c r="N1201">
        <v>4</v>
      </c>
      <c r="O1201">
        <v>424</v>
      </c>
      <c r="P1201">
        <v>799</v>
      </c>
      <c r="Q1201">
        <v>10</v>
      </c>
      <c r="R1201">
        <v>400</v>
      </c>
      <c r="S1201">
        <v>2796</v>
      </c>
      <c r="T1201">
        <v>1100</v>
      </c>
      <c r="U1201">
        <v>39.340000000000003</v>
      </c>
      <c r="V1201" t="s">
        <v>21</v>
      </c>
    </row>
    <row r="1202" spans="1:22" x14ac:dyDescent="0.35">
      <c r="A1202" t="s">
        <v>2855</v>
      </c>
      <c r="B1202" t="s">
        <v>54</v>
      </c>
      <c r="C1202" t="s">
        <v>27</v>
      </c>
      <c r="D1202" t="s">
        <v>2854</v>
      </c>
      <c r="E1202" t="s">
        <v>2853</v>
      </c>
      <c r="F1202" s="5">
        <v>45562</v>
      </c>
      <c r="G1202" t="s">
        <v>126</v>
      </c>
      <c r="H1202" t="s">
        <v>1390</v>
      </c>
      <c r="I1202" t="s">
        <v>23</v>
      </c>
      <c r="J1202" t="s">
        <v>142</v>
      </c>
      <c r="K1202" t="s">
        <v>43</v>
      </c>
      <c r="L1202" t="s">
        <v>25</v>
      </c>
      <c r="M1202" t="s">
        <v>20</v>
      </c>
      <c r="N1202">
        <v>1</v>
      </c>
      <c r="O1202">
        <v>1805</v>
      </c>
      <c r="P1202">
        <v>2799</v>
      </c>
      <c r="Q1202">
        <v>20</v>
      </c>
      <c r="R1202">
        <v>600</v>
      </c>
      <c r="S1202">
        <v>2199</v>
      </c>
      <c r="T1202">
        <v>394</v>
      </c>
      <c r="U1202">
        <v>17.920000000000002</v>
      </c>
      <c r="V1202" t="s">
        <v>21</v>
      </c>
    </row>
    <row r="1203" spans="1:22" x14ac:dyDescent="0.35">
      <c r="A1203" t="s">
        <v>2852</v>
      </c>
      <c r="B1203" t="s">
        <v>103</v>
      </c>
      <c r="C1203" t="s">
        <v>16</v>
      </c>
      <c r="D1203" t="s">
        <v>2851</v>
      </c>
      <c r="E1203" t="s">
        <v>2850</v>
      </c>
      <c r="F1203" s="5">
        <v>45536</v>
      </c>
      <c r="G1203" t="s">
        <v>126</v>
      </c>
      <c r="H1203" t="s">
        <v>2849</v>
      </c>
      <c r="I1203" t="s">
        <v>31</v>
      </c>
      <c r="J1203" t="s">
        <v>32</v>
      </c>
      <c r="K1203" t="s">
        <v>32</v>
      </c>
      <c r="L1203" t="s">
        <v>37</v>
      </c>
      <c r="M1203" t="s">
        <v>20</v>
      </c>
      <c r="N1203">
        <v>4</v>
      </c>
      <c r="O1203">
        <v>1089</v>
      </c>
      <c r="P1203">
        <v>1499</v>
      </c>
      <c r="Q1203">
        <v>0</v>
      </c>
      <c r="R1203">
        <v>0</v>
      </c>
      <c r="S1203">
        <v>5996</v>
      </c>
      <c r="T1203">
        <v>1640</v>
      </c>
      <c r="U1203">
        <v>27.35</v>
      </c>
      <c r="V1203" t="s">
        <v>33</v>
      </c>
    </row>
    <row r="1204" spans="1:22" x14ac:dyDescent="0.35">
      <c r="A1204" t="s">
        <v>2848</v>
      </c>
      <c r="B1204" t="s">
        <v>104</v>
      </c>
      <c r="C1204" t="s">
        <v>27</v>
      </c>
      <c r="D1204" t="s">
        <v>2847</v>
      </c>
      <c r="E1204" t="s">
        <v>2846</v>
      </c>
      <c r="F1204" s="5">
        <v>45542</v>
      </c>
      <c r="G1204" t="s">
        <v>126</v>
      </c>
      <c r="H1204" t="s">
        <v>2845</v>
      </c>
      <c r="I1204" t="s">
        <v>35</v>
      </c>
      <c r="J1204" t="s">
        <v>39</v>
      </c>
      <c r="K1204" t="s">
        <v>39</v>
      </c>
      <c r="L1204" t="s">
        <v>37</v>
      </c>
      <c r="M1204" t="s">
        <v>19</v>
      </c>
      <c r="N1204">
        <v>2</v>
      </c>
      <c r="O1204">
        <v>773</v>
      </c>
      <c r="P1204">
        <v>1199</v>
      </c>
      <c r="Q1204">
        <v>10</v>
      </c>
      <c r="R1204">
        <v>400</v>
      </c>
      <c r="S1204">
        <v>1998</v>
      </c>
      <c r="T1204">
        <v>452</v>
      </c>
      <c r="U1204">
        <v>22.62</v>
      </c>
      <c r="V1204" t="s">
        <v>21</v>
      </c>
    </row>
    <row r="1205" spans="1:22" x14ac:dyDescent="0.35">
      <c r="A1205" t="s">
        <v>2844</v>
      </c>
      <c r="B1205" t="s">
        <v>78</v>
      </c>
      <c r="C1205" t="s">
        <v>16</v>
      </c>
      <c r="D1205" t="s">
        <v>2843</v>
      </c>
      <c r="E1205" t="s">
        <v>2842</v>
      </c>
      <c r="F1205" s="5">
        <v>45567</v>
      </c>
      <c r="G1205" t="s">
        <v>126</v>
      </c>
      <c r="H1205" t="s">
        <v>1549</v>
      </c>
      <c r="I1205" t="s">
        <v>23</v>
      </c>
      <c r="J1205" t="s">
        <v>142</v>
      </c>
      <c r="K1205" t="s">
        <v>43</v>
      </c>
      <c r="L1205" t="s">
        <v>19</v>
      </c>
      <c r="M1205" t="s">
        <v>19</v>
      </c>
      <c r="N1205">
        <v>1</v>
      </c>
      <c r="O1205">
        <v>2010</v>
      </c>
      <c r="P1205">
        <v>2799</v>
      </c>
      <c r="Q1205">
        <v>10</v>
      </c>
      <c r="R1205">
        <v>300</v>
      </c>
      <c r="S1205">
        <v>2499</v>
      </c>
      <c r="T1205">
        <v>489</v>
      </c>
      <c r="U1205">
        <v>19.57</v>
      </c>
      <c r="V1205" t="s">
        <v>21</v>
      </c>
    </row>
    <row r="1206" spans="1:22" x14ac:dyDescent="0.35">
      <c r="A1206" t="s">
        <v>2841</v>
      </c>
      <c r="B1206" t="s">
        <v>40</v>
      </c>
      <c r="C1206" t="s">
        <v>27</v>
      </c>
      <c r="D1206" t="s">
        <v>2840</v>
      </c>
      <c r="E1206" t="s">
        <v>2839</v>
      </c>
      <c r="F1206" s="5">
        <v>45480</v>
      </c>
      <c r="G1206" t="s">
        <v>126</v>
      </c>
      <c r="H1206" t="s">
        <v>1198</v>
      </c>
      <c r="I1206" t="s">
        <v>23</v>
      </c>
      <c r="J1206" t="s">
        <v>164</v>
      </c>
      <c r="K1206" t="s">
        <v>24</v>
      </c>
      <c r="L1206" t="s">
        <v>25</v>
      </c>
      <c r="M1206" t="s">
        <v>20</v>
      </c>
      <c r="N1206">
        <v>1</v>
      </c>
      <c r="O1206">
        <v>577</v>
      </c>
      <c r="P1206">
        <v>999</v>
      </c>
      <c r="Q1206">
        <v>20</v>
      </c>
      <c r="R1206">
        <v>200</v>
      </c>
      <c r="S1206">
        <v>799</v>
      </c>
      <c r="T1206">
        <v>222</v>
      </c>
      <c r="U1206">
        <v>27.78</v>
      </c>
      <c r="V1206" t="s">
        <v>33</v>
      </c>
    </row>
    <row r="1207" spans="1:22" x14ac:dyDescent="0.35">
      <c r="A1207" t="s">
        <v>2838</v>
      </c>
      <c r="B1207" t="s">
        <v>93</v>
      </c>
      <c r="C1207" t="s">
        <v>16</v>
      </c>
      <c r="D1207" t="s">
        <v>2837</v>
      </c>
      <c r="E1207" t="s">
        <v>2836</v>
      </c>
      <c r="F1207" s="5">
        <v>45468</v>
      </c>
      <c r="G1207" t="s">
        <v>126</v>
      </c>
      <c r="H1207" t="s">
        <v>2835</v>
      </c>
      <c r="I1207" t="s">
        <v>23</v>
      </c>
      <c r="J1207" t="s">
        <v>164</v>
      </c>
      <c r="K1207" t="s">
        <v>24</v>
      </c>
      <c r="L1207" t="s">
        <v>25</v>
      </c>
      <c r="M1207" t="s">
        <v>20</v>
      </c>
      <c r="N1207">
        <v>1</v>
      </c>
      <c r="O1207">
        <v>1557</v>
      </c>
      <c r="P1207">
        <v>2299</v>
      </c>
      <c r="Q1207">
        <v>10</v>
      </c>
      <c r="R1207">
        <v>300</v>
      </c>
      <c r="S1207">
        <v>1999</v>
      </c>
      <c r="T1207">
        <v>442</v>
      </c>
      <c r="U1207">
        <v>22.11</v>
      </c>
      <c r="V1207" t="s">
        <v>21</v>
      </c>
    </row>
    <row r="1208" spans="1:22" x14ac:dyDescent="0.35">
      <c r="A1208" t="s">
        <v>2834</v>
      </c>
      <c r="B1208" t="s">
        <v>80</v>
      </c>
      <c r="C1208" t="s">
        <v>27</v>
      </c>
      <c r="D1208" t="s">
        <v>2833</v>
      </c>
      <c r="E1208" t="s">
        <v>443</v>
      </c>
      <c r="F1208" s="5">
        <v>45537</v>
      </c>
      <c r="G1208" t="s">
        <v>126</v>
      </c>
      <c r="H1208" t="s">
        <v>964</v>
      </c>
      <c r="I1208" t="s">
        <v>31</v>
      </c>
      <c r="J1208" t="s">
        <v>32</v>
      </c>
      <c r="K1208" t="s">
        <v>32</v>
      </c>
      <c r="L1208" t="s">
        <v>25</v>
      </c>
      <c r="M1208" t="s">
        <v>20</v>
      </c>
      <c r="N1208">
        <v>1</v>
      </c>
      <c r="O1208">
        <v>616</v>
      </c>
      <c r="P1208">
        <v>899</v>
      </c>
      <c r="Q1208">
        <v>0</v>
      </c>
      <c r="R1208">
        <v>0</v>
      </c>
      <c r="S1208">
        <v>899</v>
      </c>
      <c r="T1208">
        <v>283</v>
      </c>
      <c r="U1208">
        <v>31.48</v>
      </c>
      <c r="V1208" t="s">
        <v>33</v>
      </c>
    </row>
    <row r="1209" spans="1:22" x14ac:dyDescent="0.35">
      <c r="A1209" t="s">
        <v>2832</v>
      </c>
      <c r="B1209" t="s">
        <v>30</v>
      </c>
      <c r="C1209" t="s">
        <v>16</v>
      </c>
      <c r="D1209" t="s">
        <v>2831</v>
      </c>
      <c r="E1209" t="s">
        <v>2830</v>
      </c>
      <c r="F1209" s="5">
        <v>45569</v>
      </c>
      <c r="G1209" t="s">
        <v>126</v>
      </c>
      <c r="H1209" t="s">
        <v>2086</v>
      </c>
      <c r="I1209" t="s">
        <v>17</v>
      </c>
      <c r="J1209" t="s">
        <v>48</v>
      </c>
      <c r="K1209" t="s">
        <v>48</v>
      </c>
      <c r="L1209" t="s">
        <v>19</v>
      </c>
      <c r="M1209" t="s">
        <v>20</v>
      </c>
      <c r="N1209">
        <v>1</v>
      </c>
      <c r="O1209">
        <v>297</v>
      </c>
      <c r="P1209">
        <v>499</v>
      </c>
      <c r="Q1209">
        <v>0</v>
      </c>
      <c r="R1209">
        <v>0</v>
      </c>
      <c r="S1209">
        <v>499</v>
      </c>
      <c r="T1209">
        <v>202</v>
      </c>
      <c r="U1209">
        <v>40.479999999999997</v>
      </c>
      <c r="V1209" t="s">
        <v>33</v>
      </c>
    </row>
    <row r="1210" spans="1:22" x14ac:dyDescent="0.35">
      <c r="A1210" t="s">
        <v>2829</v>
      </c>
      <c r="B1210" t="s">
        <v>44</v>
      </c>
      <c r="C1210" t="s">
        <v>16</v>
      </c>
      <c r="D1210" t="s">
        <v>2828</v>
      </c>
      <c r="E1210" t="s">
        <v>2827</v>
      </c>
      <c r="F1210" s="5">
        <v>45496</v>
      </c>
      <c r="G1210" t="s">
        <v>126</v>
      </c>
      <c r="H1210" t="s">
        <v>236</v>
      </c>
      <c r="I1210" t="s">
        <v>31</v>
      </c>
      <c r="J1210" t="s">
        <v>76</v>
      </c>
      <c r="K1210" t="s">
        <v>76</v>
      </c>
      <c r="L1210" t="s">
        <v>37</v>
      </c>
      <c r="M1210" t="s">
        <v>20</v>
      </c>
      <c r="N1210">
        <v>3</v>
      </c>
      <c r="O1210">
        <v>616</v>
      </c>
      <c r="P1210">
        <v>999</v>
      </c>
      <c r="Q1210">
        <v>0</v>
      </c>
      <c r="R1210">
        <v>0</v>
      </c>
      <c r="S1210">
        <v>2997</v>
      </c>
      <c r="T1210">
        <v>1149</v>
      </c>
      <c r="U1210">
        <v>38.340000000000003</v>
      </c>
      <c r="V1210" t="s">
        <v>33</v>
      </c>
    </row>
    <row r="1211" spans="1:22" x14ac:dyDescent="0.35">
      <c r="A1211" t="s">
        <v>2826</v>
      </c>
      <c r="B1211" t="s">
        <v>97</v>
      </c>
      <c r="C1211" t="s">
        <v>16</v>
      </c>
      <c r="D1211" t="s">
        <v>2825</v>
      </c>
      <c r="E1211" t="s">
        <v>2824</v>
      </c>
      <c r="F1211" s="5">
        <v>45531</v>
      </c>
      <c r="G1211" t="s">
        <v>126</v>
      </c>
      <c r="H1211" t="s">
        <v>2823</v>
      </c>
      <c r="I1211" t="s">
        <v>31</v>
      </c>
      <c r="J1211" t="s">
        <v>76</v>
      </c>
      <c r="K1211" t="s">
        <v>76</v>
      </c>
      <c r="L1211" t="s">
        <v>25</v>
      </c>
      <c r="M1211" t="s">
        <v>20</v>
      </c>
      <c r="N1211">
        <v>3</v>
      </c>
      <c r="O1211">
        <v>816</v>
      </c>
      <c r="P1211">
        <v>1499</v>
      </c>
      <c r="Q1211">
        <v>0</v>
      </c>
      <c r="R1211">
        <v>0</v>
      </c>
      <c r="S1211">
        <v>4497</v>
      </c>
      <c r="T1211">
        <v>2049</v>
      </c>
      <c r="U1211">
        <v>45.56</v>
      </c>
      <c r="V1211" t="s">
        <v>21</v>
      </c>
    </row>
    <row r="1212" spans="1:22" x14ac:dyDescent="0.35">
      <c r="A1212" t="s">
        <v>2822</v>
      </c>
      <c r="B1212" t="s">
        <v>107</v>
      </c>
      <c r="C1212" t="s">
        <v>27</v>
      </c>
      <c r="D1212" t="s">
        <v>2821</v>
      </c>
      <c r="E1212" t="s">
        <v>2820</v>
      </c>
      <c r="F1212" s="5">
        <v>45584</v>
      </c>
      <c r="G1212" t="s">
        <v>126</v>
      </c>
      <c r="H1212" t="s">
        <v>2454</v>
      </c>
      <c r="I1212" t="s">
        <v>28</v>
      </c>
      <c r="J1212" t="s">
        <v>45</v>
      </c>
      <c r="K1212" t="s">
        <v>45</v>
      </c>
      <c r="L1212" t="s">
        <v>19</v>
      </c>
      <c r="M1212" t="s">
        <v>19</v>
      </c>
      <c r="N1212">
        <v>3</v>
      </c>
      <c r="O1212">
        <v>451</v>
      </c>
      <c r="P1212">
        <v>899</v>
      </c>
      <c r="Q1212">
        <v>10</v>
      </c>
      <c r="R1212">
        <v>300</v>
      </c>
      <c r="S1212">
        <v>2397</v>
      </c>
      <c r="T1212">
        <v>1044</v>
      </c>
      <c r="U1212">
        <v>43.55</v>
      </c>
      <c r="V1212" t="s">
        <v>33</v>
      </c>
    </row>
    <row r="1213" spans="1:22" x14ac:dyDescent="0.35">
      <c r="A1213" t="s">
        <v>2819</v>
      </c>
      <c r="B1213" t="s">
        <v>15</v>
      </c>
      <c r="C1213" t="s">
        <v>16</v>
      </c>
      <c r="D1213" t="s">
        <v>2818</v>
      </c>
      <c r="E1213" t="s">
        <v>2817</v>
      </c>
      <c r="F1213" s="5">
        <v>45514</v>
      </c>
      <c r="G1213" t="s">
        <v>126</v>
      </c>
      <c r="H1213" t="s">
        <v>754</v>
      </c>
      <c r="I1213" t="s">
        <v>31</v>
      </c>
      <c r="J1213" t="s">
        <v>32</v>
      </c>
      <c r="K1213" t="s">
        <v>32</v>
      </c>
      <c r="L1213" t="s">
        <v>25</v>
      </c>
      <c r="M1213" t="s">
        <v>20</v>
      </c>
      <c r="N1213">
        <v>1</v>
      </c>
      <c r="O1213">
        <v>711</v>
      </c>
      <c r="P1213">
        <v>1199</v>
      </c>
      <c r="Q1213">
        <v>0</v>
      </c>
      <c r="R1213">
        <v>0</v>
      </c>
      <c r="S1213">
        <v>1199</v>
      </c>
      <c r="T1213">
        <v>488</v>
      </c>
      <c r="U1213">
        <v>40.700000000000003</v>
      </c>
      <c r="V1213" t="s">
        <v>21</v>
      </c>
    </row>
    <row r="1214" spans="1:22" x14ac:dyDescent="0.35">
      <c r="A1214" t="s">
        <v>2816</v>
      </c>
      <c r="B1214" t="s">
        <v>60</v>
      </c>
      <c r="C1214" t="s">
        <v>27</v>
      </c>
      <c r="D1214" t="s">
        <v>2815</v>
      </c>
      <c r="E1214" t="s">
        <v>2814</v>
      </c>
      <c r="F1214" s="5">
        <v>45634</v>
      </c>
      <c r="G1214" t="s">
        <v>126</v>
      </c>
      <c r="H1214" t="s">
        <v>2137</v>
      </c>
      <c r="I1214" t="s">
        <v>35</v>
      </c>
      <c r="J1214" t="s">
        <v>244</v>
      </c>
      <c r="K1214" t="s">
        <v>58</v>
      </c>
      <c r="L1214" t="s">
        <v>25</v>
      </c>
      <c r="M1214" t="s">
        <v>19</v>
      </c>
      <c r="N1214">
        <v>4</v>
      </c>
      <c r="O1214">
        <v>1453</v>
      </c>
      <c r="P1214">
        <v>2399</v>
      </c>
      <c r="Q1214">
        <v>15</v>
      </c>
      <c r="R1214">
        <v>1600</v>
      </c>
      <c r="S1214">
        <v>7996</v>
      </c>
      <c r="T1214">
        <v>2184</v>
      </c>
      <c r="U1214">
        <v>27.31</v>
      </c>
      <c r="V1214" t="s">
        <v>21</v>
      </c>
    </row>
    <row r="1215" spans="1:22" x14ac:dyDescent="0.35">
      <c r="A1215" t="s">
        <v>2813</v>
      </c>
      <c r="B1215" t="s">
        <v>62</v>
      </c>
      <c r="C1215" t="s">
        <v>16</v>
      </c>
      <c r="D1215" t="s">
        <v>2812</v>
      </c>
      <c r="E1215" t="s">
        <v>2811</v>
      </c>
      <c r="F1215" s="5">
        <v>45622</v>
      </c>
      <c r="G1215" t="s">
        <v>126</v>
      </c>
      <c r="H1215" t="s">
        <v>2810</v>
      </c>
      <c r="I1215" t="s">
        <v>28</v>
      </c>
      <c r="J1215" t="s">
        <v>45</v>
      </c>
      <c r="K1215" t="s">
        <v>45</v>
      </c>
      <c r="L1215" t="s">
        <v>25</v>
      </c>
      <c r="M1215" t="s">
        <v>20</v>
      </c>
      <c r="N1215">
        <v>5</v>
      </c>
      <c r="O1215">
        <v>948</v>
      </c>
      <c r="P1215">
        <v>1499</v>
      </c>
      <c r="Q1215">
        <v>20</v>
      </c>
      <c r="R1215">
        <v>1500</v>
      </c>
      <c r="S1215">
        <v>5995</v>
      </c>
      <c r="T1215">
        <v>1255</v>
      </c>
      <c r="U1215">
        <v>20.93</v>
      </c>
      <c r="V1215" t="s">
        <v>33</v>
      </c>
    </row>
    <row r="1216" spans="1:22" x14ac:dyDescent="0.35">
      <c r="A1216" t="s">
        <v>2809</v>
      </c>
      <c r="B1216" t="s">
        <v>26</v>
      </c>
      <c r="C1216" t="s">
        <v>27</v>
      </c>
      <c r="D1216" t="s">
        <v>2808</v>
      </c>
      <c r="E1216" t="s">
        <v>2807</v>
      </c>
      <c r="F1216" s="5">
        <v>45573</v>
      </c>
      <c r="G1216" t="s">
        <v>126</v>
      </c>
      <c r="H1216" t="s">
        <v>587</v>
      </c>
      <c r="I1216" t="s">
        <v>17</v>
      </c>
      <c r="J1216" t="s">
        <v>235</v>
      </c>
      <c r="K1216" t="s">
        <v>18</v>
      </c>
      <c r="L1216" t="s">
        <v>37</v>
      </c>
      <c r="M1216" t="s">
        <v>19</v>
      </c>
      <c r="N1216">
        <v>1</v>
      </c>
      <c r="O1216">
        <v>341</v>
      </c>
      <c r="P1216">
        <v>599</v>
      </c>
      <c r="Q1216">
        <v>0</v>
      </c>
      <c r="R1216">
        <v>0</v>
      </c>
      <c r="S1216">
        <v>599</v>
      </c>
      <c r="T1216">
        <v>258</v>
      </c>
      <c r="U1216">
        <v>43.07</v>
      </c>
      <c r="V1216" t="s">
        <v>33</v>
      </c>
    </row>
    <row r="1217" spans="1:22" x14ac:dyDescent="0.35">
      <c r="A1217" t="s">
        <v>2806</v>
      </c>
      <c r="B1217" t="s">
        <v>75</v>
      </c>
      <c r="C1217" t="s">
        <v>27</v>
      </c>
      <c r="D1217" t="s">
        <v>2805</v>
      </c>
      <c r="E1217" t="s">
        <v>2804</v>
      </c>
      <c r="F1217" s="5">
        <v>45528</v>
      </c>
      <c r="G1217" t="s">
        <v>126</v>
      </c>
      <c r="H1217" t="s">
        <v>2803</v>
      </c>
      <c r="I1217" t="s">
        <v>23</v>
      </c>
      <c r="J1217" t="s">
        <v>142</v>
      </c>
      <c r="K1217" t="s">
        <v>43</v>
      </c>
      <c r="L1217" t="s">
        <v>37</v>
      </c>
      <c r="M1217" t="s">
        <v>19</v>
      </c>
      <c r="N1217">
        <v>3</v>
      </c>
      <c r="O1217">
        <v>2460</v>
      </c>
      <c r="P1217">
        <v>3399</v>
      </c>
      <c r="Q1217">
        <v>10</v>
      </c>
      <c r="R1217">
        <v>1200</v>
      </c>
      <c r="S1217">
        <v>8997</v>
      </c>
      <c r="T1217">
        <v>1617</v>
      </c>
      <c r="U1217">
        <v>17.97</v>
      </c>
      <c r="V1217" t="s">
        <v>33</v>
      </c>
    </row>
    <row r="1218" spans="1:22" x14ac:dyDescent="0.35">
      <c r="A1218" t="s">
        <v>2802</v>
      </c>
      <c r="B1218" t="s">
        <v>74</v>
      </c>
      <c r="C1218" t="s">
        <v>16</v>
      </c>
      <c r="D1218" t="s">
        <v>2801</v>
      </c>
      <c r="E1218" t="s">
        <v>2800</v>
      </c>
      <c r="F1218" s="5">
        <v>45601</v>
      </c>
      <c r="G1218" t="s">
        <v>126</v>
      </c>
      <c r="H1218" t="s">
        <v>2799</v>
      </c>
      <c r="I1218" t="s">
        <v>17</v>
      </c>
      <c r="J1218" t="s">
        <v>48</v>
      </c>
      <c r="K1218" t="s">
        <v>48</v>
      </c>
      <c r="L1218" t="s">
        <v>25</v>
      </c>
      <c r="M1218" t="s">
        <v>19</v>
      </c>
      <c r="N1218">
        <v>1</v>
      </c>
      <c r="O1218">
        <v>263</v>
      </c>
      <c r="P1218">
        <v>399</v>
      </c>
      <c r="Q1218">
        <v>0</v>
      </c>
      <c r="R1218">
        <v>0</v>
      </c>
      <c r="S1218">
        <v>399</v>
      </c>
      <c r="T1218">
        <v>136</v>
      </c>
      <c r="U1218">
        <v>34.090000000000003</v>
      </c>
      <c r="V1218" t="s">
        <v>33</v>
      </c>
    </row>
    <row r="1219" spans="1:22" x14ac:dyDescent="0.35">
      <c r="A1219" t="s">
        <v>2798</v>
      </c>
      <c r="B1219" t="s">
        <v>60</v>
      </c>
      <c r="C1219" t="s">
        <v>27</v>
      </c>
      <c r="D1219" t="s">
        <v>2797</v>
      </c>
      <c r="E1219" t="s">
        <v>2796</v>
      </c>
      <c r="F1219" s="5">
        <v>45608</v>
      </c>
      <c r="G1219" t="s">
        <v>126</v>
      </c>
      <c r="H1219" t="s">
        <v>2374</v>
      </c>
      <c r="I1219" t="s">
        <v>28</v>
      </c>
      <c r="J1219" t="s">
        <v>45</v>
      </c>
      <c r="K1219" t="s">
        <v>45</v>
      </c>
      <c r="L1219" t="s">
        <v>37</v>
      </c>
      <c r="M1219" t="s">
        <v>20</v>
      </c>
      <c r="N1219">
        <v>5</v>
      </c>
      <c r="O1219">
        <v>1171</v>
      </c>
      <c r="P1219">
        <v>2199</v>
      </c>
      <c r="Q1219">
        <v>15</v>
      </c>
      <c r="R1219">
        <v>2000</v>
      </c>
      <c r="S1219">
        <v>8995</v>
      </c>
      <c r="T1219">
        <v>3140</v>
      </c>
      <c r="U1219">
        <v>34.909999999999997</v>
      </c>
      <c r="V1219" t="s">
        <v>21</v>
      </c>
    </row>
    <row r="1220" spans="1:22" x14ac:dyDescent="0.35">
      <c r="A1220" t="s">
        <v>2795</v>
      </c>
      <c r="B1220" t="s">
        <v>30</v>
      </c>
      <c r="C1220" t="s">
        <v>16</v>
      </c>
      <c r="D1220" t="s">
        <v>2794</v>
      </c>
      <c r="E1220" t="s">
        <v>2793</v>
      </c>
      <c r="F1220" s="5">
        <v>45551</v>
      </c>
      <c r="G1220" t="s">
        <v>126</v>
      </c>
      <c r="H1220" t="s">
        <v>1418</v>
      </c>
      <c r="I1220" t="s">
        <v>17</v>
      </c>
      <c r="J1220" t="s">
        <v>235</v>
      </c>
      <c r="K1220" t="s">
        <v>18</v>
      </c>
      <c r="L1220" t="s">
        <v>37</v>
      </c>
      <c r="M1220" t="s">
        <v>20</v>
      </c>
      <c r="N1220">
        <v>1</v>
      </c>
      <c r="O1220">
        <v>150</v>
      </c>
      <c r="P1220">
        <v>299</v>
      </c>
      <c r="Q1220">
        <v>0</v>
      </c>
      <c r="R1220">
        <v>0</v>
      </c>
      <c r="S1220">
        <v>299</v>
      </c>
      <c r="T1220">
        <v>149</v>
      </c>
      <c r="U1220">
        <v>49.83</v>
      </c>
      <c r="V1220" t="s">
        <v>33</v>
      </c>
    </row>
    <row r="1221" spans="1:22" x14ac:dyDescent="0.35">
      <c r="A1221" t="s">
        <v>2792</v>
      </c>
      <c r="B1221" t="s">
        <v>52</v>
      </c>
      <c r="C1221" t="s">
        <v>27</v>
      </c>
      <c r="D1221" t="s">
        <v>2791</v>
      </c>
      <c r="E1221" t="s">
        <v>2790</v>
      </c>
      <c r="F1221" s="5">
        <v>45567</v>
      </c>
      <c r="G1221" t="s">
        <v>126</v>
      </c>
      <c r="H1221" t="s">
        <v>1590</v>
      </c>
      <c r="I1221" t="s">
        <v>31</v>
      </c>
      <c r="J1221" t="s">
        <v>32</v>
      </c>
      <c r="K1221" t="s">
        <v>32</v>
      </c>
      <c r="L1221" t="s">
        <v>25</v>
      </c>
      <c r="M1221" t="s">
        <v>20</v>
      </c>
      <c r="N1221">
        <v>5</v>
      </c>
      <c r="O1221">
        <v>882</v>
      </c>
      <c r="P1221">
        <v>1499</v>
      </c>
      <c r="Q1221">
        <v>0</v>
      </c>
      <c r="R1221">
        <v>0</v>
      </c>
      <c r="S1221">
        <v>7495</v>
      </c>
      <c r="T1221">
        <v>3085</v>
      </c>
      <c r="U1221">
        <v>41.16</v>
      </c>
      <c r="V1221" t="s">
        <v>21</v>
      </c>
    </row>
    <row r="1222" spans="1:22" x14ac:dyDescent="0.35">
      <c r="A1222" t="s">
        <v>2789</v>
      </c>
      <c r="B1222" t="s">
        <v>60</v>
      </c>
      <c r="C1222" t="s">
        <v>27</v>
      </c>
      <c r="D1222" t="s">
        <v>2788</v>
      </c>
      <c r="E1222" t="s">
        <v>2787</v>
      </c>
      <c r="F1222" s="5">
        <v>45501</v>
      </c>
      <c r="G1222" t="s">
        <v>126</v>
      </c>
      <c r="H1222" t="s">
        <v>2786</v>
      </c>
      <c r="I1222" t="s">
        <v>23</v>
      </c>
      <c r="J1222" t="s">
        <v>142</v>
      </c>
      <c r="K1222" t="s">
        <v>43</v>
      </c>
      <c r="L1222" t="s">
        <v>19</v>
      </c>
      <c r="M1222" t="s">
        <v>20</v>
      </c>
      <c r="N1222">
        <v>5</v>
      </c>
      <c r="O1222">
        <v>2021</v>
      </c>
      <c r="P1222">
        <v>3399</v>
      </c>
      <c r="Q1222">
        <v>10</v>
      </c>
      <c r="R1222">
        <v>2000</v>
      </c>
      <c r="S1222">
        <v>14995</v>
      </c>
      <c r="T1222">
        <v>4890</v>
      </c>
      <c r="U1222">
        <v>32.61</v>
      </c>
      <c r="V1222" t="s">
        <v>21</v>
      </c>
    </row>
    <row r="1223" spans="1:22" x14ac:dyDescent="0.35">
      <c r="A1223" t="s">
        <v>2785</v>
      </c>
      <c r="B1223" t="s">
        <v>107</v>
      </c>
      <c r="C1223" t="s">
        <v>27</v>
      </c>
      <c r="D1223" t="s">
        <v>2784</v>
      </c>
      <c r="E1223" t="s">
        <v>2783</v>
      </c>
      <c r="F1223" s="5">
        <v>45464</v>
      </c>
      <c r="G1223" t="s">
        <v>126</v>
      </c>
      <c r="H1223" t="s">
        <v>2782</v>
      </c>
      <c r="I1223" t="s">
        <v>17</v>
      </c>
      <c r="J1223" t="s">
        <v>235</v>
      </c>
      <c r="K1223" t="s">
        <v>18</v>
      </c>
      <c r="L1223" t="s">
        <v>19</v>
      </c>
      <c r="M1223" t="s">
        <v>20</v>
      </c>
      <c r="N1223">
        <v>4</v>
      </c>
      <c r="O1223">
        <v>344</v>
      </c>
      <c r="P1223">
        <v>499</v>
      </c>
      <c r="Q1223">
        <v>0</v>
      </c>
      <c r="R1223">
        <v>0</v>
      </c>
      <c r="S1223">
        <v>1996</v>
      </c>
      <c r="T1223">
        <v>620</v>
      </c>
      <c r="U1223">
        <v>31.06</v>
      </c>
      <c r="V1223" t="s">
        <v>33</v>
      </c>
    </row>
    <row r="1224" spans="1:22" x14ac:dyDescent="0.35">
      <c r="A1224" t="s">
        <v>2781</v>
      </c>
      <c r="B1224" t="s">
        <v>42</v>
      </c>
      <c r="C1224" t="s">
        <v>27</v>
      </c>
      <c r="D1224" t="s">
        <v>2780</v>
      </c>
      <c r="E1224" t="s">
        <v>2779</v>
      </c>
      <c r="F1224" s="5">
        <v>45589</v>
      </c>
      <c r="G1224" t="s">
        <v>126</v>
      </c>
      <c r="H1224" t="s">
        <v>2778</v>
      </c>
      <c r="I1224" t="s">
        <v>23</v>
      </c>
      <c r="J1224" t="s">
        <v>164</v>
      </c>
      <c r="K1224" t="s">
        <v>24</v>
      </c>
      <c r="L1224" t="s">
        <v>37</v>
      </c>
      <c r="M1224" t="s">
        <v>19</v>
      </c>
      <c r="N1224">
        <v>5</v>
      </c>
      <c r="O1224">
        <v>878</v>
      </c>
      <c r="P1224">
        <v>1199</v>
      </c>
      <c r="Q1224">
        <v>15</v>
      </c>
      <c r="R1224">
        <v>1000</v>
      </c>
      <c r="S1224">
        <v>4995</v>
      </c>
      <c r="T1224">
        <v>605</v>
      </c>
      <c r="U1224">
        <v>12.11</v>
      </c>
      <c r="V1224" t="s">
        <v>21</v>
      </c>
    </row>
    <row r="1225" spans="1:22" x14ac:dyDescent="0.35">
      <c r="A1225" t="s">
        <v>2777</v>
      </c>
      <c r="B1225" t="s">
        <v>84</v>
      </c>
      <c r="C1225" t="s">
        <v>27</v>
      </c>
      <c r="D1225" t="s">
        <v>2776</v>
      </c>
      <c r="E1225" t="s">
        <v>2775</v>
      </c>
      <c r="F1225" s="5">
        <v>45560</v>
      </c>
      <c r="G1225" t="s">
        <v>126</v>
      </c>
      <c r="H1225" t="s">
        <v>1116</v>
      </c>
      <c r="I1225" t="s">
        <v>17</v>
      </c>
      <c r="J1225" t="s">
        <v>253</v>
      </c>
      <c r="K1225" t="s">
        <v>72</v>
      </c>
      <c r="L1225" t="s">
        <v>19</v>
      </c>
      <c r="M1225" t="s">
        <v>20</v>
      </c>
      <c r="N1225">
        <v>2</v>
      </c>
      <c r="O1225">
        <v>274</v>
      </c>
      <c r="P1225">
        <v>399</v>
      </c>
      <c r="Q1225">
        <v>0</v>
      </c>
      <c r="R1225">
        <v>0</v>
      </c>
      <c r="S1225">
        <v>798</v>
      </c>
      <c r="T1225">
        <v>250</v>
      </c>
      <c r="U1225">
        <v>31.33</v>
      </c>
      <c r="V1225" t="s">
        <v>33</v>
      </c>
    </row>
    <row r="1226" spans="1:22" x14ac:dyDescent="0.35">
      <c r="A1226" t="s">
        <v>2774</v>
      </c>
      <c r="B1226" t="s">
        <v>67</v>
      </c>
      <c r="C1226" t="s">
        <v>27</v>
      </c>
      <c r="D1226" t="s">
        <v>2773</v>
      </c>
      <c r="E1226" t="s">
        <v>2772</v>
      </c>
      <c r="F1226" s="5">
        <v>45609</v>
      </c>
      <c r="G1226" t="s">
        <v>126</v>
      </c>
      <c r="H1226" t="s">
        <v>936</v>
      </c>
      <c r="I1226" t="s">
        <v>23</v>
      </c>
      <c r="J1226" t="s">
        <v>142</v>
      </c>
      <c r="K1226" t="s">
        <v>43</v>
      </c>
      <c r="L1226" t="s">
        <v>25</v>
      </c>
      <c r="M1226" t="s">
        <v>20</v>
      </c>
      <c r="N1226">
        <v>1</v>
      </c>
      <c r="O1226">
        <v>2335</v>
      </c>
      <c r="P1226">
        <v>3399</v>
      </c>
      <c r="Q1226">
        <v>10</v>
      </c>
      <c r="R1226">
        <v>400</v>
      </c>
      <c r="S1226">
        <v>2999</v>
      </c>
      <c r="T1226">
        <v>664</v>
      </c>
      <c r="U1226">
        <v>22.14</v>
      </c>
      <c r="V1226" t="s">
        <v>21</v>
      </c>
    </row>
    <row r="1227" spans="1:22" x14ac:dyDescent="0.35">
      <c r="A1227" t="s">
        <v>2771</v>
      </c>
      <c r="B1227" t="s">
        <v>107</v>
      </c>
      <c r="C1227" t="s">
        <v>27</v>
      </c>
      <c r="D1227" t="s">
        <v>2770</v>
      </c>
      <c r="E1227" t="s">
        <v>747</v>
      </c>
      <c r="F1227" s="5">
        <v>45556</v>
      </c>
      <c r="G1227" t="s">
        <v>126</v>
      </c>
      <c r="H1227" t="s">
        <v>317</v>
      </c>
      <c r="I1227" t="s">
        <v>17</v>
      </c>
      <c r="J1227" t="s">
        <v>253</v>
      </c>
      <c r="K1227" t="s">
        <v>72</v>
      </c>
      <c r="L1227" t="s">
        <v>25</v>
      </c>
      <c r="M1227" t="s">
        <v>20</v>
      </c>
      <c r="N1227">
        <v>2</v>
      </c>
      <c r="O1227">
        <v>202</v>
      </c>
      <c r="P1227">
        <v>399</v>
      </c>
      <c r="Q1227">
        <v>0</v>
      </c>
      <c r="R1227">
        <v>0</v>
      </c>
      <c r="S1227">
        <v>798</v>
      </c>
      <c r="T1227">
        <v>394</v>
      </c>
      <c r="U1227">
        <v>49.37</v>
      </c>
      <c r="V1227" t="s">
        <v>33</v>
      </c>
    </row>
    <row r="1228" spans="1:22" x14ac:dyDescent="0.35">
      <c r="A1228" t="s">
        <v>2769</v>
      </c>
      <c r="B1228" t="s">
        <v>57</v>
      </c>
      <c r="C1228" t="s">
        <v>27</v>
      </c>
      <c r="D1228" t="s">
        <v>2768</v>
      </c>
      <c r="E1228" t="s">
        <v>2767</v>
      </c>
      <c r="F1228" s="5">
        <v>45484</v>
      </c>
      <c r="G1228" t="s">
        <v>126</v>
      </c>
      <c r="H1228" t="s">
        <v>1202</v>
      </c>
      <c r="I1228" t="s">
        <v>23</v>
      </c>
      <c r="J1228" t="s">
        <v>142</v>
      </c>
      <c r="K1228" t="s">
        <v>43</v>
      </c>
      <c r="L1228" t="s">
        <v>37</v>
      </c>
      <c r="M1228" t="s">
        <v>19</v>
      </c>
      <c r="N1228">
        <v>4</v>
      </c>
      <c r="O1228">
        <v>1438</v>
      </c>
      <c r="P1228">
        <v>2499</v>
      </c>
      <c r="Q1228">
        <v>20</v>
      </c>
      <c r="R1228">
        <v>2000</v>
      </c>
      <c r="S1228">
        <v>7996</v>
      </c>
      <c r="T1228">
        <v>2244</v>
      </c>
      <c r="U1228">
        <v>28.06</v>
      </c>
      <c r="V1228" t="s">
        <v>21</v>
      </c>
    </row>
    <row r="1229" spans="1:22" x14ac:dyDescent="0.35">
      <c r="A1229" t="s">
        <v>2766</v>
      </c>
      <c r="B1229" t="s">
        <v>99</v>
      </c>
      <c r="C1229" t="s">
        <v>27</v>
      </c>
      <c r="D1229" t="s">
        <v>2765</v>
      </c>
      <c r="E1229" t="s">
        <v>2764</v>
      </c>
      <c r="F1229" s="5">
        <v>45510</v>
      </c>
      <c r="G1229" t="s">
        <v>126</v>
      </c>
      <c r="H1229" t="s">
        <v>2229</v>
      </c>
      <c r="I1229" t="s">
        <v>31</v>
      </c>
      <c r="J1229" t="s">
        <v>76</v>
      </c>
      <c r="K1229" t="s">
        <v>76</v>
      </c>
      <c r="L1229" t="s">
        <v>37</v>
      </c>
      <c r="M1229" t="s">
        <v>19</v>
      </c>
      <c r="N1229">
        <v>1</v>
      </c>
      <c r="O1229">
        <v>570</v>
      </c>
      <c r="P1229">
        <v>799</v>
      </c>
      <c r="Q1229">
        <v>0</v>
      </c>
      <c r="R1229">
        <v>0</v>
      </c>
      <c r="S1229">
        <v>799</v>
      </c>
      <c r="T1229">
        <v>229</v>
      </c>
      <c r="U1229">
        <v>28.66</v>
      </c>
      <c r="V1229" t="s">
        <v>21</v>
      </c>
    </row>
    <row r="1230" spans="1:22" x14ac:dyDescent="0.35">
      <c r="A1230" t="s">
        <v>2763</v>
      </c>
      <c r="B1230" t="s">
        <v>46</v>
      </c>
      <c r="C1230" t="s">
        <v>16</v>
      </c>
      <c r="D1230" t="s">
        <v>2762</v>
      </c>
      <c r="E1230" t="s">
        <v>2761</v>
      </c>
      <c r="F1230" s="5">
        <v>45563</v>
      </c>
      <c r="G1230" t="s">
        <v>126</v>
      </c>
      <c r="H1230" t="s">
        <v>2275</v>
      </c>
      <c r="I1230" t="s">
        <v>23</v>
      </c>
      <c r="J1230" t="s">
        <v>164</v>
      </c>
      <c r="K1230" t="s">
        <v>24</v>
      </c>
      <c r="L1230" t="s">
        <v>25</v>
      </c>
      <c r="M1230" t="s">
        <v>20</v>
      </c>
      <c r="N1230">
        <v>5</v>
      </c>
      <c r="O1230">
        <v>824</v>
      </c>
      <c r="P1230">
        <v>1199</v>
      </c>
      <c r="Q1230">
        <v>10</v>
      </c>
      <c r="R1230">
        <v>1000</v>
      </c>
      <c r="S1230">
        <v>4995</v>
      </c>
      <c r="T1230">
        <v>875</v>
      </c>
      <c r="U1230">
        <v>17.52</v>
      </c>
      <c r="V1230" t="s">
        <v>21</v>
      </c>
    </row>
    <row r="1231" spans="1:22" x14ac:dyDescent="0.35">
      <c r="A1231" t="s">
        <v>2760</v>
      </c>
      <c r="B1231" t="s">
        <v>88</v>
      </c>
      <c r="C1231" t="s">
        <v>27</v>
      </c>
      <c r="D1231" t="s">
        <v>2759</v>
      </c>
      <c r="E1231" t="s">
        <v>2758</v>
      </c>
      <c r="F1231" s="5">
        <v>45631</v>
      </c>
      <c r="G1231" t="s">
        <v>126</v>
      </c>
      <c r="H1231" t="s">
        <v>2757</v>
      </c>
      <c r="I1231" t="s">
        <v>28</v>
      </c>
      <c r="J1231" t="s">
        <v>201</v>
      </c>
      <c r="K1231" t="s">
        <v>29</v>
      </c>
      <c r="L1231" t="s">
        <v>25</v>
      </c>
      <c r="M1231" t="s">
        <v>19</v>
      </c>
      <c r="N1231">
        <v>1</v>
      </c>
      <c r="O1231">
        <v>264</v>
      </c>
      <c r="P1231">
        <v>499</v>
      </c>
      <c r="Q1231">
        <v>20</v>
      </c>
      <c r="R1231">
        <v>100</v>
      </c>
      <c r="S1231">
        <v>399</v>
      </c>
      <c r="T1231">
        <v>135</v>
      </c>
      <c r="U1231">
        <v>33.83</v>
      </c>
      <c r="V1231" t="s">
        <v>33</v>
      </c>
    </row>
    <row r="1232" spans="1:22" x14ac:dyDescent="0.35">
      <c r="A1232" t="s">
        <v>2756</v>
      </c>
      <c r="B1232" t="s">
        <v>44</v>
      </c>
      <c r="C1232" t="s">
        <v>16</v>
      </c>
      <c r="D1232" t="s">
        <v>2755</v>
      </c>
      <c r="E1232" t="s">
        <v>2754</v>
      </c>
      <c r="F1232" s="5">
        <v>45633</v>
      </c>
      <c r="G1232" t="s">
        <v>126</v>
      </c>
      <c r="H1232" t="s">
        <v>1146</v>
      </c>
      <c r="I1232" t="s">
        <v>35</v>
      </c>
      <c r="J1232" t="s">
        <v>39</v>
      </c>
      <c r="K1232" t="s">
        <v>39</v>
      </c>
      <c r="L1232" t="s">
        <v>19</v>
      </c>
      <c r="M1232" t="s">
        <v>20</v>
      </c>
      <c r="N1232">
        <v>2</v>
      </c>
      <c r="O1232">
        <v>817</v>
      </c>
      <c r="P1232">
        <v>1099</v>
      </c>
      <c r="Q1232">
        <v>5</v>
      </c>
      <c r="R1232">
        <v>200</v>
      </c>
      <c r="S1232">
        <v>1998</v>
      </c>
      <c r="T1232">
        <v>364</v>
      </c>
      <c r="U1232">
        <v>18.22</v>
      </c>
      <c r="V1232" t="s">
        <v>21</v>
      </c>
    </row>
    <row r="1233" spans="1:22" x14ac:dyDescent="0.35">
      <c r="A1233" t="s">
        <v>2753</v>
      </c>
      <c r="B1233" t="s">
        <v>67</v>
      </c>
      <c r="C1233" t="s">
        <v>27</v>
      </c>
      <c r="D1233" t="s">
        <v>2752</v>
      </c>
      <c r="E1233" t="s">
        <v>2751</v>
      </c>
      <c r="F1233" s="5">
        <v>45541</v>
      </c>
      <c r="G1233" t="s">
        <v>126</v>
      </c>
      <c r="H1233" t="s">
        <v>2549</v>
      </c>
      <c r="I1233" t="s">
        <v>31</v>
      </c>
      <c r="J1233" t="s">
        <v>76</v>
      </c>
      <c r="K1233" t="s">
        <v>76</v>
      </c>
      <c r="L1233" t="s">
        <v>25</v>
      </c>
      <c r="M1233" t="s">
        <v>19</v>
      </c>
      <c r="N1233">
        <v>1</v>
      </c>
      <c r="O1233">
        <v>445</v>
      </c>
      <c r="P1233">
        <v>799</v>
      </c>
      <c r="Q1233">
        <v>0</v>
      </c>
      <c r="R1233">
        <v>0</v>
      </c>
      <c r="S1233">
        <v>799</v>
      </c>
      <c r="T1233">
        <v>354</v>
      </c>
      <c r="U1233">
        <v>44.31</v>
      </c>
      <c r="V1233" t="s">
        <v>33</v>
      </c>
    </row>
    <row r="1234" spans="1:22" x14ac:dyDescent="0.35">
      <c r="A1234" t="s">
        <v>2750</v>
      </c>
      <c r="B1234" t="s">
        <v>26</v>
      </c>
      <c r="C1234" t="s">
        <v>27</v>
      </c>
      <c r="D1234" t="s">
        <v>2749</v>
      </c>
      <c r="E1234" t="s">
        <v>2748</v>
      </c>
      <c r="F1234" s="5">
        <v>45537</v>
      </c>
      <c r="G1234" t="s">
        <v>126</v>
      </c>
      <c r="H1234" t="s">
        <v>454</v>
      </c>
      <c r="I1234" t="s">
        <v>35</v>
      </c>
      <c r="J1234" t="s">
        <v>39</v>
      </c>
      <c r="K1234" t="s">
        <v>39</v>
      </c>
      <c r="L1234" t="s">
        <v>19</v>
      </c>
      <c r="M1234" t="s">
        <v>19</v>
      </c>
      <c r="N1234">
        <v>2</v>
      </c>
      <c r="O1234">
        <v>689</v>
      </c>
      <c r="P1234">
        <v>1099</v>
      </c>
      <c r="Q1234">
        <v>5</v>
      </c>
      <c r="R1234">
        <v>200</v>
      </c>
      <c r="S1234">
        <v>1998</v>
      </c>
      <c r="T1234">
        <v>620</v>
      </c>
      <c r="U1234">
        <v>31.03</v>
      </c>
      <c r="V1234" t="s">
        <v>33</v>
      </c>
    </row>
    <row r="1235" spans="1:22" x14ac:dyDescent="0.35">
      <c r="A1235" t="s">
        <v>2747</v>
      </c>
      <c r="B1235" t="s">
        <v>109</v>
      </c>
      <c r="C1235" t="s">
        <v>16</v>
      </c>
      <c r="D1235" t="s">
        <v>2746</v>
      </c>
      <c r="E1235" t="s">
        <v>2745</v>
      </c>
      <c r="F1235" s="5">
        <v>45640</v>
      </c>
      <c r="G1235" t="s">
        <v>126</v>
      </c>
      <c r="H1235" t="s">
        <v>2744</v>
      </c>
      <c r="I1235" t="s">
        <v>23</v>
      </c>
      <c r="J1235" t="s">
        <v>142</v>
      </c>
      <c r="K1235" t="s">
        <v>43</v>
      </c>
      <c r="L1235" t="s">
        <v>25</v>
      </c>
      <c r="M1235" t="s">
        <v>19</v>
      </c>
      <c r="N1235">
        <v>1</v>
      </c>
      <c r="O1235">
        <v>1320</v>
      </c>
      <c r="P1235">
        <v>2499</v>
      </c>
      <c r="Q1235">
        <v>20</v>
      </c>
      <c r="R1235">
        <v>500</v>
      </c>
      <c r="S1235">
        <v>1999</v>
      </c>
      <c r="T1235">
        <v>679</v>
      </c>
      <c r="U1235">
        <v>33.97</v>
      </c>
      <c r="V1235" t="s">
        <v>21</v>
      </c>
    </row>
    <row r="1236" spans="1:22" x14ac:dyDescent="0.35">
      <c r="A1236" t="s">
        <v>2743</v>
      </c>
      <c r="B1236" t="s">
        <v>54</v>
      </c>
      <c r="C1236" t="s">
        <v>27</v>
      </c>
      <c r="D1236" t="s">
        <v>2742</v>
      </c>
      <c r="E1236" t="s">
        <v>2741</v>
      </c>
      <c r="F1236" s="5">
        <v>45456</v>
      </c>
      <c r="G1236" t="s">
        <v>126</v>
      </c>
      <c r="H1236" t="s">
        <v>2740</v>
      </c>
      <c r="I1236" t="s">
        <v>28</v>
      </c>
      <c r="J1236" t="s">
        <v>201</v>
      </c>
      <c r="K1236" t="s">
        <v>29</v>
      </c>
      <c r="L1236" t="s">
        <v>37</v>
      </c>
      <c r="M1236" t="s">
        <v>20</v>
      </c>
      <c r="N1236">
        <v>3</v>
      </c>
      <c r="O1236">
        <v>385</v>
      </c>
      <c r="P1236">
        <v>599</v>
      </c>
      <c r="Q1236">
        <v>5</v>
      </c>
      <c r="R1236">
        <v>300</v>
      </c>
      <c r="S1236">
        <v>1497</v>
      </c>
      <c r="T1236">
        <v>342</v>
      </c>
      <c r="U1236">
        <v>22.85</v>
      </c>
      <c r="V1236" t="s">
        <v>21</v>
      </c>
    </row>
    <row r="1237" spans="1:22" x14ac:dyDescent="0.35">
      <c r="A1237" t="s">
        <v>2739</v>
      </c>
      <c r="B1237" t="s">
        <v>67</v>
      </c>
      <c r="C1237" t="s">
        <v>27</v>
      </c>
      <c r="D1237" t="s">
        <v>2738</v>
      </c>
      <c r="E1237" t="s">
        <v>2737</v>
      </c>
      <c r="F1237" s="5">
        <v>45597</v>
      </c>
      <c r="G1237" t="s">
        <v>126</v>
      </c>
      <c r="H1237" t="s">
        <v>1382</v>
      </c>
      <c r="I1237" t="s">
        <v>28</v>
      </c>
      <c r="J1237" t="s">
        <v>201</v>
      </c>
      <c r="K1237" t="s">
        <v>29</v>
      </c>
      <c r="L1237" t="s">
        <v>37</v>
      </c>
      <c r="M1237" t="s">
        <v>20</v>
      </c>
      <c r="N1237">
        <v>3</v>
      </c>
      <c r="O1237">
        <v>420</v>
      </c>
      <c r="P1237">
        <v>599</v>
      </c>
      <c r="Q1237">
        <v>20</v>
      </c>
      <c r="R1237">
        <v>450</v>
      </c>
      <c r="S1237">
        <v>1347</v>
      </c>
      <c r="T1237">
        <v>87</v>
      </c>
      <c r="U1237">
        <v>6.46</v>
      </c>
      <c r="V1237" t="s">
        <v>21</v>
      </c>
    </row>
    <row r="1238" spans="1:22" x14ac:dyDescent="0.35">
      <c r="A1238" t="s">
        <v>2736</v>
      </c>
      <c r="B1238" t="s">
        <v>46</v>
      </c>
      <c r="C1238" t="s">
        <v>16</v>
      </c>
      <c r="D1238" t="s">
        <v>2735</v>
      </c>
      <c r="E1238" t="s">
        <v>255</v>
      </c>
      <c r="F1238" s="5">
        <v>45550</v>
      </c>
      <c r="G1238" t="s">
        <v>126</v>
      </c>
      <c r="H1238" t="s">
        <v>2734</v>
      </c>
      <c r="I1238" t="s">
        <v>28</v>
      </c>
      <c r="J1238" t="s">
        <v>45</v>
      </c>
      <c r="K1238" t="s">
        <v>45</v>
      </c>
      <c r="L1238" t="s">
        <v>25</v>
      </c>
      <c r="M1238" t="s">
        <v>19</v>
      </c>
      <c r="N1238">
        <v>2</v>
      </c>
      <c r="O1238">
        <v>1409</v>
      </c>
      <c r="P1238">
        <v>1899</v>
      </c>
      <c r="Q1238">
        <v>5</v>
      </c>
      <c r="R1238">
        <v>200</v>
      </c>
      <c r="S1238">
        <v>3598</v>
      </c>
      <c r="T1238">
        <v>780</v>
      </c>
      <c r="U1238">
        <v>21.68</v>
      </c>
      <c r="V1238" t="s">
        <v>21</v>
      </c>
    </row>
    <row r="1239" spans="1:22" x14ac:dyDescent="0.35">
      <c r="A1239" t="s">
        <v>2733</v>
      </c>
      <c r="B1239" t="s">
        <v>51</v>
      </c>
      <c r="C1239" t="s">
        <v>16</v>
      </c>
      <c r="D1239" t="s">
        <v>2732</v>
      </c>
      <c r="E1239" t="s">
        <v>2731</v>
      </c>
      <c r="F1239" s="5">
        <v>45479</v>
      </c>
      <c r="G1239" t="s">
        <v>126</v>
      </c>
      <c r="H1239" t="s">
        <v>2730</v>
      </c>
      <c r="I1239" t="s">
        <v>23</v>
      </c>
      <c r="J1239" t="s">
        <v>142</v>
      </c>
      <c r="K1239" t="s">
        <v>43</v>
      </c>
      <c r="L1239" t="s">
        <v>37</v>
      </c>
      <c r="M1239" t="s">
        <v>19</v>
      </c>
      <c r="N1239">
        <v>1</v>
      </c>
      <c r="O1239">
        <v>1522</v>
      </c>
      <c r="P1239">
        <v>2299</v>
      </c>
      <c r="Q1239">
        <v>10</v>
      </c>
      <c r="R1239">
        <v>300</v>
      </c>
      <c r="S1239">
        <v>1999</v>
      </c>
      <c r="T1239">
        <v>477</v>
      </c>
      <c r="U1239">
        <v>23.86</v>
      </c>
      <c r="V1239" t="s">
        <v>21</v>
      </c>
    </row>
    <row r="1240" spans="1:22" x14ac:dyDescent="0.35">
      <c r="A1240" t="s">
        <v>2729</v>
      </c>
      <c r="B1240" t="s">
        <v>96</v>
      </c>
      <c r="C1240" t="s">
        <v>16</v>
      </c>
      <c r="D1240" t="s">
        <v>2728</v>
      </c>
      <c r="E1240" t="s">
        <v>2727</v>
      </c>
      <c r="F1240" s="5">
        <v>45485</v>
      </c>
      <c r="G1240" t="s">
        <v>126</v>
      </c>
      <c r="H1240" t="s">
        <v>462</v>
      </c>
      <c r="I1240" t="s">
        <v>23</v>
      </c>
      <c r="J1240" t="s">
        <v>164</v>
      </c>
      <c r="K1240" t="s">
        <v>24</v>
      </c>
      <c r="L1240" t="s">
        <v>25</v>
      </c>
      <c r="M1240" t="s">
        <v>19</v>
      </c>
      <c r="N1240">
        <v>1</v>
      </c>
      <c r="O1240">
        <v>494</v>
      </c>
      <c r="P1240">
        <v>899</v>
      </c>
      <c r="Q1240">
        <v>5</v>
      </c>
      <c r="R1240">
        <v>100</v>
      </c>
      <c r="S1240">
        <v>799</v>
      </c>
      <c r="T1240">
        <v>305</v>
      </c>
      <c r="U1240">
        <v>38.17</v>
      </c>
      <c r="V1240" t="s">
        <v>21</v>
      </c>
    </row>
    <row r="1241" spans="1:22" x14ac:dyDescent="0.35">
      <c r="A1241" t="s">
        <v>2726</v>
      </c>
      <c r="B1241" t="s">
        <v>95</v>
      </c>
      <c r="C1241" t="s">
        <v>27</v>
      </c>
      <c r="D1241" t="s">
        <v>2725</v>
      </c>
      <c r="E1241" t="s">
        <v>2724</v>
      </c>
      <c r="F1241" s="5">
        <v>45479</v>
      </c>
      <c r="G1241" t="s">
        <v>126</v>
      </c>
      <c r="H1241" t="s">
        <v>2723</v>
      </c>
      <c r="I1241" t="s">
        <v>28</v>
      </c>
      <c r="J1241" t="s">
        <v>201</v>
      </c>
      <c r="K1241" t="s">
        <v>29</v>
      </c>
      <c r="L1241" t="s">
        <v>25</v>
      </c>
      <c r="M1241" t="s">
        <v>20</v>
      </c>
      <c r="N1241">
        <v>1</v>
      </c>
      <c r="O1241">
        <v>324</v>
      </c>
      <c r="P1241">
        <v>499</v>
      </c>
      <c r="Q1241">
        <v>10</v>
      </c>
      <c r="R1241">
        <v>100</v>
      </c>
      <c r="S1241">
        <v>399</v>
      </c>
      <c r="T1241">
        <v>75</v>
      </c>
      <c r="U1241">
        <v>18.8</v>
      </c>
      <c r="V1241" t="s">
        <v>33</v>
      </c>
    </row>
    <row r="1242" spans="1:22" x14ac:dyDescent="0.35">
      <c r="A1242" t="s">
        <v>2722</v>
      </c>
      <c r="B1242" t="s">
        <v>69</v>
      </c>
      <c r="C1242" t="s">
        <v>16</v>
      </c>
      <c r="D1242" t="s">
        <v>2721</v>
      </c>
      <c r="E1242" t="s">
        <v>2720</v>
      </c>
      <c r="F1242" s="5">
        <v>45495</v>
      </c>
      <c r="G1242" t="s">
        <v>126</v>
      </c>
      <c r="H1242" t="s">
        <v>520</v>
      </c>
      <c r="I1242" t="s">
        <v>23</v>
      </c>
      <c r="J1242" t="s">
        <v>164</v>
      </c>
      <c r="K1242" t="s">
        <v>24</v>
      </c>
      <c r="L1242" t="s">
        <v>37</v>
      </c>
      <c r="M1242" t="s">
        <v>20</v>
      </c>
      <c r="N1242">
        <v>1</v>
      </c>
      <c r="O1242">
        <v>552</v>
      </c>
      <c r="P1242">
        <v>899</v>
      </c>
      <c r="Q1242">
        <v>10</v>
      </c>
      <c r="R1242">
        <v>100</v>
      </c>
      <c r="S1242">
        <v>799</v>
      </c>
      <c r="T1242">
        <v>247</v>
      </c>
      <c r="U1242">
        <v>30.91</v>
      </c>
      <c r="V1242" t="s">
        <v>21</v>
      </c>
    </row>
    <row r="1243" spans="1:22" x14ac:dyDescent="0.35">
      <c r="A1243" t="s">
        <v>2719</v>
      </c>
      <c r="B1243" t="s">
        <v>107</v>
      </c>
      <c r="C1243" t="s">
        <v>27</v>
      </c>
      <c r="D1243" t="s">
        <v>2718</v>
      </c>
      <c r="E1243" t="s">
        <v>2717</v>
      </c>
      <c r="F1243" s="5">
        <v>45550</v>
      </c>
      <c r="G1243" t="s">
        <v>126</v>
      </c>
      <c r="H1243" t="s">
        <v>2205</v>
      </c>
      <c r="I1243" t="s">
        <v>31</v>
      </c>
      <c r="J1243" t="s">
        <v>76</v>
      </c>
      <c r="K1243" t="s">
        <v>76</v>
      </c>
      <c r="L1243" t="s">
        <v>19</v>
      </c>
      <c r="M1243" t="s">
        <v>19</v>
      </c>
      <c r="N1243">
        <v>5</v>
      </c>
      <c r="O1243">
        <v>423</v>
      </c>
      <c r="P1243">
        <v>699</v>
      </c>
      <c r="Q1243">
        <v>0</v>
      </c>
      <c r="R1243">
        <v>0</v>
      </c>
      <c r="S1243">
        <v>3495</v>
      </c>
      <c r="T1243">
        <v>1380</v>
      </c>
      <c r="U1243">
        <v>39.479999999999997</v>
      </c>
      <c r="V1243" t="s">
        <v>21</v>
      </c>
    </row>
    <row r="1244" spans="1:22" x14ac:dyDescent="0.35">
      <c r="A1244" t="s">
        <v>2716</v>
      </c>
      <c r="B1244" t="s">
        <v>57</v>
      </c>
      <c r="C1244" t="s">
        <v>27</v>
      </c>
      <c r="D1244" t="s">
        <v>2715</v>
      </c>
      <c r="E1244" t="s">
        <v>1701</v>
      </c>
      <c r="F1244" s="5">
        <v>45591</v>
      </c>
      <c r="G1244" t="s">
        <v>126</v>
      </c>
      <c r="H1244" t="s">
        <v>2714</v>
      </c>
      <c r="I1244" t="s">
        <v>35</v>
      </c>
      <c r="J1244" t="s">
        <v>39</v>
      </c>
      <c r="K1244" t="s">
        <v>39</v>
      </c>
      <c r="L1244" t="s">
        <v>19</v>
      </c>
      <c r="M1244" t="s">
        <v>19</v>
      </c>
      <c r="N1244">
        <v>5</v>
      </c>
      <c r="O1244">
        <v>532</v>
      </c>
      <c r="P1244">
        <v>899</v>
      </c>
      <c r="Q1244">
        <v>15</v>
      </c>
      <c r="R1244">
        <v>1000</v>
      </c>
      <c r="S1244">
        <v>3495</v>
      </c>
      <c r="T1244">
        <v>835</v>
      </c>
      <c r="U1244">
        <v>23.89</v>
      </c>
      <c r="V1244" t="s">
        <v>21</v>
      </c>
    </row>
    <row r="1245" spans="1:22" x14ac:dyDescent="0.35">
      <c r="A1245" t="s">
        <v>2713</v>
      </c>
      <c r="B1245" t="s">
        <v>26</v>
      </c>
      <c r="C1245" t="s">
        <v>27</v>
      </c>
      <c r="D1245" t="s">
        <v>2712</v>
      </c>
      <c r="E1245" t="s">
        <v>2711</v>
      </c>
      <c r="F1245" s="5">
        <v>45582</v>
      </c>
      <c r="G1245" t="s">
        <v>126</v>
      </c>
      <c r="H1245" t="s">
        <v>2710</v>
      </c>
      <c r="I1245" t="s">
        <v>28</v>
      </c>
      <c r="J1245" t="s">
        <v>201</v>
      </c>
      <c r="K1245" t="s">
        <v>29</v>
      </c>
      <c r="L1245" t="s">
        <v>37</v>
      </c>
      <c r="M1245" t="s">
        <v>20</v>
      </c>
      <c r="N1245">
        <v>1</v>
      </c>
      <c r="O1245">
        <v>575</v>
      </c>
      <c r="P1245">
        <v>799</v>
      </c>
      <c r="Q1245">
        <v>15</v>
      </c>
      <c r="R1245">
        <v>200</v>
      </c>
      <c r="S1245">
        <v>599</v>
      </c>
      <c r="T1245">
        <v>24</v>
      </c>
      <c r="U1245">
        <v>4.01</v>
      </c>
      <c r="V1245" t="s">
        <v>33</v>
      </c>
    </row>
    <row r="1246" spans="1:22" x14ac:dyDescent="0.35">
      <c r="A1246" t="s">
        <v>2709</v>
      </c>
      <c r="B1246" t="s">
        <v>77</v>
      </c>
      <c r="C1246" t="s">
        <v>27</v>
      </c>
      <c r="D1246" t="s">
        <v>2708</v>
      </c>
      <c r="E1246" t="s">
        <v>2707</v>
      </c>
      <c r="F1246" s="5">
        <v>45575</v>
      </c>
      <c r="G1246" t="s">
        <v>126</v>
      </c>
      <c r="H1246" t="s">
        <v>2706</v>
      </c>
      <c r="I1246" t="s">
        <v>31</v>
      </c>
      <c r="J1246" t="s">
        <v>76</v>
      </c>
      <c r="K1246" t="s">
        <v>76</v>
      </c>
      <c r="L1246" t="s">
        <v>19</v>
      </c>
      <c r="M1246" t="s">
        <v>20</v>
      </c>
      <c r="N1246">
        <v>4</v>
      </c>
      <c r="O1246">
        <v>524</v>
      </c>
      <c r="P1246">
        <v>699</v>
      </c>
      <c r="Q1246">
        <v>0</v>
      </c>
      <c r="R1246">
        <v>0</v>
      </c>
      <c r="S1246">
        <v>2796</v>
      </c>
      <c r="T1246">
        <v>700</v>
      </c>
      <c r="U1246">
        <v>25.04</v>
      </c>
      <c r="V1246" t="s">
        <v>33</v>
      </c>
    </row>
    <row r="1247" spans="1:22" x14ac:dyDescent="0.35">
      <c r="A1247" t="s">
        <v>2705</v>
      </c>
      <c r="B1247" t="s">
        <v>96</v>
      </c>
      <c r="C1247" t="s">
        <v>16</v>
      </c>
      <c r="D1247" t="s">
        <v>2704</v>
      </c>
      <c r="E1247" t="s">
        <v>2703</v>
      </c>
      <c r="F1247" s="5">
        <v>45647</v>
      </c>
      <c r="G1247" t="s">
        <v>126</v>
      </c>
      <c r="H1247" t="s">
        <v>2702</v>
      </c>
      <c r="I1247" t="s">
        <v>17</v>
      </c>
      <c r="J1247" t="s">
        <v>253</v>
      </c>
      <c r="K1247" t="s">
        <v>72</v>
      </c>
      <c r="L1247" t="s">
        <v>25</v>
      </c>
      <c r="M1247" t="s">
        <v>20</v>
      </c>
      <c r="N1247">
        <v>3</v>
      </c>
      <c r="O1247">
        <v>373</v>
      </c>
      <c r="P1247">
        <v>499</v>
      </c>
      <c r="Q1247">
        <v>0</v>
      </c>
      <c r="R1247">
        <v>0</v>
      </c>
      <c r="S1247">
        <v>1497</v>
      </c>
      <c r="T1247">
        <v>378</v>
      </c>
      <c r="U1247">
        <v>25.25</v>
      </c>
      <c r="V1247" t="s">
        <v>33</v>
      </c>
    </row>
    <row r="1248" spans="1:22" x14ac:dyDescent="0.35">
      <c r="A1248" t="s">
        <v>2701</v>
      </c>
      <c r="B1248" t="s">
        <v>82</v>
      </c>
      <c r="C1248" t="s">
        <v>27</v>
      </c>
      <c r="D1248" t="s">
        <v>2700</v>
      </c>
      <c r="E1248" t="s">
        <v>2699</v>
      </c>
      <c r="F1248" s="5">
        <v>45609</v>
      </c>
      <c r="G1248" t="s">
        <v>126</v>
      </c>
      <c r="H1248" t="s">
        <v>2698</v>
      </c>
      <c r="I1248" t="s">
        <v>28</v>
      </c>
      <c r="J1248" t="s">
        <v>201</v>
      </c>
      <c r="K1248" t="s">
        <v>29</v>
      </c>
      <c r="L1248" t="s">
        <v>25</v>
      </c>
      <c r="M1248" t="s">
        <v>20</v>
      </c>
      <c r="N1248">
        <v>5</v>
      </c>
      <c r="O1248">
        <v>407</v>
      </c>
      <c r="P1248">
        <v>599</v>
      </c>
      <c r="Q1248">
        <v>15</v>
      </c>
      <c r="R1248">
        <v>500</v>
      </c>
      <c r="S1248">
        <v>2495</v>
      </c>
      <c r="T1248">
        <v>460</v>
      </c>
      <c r="U1248">
        <v>18.440000000000001</v>
      </c>
      <c r="V1248" t="s">
        <v>21</v>
      </c>
    </row>
    <row r="1249" spans="1:22" x14ac:dyDescent="0.35">
      <c r="A1249" t="s">
        <v>2697</v>
      </c>
      <c r="B1249" t="s">
        <v>47</v>
      </c>
      <c r="C1249" t="s">
        <v>16</v>
      </c>
      <c r="D1249" t="s">
        <v>2696</v>
      </c>
      <c r="E1249" t="s">
        <v>2695</v>
      </c>
      <c r="F1249" s="5">
        <v>45509</v>
      </c>
      <c r="G1249" t="s">
        <v>126</v>
      </c>
      <c r="H1249" t="s">
        <v>2694</v>
      </c>
      <c r="I1249" t="s">
        <v>31</v>
      </c>
      <c r="J1249" t="s">
        <v>76</v>
      </c>
      <c r="K1249" t="s">
        <v>76</v>
      </c>
      <c r="L1249" t="s">
        <v>25</v>
      </c>
      <c r="M1249" t="s">
        <v>20</v>
      </c>
      <c r="N1249">
        <v>2</v>
      </c>
      <c r="O1249">
        <v>795</v>
      </c>
      <c r="P1249">
        <v>1199</v>
      </c>
      <c r="Q1249">
        <v>0</v>
      </c>
      <c r="R1249">
        <v>0</v>
      </c>
      <c r="S1249">
        <v>2398</v>
      </c>
      <c r="T1249">
        <v>808</v>
      </c>
      <c r="U1249">
        <v>33.69</v>
      </c>
      <c r="V1249" t="s">
        <v>21</v>
      </c>
    </row>
    <row r="1250" spans="1:22" x14ac:dyDescent="0.35">
      <c r="A1250" t="s">
        <v>2693</v>
      </c>
      <c r="B1250" t="s">
        <v>38</v>
      </c>
      <c r="C1250" t="s">
        <v>27</v>
      </c>
      <c r="D1250" t="s">
        <v>2692</v>
      </c>
      <c r="E1250" t="s">
        <v>2691</v>
      </c>
      <c r="F1250" s="5">
        <v>45567</v>
      </c>
      <c r="G1250" t="s">
        <v>126</v>
      </c>
      <c r="H1250" t="s">
        <v>1822</v>
      </c>
      <c r="I1250" t="s">
        <v>35</v>
      </c>
      <c r="J1250" t="s">
        <v>214</v>
      </c>
      <c r="K1250" t="s">
        <v>87</v>
      </c>
      <c r="L1250" t="s">
        <v>25</v>
      </c>
      <c r="M1250" t="s">
        <v>19</v>
      </c>
      <c r="N1250">
        <v>4</v>
      </c>
      <c r="O1250">
        <v>1901</v>
      </c>
      <c r="P1250">
        <v>2699</v>
      </c>
      <c r="Q1250">
        <v>5</v>
      </c>
      <c r="R1250">
        <v>800</v>
      </c>
      <c r="S1250">
        <v>9996</v>
      </c>
      <c r="T1250">
        <v>2392</v>
      </c>
      <c r="U1250">
        <v>23.93</v>
      </c>
      <c r="V1250" t="s">
        <v>21</v>
      </c>
    </row>
    <row r="1251" spans="1:22" x14ac:dyDescent="0.35">
      <c r="A1251" t="s">
        <v>2690</v>
      </c>
      <c r="B1251" t="s">
        <v>103</v>
      </c>
      <c r="C1251" t="s">
        <v>16</v>
      </c>
      <c r="D1251" t="s">
        <v>2689</v>
      </c>
      <c r="E1251" t="s">
        <v>2688</v>
      </c>
      <c r="F1251" s="5">
        <v>45648</v>
      </c>
      <c r="G1251" t="s">
        <v>126</v>
      </c>
      <c r="H1251" t="s">
        <v>2687</v>
      </c>
      <c r="I1251" t="s">
        <v>35</v>
      </c>
      <c r="J1251" t="s">
        <v>39</v>
      </c>
      <c r="K1251" t="s">
        <v>39</v>
      </c>
      <c r="L1251" t="s">
        <v>19</v>
      </c>
      <c r="M1251" t="s">
        <v>19</v>
      </c>
      <c r="N1251">
        <v>1</v>
      </c>
      <c r="O1251">
        <v>1004</v>
      </c>
      <c r="P1251">
        <v>1499</v>
      </c>
      <c r="Q1251">
        <v>10</v>
      </c>
      <c r="R1251">
        <v>200</v>
      </c>
      <c r="S1251">
        <v>1299</v>
      </c>
      <c r="T1251">
        <v>295</v>
      </c>
      <c r="U1251">
        <v>22.71</v>
      </c>
      <c r="V1251" t="s">
        <v>21</v>
      </c>
    </row>
    <row r="1252" spans="1:22" x14ac:dyDescent="0.35">
      <c r="A1252" t="s">
        <v>2686</v>
      </c>
      <c r="B1252" t="s">
        <v>69</v>
      </c>
      <c r="C1252" t="s">
        <v>16</v>
      </c>
      <c r="D1252" t="s">
        <v>2685</v>
      </c>
      <c r="E1252" t="s">
        <v>2684</v>
      </c>
      <c r="F1252" s="5">
        <v>45594</v>
      </c>
      <c r="G1252" t="s">
        <v>126</v>
      </c>
      <c r="H1252" t="s">
        <v>2683</v>
      </c>
      <c r="I1252" t="s">
        <v>23</v>
      </c>
      <c r="J1252" t="s">
        <v>142</v>
      </c>
      <c r="K1252" t="s">
        <v>43</v>
      </c>
      <c r="L1252" t="s">
        <v>25</v>
      </c>
      <c r="M1252" t="s">
        <v>20</v>
      </c>
      <c r="N1252">
        <v>5</v>
      </c>
      <c r="O1252">
        <v>1668</v>
      </c>
      <c r="P1252">
        <v>2399</v>
      </c>
      <c r="Q1252">
        <v>20</v>
      </c>
      <c r="R1252">
        <v>2500</v>
      </c>
      <c r="S1252">
        <v>9495</v>
      </c>
      <c r="T1252">
        <v>1155</v>
      </c>
      <c r="U1252">
        <v>12.16</v>
      </c>
      <c r="V1252" t="s">
        <v>21</v>
      </c>
    </row>
    <row r="1253" spans="1:22" x14ac:dyDescent="0.35">
      <c r="A1253" t="s">
        <v>2682</v>
      </c>
      <c r="B1253" t="s">
        <v>22</v>
      </c>
      <c r="C1253" t="s">
        <v>16</v>
      </c>
      <c r="D1253" t="s">
        <v>2681</v>
      </c>
      <c r="E1253" t="s">
        <v>2680</v>
      </c>
      <c r="F1253" s="5">
        <v>45543</v>
      </c>
      <c r="G1253" t="s">
        <v>126</v>
      </c>
      <c r="H1253" t="s">
        <v>2679</v>
      </c>
      <c r="I1253" t="s">
        <v>28</v>
      </c>
      <c r="J1253" t="s">
        <v>201</v>
      </c>
      <c r="K1253" t="s">
        <v>29</v>
      </c>
      <c r="L1253" t="s">
        <v>19</v>
      </c>
      <c r="M1253" t="s">
        <v>20</v>
      </c>
      <c r="N1253">
        <v>2</v>
      </c>
      <c r="O1253">
        <v>413</v>
      </c>
      <c r="P1253">
        <v>599</v>
      </c>
      <c r="Q1253">
        <v>10</v>
      </c>
      <c r="R1253">
        <v>200</v>
      </c>
      <c r="S1253">
        <v>998</v>
      </c>
      <c r="T1253">
        <v>172</v>
      </c>
      <c r="U1253">
        <v>17.23</v>
      </c>
      <c r="V1253" t="s">
        <v>21</v>
      </c>
    </row>
    <row r="1254" spans="1:22" x14ac:dyDescent="0.35">
      <c r="A1254" t="s">
        <v>2678</v>
      </c>
      <c r="B1254" t="s">
        <v>49</v>
      </c>
      <c r="C1254" t="s">
        <v>27</v>
      </c>
      <c r="D1254" t="s">
        <v>2677</v>
      </c>
      <c r="E1254" t="s">
        <v>2676</v>
      </c>
      <c r="F1254" s="5">
        <v>45558</v>
      </c>
      <c r="G1254" t="s">
        <v>126</v>
      </c>
      <c r="H1254" t="s">
        <v>2567</v>
      </c>
      <c r="I1254" t="s">
        <v>35</v>
      </c>
      <c r="J1254" t="s">
        <v>41</v>
      </c>
      <c r="K1254" t="s">
        <v>41</v>
      </c>
      <c r="L1254" t="s">
        <v>19</v>
      </c>
      <c r="M1254" t="s">
        <v>19</v>
      </c>
      <c r="N1254">
        <v>4</v>
      </c>
      <c r="O1254">
        <v>656</v>
      </c>
      <c r="P1254">
        <v>999</v>
      </c>
      <c r="Q1254">
        <v>15</v>
      </c>
      <c r="R1254">
        <v>800</v>
      </c>
      <c r="S1254">
        <v>3196</v>
      </c>
      <c r="T1254">
        <v>572</v>
      </c>
      <c r="U1254">
        <v>17.899999999999999</v>
      </c>
      <c r="V1254" t="s">
        <v>33</v>
      </c>
    </row>
    <row r="1255" spans="1:22" x14ac:dyDescent="0.35">
      <c r="A1255" t="s">
        <v>2675</v>
      </c>
      <c r="B1255" t="s">
        <v>63</v>
      </c>
      <c r="C1255" t="s">
        <v>27</v>
      </c>
      <c r="D1255" t="s">
        <v>2674</v>
      </c>
      <c r="E1255" t="s">
        <v>2673</v>
      </c>
      <c r="F1255" s="5">
        <v>45533</v>
      </c>
      <c r="G1255" t="s">
        <v>126</v>
      </c>
      <c r="H1255" t="s">
        <v>1028</v>
      </c>
      <c r="I1255" t="s">
        <v>35</v>
      </c>
      <c r="J1255" t="s">
        <v>39</v>
      </c>
      <c r="K1255" t="s">
        <v>39</v>
      </c>
      <c r="L1255" t="s">
        <v>19</v>
      </c>
      <c r="M1255" t="s">
        <v>19</v>
      </c>
      <c r="N1255">
        <v>5</v>
      </c>
      <c r="O1255">
        <v>428</v>
      </c>
      <c r="P1255">
        <v>799</v>
      </c>
      <c r="Q1255">
        <v>10</v>
      </c>
      <c r="R1255">
        <v>500</v>
      </c>
      <c r="S1255">
        <v>3495</v>
      </c>
      <c r="T1255">
        <v>1355</v>
      </c>
      <c r="U1255">
        <v>38.770000000000003</v>
      </c>
      <c r="V1255" t="s">
        <v>21</v>
      </c>
    </row>
    <row r="1256" spans="1:22" x14ac:dyDescent="0.35">
      <c r="A1256" t="s">
        <v>2672</v>
      </c>
      <c r="B1256" t="s">
        <v>81</v>
      </c>
      <c r="C1256" t="s">
        <v>27</v>
      </c>
      <c r="D1256" t="s">
        <v>2671</v>
      </c>
      <c r="E1256" t="s">
        <v>2670</v>
      </c>
      <c r="F1256" s="5">
        <v>45573</v>
      </c>
      <c r="G1256" t="s">
        <v>126</v>
      </c>
      <c r="H1256" t="s">
        <v>532</v>
      </c>
      <c r="I1256" t="s">
        <v>28</v>
      </c>
      <c r="J1256" t="s">
        <v>201</v>
      </c>
      <c r="K1256" t="s">
        <v>29</v>
      </c>
      <c r="L1256" t="s">
        <v>19</v>
      </c>
      <c r="M1256" t="s">
        <v>20</v>
      </c>
      <c r="N1256">
        <v>5</v>
      </c>
      <c r="O1256">
        <v>414</v>
      </c>
      <c r="P1256">
        <v>599</v>
      </c>
      <c r="Q1256">
        <v>10</v>
      </c>
      <c r="R1256">
        <v>500</v>
      </c>
      <c r="S1256">
        <v>2495</v>
      </c>
      <c r="T1256">
        <v>425</v>
      </c>
      <c r="U1256">
        <v>17.03</v>
      </c>
      <c r="V1256" t="s">
        <v>21</v>
      </c>
    </row>
    <row r="1257" spans="1:22" x14ac:dyDescent="0.35">
      <c r="A1257" t="s">
        <v>2669</v>
      </c>
      <c r="B1257" t="s">
        <v>105</v>
      </c>
      <c r="C1257" t="s">
        <v>16</v>
      </c>
      <c r="D1257" t="s">
        <v>2668</v>
      </c>
      <c r="E1257" t="s">
        <v>2667</v>
      </c>
      <c r="F1257" s="5">
        <v>45448</v>
      </c>
      <c r="G1257" t="s">
        <v>126</v>
      </c>
      <c r="H1257" t="s">
        <v>2532</v>
      </c>
      <c r="I1257" t="s">
        <v>17</v>
      </c>
      <c r="J1257" t="s">
        <v>235</v>
      </c>
      <c r="K1257" t="s">
        <v>18</v>
      </c>
      <c r="L1257" t="s">
        <v>25</v>
      </c>
      <c r="M1257" t="s">
        <v>20</v>
      </c>
      <c r="N1257">
        <v>1</v>
      </c>
      <c r="O1257">
        <v>287</v>
      </c>
      <c r="P1257">
        <v>499</v>
      </c>
      <c r="Q1257">
        <v>0</v>
      </c>
      <c r="R1257">
        <v>0</v>
      </c>
      <c r="S1257">
        <v>499</v>
      </c>
      <c r="T1257">
        <v>212</v>
      </c>
      <c r="U1257">
        <v>42.48</v>
      </c>
      <c r="V1257" t="s">
        <v>21</v>
      </c>
    </row>
    <row r="1258" spans="1:22" x14ac:dyDescent="0.35">
      <c r="A1258" t="s">
        <v>2666</v>
      </c>
      <c r="B1258" t="s">
        <v>54</v>
      </c>
      <c r="C1258" t="s">
        <v>27</v>
      </c>
      <c r="D1258" t="s">
        <v>2665</v>
      </c>
      <c r="E1258" t="s">
        <v>2664</v>
      </c>
      <c r="F1258" s="5">
        <v>45591</v>
      </c>
      <c r="G1258" t="s">
        <v>126</v>
      </c>
      <c r="H1258" t="s">
        <v>833</v>
      </c>
      <c r="I1258" t="s">
        <v>28</v>
      </c>
      <c r="J1258" t="s">
        <v>45</v>
      </c>
      <c r="K1258" t="s">
        <v>45</v>
      </c>
      <c r="L1258" t="s">
        <v>37</v>
      </c>
      <c r="M1258" t="s">
        <v>19</v>
      </c>
      <c r="N1258">
        <v>3</v>
      </c>
      <c r="O1258">
        <v>904</v>
      </c>
      <c r="P1258">
        <v>1699</v>
      </c>
      <c r="Q1258">
        <v>10</v>
      </c>
      <c r="R1258">
        <v>600</v>
      </c>
      <c r="S1258">
        <v>4497</v>
      </c>
      <c r="T1258">
        <v>1785</v>
      </c>
      <c r="U1258">
        <v>39.69</v>
      </c>
      <c r="V1258" t="s">
        <v>21</v>
      </c>
    </row>
    <row r="1259" spans="1:22" x14ac:dyDescent="0.35">
      <c r="A1259" t="s">
        <v>2663</v>
      </c>
      <c r="B1259" t="s">
        <v>85</v>
      </c>
      <c r="C1259" t="s">
        <v>27</v>
      </c>
      <c r="D1259" t="s">
        <v>2662</v>
      </c>
      <c r="E1259" t="s">
        <v>2661</v>
      </c>
      <c r="F1259" s="5">
        <v>45620</v>
      </c>
      <c r="G1259" t="s">
        <v>126</v>
      </c>
      <c r="H1259" t="s">
        <v>2660</v>
      </c>
      <c r="I1259" t="s">
        <v>31</v>
      </c>
      <c r="J1259" t="s">
        <v>76</v>
      </c>
      <c r="K1259" t="s">
        <v>76</v>
      </c>
      <c r="L1259" t="s">
        <v>19</v>
      </c>
      <c r="M1259" t="s">
        <v>20</v>
      </c>
      <c r="N1259">
        <v>3</v>
      </c>
      <c r="O1259">
        <v>827</v>
      </c>
      <c r="P1259">
        <v>1499</v>
      </c>
      <c r="Q1259">
        <v>0</v>
      </c>
      <c r="R1259">
        <v>0</v>
      </c>
      <c r="S1259">
        <v>4497</v>
      </c>
      <c r="T1259">
        <v>2016</v>
      </c>
      <c r="U1259">
        <v>44.83</v>
      </c>
      <c r="V1259" t="s">
        <v>21</v>
      </c>
    </row>
    <row r="1260" spans="1:22" x14ac:dyDescent="0.35">
      <c r="A1260" t="s">
        <v>2659</v>
      </c>
      <c r="B1260" t="s">
        <v>54</v>
      </c>
      <c r="C1260" t="s">
        <v>27</v>
      </c>
      <c r="D1260" t="s">
        <v>2658</v>
      </c>
      <c r="E1260" t="s">
        <v>2657</v>
      </c>
      <c r="F1260" s="5">
        <v>45477</v>
      </c>
      <c r="G1260" t="s">
        <v>126</v>
      </c>
      <c r="H1260" t="s">
        <v>619</v>
      </c>
      <c r="I1260" t="s">
        <v>23</v>
      </c>
      <c r="J1260" t="s">
        <v>142</v>
      </c>
      <c r="K1260" t="s">
        <v>43</v>
      </c>
      <c r="L1260" t="s">
        <v>25</v>
      </c>
      <c r="M1260" t="s">
        <v>20</v>
      </c>
      <c r="N1260">
        <v>2</v>
      </c>
      <c r="O1260">
        <v>2998</v>
      </c>
      <c r="P1260">
        <v>4499</v>
      </c>
      <c r="Q1260">
        <v>10</v>
      </c>
      <c r="R1260">
        <v>1000</v>
      </c>
      <c r="S1260">
        <v>7998</v>
      </c>
      <c r="T1260">
        <v>2002</v>
      </c>
      <c r="U1260">
        <v>25.03</v>
      </c>
      <c r="V1260" t="s">
        <v>33</v>
      </c>
    </row>
    <row r="1261" spans="1:22" x14ac:dyDescent="0.35">
      <c r="A1261" t="s">
        <v>2656</v>
      </c>
      <c r="B1261" t="s">
        <v>70</v>
      </c>
      <c r="C1261" t="s">
        <v>27</v>
      </c>
      <c r="D1261" t="s">
        <v>2655</v>
      </c>
      <c r="E1261" t="s">
        <v>2654</v>
      </c>
      <c r="F1261" s="5">
        <v>45561</v>
      </c>
      <c r="G1261" t="s">
        <v>126</v>
      </c>
      <c r="H1261" t="s">
        <v>913</v>
      </c>
      <c r="I1261" t="s">
        <v>28</v>
      </c>
      <c r="J1261" t="s">
        <v>45</v>
      </c>
      <c r="K1261" t="s">
        <v>45</v>
      </c>
      <c r="L1261" t="s">
        <v>19</v>
      </c>
      <c r="M1261" t="s">
        <v>19</v>
      </c>
      <c r="N1261">
        <v>1</v>
      </c>
      <c r="O1261">
        <v>1187</v>
      </c>
      <c r="P1261">
        <v>1699</v>
      </c>
      <c r="Q1261">
        <v>10</v>
      </c>
      <c r="R1261">
        <v>200</v>
      </c>
      <c r="S1261">
        <v>1499</v>
      </c>
      <c r="T1261">
        <v>312</v>
      </c>
      <c r="U1261">
        <v>20.81</v>
      </c>
      <c r="V1261" t="s">
        <v>33</v>
      </c>
    </row>
    <row r="1262" spans="1:22" x14ac:dyDescent="0.35">
      <c r="A1262" t="s">
        <v>2653</v>
      </c>
      <c r="B1262" t="s">
        <v>65</v>
      </c>
      <c r="C1262" t="s">
        <v>16</v>
      </c>
      <c r="D1262" t="s">
        <v>2652</v>
      </c>
      <c r="E1262" t="s">
        <v>2651</v>
      </c>
      <c r="F1262" s="5">
        <v>45642</v>
      </c>
      <c r="G1262" t="s">
        <v>126</v>
      </c>
      <c r="H1262" t="s">
        <v>1719</v>
      </c>
      <c r="I1262" t="s">
        <v>35</v>
      </c>
      <c r="J1262" t="s">
        <v>214</v>
      </c>
      <c r="K1262" t="s">
        <v>87</v>
      </c>
      <c r="L1262" t="s">
        <v>25</v>
      </c>
      <c r="M1262" t="s">
        <v>20</v>
      </c>
      <c r="N1262">
        <v>1</v>
      </c>
      <c r="O1262">
        <v>2397</v>
      </c>
      <c r="P1262">
        <v>3599</v>
      </c>
      <c r="Q1262">
        <v>15</v>
      </c>
      <c r="R1262">
        <v>600</v>
      </c>
      <c r="S1262">
        <v>2999</v>
      </c>
      <c r="T1262">
        <v>602</v>
      </c>
      <c r="U1262">
        <v>20.07</v>
      </c>
      <c r="V1262" t="s">
        <v>21</v>
      </c>
    </row>
    <row r="1263" spans="1:22" x14ac:dyDescent="0.35">
      <c r="A1263" t="s">
        <v>2650</v>
      </c>
      <c r="B1263" t="s">
        <v>57</v>
      </c>
      <c r="C1263" t="s">
        <v>27</v>
      </c>
      <c r="D1263" t="s">
        <v>2649</v>
      </c>
      <c r="E1263" t="s">
        <v>2648</v>
      </c>
      <c r="F1263" s="5">
        <v>45565</v>
      </c>
      <c r="G1263" t="s">
        <v>126</v>
      </c>
      <c r="H1263" t="s">
        <v>1209</v>
      </c>
      <c r="I1263" t="s">
        <v>17</v>
      </c>
      <c r="J1263" t="s">
        <v>55</v>
      </c>
      <c r="K1263" t="s">
        <v>55</v>
      </c>
      <c r="L1263" t="s">
        <v>25</v>
      </c>
      <c r="M1263" t="s">
        <v>19</v>
      </c>
      <c r="N1263">
        <v>4</v>
      </c>
      <c r="O1263">
        <v>438</v>
      </c>
      <c r="P1263">
        <v>599</v>
      </c>
      <c r="Q1263">
        <v>0</v>
      </c>
      <c r="R1263">
        <v>0</v>
      </c>
      <c r="S1263">
        <v>2396</v>
      </c>
      <c r="T1263">
        <v>644</v>
      </c>
      <c r="U1263">
        <v>26.88</v>
      </c>
      <c r="V1263" t="s">
        <v>21</v>
      </c>
    </row>
    <row r="1264" spans="1:22" x14ac:dyDescent="0.35">
      <c r="A1264" t="s">
        <v>2647</v>
      </c>
      <c r="B1264" t="s">
        <v>67</v>
      </c>
      <c r="C1264" t="s">
        <v>27</v>
      </c>
      <c r="D1264" t="s">
        <v>2646</v>
      </c>
      <c r="E1264" t="s">
        <v>2645</v>
      </c>
      <c r="F1264" s="5">
        <v>45493</v>
      </c>
      <c r="G1264" t="s">
        <v>126</v>
      </c>
      <c r="H1264" t="s">
        <v>1777</v>
      </c>
      <c r="I1264" t="s">
        <v>28</v>
      </c>
      <c r="J1264" t="s">
        <v>201</v>
      </c>
      <c r="K1264" t="s">
        <v>29</v>
      </c>
      <c r="L1264" t="s">
        <v>25</v>
      </c>
      <c r="M1264" t="s">
        <v>20</v>
      </c>
      <c r="N1264">
        <v>1</v>
      </c>
      <c r="O1264">
        <v>443</v>
      </c>
      <c r="P1264">
        <v>599</v>
      </c>
      <c r="Q1264">
        <v>20</v>
      </c>
      <c r="R1264">
        <v>150</v>
      </c>
      <c r="S1264">
        <v>449</v>
      </c>
      <c r="T1264">
        <v>6</v>
      </c>
      <c r="U1264">
        <v>1.34</v>
      </c>
      <c r="V1264" t="s">
        <v>21</v>
      </c>
    </row>
    <row r="1265" spans="1:22" x14ac:dyDescent="0.35">
      <c r="A1265" t="s">
        <v>2644</v>
      </c>
      <c r="B1265" t="s">
        <v>68</v>
      </c>
      <c r="C1265" t="s">
        <v>16</v>
      </c>
      <c r="D1265" t="s">
        <v>2643</v>
      </c>
      <c r="E1265" t="s">
        <v>2642</v>
      </c>
      <c r="F1265" s="5">
        <v>45464</v>
      </c>
      <c r="G1265" t="s">
        <v>126</v>
      </c>
      <c r="H1265" t="s">
        <v>325</v>
      </c>
      <c r="I1265" t="s">
        <v>17</v>
      </c>
      <c r="J1265" t="s">
        <v>48</v>
      </c>
      <c r="K1265" t="s">
        <v>48</v>
      </c>
      <c r="L1265" t="s">
        <v>19</v>
      </c>
      <c r="M1265" t="s">
        <v>19</v>
      </c>
      <c r="N1265">
        <v>3</v>
      </c>
      <c r="O1265">
        <v>361</v>
      </c>
      <c r="P1265">
        <v>599</v>
      </c>
      <c r="Q1265">
        <v>0</v>
      </c>
      <c r="R1265">
        <v>0</v>
      </c>
      <c r="S1265">
        <v>1797</v>
      </c>
      <c r="T1265">
        <v>714</v>
      </c>
      <c r="U1265">
        <v>39.729999999999997</v>
      </c>
      <c r="V1265" t="s">
        <v>21</v>
      </c>
    </row>
    <row r="1266" spans="1:22" x14ac:dyDescent="0.35">
      <c r="A1266" t="s">
        <v>2641</v>
      </c>
      <c r="B1266" t="s">
        <v>73</v>
      </c>
      <c r="C1266" t="s">
        <v>16</v>
      </c>
      <c r="D1266" t="s">
        <v>2640</v>
      </c>
      <c r="E1266" t="s">
        <v>2639</v>
      </c>
      <c r="F1266" s="5">
        <v>45592</v>
      </c>
      <c r="G1266" t="s">
        <v>126</v>
      </c>
      <c r="H1266" t="s">
        <v>2638</v>
      </c>
      <c r="I1266" t="s">
        <v>17</v>
      </c>
      <c r="J1266" t="s">
        <v>235</v>
      </c>
      <c r="K1266" t="s">
        <v>18</v>
      </c>
      <c r="L1266" t="s">
        <v>19</v>
      </c>
      <c r="M1266" t="s">
        <v>19</v>
      </c>
      <c r="N1266">
        <v>1</v>
      </c>
      <c r="O1266">
        <v>323</v>
      </c>
      <c r="P1266">
        <v>499</v>
      </c>
      <c r="Q1266">
        <v>0</v>
      </c>
      <c r="R1266">
        <v>0</v>
      </c>
      <c r="S1266">
        <v>499</v>
      </c>
      <c r="T1266">
        <v>176</v>
      </c>
      <c r="U1266">
        <v>35.270000000000003</v>
      </c>
      <c r="V1266" t="s">
        <v>33</v>
      </c>
    </row>
    <row r="1267" spans="1:22" x14ac:dyDescent="0.35">
      <c r="A1267" t="s">
        <v>2637</v>
      </c>
      <c r="B1267" t="s">
        <v>68</v>
      </c>
      <c r="C1267" t="s">
        <v>16</v>
      </c>
      <c r="D1267" t="s">
        <v>2636</v>
      </c>
      <c r="E1267" t="s">
        <v>2635</v>
      </c>
      <c r="F1267" s="5">
        <v>45452</v>
      </c>
      <c r="G1267" t="s">
        <v>126</v>
      </c>
      <c r="H1267" t="s">
        <v>2634</v>
      </c>
      <c r="I1267" t="s">
        <v>28</v>
      </c>
      <c r="J1267" t="s">
        <v>201</v>
      </c>
      <c r="K1267" t="s">
        <v>29</v>
      </c>
      <c r="L1267" t="s">
        <v>19</v>
      </c>
      <c r="M1267" t="s">
        <v>20</v>
      </c>
      <c r="N1267">
        <v>1</v>
      </c>
      <c r="O1267">
        <v>441</v>
      </c>
      <c r="P1267">
        <v>799</v>
      </c>
      <c r="Q1267">
        <v>20</v>
      </c>
      <c r="R1267">
        <v>200</v>
      </c>
      <c r="S1267">
        <v>599</v>
      </c>
      <c r="T1267">
        <v>158</v>
      </c>
      <c r="U1267">
        <v>26.38</v>
      </c>
      <c r="V1267" t="s">
        <v>21</v>
      </c>
    </row>
    <row r="1268" spans="1:22" x14ac:dyDescent="0.35">
      <c r="A1268" t="s">
        <v>2633</v>
      </c>
      <c r="B1268" t="s">
        <v>102</v>
      </c>
      <c r="C1268" t="s">
        <v>27</v>
      </c>
      <c r="D1268" t="s">
        <v>2632</v>
      </c>
      <c r="E1268" t="s">
        <v>2631</v>
      </c>
      <c r="F1268" s="5">
        <v>45591</v>
      </c>
      <c r="G1268" t="s">
        <v>126</v>
      </c>
      <c r="H1268" t="s">
        <v>2630</v>
      </c>
      <c r="I1268" t="s">
        <v>17</v>
      </c>
      <c r="J1268" t="s">
        <v>235</v>
      </c>
      <c r="K1268" t="s">
        <v>18</v>
      </c>
      <c r="L1268" t="s">
        <v>25</v>
      </c>
      <c r="M1268" t="s">
        <v>19</v>
      </c>
      <c r="N1268">
        <v>1</v>
      </c>
      <c r="O1268">
        <v>211</v>
      </c>
      <c r="P1268">
        <v>299</v>
      </c>
      <c r="Q1268">
        <v>0</v>
      </c>
      <c r="R1268">
        <v>0</v>
      </c>
      <c r="S1268">
        <v>299</v>
      </c>
      <c r="T1268">
        <v>88</v>
      </c>
      <c r="U1268">
        <v>29.43</v>
      </c>
      <c r="V1268" t="s">
        <v>33</v>
      </c>
    </row>
    <row r="1269" spans="1:22" x14ac:dyDescent="0.35">
      <c r="A1269" t="s">
        <v>2629</v>
      </c>
      <c r="B1269" t="s">
        <v>107</v>
      </c>
      <c r="C1269" t="s">
        <v>27</v>
      </c>
      <c r="D1269" t="s">
        <v>2628</v>
      </c>
      <c r="E1269" t="s">
        <v>2627</v>
      </c>
      <c r="F1269" s="5">
        <v>45583</v>
      </c>
      <c r="G1269" t="s">
        <v>126</v>
      </c>
      <c r="H1269" t="s">
        <v>1652</v>
      </c>
      <c r="I1269" t="s">
        <v>28</v>
      </c>
      <c r="J1269" t="s">
        <v>45</v>
      </c>
      <c r="K1269" t="s">
        <v>45</v>
      </c>
      <c r="L1269" t="s">
        <v>37</v>
      </c>
      <c r="M1269" t="s">
        <v>19</v>
      </c>
      <c r="N1269">
        <v>1</v>
      </c>
      <c r="O1269">
        <v>526</v>
      </c>
      <c r="P1269">
        <v>999</v>
      </c>
      <c r="Q1269">
        <v>20</v>
      </c>
      <c r="R1269">
        <v>200</v>
      </c>
      <c r="S1269">
        <v>799</v>
      </c>
      <c r="T1269">
        <v>273</v>
      </c>
      <c r="U1269">
        <v>34.17</v>
      </c>
      <c r="V1269" t="s">
        <v>33</v>
      </c>
    </row>
    <row r="1270" spans="1:22" x14ac:dyDescent="0.35">
      <c r="A1270" t="s">
        <v>2626</v>
      </c>
      <c r="B1270" t="s">
        <v>90</v>
      </c>
      <c r="C1270" t="s">
        <v>27</v>
      </c>
      <c r="D1270" t="s">
        <v>2625</v>
      </c>
      <c r="E1270" t="s">
        <v>2624</v>
      </c>
      <c r="F1270" s="5">
        <v>45579</v>
      </c>
      <c r="G1270" t="s">
        <v>126</v>
      </c>
      <c r="H1270" t="s">
        <v>1404</v>
      </c>
      <c r="I1270" t="s">
        <v>17</v>
      </c>
      <c r="J1270" t="s">
        <v>55</v>
      </c>
      <c r="K1270" t="s">
        <v>55</v>
      </c>
      <c r="L1270" t="s">
        <v>37</v>
      </c>
      <c r="M1270" t="s">
        <v>20</v>
      </c>
      <c r="N1270">
        <v>1</v>
      </c>
      <c r="O1270">
        <v>186</v>
      </c>
      <c r="P1270">
        <v>299</v>
      </c>
      <c r="Q1270">
        <v>0</v>
      </c>
      <c r="R1270">
        <v>0</v>
      </c>
      <c r="S1270">
        <v>299</v>
      </c>
      <c r="T1270">
        <v>113</v>
      </c>
      <c r="U1270">
        <v>37.79</v>
      </c>
      <c r="V1270" t="s">
        <v>21</v>
      </c>
    </row>
    <row r="1271" spans="1:22" x14ac:dyDescent="0.35">
      <c r="A1271" t="s">
        <v>2623</v>
      </c>
      <c r="B1271" t="s">
        <v>68</v>
      </c>
      <c r="C1271" t="s">
        <v>16</v>
      </c>
      <c r="D1271" t="s">
        <v>2622</v>
      </c>
      <c r="E1271" t="s">
        <v>2621</v>
      </c>
      <c r="F1271" s="5">
        <v>45626</v>
      </c>
      <c r="G1271" t="s">
        <v>126</v>
      </c>
      <c r="H1271" t="s">
        <v>2123</v>
      </c>
      <c r="I1271" t="s">
        <v>28</v>
      </c>
      <c r="J1271" t="s">
        <v>201</v>
      </c>
      <c r="K1271" t="s">
        <v>29</v>
      </c>
      <c r="L1271" t="s">
        <v>25</v>
      </c>
      <c r="M1271" t="s">
        <v>19</v>
      </c>
      <c r="N1271">
        <v>1</v>
      </c>
      <c r="O1271">
        <v>520</v>
      </c>
      <c r="P1271">
        <v>799</v>
      </c>
      <c r="Q1271">
        <v>15</v>
      </c>
      <c r="R1271">
        <v>200</v>
      </c>
      <c r="S1271">
        <v>599</v>
      </c>
      <c r="T1271">
        <v>79</v>
      </c>
      <c r="U1271">
        <v>13.19</v>
      </c>
      <c r="V1271" t="s">
        <v>21</v>
      </c>
    </row>
    <row r="1272" spans="1:22" x14ac:dyDescent="0.35">
      <c r="A1272" t="s">
        <v>2620</v>
      </c>
      <c r="B1272" t="s">
        <v>96</v>
      </c>
      <c r="C1272" t="s">
        <v>16</v>
      </c>
      <c r="D1272" t="s">
        <v>2619</v>
      </c>
      <c r="E1272" t="s">
        <v>2618</v>
      </c>
      <c r="F1272" s="5">
        <v>45611</v>
      </c>
      <c r="G1272" t="s">
        <v>126</v>
      </c>
      <c r="H1272" t="s">
        <v>691</v>
      </c>
      <c r="I1272" t="s">
        <v>23</v>
      </c>
      <c r="J1272" t="s">
        <v>142</v>
      </c>
      <c r="K1272" t="s">
        <v>43</v>
      </c>
      <c r="L1272" t="s">
        <v>37</v>
      </c>
      <c r="M1272" t="s">
        <v>20</v>
      </c>
      <c r="N1272">
        <v>1</v>
      </c>
      <c r="O1272">
        <v>2271</v>
      </c>
      <c r="P1272">
        <v>4299</v>
      </c>
      <c r="Q1272">
        <v>5</v>
      </c>
      <c r="R1272">
        <v>300</v>
      </c>
      <c r="S1272">
        <v>3999</v>
      </c>
      <c r="T1272">
        <v>1728</v>
      </c>
      <c r="U1272">
        <v>43.21</v>
      </c>
      <c r="V1272" t="s">
        <v>21</v>
      </c>
    </row>
    <row r="1273" spans="1:22" x14ac:dyDescent="0.35">
      <c r="A1273" t="s">
        <v>2617</v>
      </c>
      <c r="B1273" t="s">
        <v>67</v>
      </c>
      <c r="C1273" t="s">
        <v>27</v>
      </c>
      <c r="D1273" t="s">
        <v>2616</v>
      </c>
      <c r="E1273" t="s">
        <v>2615</v>
      </c>
      <c r="F1273" s="5">
        <v>45517</v>
      </c>
      <c r="G1273" t="s">
        <v>126</v>
      </c>
      <c r="H1273" t="s">
        <v>2614</v>
      </c>
      <c r="I1273" t="s">
        <v>28</v>
      </c>
      <c r="J1273" t="s">
        <v>45</v>
      </c>
      <c r="K1273" t="s">
        <v>45</v>
      </c>
      <c r="L1273" t="s">
        <v>25</v>
      </c>
      <c r="M1273" t="s">
        <v>19</v>
      </c>
      <c r="N1273">
        <v>1</v>
      </c>
      <c r="O1273">
        <v>662</v>
      </c>
      <c r="P1273">
        <v>899</v>
      </c>
      <c r="Q1273">
        <v>5</v>
      </c>
      <c r="R1273">
        <v>100</v>
      </c>
      <c r="S1273">
        <v>799</v>
      </c>
      <c r="T1273">
        <v>137</v>
      </c>
      <c r="U1273">
        <v>17.149999999999999</v>
      </c>
      <c r="V1273" t="s">
        <v>21</v>
      </c>
    </row>
    <row r="1274" spans="1:22" x14ac:dyDescent="0.35">
      <c r="A1274" t="s">
        <v>2613</v>
      </c>
      <c r="B1274" t="s">
        <v>107</v>
      </c>
      <c r="C1274" t="s">
        <v>27</v>
      </c>
      <c r="D1274" t="s">
        <v>2612</v>
      </c>
      <c r="E1274" t="s">
        <v>1770</v>
      </c>
      <c r="F1274" s="5">
        <v>45602</v>
      </c>
      <c r="G1274" t="s">
        <v>126</v>
      </c>
      <c r="H1274" t="s">
        <v>2611</v>
      </c>
      <c r="I1274" t="s">
        <v>31</v>
      </c>
      <c r="J1274" t="s">
        <v>32</v>
      </c>
      <c r="K1274" t="s">
        <v>32</v>
      </c>
      <c r="L1274" t="s">
        <v>37</v>
      </c>
      <c r="M1274" t="s">
        <v>20</v>
      </c>
      <c r="N1274">
        <v>1</v>
      </c>
      <c r="O1274">
        <v>505</v>
      </c>
      <c r="P1274">
        <v>999</v>
      </c>
      <c r="Q1274">
        <v>0</v>
      </c>
      <c r="R1274">
        <v>0</v>
      </c>
      <c r="S1274">
        <v>999</v>
      </c>
      <c r="T1274">
        <v>494</v>
      </c>
      <c r="U1274">
        <v>49.45</v>
      </c>
      <c r="V1274" t="s">
        <v>33</v>
      </c>
    </row>
    <row r="1275" spans="1:22" x14ac:dyDescent="0.35">
      <c r="A1275" t="s">
        <v>2610</v>
      </c>
      <c r="B1275" t="s">
        <v>61</v>
      </c>
      <c r="C1275" t="s">
        <v>27</v>
      </c>
      <c r="D1275" t="s">
        <v>2609</v>
      </c>
      <c r="E1275" t="s">
        <v>2608</v>
      </c>
      <c r="F1275" s="5">
        <v>45445</v>
      </c>
      <c r="G1275" t="s">
        <v>126</v>
      </c>
      <c r="H1275" t="s">
        <v>879</v>
      </c>
      <c r="I1275" t="s">
        <v>35</v>
      </c>
      <c r="J1275" t="s">
        <v>244</v>
      </c>
      <c r="K1275" t="s">
        <v>58</v>
      </c>
      <c r="L1275" t="s">
        <v>19</v>
      </c>
      <c r="M1275" t="s">
        <v>20</v>
      </c>
      <c r="N1275">
        <v>1</v>
      </c>
      <c r="O1275">
        <v>745</v>
      </c>
      <c r="P1275">
        <v>1199</v>
      </c>
      <c r="Q1275">
        <v>15</v>
      </c>
      <c r="R1275">
        <v>200</v>
      </c>
      <c r="S1275">
        <v>999</v>
      </c>
      <c r="T1275">
        <v>254</v>
      </c>
      <c r="U1275">
        <v>25.43</v>
      </c>
      <c r="V1275" t="s">
        <v>21</v>
      </c>
    </row>
    <row r="1276" spans="1:22" x14ac:dyDescent="0.35">
      <c r="A1276" t="s">
        <v>2607</v>
      </c>
      <c r="B1276" t="s">
        <v>52</v>
      </c>
      <c r="C1276" t="s">
        <v>27</v>
      </c>
      <c r="D1276" t="s">
        <v>2606</v>
      </c>
      <c r="E1276" t="s">
        <v>2605</v>
      </c>
      <c r="F1276" s="5">
        <v>45477</v>
      </c>
      <c r="G1276" t="s">
        <v>126</v>
      </c>
      <c r="H1276" t="s">
        <v>2604</v>
      </c>
      <c r="I1276" t="s">
        <v>28</v>
      </c>
      <c r="J1276" t="s">
        <v>201</v>
      </c>
      <c r="K1276" t="s">
        <v>29</v>
      </c>
      <c r="L1276" t="s">
        <v>19</v>
      </c>
      <c r="M1276" t="s">
        <v>20</v>
      </c>
      <c r="N1276">
        <v>1</v>
      </c>
      <c r="O1276">
        <v>375</v>
      </c>
      <c r="P1276">
        <v>599</v>
      </c>
      <c r="Q1276">
        <v>15</v>
      </c>
      <c r="R1276">
        <v>100</v>
      </c>
      <c r="S1276">
        <v>499</v>
      </c>
      <c r="T1276">
        <v>124</v>
      </c>
      <c r="U1276">
        <v>24.85</v>
      </c>
      <c r="V1276" t="s">
        <v>21</v>
      </c>
    </row>
    <row r="1277" spans="1:22" x14ac:dyDescent="0.35">
      <c r="A1277" t="s">
        <v>2603</v>
      </c>
      <c r="B1277" t="s">
        <v>54</v>
      </c>
      <c r="C1277" t="s">
        <v>27</v>
      </c>
      <c r="D1277" t="s">
        <v>2602</v>
      </c>
      <c r="E1277" t="s">
        <v>2601</v>
      </c>
      <c r="F1277" s="5">
        <v>45462</v>
      </c>
      <c r="G1277" t="s">
        <v>126</v>
      </c>
      <c r="H1277" t="s">
        <v>2600</v>
      </c>
      <c r="I1277" t="s">
        <v>17</v>
      </c>
      <c r="J1277" t="s">
        <v>253</v>
      </c>
      <c r="K1277" t="s">
        <v>72</v>
      </c>
      <c r="L1277" t="s">
        <v>19</v>
      </c>
      <c r="M1277" t="s">
        <v>19</v>
      </c>
      <c r="N1277">
        <v>4</v>
      </c>
      <c r="O1277">
        <v>254</v>
      </c>
      <c r="P1277">
        <v>399</v>
      </c>
      <c r="Q1277">
        <v>0</v>
      </c>
      <c r="R1277">
        <v>0</v>
      </c>
      <c r="S1277">
        <v>1596</v>
      </c>
      <c r="T1277">
        <v>580</v>
      </c>
      <c r="U1277">
        <v>36.340000000000003</v>
      </c>
      <c r="V1277" t="s">
        <v>33</v>
      </c>
    </row>
    <row r="1278" spans="1:22" x14ac:dyDescent="0.35">
      <c r="A1278" t="s">
        <v>2599</v>
      </c>
      <c r="B1278" t="s">
        <v>15</v>
      </c>
      <c r="C1278" t="s">
        <v>16</v>
      </c>
      <c r="D1278" t="s">
        <v>2598</v>
      </c>
      <c r="E1278" t="s">
        <v>2597</v>
      </c>
      <c r="F1278" s="5">
        <v>45578</v>
      </c>
      <c r="G1278" t="s">
        <v>126</v>
      </c>
      <c r="H1278" t="s">
        <v>2596</v>
      </c>
      <c r="I1278" t="s">
        <v>31</v>
      </c>
      <c r="J1278" t="s">
        <v>76</v>
      </c>
      <c r="K1278" t="s">
        <v>76</v>
      </c>
      <c r="L1278" t="s">
        <v>19</v>
      </c>
      <c r="M1278" t="s">
        <v>19</v>
      </c>
      <c r="N1278">
        <v>3</v>
      </c>
      <c r="O1278">
        <v>935</v>
      </c>
      <c r="P1278">
        <v>1499</v>
      </c>
      <c r="Q1278">
        <v>0</v>
      </c>
      <c r="R1278">
        <v>0</v>
      </c>
      <c r="S1278">
        <v>4497</v>
      </c>
      <c r="T1278">
        <v>1692</v>
      </c>
      <c r="U1278">
        <v>37.630000000000003</v>
      </c>
      <c r="V1278" t="s">
        <v>21</v>
      </c>
    </row>
    <row r="1279" spans="1:22" x14ac:dyDescent="0.35">
      <c r="A1279" t="s">
        <v>2595</v>
      </c>
      <c r="B1279" t="s">
        <v>94</v>
      </c>
      <c r="C1279" t="s">
        <v>16</v>
      </c>
      <c r="D1279" t="s">
        <v>2594</v>
      </c>
      <c r="E1279" t="s">
        <v>2593</v>
      </c>
      <c r="F1279" s="5">
        <v>45489</v>
      </c>
      <c r="G1279" t="s">
        <v>126</v>
      </c>
      <c r="H1279" t="s">
        <v>841</v>
      </c>
      <c r="I1279" t="s">
        <v>23</v>
      </c>
      <c r="J1279" t="s">
        <v>164</v>
      </c>
      <c r="K1279" t="s">
        <v>24</v>
      </c>
      <c r="L1279" t="s">
        <v>25</v>
      </c>
      <c r="M1279" t="s">
        <v>19</v>
      </c>
      <c r="N1279">
        <v>1</v>
      </c>
      <c r="O1279">
        <v>553</v>
      </c>
      <c r="P1279">
        <v>899</v>
      </c>
      <c r="Q1279">
        <v>10</v>
      </c>
      <c r="R1279">
        <v>100</v>
      </c>
      <c r="S1279">
        <v>799</v>
      </c>
      <c r="T1279">
        <v>246</v>
      </c>
      <c r="U1279">
        <v>30.79</v>
      </c>
      <c r="V1279" t="s">
        <v>33</v>
      </c>
    </row>
    <row r="1280" spans="1:22" x14ac:dyDescent="0.35">
      <c r="A1280" t="s">
        <v>2592</v>
      </c>
      <c r="B1280" t="s">
        <v>101</v>
      </c>
      <c r="C1280" t="s">
        <v>16</v>
      </c>
      <c r="D1280" t="s">
        <v>2591</v>
      </c>
      <c r="E1280" t="s">
        <v>2590</v>
      </c>
      <c r="F1280" s="5">
        <v>45578</v>
      </c>
      <c r="G1280" t="s">
        <v>126</v>
      </c>
      <c r="H1280" t="s">
        <v>2589</v>
      </c>
      <c r="I1280" t="s">
        <v>28</v>
      </c>
      <c r="J1280" t="s">
        <v>45</v>
      </c>
      <c r="K1280" t="s">
        <v>45</v>
      </c>
      <c r="L1280" t="s">
        <v>25</v>
      </c>
      <c r="M1280" t="s">
        <v>19</v>
      </c>
      <c r="N1280">
        <v>3</v>
      </c>
      <c r="O1280">
        <v>1276</v>
      </c>
      <c r="P1280">
        <v>1999</v>
      </c>
      <c r="Q1280">
        <v>10</v>
      </c>
      <c r="R1280">
        <v>600</v>
      </c>
      <c r="S1280">
        <v>5397</v>
      </c>
      <c r="T1280">
        <v>1569</v>
      </c>
      <c r="U1280">
        <v>29.07</v>
      </c>
      <c r="V1280" t="s">
        <v>21</v>
      </c>
    </row>
    <row r="1281" spans="1:22" x14ac:dyDescent="0.35">
      <c r="A1281" t="s">
        <v>2588</v>
      </c>
      <c r="B1281" t="s">
        <v>96</v>
      </c>
      <c r="C1281" t="s">
        <v>16</v>
      </c>
      <c r="D1281" t="s">
        <v>2587</v>
      </c>
      <c r="E1281" t="s">
        <v>2586</v>
      </c>
      <c r="F1281" s="5">
        <v>45485</v>
      </c>
      <c r="G1281" t="s">
        <v>126</v>
      </c>
      <c r="H1281" t="s">
        <v>2585</v>
      </c>
      <c r="I1281" t="s">
        <v>23</v>
      </c>
      <c r="J1281" t="s">
        <v>164</v>
      </c>
      <c r="K1281" t="s">
        <v>24</v>
      </c>
      <c r="L1281" t="s">
        <v>37</v>
      </c>
      <c r="M1281" t="s">
        <v>20</v>
      </c>
      <c r="N1281">
        <v>1</v>
      </c>
      <c r="O1281">
        <v>772</v>
      </c>
      <c r="P1281">
        <v>1099</v>
      </c>
      <c r="Q1281">
        <v>5</v>
      </c>
      <c r="R1281">
        <v>100</v>
      </c>
      <c r="S1281">
        <v>999</v>
      </c>
      <c r="T1281">
        <v>227</v>
      </c>
      <c r="U1281">
        <v>22.72</v>
      </c>
      <c r="V1281" t="s">
        <v>21</v>
      </c>
    </row>
    <row r="1282" spans="1:22" x14ac:dyDescent="0.35">
      <c r="A1282" t="s">
        <v>2584</v>
      </c>
      <c r="B1282" t="s">
        <v>51</v>
      </c>
      <c r="C1282" t="s">
        <v>16</v>
      </c>
      <c r="D1282" t="s">
        <v>2583</v>
      </c>
      <c r="E1282" t="s">
        <v>2582</v>
      </c>
      <c r="F1282" s="5">
        <v>45527</v>
      </c>
      <c r="G1282" t="s">
        <v>126</v>
      </c>
      <c r="H1282" t="s">
        <v>2581</v>
      </c>
      <c r="I1282" t="s">
        <v>28</v>
      </c>
      <c r="J1282" t="s">
        <v>45</v>
      </c>
      <c r="K1282" t="s">
        <v>45</v>
      </c>
      <c r="L1282" t="s">
        <v>37</v>
      </c>
      <c r="M1282" t="s">
        <v>20</v>
      </c>
      <c r="N1282">
        <v>1</v>
      </c>
      <c r="O1282">
        <v>795</v>
      </c>
      <c r="P1282">
        <v>1299</v>
      </c>
      <c r="Q1282">
        <v>5</v>
      </c>
      <c r="R1282">
        <v>100</v>
      </c>
      <c r="S1282">
        <v>1199</v>
      </c>
      <c r="T1282">
        <v>404</v>
      </c>
      <c r="U1282">
        <v>33.69</v>
      </c>
      <c r="V1282" t="s">
        <v>21</v>
      </c>
    </row>
    <row r="1283" spans="1:22" x14ac:dyDescent="0.35">
      <c r="A1283" t="s">
        <v>2580</v>
      </c>
      <c r="B1283" t="s">
        <v>103</v>
      </c>
      <c r="C1283" t="s">
        <v>16</v>
      </c>
      <c r="D1283" t="s">
        <v>2579</v>
      </c>
      <c r="E1283" t="s">
        <v>2578</v>
      </c>
      <c r="F1283" s="5">
        <v>45489</v>
      </c>
      <c r="G1283" t="s">
        <v>126</v>
      </c>
      <c r="H1283" t="s">
        <v>1675</v>
      </c>
      <c r="I1283" t="s">
        <v>31</v>
      </c>
      <c r="J1283" t="s">
        <v>32</v>
      </c>
      <c r="K1283" t="s">
        <v>32</v>
      </c>
      <c r="L1283" t="s">
        <v>37</v>
      </c>
      <c r="M1283" t="s">
        <v>19</v>
      </c>
      <c r="N1283">
        <v>1</v>
      </c>
      <c r="O1283">
        <v>625</v>
      </c>
      <c r="P1283">
        <v>899</v>
      </c>
      <c r="Q1283">
        <v>0</v>
      </c>
      <c r="R1283">
        <v>0</v>
      </c>
      <c r="S1283">
        <v>899</v>
      </c>
      <c r="T1283">
        <v>274</v>
      </c>
      <c r="U1283">
        <v>30.48</v>
      </c>
      <c r="V1283" t="s">
        <v>21</v>
      </c>
    </row>
    <row r="1284" spans="1:22" x14ac:dyDescent="0.35">
      <c r="A1284" t="s">
        <v>2577</v>
      </c>
      <c r="B1284" t="s">
        <v>90</v>
      </c>
      <c r="C1284" t="s">
        <v>27</v>
      </c>
      <c r="D1284" t="s">
        <v>2576</v>
      </c>
      <c r="E1284" t="s">
        <v>2575</v>
      </c>
      <c r="F1284" s="5">
        <v>45582</v>
      </c>
      <c r="G1284" t="s">
        <v>126</v>
      </c>
      <c r="H1284" t="s">
        <v>2574</v>
      </c>
      <c r="I1284" t="s">
        <v>31</v>
      </c>
      <c r="J1284" t="s">
        <v>76</v>
      </c>
      <c r="K1284" t="s">
        <v>76</v>
      </c>
      <c r="L1284" t="s">
        <v>25</v>
      </c>
      <c r="M1284" t="s">
        <v>20</v>
      </c>
      <c r="N1284">
        <v>1</v>
      </c>
      <c r="O1284">
        <v>1024</v>
      </c>
      <c r="P1284">
        <v>1499</v>
      </c>
      <c r="Q1284">
        <v>0</v>
      </c>
      <c r="R1284">
        <v>0</v>
      </c>
      <c r="S1284">
        <v>1499</v>
      </c>
      <c r="T1284">
        <v>475</v>
      </c>
      <c r="U1284">
        <v>31.69</v>
      </c>
      <c r="V1284" t="s">
        <v>21</v>
      </c>
    </row>
    <row r="1285" spans="1:22" x14ac:dyDescent="0.35">
      <c r="A1285" t="s">
        <v>2573</v>
      </c>
      <c r="B1285" t="s">
        <v>61</v>
      </c>
      <c r="C1285" t="s">
        <v>27</v>
      </c>
      <c r="D1285" t="s">
        <v>2572</v>
      </c>
      <c r="E1285" t="s">
        <v>2571</v>
      </c>
      <c r="F1285" s="5">
        <v>45570</v>
      </c>
      <c r="G1285" t="s">
        <v>126</v>
      </c>
      <c r="H1285" t="s">
        <v>1432</v>
      </c>
      <c r="I1285" t="s">
        <v>31</v>
      </c>
      <c r="J1285" t="s">
        <v>32</v>
      </c>
      <c r="K1285" t="s">
        <v>32</v>
      </c>
      <c r="L1285" t="s">
        <v>25</v>
      </c>
      <c r="M1285" t="s">
        <v>20</v>
      </c>
      <c r="N1285">
        <v>1</v>
      </c>
      <c r="O1285">
        <v>855</v>
      </c>
      <c r="P1285">
        <v>1199</v>
      </c>
      <c r="Q1285">
        <v>0</v>
      </c>
      <c r="R1285">
        <v>0</v>
      </c>
      <c r="S1285">
        <v>1199</v>
      </c>
      <c r="T1285">
        <v>344</v>
      </c>
      <c r="U1285">
        <v>28.69</v>
      </c>
      <c r="V1285" t="s">
        <v>33</v>
      </c>
    </row>
    <row r="1286" spans="1:22" x14ac:dyDescent="0.35">
      <c r="A1286" t="s">
        <v>2570</v>
      </c>
      <c r="B1286" t="s">
        <v>66</v>
      </c>
      <c r="C1286" t="s">
        <v>27</v>
      </c>
      <c r="D1286" t="s">
        <v>2569</v>
      </c>
      <c r="E1286" t="s">
        <v>2568</v>
      </c>
      <c r="F1286" s="5">
        <v>45598</v>
      </c>
      <c r="G1286" t="s">
        <v>126</v>
      </c>
      <c r="H1286" t="s">
        <v>2567</v>
      </c>
      <c r="I1286" t="s">
        <v>35</v>
      </c>
      <c r="J1286" t="s">
        <v>39</v>
      </c>
      <c r="K1286" t="s">
        <v>39</v>
      </c>
      <c r="L1286" t="s">
        <v>37</v>
      </c>
      <c r="M1286" t="s">
        <v>19</v>
      </c>
      <c r="N1286">
        <v>1</v>
      </c>
      <c r="O1286">
        <v>638</v>
      </c>
      <c r="P1286">
        <v>1099</v>
      </c>
      <c r="Q1286">
        <v>5</v>
      </c>
      <c r="R1286">
        <v>100</v>
      </c>
      <c r="S1286">
        <v>999</v>
      </c>
      <c r="T1286">
        <v>361</v>
      </c>
      <c r="U1286">
        <v>36.14</v>
      </c>
      <c r="V1286" t="s">
        <v>21</v>
      </c>
    </row>
    <row r="1287" spans="1:22" x14ac:dyDescent="0.35">
      <c r="A1287" t="s">
        <v>2566</v>
      </c>
      <c r="B1287" t="s">
        <v>89</v>
      </c>
      <c r="C1287" t="s">
        <v>16</v>
      </c>
      <c r="D1287" t="s">
        <v>2565</v>
      </c>
      <c r="E1287" t="s">
        <v>2564</v>
      </c>
      <c r="F1287" s="5">
        <v>45592</v>
      </c>
      <c r="G1287" t="s">
        <v>126</v>
      </c>
      <c r="H1287" t="s">
        <v>718</v>
      </c>
      <c r="I1287" t="s">
        <v>35</v>
      </c>
      <c r="J1287" t="s">
        <v>214</v>
      </c>
      <c r="K1287" t="s">
        <v>50</v>
      </c>
      <c r="L1287" t="s">
        <v>37</v>
      </c>
      <c r="M1287" t="s">
        <v>19</v>
      </c>
      <c r="N1287">
        <v>4</v>
      </c>
      <c r="O1287">
        <v>1198</v>
      </c>
      <c r="P1287">
        <v>1899</v>
      </c>
      <c r="Q1287">
        <v>20</v>
      </c>
      <c r="R1287">
        <v>1600</v>
      </c>
      <c r="S1287">
        <v>5996</v>
      </c>
      <c r="T1287">
        <v>1204</v>
      </c>
      <c r="U1287">
        <v>20.079999999999998</v>
      </c>
      <c r="V1287" t="s">
        <v>33</v>
      </c>
    </row>
    <row r="1288" spans="1:22" x14ac:dyDescent="0.35">
      <c r="A1288" t="s">
        <v>2563</v>
      </c>
      <c r="B1288" t="s">
        <v>99</v>
      </c>
      <c r="C1288" t="s">
        <v>27</v>
      </c>
      <c r="D1288" t="s">
        <v>2562</v>
      </c>
      <c r="E1288" t="s">
        <v>2561</v>
      </c>
      <c r="F1288" s="5">
        <v>45541</v>
      </c>
      <c r="G1288" t="s">
        <v>126</v>
      </c>
      <c r="H1288" t="s">
        <v>2560</v>
      </c>
      <c r="I1288" t="s">
        <v>31</v>
      </c>
      <c r="J1288" t="s">
        <v>76</v>
      </c>
      <c r="K1288" t="s">
        <v>76</v>
      </c>
      <c r="L1288" t="s">
        <v>19</v>
      </c>
      <c r="M1288" t="s">
        <v>19</v>
      </c>
      <c r="N1288">
        <v>1</v>
      </c>
      <c r="O1288">
        <v>487</v>
      </c>
      <c r="P1288">
        <v>699</v>
      </c>
      <c r="Q1288">
        <v>0</v>
      </c>
      <c r="R1288">
        <v>0</v>
      </c>
      <c r="S1288">
        <v>699</v>
      </c>
      <c r="T1288">
        <v>212</v>
      </c>
      <c r="U1288">
        <v>30.33</v>
      </c>
      <c r="V1288" t="s">
        <v>21</v>
      </c>
    </row>
    <row r="1289" spans="1:22" x14ac:dyDescent="0.35">
      <c r="A1289" t="s">
        <v>2559</v>
      </c>
      <c r="B1289" t="s">
        <v>84</v>
      </c>
      <c r="C1289" t="s">
        <v>27</v>
      </c>
      <c r="D1289" t="s">
        <v>2558</v>
      </c>
      <c r="E1289" t="s">
        <v>2557</v>
      </c>
      <c r="F1289" s="5">
        <v>45464</v>
      </c>
      <c r="G1289" t="s">
        <v>126</v>
      </c>
      <c r="H1289" t="s">
        <v>2374</v>
      </c>
      <c r="I1289" t="s">
        <v>31</v>
      </c>
      <c r="J1289" t="s">
        <v>32</v>
      </c>
      <c r="K1289" t="s">
        <v>32</v>
      </c>
      <c r="L1289" t="s">
        <v>25</v>
      </c>
      <c r="M1289" t="s">
        <v>19</v>
      </c>
      <c r="N1289">
        <v>5</v>
      </c>
      <c r="O1289">
        <v>772</v>
      </c>
      <c r="P1289">
        <v>1199</v>
      </c>
      <c r="Q1289">
        <v>0</v>
      </c>
      <c r="R1289">
        <v>0</v>
      </c>
      <c r="S1289">
        <v>5995</v>
      </c>
      <c r="T1289">
        <v>2135</v>
      </c>
      <c r="U1289">
        <v>35.61</v>
      </c>
      <c r="V1289" t="s">
        <v>21</v>
      </c>
    </row>
    <row r="1290" spans="1:22" x14ac:dyDescent="0.35">
      <c r="A1290" t="s">
        <v>2556</v>
      </c>
      <c r="B1290" t="s">
        <v>84</v>
      </c>
      <c r="C1290" t="s">
        <v>27</v>
      </c>
      <c r="D1290" t="s">
        <v>2555</v>
      </c>
      <c r="E1290" t="s">
        <v>2554</v>
      </c>
      <c r="F1290" s="5">
        <v>45633</v>
      </c>
      <c r="G1290" t="s">
        <v>126</v>
      </c>
      <c r="H1290" t="s">
        <v>2553</v>
      </c>
      <c r="I1290" t="s">
        <v>35</v>
      </c>
      <c r="J1290" t="s">
        <v>41</v>
      </c>
      <c r="K1290" t="s">
        <v>41</v>
      </c>
      <c r="L1290" t="s">
        <v>19</v>
      </c>
      <c r="M1290" t="s">
        <v>20</v>
      </c>
      <c r="N1290">
        <v>3</v>
      </c>
      <c r="O1290">
        <v>594</v>
      </c>
      <c r="P1290">
        <v>999</v>
      </c>
      <c r="Q1290">
        <v>20</v>
      </c>
      <c r="R1290">
        <v>600</v>
      </c>
      <c r="S1290">
        <v>2397</v>
      </c>
      <c r="T1290">
        <v>615</v>
      </c>
      <c r="U1290">
        <v>25.66</v>
      </c>
      <c r="V1290" t="s">
        <v>21</v>
      </c>
    </row>
    <row r="1291" spans="1:22" x14ac:dyDescent="0.35">
      <c r="A1291" t="s">
        <v>2552</v>
      </c>
      <c r="B1291" t="s">
        <v>107</v>
      </c>
      <c r="C1291" t="s">
        <v>27</v>
      </c>
      <c r="D1291" t="s">
        <v>2551</v>
      </c>
      <c r="E1291" t="s">
        <v>2550</v>
      </c>
      <c r="F1291" s="5">
        <v>45564</v>
      </c>
      <c r="G1291" t="s">
        <v>126</v>
      </c>
      <c r="H1291" t="s">
        <v>2549</v>
      </c>
      <c r="I1291" t="s">
        <v>31</v>
      </c>
      <c r="J1291" t="s">
        <v>76</v>
      </c>
      <c r="K1291" t="s">
        <v>76</v>
      </c>
      <c r="L1291" t="s">
        <v>19</v>
      </c>
      <c r="M1291" t="s">
        <v>20</v>
      </c>
      <c r="N1291">
        <v>1</v>
      </c>
      <c r="O1291">
        <v>598</v>
      </c>
      <c r="P1291">
        <v>799</v>
      </c>
      <c r="Q1291">
        <v>0</v>
      </c>
      <c r="R1291">
        <v>0</v>
      </c>
      <c r="S1291">
        <v>799</v>
      </c>
      <c r="T1291">
        <v>201</v>
      </c>
      <c r="U1291">
        <v>25.16</v>
      </c>
      <c r="V1291" t="s">
        <v>21</v>
      </c>
    </row>
    <row r="1292" spans="1:22" x14ac:dyDescent="0.35">
      <c r="A1292" t="s">
        <v>2548</v>
      </c>
      <c r="B1292" t="s">
        <v>62</v>
      </c>
      <c r="C1292" t="s">
        <v>16</v>
      </c>
      <c r="D1292" t="s">
        <v>2547</v>
      </c>
      <c r="E1292" t="s">
        <v>2546</v>
      </c>
      <c r="F1292" s="5">
        <v>45574</v>
      </c>
      <c r="G1292" t="s">
        <v>126</v>
      </c>
      <c r="H1292" t="s">
        <v>998</v>
      </c>
      <c r="I1292" t="s">
        <v>35</v>
      </c>
      <c r="J1292" t="s">
        <v>39</v>
      </c>
      <c r="K1292" t="s">
        <v>39</v>
      </c>
      <c r="L1292" t="s">
        <v>19</v>
      </c>
      <c r="M1292" t="s">
        <v>19</v>
      </c>
      <c r="N1292">
        <v>4</v>
      </c>
      <c r="O1292">
        <v>632</v>
      </c>
      <c r="P1292">
        <v>899</v>
      </c>
      <c r="Q1292">
        <v>20</v>
      </c>
      <c r="R1292">
        <v>800</v>
      </c>
      <c r="S1292">
        <v>2796</v>
      </c>
      <c r="T1292">
        <v>268</v>
      </c>
      <c r="U1292">
        <v>9.59</v>
      </c>
      <c r="V1292" t="s">
        <v>33</v>
      </c>
    </row>
    <row r="1293" spans="1:22" x14ac:dyDescent="0.35">
      <c r="A1293" t="s">
        <v>2545</v>
      </c>
      <c r="B1293" t="s">
        <v>38</v>
      </c>
      <c r="C1293" t="s">
        <v>27</v>
      </c>
      <c r="D1293" t="s">
        <v>2544</v>
      </c>
      <c r="E1293" t="s">
        <v>2543</v>
      </c>
      <c r="F1293" s="5">
        <v>45580</v>
      </c>
      <c r="G1293" t="s">
        <v>126</v>
      </c>
      <c r="H1293" t="s">
        <v>2542</v>
      </c>
      <c r="I1293" t="s">
        <v>28</v>
      </c>
      <c r="J1293" t="s">
        <v>45</v>
      </c>
      <c r="K1293" t="s">
        <v>45</v>
      </c>
      <c r="L1293" t="s">
        <v>37</v>
      </c>
      <c r="M1293" t="s">
        <v>19</v>
      </c>
      <c r="N1293">
        <v>3</v>
      </c>
      <c r="O1293">
        <v>479</v>
      </c>
      <c r="P1293">
        <v>699</v>
      </c>
      <c r="Q1293">
        <v>5</v>
      </c>
      <c r="R1293">
        <v>300</v>
      </c>
      <c r="S1293">
        <v>1797</v>
      </c>
      <c r="T1293">
        <v>360</v>
      </c>
      <c r="U1293">
        <v>20.03</v>
      </c>
      <c r="V1293" t="s">
        <v>21</v>
      </c>
    </row>
    <row r="1294" spans="1:22" x14ac:dyDescent="0.35">
      <c r="A1294" t="s">
        <v>2541</v>
      </c>
      <c r="B1294" t="s">
        <v>54</v>
      </c>
      <c r="C1294" t="s">
        <v>27</v>
      </c>
      <c r="D1294" t="s">
        <v>2540</v>
      </c>
      <c r="E1294" t="s">
        <v>2539</v>
      </c>
      <c r="F1294" s="5">
        <v>45455</v>
      </c>
      <c r="G1294" t="s">
        <v>126</v>
      </c>
      <c r="H1294" t="s">
        <v>1235</v>
      </c>
      <c r="I1294" t="s">
        <v>31</v>
      </c>
      <c r="J1294" t="s">
        <v>76</v>
      </c>
      <c r="K1294" t="s">
        <v>76</v>
      </c>
      <c r="L1294" t="s">
        <v>19</v>
      </c>
      <c r="M1294" t="s">
        <v>20</v>
      </c>
      <c r="N1294">
        <v>1</v>
      </c>
      <c r="O1294">
        <v>698</v>
      </c>
      <c r="P1294">
        <v>999</v>
      </c>
      <c r="Q1294">
        <v>0</v>
      </c>
      <c r="R1294">
        <v>0</v>
      </c>
      <c r="S1294">
        <v>999</v>
      </c>
      <c r="T1294">
        <v>301</v>
      </c>
      <c r="U1294">
        <v>30.13</v>
      </c>
      <c r="V1294" t="s">
        <v>21</v>
      </c>
    </row>
    <row r="1295" spans="1:22" x14ac:dyDescent="0.35">
      <c r="A1295" t="s">
        <v>2538</v>
      </c>
      <c r="B1295" t="s">
        <v>107</v>
      </c>
      <c r="C1295" t="s">
        <v>27</v>
      </c>
      <c r="D1295" t="s">
        <v>2537</v>
      </c>
      <c r="E1295" t="s">
        <v>2536</v>
      </c>
      <c r="F1295" s="5">
        <v>45626</v>
      </c>
      <c r="G1295" t="s">
        <v>126</v>
      </c>
      <c r="H1295" t="s">
        <v>960</v>
      </c>
      <c r="I1295" t="s">
        <v>17</v>
      </c>
      <c r="J1295" t="s">
        <v>55</v>
      </c>
      <c r="K1295" t="s">
        <v>55</v>
      </c>
      <c r="L1295" t="s">
        <v>37</v>
      </c>
      <c r="M1295" t="s">
        <v>19</v>
      </c>
      <c r="N1295">
        <v>3</v>
      </c>
      <c r="O1295">
        <v>315</v>
      </c>
      <c r="P1295">
        <v>499</v>
      </c>
      <c r="Q1295">
        <v>0</v>
      </c>
      <c r="R1295">
        <v>0</v>
      </c>
      <c r="S1295">
        <v>1497</v>
      </c>
      <c r="T1295">
        <v>552</v>
      </c>
      <c r="U1295">
        <v>36.869999999999997</v>
      </c>
      <c r="V1295" t="s">
        <v>33</v>
      </c>
    </row>
    <row r="1296" spans="1:22" x14ac:dyDescent="0.35">
      <c r="A1296" t="s">
        <v>2535</v>
      </c>
      <c r="B1296" t="s">
        <v>86</v>
      </c>
      <c r="C1296" t="s">
        <v>27</v>
      </c>
      <c r="D1296" t="s">
        <v>2534</v>
      </c>
      <c r="E1296" t="s">
        <v>2533</v>
      </c>
      <c r="F1296" s="5">
        <v>45522</v>
      </c>
      <c r="G1296" t="s">
        <v>126</v>
      </c>
      <c r="H1296" t="s">
        <v>2532</v>
      </c>
      <c r="I1296" t="s">
        <v>17</v>
      </c>
      <c r="J1296" t="s">
        <v>48</v>
      </c>
      <c r="K1296" t="s">
        <v>48</v>
      </c>
      <c r="L1296" t="s">
        <v>19</v>
      </c>
      <c r="M1296" t="s">
        <v>19</v>
      </c>
      <c r="N1296">
        <v>1</v>
      </c>
      <c r="O1296">
        <v>350</v>
      </c>
      <c r="P1296">
        <v>499</v>
      </c>
      <c r="Q1296">
        <v>0</v>
      </c>
      <c r="R1296">
        <v>0</v>
      </c>
      <c r="S1296">
        <v>499</v>
      </c>
      <c r="T1296">
        <v>149</v>
      </c>
      <c r="U1296">
        <v>29.86</v>
      </c>
      <c r="V1296" t="s">
        <v>33</v>
      </c>
    </row>
    <row r="1297" spans="1:22" x14ac:dyDescent="0.35">
      <c r="A1297" t="s">
        <v>2531</v>
      </c>
      <c r="B1297" t="s">
        <v>109</v>
      </c>
      <c r="C1297" t="s">
        <v>16</v>
      </c>
      <c r="D1297" t="s">
        <v>2530</v>
      </c>
      <c r="E1297" t="s">
        <v>2529</v>
      </c>
      <c r="F1297" s="5">
        <v>45594</v>
      </c>
      <c r="G1297" t="s">
        <v>126</v>
      </c>
      <c r="H1297" t="s">
        <v>656</v>
      </c>
      <c r="I1297" t="s">
        <v>28</v>
      </c>
      <c r="J1297" t="s">
        <v>201</v>
      </c>
      <c r="K1297" t="s">
        <v>29</v>
      </c>
      <c r="L1297" t="s">
        <v>25</v>
      </c>
      <c r="M1297" t="s">
        <v>20</v>
      </c>
      <c r="N1297">
        <v>1</v>
      </c>
      <c r="O1297">
        <v>447</v>
      </c>
      <c r="P1297">
        <v>599</v>
      </c>
      <c r="Q1297">
        <v>20</v>
      </c>
      <c r="R1297">
        <v>150</v>
      </c>
      <c r="S1297">
        <v>449</v>
      </c>
      <c r="T1297">
        <v>2</v>
      </c>
      <c r="U1297">
        <v>0.45</v>
      </c>
      <c r="V1297" t="s">
        <v>21</v>
      </c>
    </row>
    <row r="1298" spans="1:22" x14ac:dyDescent="0.35">
      <c r="A1298" t="s">
        <v>2528</v>
      </c>
      <c r="B1298" t="s">
        <v>66</v>
      </c>
      <c r="C1298" t="s">
        <v>27</v>
      </c>
      <c r="D1298" t="s">
        <v>2527</v>
      </c>
      <c r="E1298" t="s">
        <v>2526</v>
      </c>
      <c r="F1298" s="5">
        <v>45499</v>
      </c>
      <c r="G1298" t="s">
        <v>126</v>
      </c>
      <c r="H1298" t="s">
        <v>262</v>
      </c>
      <c r="I1298" t="s">
        <v>31</v>
      </c>
      <c r="J1298" t="s">
        <v>76</v>
      </c>
      <c r="K1298" t="s">
        <v>76</v>
      </c>
      <c r="L1298" t="s">
        <v>25</v>
      </c>
      <c r="M1298" t="s">
        <v>20</v>
      </c>
      <c r="N1298">
        <v>1</v>
      </c>
      <c r="O1298">
        <v>478</v>
      </c>
      <c r="P1298">
        <v>799</v>
      </c>
      <c r="Q1298">
        <v>0</v>
      </c>
      <c r="R1298">
        <v>0</v>
      </c>
      <c r="S1298">
        <v>799</v>
      </c>
      <c r="T1298">
        <v>321</v>
      </c>
      <c r="U1298">
        <v>40.18</v>
      </c>
      <c r="V1298" t="s">
        <v>21</v>
      </c>
    </row>
    <row r="1299" spans="1:22" x14ac:dyDescent="0.35">
      <c r="A1299" t="s">
        <v>2525</v>
      </c>
      <c r="B1299" t="s">
        <v>70</v>
      </c>
      <c r="C1299" t="s">
        <v>27</v>
      </c>
      <c r="D1299" t="s">
        <v>2524</v>
      </c>
      <c r="E1299" t="s">
        <v>2523</v>
      </c>
      <c r="F1299" s="5">
        <v>45550</v>
      </c>
      <c r="G1299" t="s">
        <v>126</v>
      </c>
      <c r="H1299" t="s">
        <v>1527</v>
      </c>
      <c r="I1299" t="s">
        <v>28</v>
      </c>
      <c r="J1299" t="s">
        <v>45</v>
      </c>
      <c r="K1299" t="s">
        <v>45</v>
      </c>
      <c r="L1299" t="s">
        <v>25</v>
      </c>
      <c r="M1299" t="s">
        <v>19</v>
      </c>
      <c r="N1299">
        <v>2</v>
      </c>
      <c r="O1299">
        <v>1198</v>
      </c>
      <c r="P1299">
        <v>2299</v>
      </c>
      <c r="Q1299">
        <v>20</v>
      </c>
      <c r="R1299">
        <v>1000</v>
      </c>
      <c r="S1299">
        <v>3598</v>
      </c>
      <c r="T1299">
        <v>1202</v>
      </c>
      <c r="U1299">
        <v>33.409999999999997</v>
      </c>
      <c r="V1299" t="s">
        <v>21</v>
      </c>
    </row>
    <row r="1300" spans="1:22" x14ac:dyDescent="0.35">
      <c r="A1300" t="s">
        <v>2522</v>
      </c>
      <c r="B1300" t="s">
        <v>15</v>
      </c>
      <c r="C1300" t="s">
        <v>16</v>
      </c>
      <c r="D1300" t="s">
        <v>2521</v>
      </c>
      <c r="E1300" t="s">
        <v>2520</v>
      </c>
      <c r="F1300" s="5">
        <v>45519</v>
      </c>
      <c r="G1300" t="s">
        <v>126</v>
      </c>
      <c r="H1300" t="s">
        <v>2278</v>
      </c>
      <c r="I1300" t="s">
        <v>17</v>
      </c>
      <c r="J1300" t="s">
        <v>48</v>
      </c>
      <c r="K1300" t="s">
        <v>48</v>
      </c>
      <c r="L1300" t="s">
        <v>37</v>
      </c>
      <c r="M1300" t="s">
        <v>20</v>
      </c>
      <c r="N1300">
        <v>2</v>
      </c>
      <c r="O1300">
        <v>348</v>
      </c>
      <c r="P1300">
        <v>499</v>
      </c>
      <c r="Q1300">
        <v>0</v>
      </c>
      <c r="R1300">
        <v>0</v>
      </c>
      <c r="S1300">
        <v>998</v>
      </c>
      <c r="T1300">
        <v>302</v>
      </c>
      <c r="U1300">
        <v>30.26</v>
      </c>
      <c r="V1300" t="s">
        <v>33</v>
      </c>
    </row>
    <row r="1301" spans="1:22" x14ac:dyDescent="0.35">
      <c r="A1301" t="s">
        <v>2519</v>
      </c>
      <c r="B1301" t="s">
        <v>78</v>
      </c>
      <c r="C1301" t="s">
        <v>16</v>
      </c>
      <c r="D1301" t="s">
        <v>2518</v>
      </c>
      <c r="E1301" t="s">
        <v>2517</v>
      </c>
      <c r="F1301" s="5">
        <v>45458</v>
      </c>
      <c r="G1301" t="s">
        <v>126</v>
      </c>
      <c r="H1301" t="s">
        <v>952</v>
      </c>
      <c r="I1301" t="s">
        <v>17</v>
      </c>
      <c r="J1301" t="s">
        <v>235</v>
      </c>
      <c r="K1301" t="s">
        <v>18</v>
      </c>
      <c r="L1301" t="s">
        <v>25</v>
      </c>
      <c r="M1301" t="s">
        <v>20</v>
      </c>
      <c r="N1301">
        <v>1</v>
      </c>
      <c r="O1301">
        <v>256</v>
      </c>
      <c r="P1301">
        <v>399</v>
      </c>
      <c r="Q1301">
        <v>0</v>
      </c>
      <c r="R1301">
        <v>0</v>
      </c>
      <c r="S1301">
        <v>399</v>
      </c>
      <c r="T1301">
        <v>143</v>
      </c>
      <c r="U1301">
        <v>35.840000000000003</v>
      </c>
      <c r="V1301" t="s">
        <v>33</v>
      </c>
    </row>
    <row r="1302" spans="1:22" x14ac:dyDescent="0.35">
      <c r="A1302" t="s">
        <v>2516</v>
      </c>
      <c r="B1302" t="s">
        <v>74</v>
      </c>
      <c r="C1302" t="s">
        <v>16</v>
      </c>
      <c r="D1302" t="s">
        <v>2515</v>
      </c>
      <c r="E1302" t="s">
        <v>2514</v>
      </c>
      <c r="F1302" s="5">
        <v>45460</v>
      </c>
      <c r="G1302" t="s">
        <v>126</v>
      </c>
      <c r="H1302" t="s">
        <v>2022</v>
      </c>
      <c r="I1302" t="s">
        <v>31</v>
      </c>
      <c r="J1302" t="s">
        <v>32</v>
      </c>
      <c r="K1302" t="s">
        <v>32</v>
      </c>
      <c r="L1302" t="s">
        <v>19</v>
      </c>
      <c r="M1302" t="s">
        <v>19</v>
      </c>
      <c r="N1302">
        <v>1</v>
      </c>
      <c r="O1302">
        <v>867</v>
      </c>
      <c r="P1302">
        <v>1399</v>
      </c>
      <c r="Q1302">
        <v>0</v>
      </c>
      <c r="R1302">
        <v>0</v>
      </c>
      <c r="S1302">
        <v>1399</v>
      </c>
      <c r="T1302">
        <v>532</v>
      </c>
      <c r="U1302">
        <v>38.03</v>
      </c>
      <c r="V1302" t="s">
        <v>33</v>
      </c>
    </row>
    <row r="1303" spans="1:22" x14ac:dyDescent="0.35">
      <c r="A1303" t="s">
        <v>2513</v>
      </c>
      <c r="B1303" t="s">
        <v>65</v>
      </c>
      <c r="C1303" t="s">
        <v>16</v>
      </c>
      <c r="D1303" t="s">
        <v>2512</v>
      </c>
      <c r="E1303" t="s">
        <v>2511</v>
      </c>
      <c r="F1303" s="5">
        <v>45560</v>
      </c>
      <c r="G1303" t="s">
        <v>126</v>
      </c>
      <c r="H1303" t="s">
        <v>2510</v>
      </c>
      <c r="I1303" t="s">
        <v>31</v>
      </c>
      <c r="J1303" t="s">
        <v>32</v>
      </c>
      <c r="K1303" t="s">
        <v>32</v>
      </c>
      <c r="L1303" t="s">
        <v>37</v>
      </c>
      <c r="M1303" t="s">
        <v>19</v>
      </c>
      <c r="N1303">
        <v>3</v>
      </c>
      <c r="O1303">
        <v>499</v>
      </c>
      <c r="P1303">
        <v>899</v>
      </c>
      <c r="Q1303">
        <v>0</v>
      </c>
      <c r="R1303">
        <v>0</v>
      </c>
      <c r="S1303">
        <v>2697</v>
      </c>
      <c r="T1303">
        <v>1200</v>
      </c>
      <c r="U1303">
        <v>44.49</v>
      </c>
      <c r="V1303" t="s">
        <v>21</v>
      </c>
    </row>
    <row r="1304" spans="1:22" x14ac:dyDescent="0.35">
      <c r="A1304" t="s">
        <v>2509</v>
      </c>
      <c r="B1304" t="s">
        <v>99</v>
      </c>
      <c r="C1304" t="s">
        <v>27</v>
      </c>
      <c r="D1304" t="s">
        <v>2508</v>
      </c>
      <c r="E1304" t="s">
        <v>2507</v>
      </c>
      <c r="F1304" s="5">
        <v>45481</v>
      </c>
      <c r="G1304" t="s">
        <v>126</v>
      </c>
      <c r="H1304" t="s">
        <v>1516</v>
      </c>
      <c r="I1304" t="s">
        <v>28</v>
      </c>
      <c r="J1304" t="s">
        <v>45</v>
      </c>
      <c r="K1304" t="s">
        <v>45</v>
      </c>
      <c r="L1304" t="s">
        <v>37</v>
      </c>
      <c r="M1304" t="s">
        <v>20</v>
      </c>
      <c r="N1304">
        <v>1</v>
      </c>
      <c r="O1304">
        <v>417</v>
      </c>
      <c r="P1304">
        <v>699</v>
      </c>
      <c r="Q1304">
        <v>10</v>
      </c>
      <c r="R1304">
        <v>100</v>
      </c>
      <c r="S1304">
        <v>599</v>
      </c>
      <c r="T1304">
        <v>182</v>
      </c>
      <c r="U1304">
        <v>30.38</v>
      </c>
      <c r="V1304" t="s">
        <v>33</v>
      </c>
    </row>
    <row r="1305" spans="1:22" x14ac:dyDescent="0.35">
      <c r="A1305" t="s">
        <v>2506</v>
      </c>
      <c r="B1305" t="s">
        <v>70</v>
      </c>
      <c r="C1305" t="s">
        <v>27</v>
      </c>
      <c r="D1305" t="s">
        <v>2505</v>
      </c>
      <c r="E1305" t="s">
        <v>653</v>
      </c>
      <c r="F1305" s="5">
        <v>45499</v>
      </c>
      <c r="G1305" t="s">
        <v>126</v>
      </c>
      <c r="H1305" t="s">
        <v>2504</v>
      </c>
      <c r="I1305" t="s">
        <v>28</v>
      </c>
      <c r="J1305" t="s">
        <v>45</v>
      </c>
      <c r="K1305" t="s">
        <v>45</v>
      </c>
      <c r="L1305" t="s">
        <v>25</v>
      </c>
      <c r="M1305" t="s">
        <v>20</v>
      </c>
      <c r="N1305">
        <v>3</v>
      </c>
      <c r="O1305">
        <v>918</v>
      </c>
      <c r="P1305">
        <v>1299</v>
      </c>
      <c r="Q1305">
        <v>5</v>
      </c>
      <c r="R1305">
        <v>300</v>
      </c>
      <c r="S1305">
        <v>3597</v>
      </c>
      <c r="T1305">
        <v>843</v>
      </c>
      <c r="U1305">
        <v>23.44</v>
      </c>
      <c r="V1305" t="s">
        <v>21</v>
      </c>
    </row>
    <row r="1306" spans="1:22" x14ac:dyDescent="0.35">
      <c r="A1306" t="s">
        <v>2503</v>
      </c>
      <c r="B1306" t="s">
        <v>91</v>
      </c>
      <c r="C1306" t="s">
        <v>16</v>
      </c>
      <c r="D1306" t="s">
        <v>2502</v>
      </c>
      <c r="E1306" t="s">
        <v>2501</v>
      </c>
      <c r="F1306" s="5">
        <v>45531</v>
      </c>
      <c r="G1306" t="s">
        <v>126</v>
      </c>
      <c r="H1306" t="s">
        <v>2500</v>
      </c>
      <c r="I1306" t="s">
        <v>31</v>
      </c>
      <c r="J1306" t="s">
        <v>76</v>
      </c>
      <c r="K1306" t="s">
        <v>76</v>
      </c>
      <c r="L1306" t="s">
        <v>19</v>
      </c>
      <c r="M1306" t="s">
        <v>19</v>
      </c>
      <c r="N1306">
        <v>1</v>
      </c>
      <c r="O1306">
        <v>583</v>
      </c>
      <c r="P1306">
        <v>999</v>
      </c>
      <c r="Q1306">
        <v>0</v>
      </c>
      <c r="R1306">
        <v>0</v>
      </c>
      <c r="S1306">
        <v>999</v>
      </c>
      <c r="T1306">
        <v>416</v>
      </c>
      <c r="U1306">
        <v>41.64</v>
      </c>
      <c r="V1306" t="s">
        <v>21</v>
      </c>
    </row>
    <row r="1307" spans="1:22" x14ac:dyDescent="0.35">
      <c r="A1307" t="s">
        <v>2499</v>
      </c>
      <c r="B1307" t="s">
        <v>96</v>
      </c>
      <c r="C1307" t="s">
        <v>16</v>
      </c>
      <c r="D1307" t="s">
        <v>2498</v>
      </c>
      <c r="E1307" t="s">
        <v>2497</v>
      </c>
      <c r="F1307" s="5">
        <v>45578</v>
      </c>
      <c r="G1307" t="s">
        <v>126</v>
      </c>
      <c r="H1307" t="s">
        <v>2397</v>
      </c>
      <c r="I1307" t="s">
        <v>23</v>
      </c>
      <c r="J1307" t="s">
        <v>164</v>
      </c>
      <c r="K1307" t="s">
        <v>24</v>
      </c>
      <c r="L1307" t="s">
        <v>37</v>
      </c>
      <c r="M1307" t="s">
        <v>19</v>
      </c>
      <c r="N1307">
        <v>5</v>
      </c>
      <c r="O1307">
        <v>800</v>
      </c>
      <c r="P1307">
        <v>1499</v>
      </c>
      <c r="Q1307">
        <v>20</v>
      </c>
      <c r="R1307">
        <v>1500</v>
      </c>
      <c r="S1307">
        <v>5995</v>
      </c>
      <c r="T1307">
        <v>1995</v>
      </c>
      <c r="U1307">
        <v>33.28</v>
      </c>
      <c r="V1307" t="s">
        <v>33</v>
      </c>
    </row>
    <row r="1308" spans="1:22" x14ac:dyDescent="0.35">
      <c r="A1308" t="s">
        <v>2496</v>
      </c>
      <c r="B1308" t="s">
        <v>66</v>
      </c>
      <c r="C1308" t="s">
        <v>27</v>
      </c>
      <c r="D1308" t="s">
        <v>2495</v>
      </c>
      <c r="E1308" t="s">
        <v>2494</v>
      </c>
      <c r="F1308" s="5">
        <v>45550</v>
      </c>
      <c r="G1308" t="s">
        <v>126</v>
      </c>
      <c r="H1308" t="s">
        <v>2185</v>
      </c>
      <c r="I1308" t="s">
        <v>23</v>
      </c>
      <c r="J1308" t="s">
        <v>164</v>
      </c>
      <c r="K1308" t="s">
        <v>24</v>
      </c>
      <c r="L1308" t="s">
        <v>37</v>
      </c>
      <c r="M1308" t="s">
        <v>19</v>
      </c>
      <c r="N1308">
        <v>1</v>
      </c>
      <c r="O1308">
        <v>1492</v>
      </c>
      <c r="P1308">
        <v>2399</v>
      </c>
      <c r="Q1308">
        <v>15</v>
      </c>
      <c r="R1308">
        <v>400</v>
      </c>
      <c r="S1308">
        <v>1999</v>
      </c>
      <c r="T1308">
        <v>507</v>
      </c>
      <c r="U1308">
        <v>25.36</v>
      </c>
      <c r="V1308" t="s">
        <v>33</v>
      </c>
    </row>
    <row r="1309" spans="1:22" x14ac:dyDescent="0.35">
      <c r="A1309" t="s">
        <v>2493</v>
      </c>
      <c r="B1309" t="s">
        <v>62</v>
      </c>
      <c r="C1309" t="s">
        <v>16</v>
      </c>
      <c r="D1309" t="s">
        <v>2492</v>
      </c>
      <c r="E1309" t="s">
        <v>2491</v>
      </c>
      <c r="F1309" s="5">
        <v>45549</v>
      </c>
      <c r="G1309" t="s">
        <v>126</v>
      </c>
      <c r="H1309" t="s">
        <v>2490</v>
      </c>
      <c r="I1309" t="s">
        <v>35</v>
      </c>
      <c r="J1309" t="s">
        <v>159</v>
      </c>
      <c r="K1309" t="s">
        <v>36</v>
      </c>
      <c r="L1309" t="s">
        <v>19</v>
      </c>
      <c r="M1309" t="s">
        <v>19</v>
      </c>
      <c r="N1309">
        <v>1</v>
      </c>
      <c r="O1309">
        <v>373</v>
      </c>
      <c r="P1309">
        <v>499</v>
      </c>
      <c r="Q1309">
        <v>10</v>
      </c>
      <c r="R1309">
        <v>100</v>
      </c>
      <c r="S1309">
        <v>399</v>
      </c>
      <c r="T1309">
        <v>26</v>
      </c>
      <c r="U1309">
        <v>6.52</v>
      </c>
      <c r="V1309" t="s">
        <v>21</v>
      </c>
    </row>
    <row r="1310" spans="1:22" x14ac:dyDescent="0.35">
      <c r="A1310" t="s">
        <v>2489</v>
      </c>
      <c r="B1310" t="s">
        <v>74</v>
      </c>
      <c r="C1310" t="s">
        <v>16</v>
      </c>
      <c r="D1310" t="s">
        <v>2488</v>
      </c>
      <c r="E1310" t="s">
        <v>2487</v>
      </c>
      <c r="F1310" s="5">
        <v>45529</v>
      </c>
      <c r="G1310" t="s">
        <v>126</v>
      </c>
      <c r="H1310" t="s">
        <v>2464</v>
      </c>
      <c r="I1310" t="s">
        <v>28</v>
      </c>
      <c r="J1310" t="s">
        <v>45</v>
      </c>
      <c r="K1310" t="s">
        <v>45</v>
      </c>
      <c r="L1310" t="s">
        <v>25</v>
      </c>
      <c r="M1310" t="s">
        <v>20</v>
      </c>
      <c r="N1310">
        <v>1</v>
      </c>
      <c r="O1310">
        <v>1491</v>
      </c>
      <c r="P1310">
        <v>2299</v>
      </c>
      <c r="Q1310">
        <v>20</v>
      </c>
      <c r="R1310">
        <v>500</v>
      </c>
      <c r="S1310">
        <v>1799</v>
      </c>
      <c r="T1310">
        <v>308</v>
      </c>
      <c r="U1310">
        <v>17.12</v>
      </c>
      <c r="V1310" t="s">
        <v>21</v>
      </c>
    </row>
    <row r="1311" spans="1:22" x14ac:dyDescent="0.35">
      <c r="A1311" t="s">
        <v>2486</v>
      </c>
      <c r="B1311" t="s">
        <v>102</v>
      </c>
      <c r="C1311" t="s">
        <v>27</v>
      </c>
      <c r="D1311" t="s">
        <v>2485</v>
      </c>
      <c r="E1311" t="s">
        <v>2484</v>
      </c>
      <c r="F1311" s="5">
        <v>45630</v>
      </c>
      <c r="G1311" t="s">
        <v>126</v>
      </c>
      <c r="H1311" t="s">
        <v>2246</v>
      </c>
      <c r="I1311" t="s">
        <v>23</v>
      </c>
      <c r="J1311" t="s">
        <v>142</v>
      </c>
      <c r="K1311" t="s">
        <v>43</v>
      </c>
      <c r="L1311" t="s">
        <v>37</v>
      </c>
      <c r="M1311" t="s">
        <v>19</v>
      </c>
      <c r="N1311">
        <v>3</v>
      </c>
      <c r="O1311">
        <v>2070</v>
      </c>
      <c r="P1311">
        <v>3599</v>
      </c>
      <c r="Q1311">
        <v>15</v>
      </c>
      <c r="R1311">
        <v>1800</v>
      </c>
      <c r="S1311">
        <v>8997</v>
      </c>
      <c r="T1311">
        <v>2787</v>
      </c>
      <c r="U1311">
        <v>30.98</v>
      </c>
      <c r="V1311" t="s">
        <v>33</v>
      </c>
    </row>
    <row r="1312" spans="1:22" x14ac:dyDescent="0.35">
      <c r="A1312" t="s">
        <v>2483</v>
      </c>
      <c r="B1312" t="s">
        <v>92</v>
      </c>
      <c r="C1312" t="s">
        <v>27</v>
      </c>
      <c r="D1312" t="s">
        <v>2482</v>
      </c>
      <c r="E1312" t="s">
        <v>2481</v>
      </c>
      <c r="F1312" s="5">
        <v>45446</v>
      </c>
      <c r="G1312" t="s">
        <v>126</v>
      </c>
      <c r="H1312" t="s">
        <v>2480</v>
      </c>
      <c r="I1312" t="s">
        <v>23</v>
      </c>
      <c r="J1312" t="s">
        <v>164</v>
      </c>
      <c r="K1312" t="s">
        <v>24</v>
      </c>
      <c r="L1312" t="s">
        <v>25</v>
      </c>
      <c r="M1312" t="s">
        <v>20</v>
      </c>
      <c r="N1312">
        <v>1</v>
      </c>
      <c r="O1312">
        <v>656</v>
      </c>
      <c r="P1312">
        <v>1199</v>
      </c>
      <c r="Q1312">
        <v>10</v>
      </c>
      <c r="R1312">
        <v>200</v>
      </c>
      <c r="S1312">
        <v>999</v>
      </c>
      <c r="T1312">
        <v>343</v>
      </c>
      <c r="U1312">
        <v>34.33</v>
      </c>
      <c r="V1312" t="s">
        <v>33</v>
      </c>
    </row>
    <row r="1313" spans="1:22" x14ac:dyDescent="0.35">
      <c r="A1313" t="s">
        <v>2479</v>
      </c>
      <c r="B1313" t="s">
        <v>80</v>
      </c>
      <c r="C1313" t="s">
        <v>27</v>
      </c>
      <c r="D1313" t="s">
        <v>2478</v>
      </c>
      <c r="E1313" t="s">
        <v>1143</v>
      </c>
      <c r="F1313" s="5">
        <v>45506</v>
      </c>
      <c r="G1313" t="s">
        <v>126</v>
      </c>
      <c r="H1313" t="s">
        <v>2477</v>
      </c>
      <c r="I1313" t="s">
        <v>31</v>
      </c>
      <c r="J1313" t="s">
        <v>76</v>
      </c>
      <c r="K1313" t="s">
        <v>76</v>
      </c>
      <c r="L1313" t="s">
        <v>37</v>
      </c>
      <c r="M1313" t="s">
        <v>19</v>
      </c>
      <c r="N1313">
        <v>1</v>
      </c>
      <c r="O1313">
        <v>377</v>
      </c>
      <c r="P1313">
        <v>699</v>
      </c>
      <c r="Q1313">
        <v>0</v>
      </c>
      <c r="R1313">
        <v>0</v>
      </c>
      <c r="S1313">
        <v>699</v>
      </c>
      <c r="T1313">
        <v>322</v>
      </c>
      <c r="U1313">
        <v>46.07</v>
      </c>
      <c r="V1313" t="s">
        <v>21</v>
      </c>
    </row>
    <row r="1314" spans="1:22" x14ac:dyDescent="0.35">
      <c r="A1314" t="s">
        <v>2476</v>
      </c>
      <c r="B1314" t="s">
        <v>78</v>
      </c>
      <c r="C1314" t="s">
        <v>16</v>
      </c>
      <c r="D1314" t="s">
        <v>2475</v>
      </c>
      <c r="E1314" t="s">
        <v>2474</v>
      </c>
      <c r="F1314" s="5">
        <v>45607</v>
      </c>
      <c r="G1314" t="s">
        <v>126</v>
      </c>
      <c r="H1314" t="s">
        <v>1095</v>
      </c>
      <c r="I1314" t="s">
        <v>35</v>
      </c>
      <c r="J1314" t="s">
        <v>159</v>
      </c>
      <c r="K1314" t="s">
        <v>100</v>
      </c>
      <c r="L1314" t="s">
        <v>37</v>
      </c>
      <c r="M1314" t="s">
        <v>20</v>
      </c>
      <c r="N1314">
        <v>1</v>
      </c>
      <c r="O1314">
        <v>820</v>
      </c>
      <c r="P1314">
        <v>1099</v>
      </c>
      <c r="Q1314">
        <v>5</v>
      </c>
      <c r="R1314">
        <v>100</v>
      </c>
      <c r="S1314">
        <v>999</v>
      </c>
      <c r="T1314">
        <v>179</v>
      </c>
      <c r="U1314">
        <v>17.920000000000002</v>
      </c>
      <c r="V1314" t="s">
        <v>21</v>
      </c>
    </row>
    <row r="1315" spans="1:22" x14ac:dyDescent="0.35">
      <c r="A1315" t="s">
        <v>2473</v>
      </c>
      <c r="B1315" t="s">
        <v>79</v>
      </c>
      <c r="C1315" t="s">
        <v>16</v>
      </c>
      <c r="D1315" t="s">
        <v>2472</v>
      </c>
      <c r="E1315" t="s">
        <v>2471</v>
      </c>
      <c r="F1315" s="5">
        <v>45494</v>
      </c>
      <c r="G1315" t="s">
        <v>126</v>
      </c>
      <c r="H1315" t="s">
        <v>1933</v>
      </c>
      <c r="I1315" t="s">
        <v>35</v>
      </c>
      <c r="J1315" t="s">
        <v>214</v>
      </c>
      <c r="K1315" t="s">
        <v>87</v>
      </c>
      <c r="L1315" t="s">
        <v>19</v>
      </c>
      <c r="M1315" t="s">
        <v>20</v>
      </c>
      <c r="N1315">
        <v>2</v>
      </c>
      <c r="O1315">
        <v>2367</v>
      </c>
      <c r="P1315">
        <v>3599</v>
      </c>
      <c r="Q1315">
        <v>15</v>
      </c>
      <c r="R1315">
        <v>1200</v>
      </c>
      <c r="S1315">
        <v>5998</v>
      </c>
      <c r="T1315">
        <v>1264</v>
      </c>
      <c r="U1315">
        <v>21.07</v>
      </c>
      <c r="V1315" t="s">
        <v>21</v>
      </c>
    </row>
    <row r="1316" spans="1:22" x14ac:dyDescent="0.35">
      <c r="A1316" t="s">
        <v>2470</v>
      </c>
      <c r="B1316" t="s">
        <v>38</v>
      </c>
      <c r="C1316" t="s">
        <v>27</v>
      </c>
      <c r="D1316" t="s">
        <v>2469</v>
      </c>
      <c r="E1316" t="s">
        <v>2468</v>
      </c>
      <c r="F1316" s="5">
        <v>45509</v>
      </c>
      <c r="G1316" t="s">
        <v>126</v>
      </c>
      <c r="H1316" t="s">
        <v>1504</v>
      </c>
      <c r="I1316" t="s">
        <v>17</v>
      </c>
      <c r="J1316" t="s">
        <v>55</v>
      </c>
      <c r="K1316" t="s">
        <v>55</v>
      </c>
      <c r="L1316" t="s">
        <v>19</v>
      </c>
      <c r="M1316" t="s">
        <v>19</v>
      </c>
      <c r="N1316">
        <v>1</v>
      </c>
      <c r="O1316">
        <v>517</v>
      </c>
      <c r="P1316">
        <v>799</v>
      </c>
      <c r="Q1316">
        <v>0</v>
      </c>
      <c r="R1316">
        <v>0</v>
      </c>
      <c r="S1316">
        <v>799</v>
      </c>
      <c r="T1316">
        <v>282</v>
      </c>
      <c r="U1316">
        <v>35.29</v>
      </c>
      <c r="V1316" t="s">
        <v>21</v>
      </c>
    </row>
    <row r="1317" spans="1:22" x14ac:dyDescent="0.35">
      <c r="A1317" t="s">
        <v>2467</v>
      </c>
      <c r="B1317" t="s">
        <v>40</v>
      </c>
      <c r="C1317" t="s">
        <v>27</v>
      </c>
      <c r="D1317" t="s">
        <v>2466</v>
      </c>
      <c r="E1317" t="s">
        <v>2465</v>
      </c>
      <c r="F1317" s="5">
        <v>45520</v>
      </c>
      <c r="G1317" t="s">
        <v>126</v>
      </c>
      <c r="H1317" t="s">
        <v>2464</v>
      </c>
      <c r="I1317" t="s">
        <v>23</v>
      </c>
      <c r="J1317" t="s">
        <v>164</v>
      </c>
      <c r="K1317" t="s">
        <v>24</v>
      </c>
      <c r="L1317" t="s">
        <v>19</v>
      </c>
      <c r="M1317" t="s">
        <v>19</v>
      </c>
      <c r="N1317">
        <v>4</v>
      </c>
      <c r="O1317">
        <v>809</v>
      </c>
      <c r="P1317">
        <v>1199</v>
      </c>
      <c r="Q1317">
        <v>15</v>
      </c>
      <c r="R1317">
        <v>800</v>
      </c>
      <c r="S1317">
        <v>3996</v>
      </c>
      <c r="T1317">
        <v>760</v>
      </c>
      <c r="U1317">
        <v>19.02</v>
      </c>
      <c r="V1317" t="s">
        <v>21</v>
      </c>
    </row>
    <row r="1318" spans="1:22" x14ac:dyDescent="0.35">
      <c r="A1318" t="s">
        <v>2463</v>
      </c>
      <c r="B1318" t="s">
        <v>66</v>
      </c>
      <c r="C1318" t="s">
        <v>27</v>
      </c>
      <c r="D1318" t="s">
        <v>2462</v>
      </c>
      <c r="E1318" t="s">
        <v>2461</v>
      </c>
      <c r="F1318" s="5">
        <v>45612</v>
      </c>
      <c r="G1318" t="s">
        <v>126</v>
      </c>
      <c r="H1318" t="s">
        <v>784</v>
      </c>
      <c r="I1318" t="s">
        <v>23</v>
      </c>
      <c r="J1318" t="s">
        <v>142</v>
      </c>
      <c r="K1318" t="s">
        <v>43</v>
      </c>
      <c r="L1318" t="s">
        <v>19</v>
      </c>
      <c r="M1318" t="s">
        <v>20</v>
      </c>
      <c r="N1318">
        <v>1</v>
      </c>
      <c r="O1318">
        <v>1680</v>
      </c>
      <c r="P1318">
        <v>2399</v>
      </c>
      <c r="Q1318">
        <v>20</v>
      </c>
      <c r="R1318">
        <v>500</v>
      </c>
      <c r="S1318">
        <v>1899</v>
      </c>
      <c r="T1318">
        <v>219</v>
      </c>
      <c r="U1318">
        <v>11.53</v>
      </c>
      <c r="V1318" t="s">
        <v>21</v>
      </c>
    </row>
    <row r="1319" spans="1:22" x14ac:dyDescent="0.35">
      <c r="A1319" t="s">
        <v>2460</v>
      </c>
      <c r="B1319" t="s">
        <v>62</v>
      </c>
      <c r="C1319" t="s">
        <v>16</v>
      </c>
      <c r="D1319" t="s">
        <v>2459</v>
      </c>
      <c r="E1319" t="s">
        <v>2458</v>
      </c>
      <c r="F1319" s="5">
        <v>45449</v>
      </c>
      <c r="G1319" t="s">
        <v>126</v>
      </c>
      <c r="H1319" t="s">
        <v>298</v>
      </c>
      <c r="I1319" t="s">
        <v>35</v>
      </c>
      <c r="J1319" t="s">
        <v>41</v>
      </c>
      <c r="K1319" t="s">
        <v>41</v>
      </c>
      <c r="L1319" t="s">
        <v>37</v>
      </c>
      <c r="M1319" t="s">
        <v>20</v>
      </c>
      <c r="N1319">
        <v>5</v>
      </c>
      <c r="O1319">
        <v>849</v>
      </c>
      <c r="P1319">
        <v>1199</v>
      </c>
      <c r="Q1319">
        <v>10</v>
      </c>
      <c r="R1319">
        <v>1000</v>
      </c>
      <c r="S1319">
        <v>4995</v>
      </c>
      <c r="T1319">
        <v>750</v>
      </c>
      <c r="U1319">
        <v>15.02</v>
      </c>
      <c r="V1319" t="s">
        <v>33</v>
      </c>
    </row>
    <row r="1320" spans="1:22" x14ac:dyDescent="0.35">
      <c r="A1320" t="s">
        <v>2457</v>
      </c>
      <c r="B1320" t="s">
        <v>97</v>
      </c>
      <c r="C1320" t="s">
        <v>16</v>
      </c>
      <c r="D1320" t="s">
        <v>2456</v>
      </c>
      <c r="E1320" t="s">
        <v>2455</v>
      </c>
      <c r="F1320" s="5">
        <v>45627</v>
      </c>
      <c r="G1320" t="s">
        <v>126</v>
      </c>
      <c r="H1320" t="s">
        <v>2454</v>
      </c>
      <c r="I1320" t="s">
        <v>28</v>
      </c>
      <c r="J1320" t="s">
        <v>201</v>
      </c>
      <c r="K1320" t="s">
        <v>29</v>
      </c>
      <c r="L1320" t="s">
        <v>25</v>
      </c>
      <c r="M1320" t="s">
        <v>20</v>
      </c>
      <c r="N1320">
        <v>1</v>
      </c>
      <c r="O1320">
        <v>375</v>
      </c>
      <c r="P1320">
        <v>699</v>
      </c>
      <c r="Q1320">
        <v>5</v>
      </c>
      <c r="R1320">
        <v>100</v>
      </c>
      <c r="S1320">
        <v>599</v>
      </c>
      <c r="T1320">
        <v>224</v>
      </c>
      <c r="U1320">
        <v>37.4</v>
      </c>
      <c r="V1320" t="s">
        <v>21</v>
      </c>
    </row>
    <row r="1321" spans="1:22" x14ac:dyDescent="0.35">
      <c r="A1321" t="s">
        <v>2453</v>
      </c>
      <c r="B1321" t="s">
        <v>26</v>
      </c>
      <c r="C1321" t="s">
        <v>27</v>
      </c>
      <c r="D1321" t="s">
        <v>2452</v>
      </c>
      <c r="E1321" t="s">
        <v>2451</v>
      </c>
      <c r="F1321" s="5">
        <v>45611</v>
      </c>
      <c r="G1321" t="s">
        <v>126</v>
      </c>
      <c r="H1321" t="s">
        <v>2450</v>
      </c>
      <c r="I1321" t="s">
        <v>31</v>
      </c>
      <c r="J1321" t="s">
        <v>32</v>
      </c>
      <c r="K1321" t="s">
        <v>32</v>
      </c>
      <c r="L1321" t="s">
        <v>37</v>
      </c>
      <c r="M1321" t="s">
        <v>19</v>
      </c>
      <c r="N1321">
        <v>1</v>
      </c>
      <c r="O1321">
        <v>723</v>
      </c>
      <c r="P1321">
        <v>999</v>
      </c>
      <c r="Q1321">
        <v>0</v>
      </c>
      <c r="R1321">
        <v>0</v>
      </c>
      <c r="S1321">
        <v>999</v>
      </c>
      <c r="T1321">
        <v>276</v>
      </c>
      <c r="U1321">
        <v>27.63</v>
      </c>
      <c r="V1321" t="s">
        <v>21</v>
      </c>
    </row>
    <row r="1322" spans="1:22" x14ac:dyDescent="0.35">
      <c r="A1322" t="s">
        <v>2449</v>
      </c>
      <c r="B1322" t="s">
        <v>71</v>
      </c>
      <c r="C1322" t="s">
        <v>16</v>
      </c>
      <c r="D1322" t="s">
        <v>2448</v>
      </c>
      <c r="E1322" t="s">
        <v>2447</v>
      </c>
      <c r="F1322" s="5">
        <v>45448</v>
      </c>
      <c r="G1322" t="s">
        <v>126</v>
      </c>
      <c r="H1322" t="s">
        <v>2446</v>
      </c>
      <c r="I1322" t="s">
        <v>28</v>
      </c>
      <c r="J1322" t="s">
        <v>45</v>
      </c>
      <c r="K1322" t="s">
        <v>45</v>
      </c>
      <c r="L1322" t="s">
        <v>37</v>
      </c>
      <c r="M1322" t="s">
        <v>20</v>
      </c>
      <c r="N1322">
        <v>2</v>
      </c>
      <c r="O1322">
        <v>1132</v>
      </c>
      <c r="P1322">
        <v>1899</v>
      </c>
      <c r="Q1322">
        <v>5</v>
      </c>
      <c r="R1322">
        <v>200</v>
      </c>
      <c r="S1322">
        <v>3598</v>
      </c>
      <c r="T1322">
        <v>1334</v>
      </c>
      <c r="U1322">
        <v>37.08</v>
      </c>
      <c r="V1322" t="s">
        <v>33</v>
      </c>
    </row>
    <row r="1323" spans="1:22" x14ac:dyDescent="0.35">
      <c r="A1323" t="s">
        <v>2445</v>
      </c>
      <c r="B1323" t="s">
        <v>108</v>
      </c>
      <c r="C1323" t="s">
        <v>27</v>
      </c>
      <c r="D1323" t="s">
        <v>2444</v>
      </c>
      <c r="E1323" t="s">
        <v>2443</v>
      </c>
      <c r="F1323" s="5">
        <v>45508</v>
      </c>
      <c r="G1323" t="s">
        <v>126</v>
      </c>
      <c r="H1323" t="s">
        <v>2442</v>
      </c>
      <c r="I1323" t="s">
        <v>28</v>
      </c>
      <c r="J1323" t="s">
        <v>45</v>
      </c>
      <c r="K1323" t="s">
        <v>45</v>
      </c>
      <c r="L1323" t="s">
        <v>19</v>
      </c>
      <c r="M1323" t="s">
        <v>19</v>
      </c>
      <c r="N1323">
        <v>2</v>
      </c>
      <c r="O1323">
        <v>1312</v>
      </c>
      <c r="P1323">
        <v>2199</v>
      </c>
      <c r="Q1323">
        <v>15</v>
      </c>
      <c r="R1323">
        <v>800</v>
      </c>
      <c r="S1323">
        <v>3598</v>
      </c>
      <c r="T1323">
        <v>974</v>
      </c>
      <c r="U1323">
        <v>27.07</v>
      </c>
      <c r="V1323" t="s">
        <v>21</v>
      </c>
    </row>
    <row r="1324" spans="1:22" x14ac:dyDescent="0.35">
      <c r="A1324" t="s">
        <v>2441</v>
      </c>
      <c r="B1324" t="s">
        <v>63</v>
      </c>
      <c r="C1324" t="s">
        <v>27</v>
      </c>
      <c r="D1324" t="s">
        <v>2440</v>
      </c>
      <c r="E1324" t="s">
        <v>2439</v>
      </c>
      <c r="F1324" s="5">
        <v>45489</v>
      </c>
      <c r="G1324" t="s">
        <v>126</v>
      </c>
      <c r="H1324" t="s">
        <v>2438</v>
      </c>
      <c r="I1324" t="s">
        <v>28</v>
      </c>
      <c r="J1324" t="s">
        <v>201</v>
      </c>
      <c r="K1324" t="s">
        <v>29</v>
      </c>
      <c r="L1324" t="s">
        <v>19</v>
      </c>
      <c r="M1324" t="s">
        <v>20</v>
      </c>
      <c r="N1324">
        <v>4</v>
      </c>
      <c r="O1324">
        <v>308</v>
      </c>
      <c r="P1324">
        <v>499</v>
      </c>
      <c r="Q1324">
        <v>15</v>
      </c>
      <c r="R1324">
        <v>400</v>
      </c>
      <c r="S1324">
        <v>1596</v>
      </c>
      <c r="T1324">
        <v>364</v>
      </c>
      <c r="U1324">
        <v>22.81</v>
      </c>
      <c r="V1324" t="s">
        <v>21</v>
      </c>
    </row>
    <row r="1325" spans="1:22" x14ac:dyDescent="0.35">
      <c r="A1325" t="s">
        <v>2437</v>
      </c>
      <c r="B1325" t="s">
        <v>54</v>
      </c>
      <c r="C1325" t="s">
        <v>27</v>
      </c>
      <c r="D1325" t="s">
        <v>2436</v>
      </c>
      <c r="E1325" t="s">
        <v>2435</v>
      </c>
      <c r="F1325" s="5">
        <v>45492</v>
      </c>
      <c r="G1325" t="s">
        <v>126</v>
      </c>
      <c r="H1325" t="s">
        <v>2434</v>
      </c>
      <c r="I1325" t="s">
        <v>31</v>
      </c>
      <c r="J1325" t="s">
        <v>76</v>
      </c>
      <c r="K1325" t="s">
        <v>76</v>
      </c>
      <c r="L1325" t="s">
        <v>37</v>
      </c>
      <c r="M1325" t="s">
        <v>19</v>
      </c>
      <c r="N1325">
        <v>1</v>
      </c>
      <c r="O1325">
        <v>686</v>
      </c>
      <c r="P1325">
        <v>1199</v>
      </c>
      <c r="Q1325">
        <v>0</v>
      </c>
      <c r="R1325">
        <v>0</v>
      </c>
      <c r="S1325">
        <v>1199</v>
      </c>
      <c r="T1325">
        <v>513</v>
      </c>
      <c r="U1325">
        <v>42.79</v>
      </c>
      <c r="V1325" t="s">
        <v>33</v>
      </c>
    </row>
    <row r="1326" spans="1:22" x14ac:dyDescent="0.35">
      <c r="A1326" t="s">
        <v>2433</v>
      </c>
      <c r="B1326" t="s">
        <v>97</v>
      </c>
      <c r="C1326" t="s">
        <v>16</v>
      </c>
      <c r="D1326" t="s">
        <v>2432</v>
      </c>
      <c r="E1326" t="s">
        <v>2431</v>
      </c>
      <c r="F1326" s="5">
        <v>45549</v>
      </c>
      <c r="G1326" t="s">
        <v>126</v>
      </c>
      <c r="H1326" t="s">
        <v>1142</v>
      </c>
      <c r="I1326" t="s">
        <v>17</v>
      </c>
      <c r="J1326" t="s">
        <v>235</v>
      </c>
      <c r="K1326" t="s">
        <v>18</v>
      </c>
      <c r="L1326" t="s">
        <v>37</v>
      </c>
      <c r="M1326" t="s">
        <v>20</v>
      </c>
      <c r="N1326">
        <v>1</v>
      </c>
      <c r="O1326">
        <v>405</v>
      </c>
      <c r="P1326">
        <v>599</v>
      </c>
      <c r="Q1326">
        <v>0</v>
      </c>
      <c r="R1326">
        <v>0</v>
      </c>
      <c r="S1326">
        <v>599</v>
      </c>
      <c r="T1326">
        <v>194</v>
      </c>
      <c r="U1326">
        <v>32.39</v>
      </c>
      <c r="V1326" t="s">
        <v>21</v>
      </c>
    </row>
    <row r="1327" spans="1:22" x14ac:dyDescent="0.35">
      <c r="A1327" t="s">
        <v>2430</v>
      </c>
      <c r="B1327" t="s">
        <v>97</v>
      </c>
      <c r="C1327" t="s">
        <v>16</v>
      </c>
      <c r="D1327" t="s">
        <v>2429</v>
      </c>
      <c r="E1327" t="s">
        <v>2428</v>
      </c>
      <c r="F1327" s="5">
        <v>45521</v>
      </c>
      <c r="G1327" t="s">
        <v>126</v>
      </c>
      <c r="H1327" t="s">
        <v>2427</v>
      </c>
      <c r="I1327" t="s">
        <v>28</v>
      </c>
      <c r="J1327" t="s">
        <v>45</v>
      </c>
      <c r="K1327" t="s">
        <v>45</v>
      </c>
      <c r="L1327" t="s">
        <v>37</v>
      </c>
      <c r="M1327" t="s">
        <v>20</v>
      </c>
      <c r="N1327">
        <v>1</v>
      </c>
      <c r="O1327">
        <v>1240</v>
      </c>
      <c r="P1327">
        <v>1799</v>
      </c>
      <c r="Q1327">
        <v>15</v>
      </c>
      <c r="R1327">
        <v>300</v>
      </c>
      <c r="S1327">
        <v>1499</v>
      </c>
      <c r="T1327">
        <v>259</v>
      </c>
      <c r="U1327">
        <v>17.28</v>
      </c>
      <c r="V1327" t="s">
        <v>33</v>
      </c>
    </row>
    <row r="1328" spans="1:22" x14ac:dyDescent="0.35">
      <c r="A1328" t="s">
        <v>2426</v>
      </c>
      <c r="B1328" t="s">
        <v>51</v>
      </c>
      <c r="C1328" t="s">
        <v>16</v>
      </c>
      <c r="D1328" t="s">
        <v>2425</v>
      </c>
      <c r="E1328" t="s">
        <v>2424</v>
      </c>
      <c r="F1328" s="5">
        <v>45609</v>
      </c>
      <c r="G1328" t="s">
        <v>126</v>
      </c>
      <c r="H1328" t="s">
        <v>1892</v>
      </c>
      <c r="I1328" t="s">
        <v>31</v>
      </c>
      <c r="J1328" t="s">
        <v>76</v>
      </c>
      <c r="K1328" t="s">
        <v>76</v>
      </c>
      <c r="L1328" t="s">
        <v>37</v>
      </c>
      <c r="M1328" t="s">
        <v>19</v>
      </c>
      <c r="N1328">
        <v>2</v>
      </c>
      <c r="O1328">
        <v>1000</v>
      </c>
      <c r="P1328">
        <v>1499</v>
      </c>
      <c r="Q1328">
        <v>0</v>
      </c>
      <c r="R1328">
        <v>0</v>
      </c>
      <c r="S1328">
        <v>2998</v>
      </c>
      <c r="T1328">
        <v>998</v>
      </c>
      <c r="U1328">
        <v>33.29</v>
      </c>
      <c r="V1328" t="s">
        <v>21</v>
      </c>
    </row>
    <row r="1329" spans="1:22" x14ac:dyDescent="0.35">
      <c r="A1329" t="s">
        <v>2423</v>
      </c>
      <c r="B1329" t="s">
        <v>34</v>
      </c>
      <c r="C1329" t="s">
        <v>27</v>
      </c>
      <c r="D1329" t="s">
        <v>2422</v>
      </c>
      <c r="E1329" t="s">
        <v>2421</v>
      </c>
      <c r="F1329" s="5">
        <v>45615</v>
      </c>
      <c r="G1329" t="s">
        <v>126</v>
      </c>
      <c r="H1329" t="s">
        <v>1675</v>
      </c>
      <c r="I1329" t="s">
        <v>35</v>
      </c>
      <c r="J1329" t="s">
        <v>41</v>
      </c>
      <c r="K1329" t="s">
        <v>41</v>
      </c>
      <c r="L1329" t="s">
        <v>19</v>
      </c>
      <c r="M1329" t="s">
        <v>20</v>
      </c>
      <c r="N1329">
        <v>5</v>
      </c>
      <c r="O1329">
        <v>422</v>
      </c>
      <c r="P1329">
        <v>699</v>
      </c>
      <c r="Q1329">
        <v>20</v>
      </c>
      <c r="R1329">
        <v>1000</v>
      </c>
      <c r="S1329">
        <v>2495</v>
      </c>
      <c r="T1329">
        <v>385</v>
      </c>
      <c r="U1329">
        <v>15.43</v>
      </c>
      <c r="V1329" t="s">
        <v>21</v>
      </c>
    </row>
    <row r="1330" spans="1:22" x14ac:dyDescent="0.35">
      <c r="A1330" t="s">
        <v>2420</v>
      </c>
      <c r="B1330" t="s">
        <v>80</v>
      </c>
      <c r="C1330" t="s">
        <v>27</v>
      </c>
      <c r="D1330" t="s">
        <v>2419</v>
      </c>
      <c r="E1330" t="s">
        <v>2418</v>
      </c>
      <c r="F1330" s="5">
        <v>45560</v>
      </c>
      <c r="G1330" t="s">
        <v>126</v>
      </c>
      <c r="H1330" t="s">
        <v>2417</v>
      </c>
      <c r="I1330" t="s">
        <v>35</v>
      </c>
      <c r="J1330" t="s">
        <v>244</v>
      </c>
      <c r="K1330" t="s">
        <v>58</v>
      </c>
      <c r="L1330" t="s">
        <v>25</v>
      </c>
      <c r="M1330" t="s">
        <v>20</v>
      </c>
      <c r="N1330">
        <v>4</v>
      </c>
      <c r="O1330">
        <v>1292</v>
      </c>
      <c r="P1330">
        <v>2399</v>
      </c>
      <c r="Q1330">
        <v>15</v>
      </c>
      <c r="R1330">
        <v>1600</v>
      </c>
      <c r="S1330">
        <v>7996</v>
      </c>
      <c r="T1330">
        <v>2828</v>
      </c>
      <c r="U1330">
        <v>35.369999999999997</v>
      </c>
      <c r="V1330" t="s">
        <v>33</v>
      </c>
    </row>
    <row r="1331" spans="1:22" x14ac:dyDescent="0.35">
      <c r="A1331" t="s">
        <v>2416</v>
      </c>
      <c r="B1331" t="s">
        <v>38</v>
      </c>
      <c r="C1331" t="s">
        <v>27</v>
      </c>
      <c r="D1331" t="s">
        <v>2415</v>
      </c>
      <c r="E1331" t="s">
        <v>2414</v>
      </c>
      <c r="F1331" s="5">
        <v>45611</v>
      </c>
      <c r="G1331" t="s">
        <v>126</v>
      </c>
      <c r="H1331" t="s">
        <v>134</v>
      </c>
      <c r="I1331" t="s">
        <v>17</v>
      </c>
      <c r="J1331" t="s">
        <v>253</v>
      </c>
      <c r="K1331" t="s">
        <v>72</v>
      </c>
      <c r="L1331" t="s">
        <v>25</v>
      </c>
      <c r="M1331" t="s">
        <v>19</v>
      </c>
      <c r="N1331">
        <v>1</v>
      </c>
      <c r="O1331">
        <v>307</v>
      </c>
      <c r="P1331">
        <v>499</v>
      </c>
      <c r="Q1331">
        <v>0</v>
      </c>
      <c r="R1331">
        <v>0</v>
      </c>
      <c r="S1331">
        <v>499</v>
      </c>
      <c r="T1331">
        <v>192</v>
      </c>
      <c r="U1331">
        <v>38.479999999999997</v>
      </c>
      <c r="V1331" t="s">
        <v>21</v>
      </c>
    </row>
    <row r="1332" spans="1:22" x14ac:dyDescent="0.35">
      <c r="A1332" t="s">
        <v>2413</v>
      </c>
      <c r="B1332" t="s">
        <v>34</v>
      </c>
      <c r="C1332" t="s">
        <v>27</v>
      </c>
      <c r="D1332" t="s">
        <v>2412</v>
      </c>
      <c r="E1332" t="s">
        <v>2411</v>
      </c>
      <c r="F1332" s="5">
        <v>45475</v>
      </c>
      <c r="G1332" t="s">
        <v>126</v>
      </c>
      <c r="H1332" t="s">
        <v>1333</v>
      </c>
      <c r="I1332" t="s">
        <v>23</v>
      </c>
      <c r="J1332" t="s">
        <v>142</v>
      </c>
      <c r="K1332" t="s">
        <v>43</v>
      </c>
      <c r="L1332" t="s">
        <v>37</v>
      </c>
      <c r="M1332" t="s">
        <v>20</v>
      </c>
      <c r="N1332">
        <v>1</v>
      </c>
      <c r="O1332">
        <v>2510</v>
      </c>
      <c r="P1332">
        <v>3399</v>
      </c>
      <c r="Q1332">
        <v>10</v>
      </c>
      <c r="R1332">
        <v>400</v>
      </c>
      <c r="S1332">
        <v>2999</v>
      </c>
      <c r="T1332">
        <v>489</v>
      </c>
      <c r="U1332">
        <v>16.309999999999999</v>
      </c>
      <c r="V1332" t="s">
        <v>21</v>
      </c>
    </row>
    <row r="1333" spans="1:22" x14ac:dyDescent="0.35">
      <c r="A1333" t="s">
        <v>2410</v>
      </c>
      <c r="B1333" t="s">
        <v>63</v>
      </c>
      <c r="C1333" t="s">
        <v>27</v>
      </c>
      <c r="D1333" t="s">
        <v>2409</v>
      </c>
      <c r="E1333" t="s">
        <v>2408</v>
      </c>
      <c r="F1333" s="5">
        <v>45472</v>
      </c>
      <c r="G1333" t="s">
        <v>126</v>
      </c>
      <c r="H1333" t="s">
        <v>2308</v>
      </c>
      <c r="I1333" t="s">
        <v>31</v>
      </c>
      <c r="J1333" t="s">
        <v>32</v>
      </c>
      <c r="K1333" t="s">
        <v>32</v>
      </c>
      <c r="L1333" t="s">
        <v>37</v>
      </c>
      <c r="M1333" t="s">
        <v>20</v>
      </c>
      <c r="N1333">
        <v>5</v>
      </c>
      <c r="O1333">
        <v>1002</v>
      </c>
      <c r="P1333">
        <v>1399</v>
      </c>
      <c r="Q1333">
        <v>0</v>
      </c>
      <c r="R1333">
        <v>0</v>
      </c>
      <c r="S1333">
        <v>6995</v>
      </c>
      <c r="T1333">
        <v>1985</v>
      </c>
      <c r="U1333">
        <v>28.38</v>
      </c>
      <c r="V1333" t="s">
        <v>21</v>
      </c>
    </row>
    <row r="1334" spans="1:22" x14ac:dyDescent="0.35">
      <c r="A1334" t="s">
        <v>2407</v>
      </c>
      <c r="B1334" t="s">
        <v>61</v>
      </c>
      <c r="C1334" t="s">
        <v>27</v>
      </c>
      <c r="D1334" t="s">
        <v>2406</v>
      </c>
      <c r="E1334" t="s">
        <v>2405</v>
      </c>
      <c r="F1334" s="5">
        <v>45655</v>
      </c>
      <c r="G1334" t="s">
        <v>126</v>
      </c>
      <c r="H1334" t="s">
        <v>2404</v>
      </c>
      <c r="I1334" t="s">
        <v>28</v>
      </c>
      <c r="J1334" t="s">
        <v>45</v>
      </c>
      <c r="K1334" t="s">
        <v>45</v>
      </c>
      <c r="L1334" t="s">
        <v>25</v>
      </c>
      <c r="M1334" t="s">
        <v>20</v>
      </c>
      <c r="N1334">
        <v>1</v>
      </c>
      <c r="O1334">
        <v>939</v>
      </c>
      <c r="P1334">
        <v>1599</v>
      </c>
      <c r="Q1334">
        <v>5</v>
      </c>
      <c r="R1334">
        <v>100</v>
      </c>
      <c r="S1334">
        <v>1499</v>
      </c>
      <c r="T1334">
        <v>560</v>
      </c>
      <c r="U1334">
        <v>37.36</v>
      </c>
      <c r="V1334" t="s">
        <v>21</v>
      </c>
    </row>
    <row r="1335" spans="1:22" x14ac:dyDescent="0.35">
      <c r="A1335" t="s">
        <v>2403</v>
      </c>
      <c r="B1335" t="s">
        <v>57</v>
      </c>
      <c r="C1335" t="s">
        <v>27</v>
      </c>
      <c r="D1335" t="s">
        <v>2402</v>
      </c>
      <c r="E1335" t="s">
        <v>2401</v>
      </c>
      <c r="F1335" s="5">
        <v>45477</v>
      </c>
      <c r="G1335" t="s">
        <v>126</v>
      </c>
      <c r="H1335" t="s">
        <v>1844</v>
      </c>
      <c r="I1335" t="s">
        <v>23</v>
      </c>
      <c r="J1335" t="s">
        <v>164</v>
      </c>
      <c r="K1335" t="s">
        <v>24</v>
      </c>
      <c r="L1335" t="s">
        <v>19</v>
      </c>
      <c r="M1335" t="s">
        <v>19</v>
      </c>
      <c r="N1335">
        <v>1</v>
      </c>
      <c r="O1335">
        <v>658</v>
      </c>
      <c r="P1335">
        <v>1199</v>
      </c>
      <c r="Q1335">
        <v>15</v>
      </c>
      <c r="R1335">
        <v>200</v>
      </c>
      <c r="S1335">
        <v>999</v>
      </c>
      <c r="T1335">
        <v>341</v>
      </c>
      <c r="U1335">
        <v>34.130000000000003</v>
      </c>
      <c r="V1335" t="s">
        <v>21</v>
      </c>
    </row>
    <row r="1336" spans="1:22" x14ac:dyDescent="0.35">
      <c r="A1336" t="s">
        <v>2400</v>
      </c>
      <c r="B1336" t="s">
        <v>67</v>
      </c>
      <c r="C1336" t="s">
        <v>27</v>
      </c>
      <c r="D1336" t="s">
        <v>2399</v>
      </c>
      <c r="E1336" t="s">
        <v>2398</v>
      </c>
      <c r="F1336" s="5">
        <v>45563</v>
      </c>
      <c r="G1336" t="s">
        <v>126</v>
      </c>
      <c r="H1336" t="s">
        <v>2397</v>
      </c>
      <c r="I1336" t="s">
        <v>31</v>
      </c>
      <c r="J1336" t="s">
        <v>32</v>
      </c>
      <c r="K1336" t="s">
        <v>32</v>
      </c>
      <c r="L1336" t="s">
        <v>25</v>
      </c>
      <c r="M1336" t="s">
        <v>19</v>
      </c>
      <c r="N1336">
        <v>5</v>
      </c>
      <c r="O1336">
        <v>869</v>
      </c>
      <c r="P1336">
        <v>1499</v>
      </c>
      <c r="Q1336">
        <v>0</v>
      </c>
      <c r="R1336">
        <v>0</v>
      </c>
      <c r="S1336">
        <v>7495</v>
      </c>
      <c r="T1336">
        <v>3150</v>
      </c>
      <c r="U1336">
        <v>42.03</v>
      </c>
      <c r="V1336" t="s">
        <v>33</v>
      </c>
    </row>
    <row r="1337" spans="1:22" x14ac:dyDescent="0.35">
      <c r="A1337" t="s">
        <v>2396</v>
      </c>
      <c r="B1337" t="s">
        <v>56</v>
      </c>
      <c r="C1337" t="s">
        <v>27</v>
      </c>
      <c r="D1337" t="s">
        <v>2395</v>
      </c>
      <c r="E1337" t="s">
        <v>2394</v>
      </c>
      <c r="F1337" s="5">
        <v>45542</v>
      </c>
      <c r="G1337" t="s">
        <v>126</v>
      </c>
      <c r="H1337" t="s">
        <v>1478</v>
      </c>
      <c r="I1337" t="s">
        <v>28</v>
      </c>
      <c r="J1337" t="s">
        <v>45</v>
      </c>
      <c r="K1337" t="s">
        <v>45</v>
      </c>
      <c r="L1337" t="s">
        <v>25</v>
      </c>
      <c r="M1337" t="s">
        <v>19</v>
      </c>
      <c r="N1337">
        <v>3</v>
      </c>
      <c r="O1337">
        <v>1308</v>
      </c>
      <c r="P1337">
        <v>1899</v>
      </c>
      <c r="Q1337">
        <v>20</v>
      </c>
      <c r="R1337">
        <v>1200</v>
      </c>
      <c r="S1337">
        <v>4497</v>
      </c>
      <c r="T1337">
        <v>573</v>
      </c>
      <c r="U1337">
        <v>12.74</v>
      </c>
      <c r="V1337" t="s">
        <v>33</v>
      </c>
    </row>
    <row r="1338" spans="1:22" x14ac:dyDescent="0.35">
      <c r="A1338" t="s">
        <v>2393</v>
      </c>
      <c r="B1338" t="s">
        <v>105</v>
      </c>
      <c r="C1338" t="s">
        <v>16</v>
      </c>
      <c r="D1338" t="s">
        <v>2392</v>
      </c>
      <c r="E1338" t="s">
        <v>2391</v>
      </c>
      <c r="F1338" s="5">
        <v>45653</v>
      </c>
      <c r="G1338" t="s">
        <v>126</v>
      </c>
      <c r="H1338" t="s">
        <v>2390</v>
      </c>
      <c r="I1338" t="s">
        <v>31</v>
      </c>
      <c r="J1338" t="s">
        <v>76</v>
      </c>
      <c r="K1338" t="s">
        <v>76</v>
      </c>
      <c r="L1338" t="s">
        <v>37</v>
      </c>
      <c r="M1338" t="s">
        <v>20</v>
      </c>
      <c r="N1338">
        <v>1</v>
      </c>
      <c r="O1338">
        <v>509</v>
      </c>
      <c r="P1338">
        <v>799</v>
      </c>
      <c r="Q1338">
        <v>0</v>
      </c>
      <c r="R1338">
        <v>0</v>
      </c>
      <c r="S1338">
        <v>799</v>
      </c>
      <c r="T1338">
        <v>290</v>
      </c>
      <c r="U1338">
        <v>36.299999999999997</v>
      </c>
      <c r="V1338" t="s">
        <v>21</v>
      </c>
    </row>
    <row r="1339" spans="1:22" x14ac:dyDescent="0.35">
      <c r="A1339" t="s">
        <v>2389</v>
      </c>
      <c r="B1339" t="s">
        <v>57</v>
      </c>
      <c r="C1339" t="s">
        <v>27</v>
      </c>
      <c r="D1339" t="s">
        <v>2388</v>
      </c>
      <c r="E1339" t="s">
        <v>2387</v>
      </c>
      <c r="F1339" s="5">
        <v>45564</v>
      </c>
      <c r="G1339" t="s">
        <v>126</v>
      </c>
      <c r="H1339" t="s">
        <v>2386</v>
      </c>
      <c r="I1339" t="s">
        <v>17</v>
      </c>
      <c r="J1339" t="s">
        <v>55</v>
      </c>
      <c r="K1339" t="s">
        <v>55</v>
      </c>
      <c r="L1339" t="s">
        <v>19</v>
      </c>
      <c r="M1339" t="s">
        <v>20</v>
      </c>
      <c r="N1339">
        <v>1</v>
      </c>
      <c r="O1339">
        <v>296</v>
      </c>
      <c r="P1339">
        <v>399</v>
      </c>
      <c r="Q1339">
        <v>0</v>
      </c>
      <c r="R1339">
        <v>0</v>
      </c>
      <c r="S1339">
        <v>399</v>
      </c>
      <c r="T1339">
        <v>103</v>
      </c>
      <c r="U1339">
        <v>25.81</v>
      </c>
      <c r="V1339" t="s">
        <v>21</v>
      </c>
    </row>
    <row r="1340" spans="1:22" x14ac:dyDescent="0.35">
      <c r="A1340" t="s">
        <v>2385</v>
      </c>
      <c r="B1340" t="s">
        <v>52</v>
      </c>
      <c r="C1340" t="s">
        <v>27</v>
      </c>
      <c r="D1340" t="s">
        <v>2384</v>
      </c>
      <c r="E1340" t="s">
        <v>2383</v>
      </c>
      <c r="F1340" s="5">
        <v>45655</v>
      </c>
      <c r="G1340" t="s">
        <v>126</v>
      </c>
      <c r="H1340" t="s">
        <v>2382</v>
      </c>
      <c r="I1340" t="s">
        <v>31</v>
      </c>
      <c r="J1340" t="s">
        <v>76</v>
      </c>
      <c r="K1340" t="s">
        <v>76</v>
      </c>
      <c r="L1340" t="s">
        <v>25</v>
      </c>
      <c r="M1340" t="s">
        <v>20</v>
      </c>
      <c r="N1340">
        <v>1</v>
      </c>
      <c r="O1340">
        <v>562</v>
      </c>
      <c r="P1340">
        <v>799</v>
      </c>
      <c r="Q1340">
        <v>0</v>
      </c>
      <c r="R1340">
        <v>0</v>
      </c>
      <c r="S1340">
        <v>799</v>
      </c>
      <c r="T1340">
        <v>237</v>
      </c>
      <c r="U1340">
        <v>29.66</v>
      </c>
      <c r="V1340" t="s">
        <v>33</v>
      </c>
    </row>
    <row r="1341" spans="1:22" x14ac:dyDescent="0.35">
      <c r="A1341" t="s">
        <v>2381</v>
      </c>
      <c r="B1341" t="s">
        <v>68</v>
      </c>
      <c r="C1341" t="s">
        <v>16</v>
      </c>
      <c r="D1341" t="s">
        <v>2380</v>
      </c>
      <c r="E1341" t="s">
        <v>2379</v>
      </c>
      <c r="F1341" s="5">
        <v>45646</v>
      </c>
      <c r="G1341" t="s">
        <v>126</v>
      </c>
      <c r="H1341" t="s">
        <v>2378</v>
      </c>
      <c r="I1341" t="s">
        <v>35</v>
      </c>
      <c r="J1341" t="s">
        <v>214</v>
      </c>
      <c r="K1341" t="s">
        <v>87</v>
      </c>
      <c r="L1341" t="s">
        <v>19</v>
      </c>
      <c r="M1341" t="s">
        <v>20</v>
      </c>
      <c r="N1341">
        <v>4</v>
      </c>
      <c r="O1341">
        <v>2495</v>
      </c>
      <c r="P1341">
        <v>3599</v>
      </c>
      <c r="Q1341">
        <v>15</v>
      </c>
      <c r="R1341">
        <v>2400</v>
      </c>
      <c r="S1341">
        <v>11996</v>
      </c>
      <c r="T1341">
        <v>2016</v>
      </c>
      <c r="U1341">
        <v>16.809999999999999</v>
      </c>
      <c r="V1341" t="s">
        <v>21</v>
      </c>
    </row>
    <row r="1342" spans="1:22" x14ac:dyDescent="0.35">
      <c r="A1342" t="s">
        <v>2377</v>
      </c>
      <c r="B1342" t="s">
        <v>84</v>
      </c>
      <c r="C1342" t="s">
        <v>27</v>
      </c>
      <c r="D1342" t="s">
        <v>2376</v>
      </c>
      <c r="E1342" t="s">
        <v>2375</v>
      </c>
      <c r="F1342" s="5">
        <v>45549</v>
      </c>
      <c r="G1342" t="s">
        <v>126</v>
      </c>
      <c r="H1342" t="s">
        <v>2374</v>
      </c>
      <c r="I1342" t="s">
        <v>28</v>
      </c>
      <c r="J1342" t="s">
        <v>201</v>
      </c>
      <c r="K1342" t="s">
        <v>29</v>
      </c>
      <c r="L1342" t="s">
        <v>25</v>
      </c>
      <c r="M1342" t="s">
        <v>20</v>
      </c>
      <c r="N1342">
        <v>2</v>
      </c>
      <c r="O1342">
        <v>357</v>
      </c>
      <c r="P1342">
        <v>499</v>
      </c>
      <c r="Q1342">
        <v>20</v>
      </c>
      <c r="R1342">
        <v>200</v>
      </c>
      <c r="S1342">
        <v>798</v>
      </c>
      <c r="T1342">
        <v>84</v>
      </c>
      <c r="U1342">
        <v>10.53</v>
      </c>
      <c r="V1342" t="s">
        <v>21</v>
      </c>
    </row>
    <row r="1343" spans="1:22" x14ac:dyDescent="0.35">
      <c r="A1343" t="s">
        <v>2373</v>
      </c>
      <c r="B1343" t="s">
        <v>104</v>
      </c>
      <c r="C1343" t="s">
        <v>27</v>
      </c>
      <c r="D1343" t="s">
        <v>2372</v>
      </c>
      <c r="E1343" t="s">
        <v>2371</v>
      </c>
      <c r="F1343" s="5">
        <v>45596</v>
      </c>
      <c r="G1343" t="s">
        <v>126</v>
      </c>
      <c r="H1343" t="s">
        <v>2370</v>
      </c>
      <c r="I1343" t="s">
        <v>28</v>
      </c>
      <c r="J1343" t="s">
        <v>45</v>
      </c>
      <c r="K1343" t="s">
        <v>45</v>
      </c>
      <c r="L1343" t="s">
        <v>25</v>
      </c>
      <c r="M1343" t="s">
        <v>20</v>
      </c>
      <c r="N1343">
        <v>4</v>
      </c>
      <c r="O1343">
        <v>564</v>
      </c>
      <c r="P1343">
        <v>999</v>
      </c>
      <c r="Q1343">
        <v>15</v>
      </c>
      <c r="R1343">
        <v>800</v>
      </c>
      <c r="S1343">
        <v>3196</v>
      </c>
      <c r="T1343">
        <v>940</v>
      </c>
      <c r="U1343">
        <v>29.41</v>
      </c>
      <c r="V1343" t="s">
        <v>21</v>
      </c>
    </row>
    <row r="1344" spans="1:22" x14ac:dyDescent="0.35">
      <c r="A1344" t="s">
        <v>2369</v>
      </c>
      <c r="B1344" t="s">
        <v>97</v>
      </c>
      <c r="C1344" t="s">
        <v>16</v>
      </c>
      <c r="D1344" t="s">
        <v>2368</v>
      </c>
      <c r="E1344" t="s">
        <v>2367</v>
      </c>
      <c r="F1344" s="5">
        <v>45601</v>
      </c>
      <c r="G1344" t="s">
        <v>126</v>
      </c>
      <c r="H1344" t="s">
        <v>2366</v>
      </c>
      <c r="I1344" t="s">
        <v>17</v>
      </c>
      <c r="J1344" t="s">
        <v>235</v>
      </c>
      <c r="K1344" t="s">
        <v>18</v>
      </c>
      <c r="L1344" t="s">
        <v>25</v>
      </c>
      <c r="M1344" t="s">
        <v>19</v>
      </c>
      <c r="N1344">
        <v>3</v>
      </c>
      <c r="O1344">
        <v>265</v>
      </c>
      <c r="P1344">
        <v>399</v>
      </c>
      <c r="Q1344">
        <v>0</v>
      </c>
      <c r="R1344">
        <v>0</v>
      </c>
      <c r="S1344">
        <v>1197</v>
      </c>
      <c r="T1344">
        <v>402</v>
      </c>
      <c r="U1344">
        <v>33.58</v>
      </c>
      <c r="V1344" t="s">
        <v>33</v>
      </c>
    </row>
    <row r="1345" spans="1:22" x14ac:dyDescent="0.35">
      <c r="A1345" t="s">
        <v>2365</v>
      </c>
      <c r="B1345" t="s">
        <v>65</v>
      </c>
      <c r="C1345" t="s">
        <v>16</v>
      </c>
      <c r="D1345" t="s">
        <v>2364</v>
      </c>
      <c r="E1345" t="s">
        <v>2363</v>
      </c>
      <c r="F1345" s="5">
        <v>45621</v>
      </c>
      <c r="G1345" t="s">
        <v>126</v>
      </c>
      <c r="H1345" t="s">
        <v>2362</v>
      </c>
      <c r="I1345" t="s">
        <v>31</v>
      </c>
      <c r="J1345" t="s">
        <v>32</v>
      </c>
      <c r="K1345" t="s">
        <v>32</v>
      </c>
      <c r="L1345" t="s">
        <v>37</v>
      </c>
      <c r="M1345" t="s">
        <v>19</v>
      </c>
      <c r="N1345">
        <v>1</v>
      </c>
      <c r="O1345">
        <v>834</v>
      </c>
      <c r="P1345">
        <v>1499</v>
      </c>
      <c r="Q1345">
        <v>0</v>
      </c>
      <c r="R1345">
        <v>0</v>
      </c>
      <c r="S1345">
        <v>1499</v>
      </c>
      <c r="T1345">
        <v>665</v>
      </c>
      <c r="U1345">
        <v>44.36</v>
      </c>
      <c r="V1345" t="s">
        <v>21</v>
      </c>
    </row>
    <row r="1346" spans="1:22" x14ac:dyDescent="0.35">
      <c r="A1346" t="s">
        <v>2361</v>
      </c>
      <c r="B1346" t="s">
        <v>84</v>
      </c>
      <c r="C1346" t="s">
        <v>27</v>
      </c>
      <c r="D1346" t="s">
        <v>2360</v>
      </c>
      <c r="E1346" t="s">
        <v>2359</v>
      </c>
      <c r="F1346" s="5">
        <v>45544</v>
      </c>
      <c r="G1346" t="s">
        <v>126</v>
      </c>
      <c r="H1346" t="s">
        <v>2358</v>
      </c>
      <c r="I1346" t="s">
        <v>28</v>
      </c>
      <c r="J1346" t="s">
        <v>201</v>
      </c>
      <c r="K1346" t="s">
        <v>29</v>
      </c>
      <c r="L1346" t="s">
        <v>19</v>
      </c>
      <c r="M1346" t="s">
        <v>19</v>
      </c>
      <c r="N1346">
        <v>2</v>
      </c>
      <c r="O1346">
        <v>365</v>
      </c>
      <c r="P1346">
        <v>699</v>
      </c>
      <c r="Q1346">
        <v>5</v>
      </c>
      <c r="R1346">
        <v>200</v>
      </c>
      <c r="S1346">
        <v>1198</v>
      </c>
      <c r="T1346">
        <v>468</v>
      </c>
      <c r="U1346">
        <v>39.07</v>
      </c>
      <c r="V1346" t="s">
        <v>21</v>
      </c>
    </row>
    <row r="1347" spans="1:22" x14ac:dyDescent="0.35">
      <c r="A1347" t="s">
        <v>2357</v>
      </c>
      <c r="B1347" t="s">
        <v>64</v>
      </c>
      <c r="C1347" t="s">
        <v>16</v>
      </c>
      <c r="D1347" t="s">
        <v>2356</v>
      </c>
      <c r="E1347" t="s">
        <v>2355</v>
      </c>
      <c r="F1347" s="5">
        <v>45458</v>
      </c>
      <c r="G1347" t="s">
        <v>126</v>
      </c>
      <c r="H1347" t="s">
        <v>2354</v>
      </c>
      <c r="I1347" t="s">
        <v>17</v>
      </c>
      <c r="J1347" t="s">
        <v>253</v>
      </c>
      <c r="K1347" t="s">
        <v>72</v>
      </c>
      <c r="L1347" t="s">
        <v>19</v>
      </c>
      <c r="M1347" t="s">
        <v>19</v>
      </c>
      <c r="N1347">
        <v>5</v>
      </c>
      <c r="O1347">
        <v>285</v>
      </c>
      <c r="P1347">
        <v>499</v>
      </c>
      <c r="Q1347">
        <v>0</v>
      </c>
      <c r="R1347">
        <v>0</v>
      </c>
      <c r="S1347">
        <v>2495</v>
      </c>
      <c r="T1347">
        <v>1070</v>
      </c>
      <c r="U1347">
        <v>42.89</v>
      </c>
      <c r="V1347" t="s">
        <v>21</v>
      </c>
    </row>
    <row r="1348" spans="1:22" x14ac:dyDescent="0.35">
      <c r="A1348" t="s">
        <v>2353</v>
      </c>
      <c r="B1348" t="s">
        <v>108</v>
      </c>
      <c r="C1348" t="s">
        <v>27</v>
      </c>
      <c r="D1348" t="s">
        <v>2352</v>
      </c>
      <c r="E1348" t="s">
        <v>2351</v>
      </c>
      <c r="F1348" s="5">
        <v>45599</v>
      </c>
      <c r="G1348" t="s">
        <v>126</v>
      </c>
      <c r="H1348" t="s">
        <v>1870</v>
      </c>
      <c r="I1348" t="s">
        <v>35</v>
      </c>
      <c r="J1348" t="s">
        <v>244</v>
      </c>
      <c r="K1348" t="s">
        <v>58</v>
      </c>
      <c r="L1348" t="s">
        <v>19</v>
      </c>
      <c r="M1348" t="s">
        <v>20</v>
      </c>
      <c r="N1348">
        <v>2</v>
      </c>
      <c r="O1348">
        <v>1011</v>
      </c>
      <c r="P1348">
        <v>1599</v>
      </c>
      <c r="Q1348">
        <v>5</v>
      </c>
      <c r="R1348">
        <v>200</v>
      </c>
      <c r="S1348">
        <v>2998</v>
      </c>
      <c r="T1348">
        <v>976</v>
      </c>
      <c r="U1348">
        <v>32.56</v>
      </c>
      <c r="V1348" t="s">
        <v>21</v>
      </c>
    </row>
    <row r="1349" spans="1:22" x14ac:dyDescent="0.35">
      <c r="A1349" t="s">
        <v>2350</v>
      </c>
      <c r="B1349" t="s">
        <v>70</v>
      </c>
      <c r="C1349" t="s">
        <v>27</v>
      </c>
      <c r="D1349" t="s">
        <v>2349</v>
      </c>
      <c r="E1349" t="s">
        <v>2348</v>
      </c>
      <c r="F1349" s="5">
        <v>45531</v>
      </c>
      <c r="G1349" t="s">
        <v>126</v>
      </c>
      <c r="H1349" t="s">
        <v>2347</v>
      </c>
      <c r="I1349" t="s">
        <v>35</v>
      </c>
      <c r="J1349" t="s">
        <v>39</v>
      </c>
      <c r="K1349" t="s">
        <v>39</v>
      </c>
      <c r="L1349" t="s">
        <v>37</v>
      </c>
      <c r="M1349" t="s">
        <v>20</v>
      </c>
      <c r="N1349">
        <v>1</v>
      </c>
      <c r="O1349">
        <v>473</v>
      </c>
      <c r="P1349">
        <v>799</v>
      </c>
      <c r="Q1349">
        <v>10</v>
      </c>
      <c r="R1349">
        <v>100</v>
      </c>
      <c r="S1349">
        <v>699</v>
      </c>
      <c r="T1349">
        <v>226</v>
      </c>
      <c r="U1349">
        <v>32.33</v>
      </c>
      <c r="V1349" t="s">
        <v>33</v>
      </c>
    </row>
    <row r="1350" spans="1:22" x14ac:dyDescent="0.35">
      <c r="A1350" t="s">
        <v>2346</v>
      </c>
      <c r="B1350" t="s">
        <v>105</v>
      </c>
      <c r="C1350" t="s">
        <v>16</v>
      </c>
      <c r="D1350" t="s">
        <v>2345</v>
      </c>
      <c r="E1350" t="s">
        <v>2344</v>
      </c>
      <c r="F1350" s="5">
        <v>45635</v>
      </c>
      <c r="G1350" t="s">
        <v>126</v>
      </c>
      <c r="H1350" t="s">
        <v>1404</v>
      </c>
      <c r="I1350" t="s">
        <v>31</v>
      </c>
      <c r="J1350" t="s">
        <v>76</v>
      </c>
      <c r="K1350" t="s">
        <v>76</v>
      </c>
      <c r="L1350" t="s">
        <v>19</v>
      </c>
      <c r="M1350" t="s">
        <v>20</v>
      </c>
      <c r="N1350">
        <v>1</v>
      </c>
      <c r="O1350">
        <v>689</v>
      </c>
      <c r="P1350">
        <v>999</v>
      </c>
      <c r="Q1350">
        <v>0</v>
      </c>
      <c r="R1350">
        <v>0</v>
      </c>
      <c r="S1350">
        <v>999</v>
      </c>
      <c r="T1350">
        <v>310</v>
      </c>
      <c r="U1350">
        <v>31.03</v>
      </c>
      <c r="V1350" t="s">
        <v>21</v>
      </c>
    </row>
    <row r="1351" spans="1:22" x14ac:dyDescent="0.35">
      <c r="A1351" t="s">
        <v>2343</v>
      </c>
      <c r="B1351" t="s">
        <v>99</v>
      </c>
      <c r="C1351" t="s">
        <v>27</v>
      </c>
      <c r="D1351" t="s">
        <v>2342</v>
      </c>
      <c r="E1351" t="s">
        <v>2341</v>
      </c>
      <c r="F1351" s="5">
        <v>45542</v>
      </c>
      <c r="G1351" t="s">
        <v>126</v>
      </c>
      <c r="H1351" t="s">
        <v>2340</v>
      </c>
      <c r="I1351" t="s">
        <v>23</v>
      </c>
      <c r="J1351" t="s">
        <v>164</v>
      </c>
      <c r="K1351" t="s">
        <v>24</v>
      </c>
      <c r="L1351" t="s">
        <v>25</v>
      </c>
      <c r="M1351" t="s">
        <v>20</v>
      </c>
      <c r="N1351">
        <v>3</v>
      </c>
      <c r="O1351">
        <v>945</v>
      </c>
      <c r="P1351">
        <v>1399</v>
      </c>
      <c r="Q1351">
        <v>10</v>
      </c>
      <c r="R1351">
        <v>600</v>
      </c>
      <c r="S1351">
        <v>3597</v>
      </c>
      <c r="T1351">
        <v>762</v>
      </c>
      <c r="U1351">
        <v>21.18</v>
      </c>
      <c r="V1351" t="s">
        <v>21</v>
      </c>
    </row>
    <row r="1352" spans="1:22" x14ac:dyDescent="0.35">
      <c r="A1352" t="s">
        <v>2339</v>
      </c>
      <c r="B1352" t="s">
        <v>71</v>
      </c>
      <c r="C1352" t="s">
        <v>16</v>
      </c>
      <c r="D1352" t="s">
        <v>2338</v>
      </c>
      <c r="E1352" t="s">
        <v>182</v>
      </c>
      <c r="F1352" s="5">
        <v>45487</v>
      </c>
      <c r="G1352" t="s">
        <v>126</v>
      </c>
      <c r="H1352" t="s">
        <v>964</v>
      </c>
      <c r="I1352" t="s">
        <v>23</v>
      </c>
      <c r="J1352" t="s">
        <v>142</v>
      </c>
      <c r="K1352" t="s">
        <v>43</v>
      </c>
      <c r="L1352" t="s">
        <v>25</v>
      </c>
      <c r="M1352" t="s">
        <v>19</v>
      </c>
      <c r="N1352">
        <v>2</v>
      </c>
      <c r="O1352">
        <v>1697</v>
      </c>
      <c r="P1352">
        <v>2499</v>
      </c>
      <c r="Q1352">
        <v>20</v>
      </c>
      <c r="R1352">
        <v>1000</v>
      </c>
      <c r="S1352">
        <v>3998</v>
      </c>
      <c r="T1352">
        <v>604</v>
      </c>
      <c r="U1352">
        <v>15.11</v>
      </c>
      <c r="V1352" t="s">
        <v>21</v>
      </c>
    </row>
    <row r="1353" spans="1:22" x14ac:dyDescent="0.35">
      <c r="A1353" t="s">
        <v>2337</v>
      </c>
      <c r="B1353" t="s">
        <v>57</v>
      </c>
      <c r="C1353" t="s">
        <v>27</v>
      </c>
      <c r="D1353" t="s">
        <v>2336</v>
      </c>
      <c r="E1353" t="s">
        <v>326</v>
      </c>
      <c r="F1353" s="5">
        <v>45493</v>
      </c>
      <c r="G1353" t="s">
        <v>126</v>
      </c>
      <c r="H1353" t="s">
        <v>321</v>
      </c>
      <c r="I1353" t="s">
        <v>31</v>
      </c>
      <c r="J1353" t="s">
        <v>32</v>
      </c>
      <c r="K1353" t="s">
        <v>32</v>
      </c>
      <c r="L1353" t="s">
        <v>19</v>
      </c>
      <c r="M1353" t="s">
        <v>20</v>
      </c>
      <c r="N1353">
        <v>1</v>
      </c>
      <c r="O1353">
        <v>596</v>
      </c>
      <c r="P1353">
        <v>899</v>
      </c>
      <c r="Q1353">
        <v>0</v>
      </c>
      <c r="R1353">
        <v>0</v>
      </c>
      <c r="S1353">
        <v>899</v>
      </c>
      <c r="T1353">
        <v>303</v>
      </c>
      <c r="U1353">
        <v>33.700000000000003</v>
      </c>
      <c r="V1353" t="s">
        <v>21</v>
      </c>
    </row>
    <row r="1354" spans="1:22" x14ac:dyDescent="0.35">
      <c r="A1354" t="s">
        <v>2335</v>
      </c>
      <c r="B1354" t="s">
        <v>46</v>
      </c>
      <c r="C1354" t="s">
        <v>16</v>
      </c>
      <c r="D1354" t="s">
        <v>2334</v>
      </c>
      <c r="E1354" t="s">
        <v>2333</v>
      </c>
      <c r="F1354" s="5">
        <v>45556</v>
      </c>
      <c r="G1354" t="s">
        <v>126</v>
      </c>
      <c r="H1354" t="s">
        <v>2332</v>
      </c>
      <c r="I1354" t="s">
        <v>31</v>
      </c>
      <c r="J1354" t="s">
        <v>76</v>
      </c>
      <c r="K1354" t="s">
        <v>76</v>
      </c>
      <c r="L1354" t="s">
        <v>19</v>
      </c>
      <c r="M1354" t="s">
        <v>19</v>
      </c>
      <c r="N1354">
        <v>1</v>
      </c>
      <c r="O1354">
        <v>461</v>
      </c>
      <c r="P1354">
        <v>699</v>
      </c>
      <c r="Q1354">
        <v>0</v>
      </c>
      <c r="R1354">
        <v>0</v>
      </c>
      <c r="S1354">
        <v>699</v>
      </c>
      <c r="T1354">
        <v>238</v>
      </c>
      <c r="U1354">
        <v>34.049999999999997</v>
      </c>
      <c r="V1354" t="s">
        <v>21</v>
      </c>
    </row>
    <row r="1355" spans="1:22" x14ac:dyDescent="0.35">
      <c r="A1355" t="s">
        <v>2331</v>
      </c>
      <c r="B1355" t="s">
        <v>101</v>
      </c>
      <c r="C1355" t="s">
        <v>16</v>
      </c>
      <c r="D1355" t="s">
        <v>2330</v>
      </c>
      <c r="E1355" t="s">
        <v>2329</v>
      </c>
      <c r="F1355" s="5">
        <v>45615</v>
      </c>
      <c r="G1355" t="s">
        <v>126</v>
      </c>
      <c r="H1355" t="s">
        <v>902</v>
      </c>
      <c r="I1355" t="s">
        <v>23</v>
      </c>
      <c r="J1355" t="s">
        <v>164</v>
      </c>
      <c r="K1355" t="s">
        <v>24</v>
      </c>
      <c r="L1355" t="s">
        <v>37</v>
      </c>
      <c r="M1355" t="s">
        <v>20</v>
      </c>
      <c r="N1355">
        <v>1</v>
      </c>
      <c r="O1355">
        <v>738</v>
      </c>
      <c r="P1355">
        <v>1099</v>
      </c>
      <c r="Q1355">
        <v>5</v>
      </c>
      <c r="R1355">
        <v>100</v>
      </c>
      <c r="S1355">
        <v>999</v>
      </c>
      <c r="T1355">
        <v>261</v>
      </c>
      <c r="U1355">
        <v>26.13</v>
      </c>
      <c r="V1355" t="s">
        <v>21</v>
      </c>
    </row>
    <row r="1356" spans="1:22" x14ac:dyDescent="0.35">
      <c r="A1356" t="s">
        <v>2328</v>
      </c>
      <c r="B1356" t="s">
        <v>103</v>
      </c>
      <c r="C1356" t="s">
        <v>16</v>
      </c>
      <c r="D1356" t="s">
        <v>2327</v>
      </c>
      <c r="E1356" t="s">
        <v>2326</v>
      </c>
      <c r="F1356" s="5">
        <v>45628</v>
      </c>
      <c r="G1356" t="s">
        <v>126</v>
      </c>
      <c r="H1356" t="s">
        <v>1937</v>
      </c>
      <c r="I1356" t="s">
        <v>17</v>
      </c>
      <c r="J1356" t="s">
        <v>55</v>
      </c>
      <c r="K1356" t="s">
        <v>55</v>
      </c>
      <c r="L1356" t="s">
        <v>19</v>
      </c>
      <c r="M1356" t="s">
        <v>19</v>
      </c>
      <c r="N1356">
        <v>1</v>
      </c>
      <c r="O1356">
        <v>421</v>
      </c>
      <c r="P1356">
        <v>599</v>
      </c>
      <c r="Q1356">
        <v>0</v>
      </c>
      <c r="R1356">
        <v>0</v>
      </c>
      <c r="S1356">
        <v>599</v>
      </c>
      <c r="T1356">
        <v>178</v>
      </c>
      <c r="U1356">
        <v>29.72</v>
      </c>
      <c r="V1356" t="s">
        <v>21</v>
      </c>
    </row>
    <row r="1357" spans="1:22" x14ac:dyDescent="0.35">
      <c r="A1357" t="s">
        <v>2325</v>
      </c>
      <c r="B1357" t="s">
        <v>80</v>
      </c>
      <c r="C1357" t="s">
        <v>27</v>
      </c>
      <c r="D1357" t="s">
        <v>2324</v>
      </c>
      <c r="E1357" t="s">
        <v>2323</v>
      </c>
      <c r="F1357" s="5">
        <v>45599</v>
      </c>
      <c r="G1357" t="s">
        <v>126</v>
      </c>
      <c r="H1357" t="s">
        <v>2322</v>
      </c>
      <c r="I1357" t="s">
        <v>17</v>
      </c>
      <c r="J1357" t="s">
        <v>55</v>
      </c>
      <c r="K1357" t="s">
        <v>55</v>
      </c>
      <c r="L1357" t="s">
        <v>25</v>
      </c>
      <c r="M1357" t="s">
        <v>19</v>
      </c>
      <c r="N1357">
        <v>2</v>
      </c>
      <c r="O1357">
        <v>359</v>
      </c>
      <c r="P1357">
        <v>599</v>
      </c>
      <c r="Q1357">
        <v>0</v>
      </c>
      <c r="R1357">
        <v>0</v>
      </c>
      <c r="S1357">
        <v>1198</v>
      </c>
      <c r="T1357">
        <v>480</v>
      </c>
      <c r="U1357">
        <v>40.07</v>
      </c>
      <c r="V1357" t="s">
        <v>33</v>
      </c>
    </row>
    <row r="1358" spans="1:22" x14ac:dyDescent="0.35">
      <c r="A1358" t="s">
        <v>2321</v>
      </c>
      <c r="B1358" t="s">
        <v>78</v>
      </c>
      <c r="C1358" t="s">
        <v>16</v>
      </c>
      <c r="D1358" t="s">
        <v>2320</v>
      </c>
      <c r="E1358" t="s">
        <v>2319</v>
      </c>
      <c r="F1358" s="5">
        <v>45613</v>
      </c>
      <c r="G1358" t="s">
        <v>126</v>
      </c>
      <c r="H1358" t="s">
        <v>2318</v>
      </c>
      <c r="I1358" t="s">
        <v>31</v>
      </c>
      <c r="J1358" t="s">
        <v>76</v>
      </c>
      <c r="K1358" t="s">
        <v>76</v>
      </c>
      <c r="L1358" t="s">
        <v>37</v>
      </c>
      <c r="M1358" t="s">
        <v>20</v>
      </c>
      <c r="N1358">
        <v>1</v>
      </c>
      <c r="O1358">
        <v>1087</v>
      </c>
      <c r="P1358">
        <v>1499</v>
      </c>
      <c r="Q1358">
        <v>0</v>
      </c>
      <c r="R1358">
        <v>0</v>
      </c>
      <c r="S1358">
        <v>1499</v>
      </c>
      <c r="T1358">
        <v>412</v>
      </c>
      <c r="U1358">
        <v>27.48</v>
      </c>
      <c r="V1358" t="s">
        <v>33</v>
      </c>
    </row>
    <row r="1359" spans="1:22" x14ac:dyDescent="0.35">
      <c r="A1359" t="s">
        <v>2317</v>
      </c>
      <c r="B1359" t="s">
        <v>102</v>
      </c>
      <c r="C1359" t="s">
        <v>27</v>
      </c>
      <c r="D1359" t="s">
        <v>2316</v>
      </c>
      <c r="E1359" t="s">
        <v>2315</v>
      </c>
      <c r="F1359" s="5">
        <v>45589</v>
      </c>
      <c r="G1359" t="s">
        <v>126</v>
      </c>
      <c r="H1359" t="s">
        <v>375</v>
      </c>
      <c r="I1359" t="s">
        <v>17</v>
      </c>
      <c r="J1359" t="s">
        <v>235</v>
      </c>
      <c r="K1359" t="s">
        <v>18</v>
      </c>
      <c r="L1359" t="s">
        <v>25</v>
      </c>
      <c r="M1359" t="s">
        <v>20</v>
      </c>
      <c r="N1359">
        <v>1</v>
      </c>
      <c r="O1359">
        <v>318</v>
      </c>
      <c r="P1359">
        <v>599</v>
      </c>
      <c r="Q1359">
        <v>0</v>
      </c>
      <c r="R1359">
        <v>0</v>
      </c>
      <c r="S1359">
        <v>599</v>
      </c>
      <c r="T1359">
        <v>281</v>
      </c>
      <c r="U1359">
        <v>46.91</v>
      </c>
      <c r="V1359" t="s">
        <v>21</v>
      </c>
    </row>
    <row r="1360" spans="1:22" x14ac:dyDescent="0.35">
      <c r="A1360" t="s">
        <v>2314</v>
      </c>
      <c r="B1360" t="s">
        <v>92</v>
      </c>
      <c r="C1360" t="s">
        <v>27</v>
      </c>
      <c r="D1360" t="s">
        <v>2313</v>
      </c>
      <c r="E1360" t="s">
        <v>2312</v>
      </c>
      <c r="F1360" s="5">
        <v>45495</v>
      </c>
      <c r="G1360" t="s">
        <v>126</v>
      </c>
      <c r="H1360" t="s">
        <v>383</v>
      </c>
      <c r="I1360" t="s">
        <v>23</v>
      </c>
      <c r="J1360" t="s">
        <v>164</v>
      </c>
      <c r="K1360" t="s">
        <v>24</v>
      </c>
      <c r="L1360" t="s">
        <v>25</v>
      </c>
      <c r="M1360" t="s">
        <v>20</v>
      </c>
      <c r="N1360">
        <v>5</v>
      </c>
      <c r="O1360">
        <v>1616</v>
      </c>
      <c r="P1360">
        <v>2299</v>
      </c>
      <c r="Q1360">
        <v>10</v>
      </c>
      <c r="R1360">
        <v>1500</v>
      </c>
      <c r="S1360">
        <v>9995</v>
      </c>
      <c r="T1360">
        <v>1915</v>
      </c>
      <c r="U1360">
        <v>19.16</v>
      </c>
      <c r="V1360" t="s">
        <v>21</v>
      </c>
    </row>
    <row r="1361" spans="1:22" x14ac:dyDescent="0.35">
      <c r="A1361" t="s">
        <v>2311</v>
      </c>
      <c r="B1361" t="s">
        <v>83</v>
      </c>
      <c r="C1361" t="s">
        <v>27</v>
      </c>
      <c r="D1361" t="s">
        <v>2310</v>
      </c>
      <c r="E1361" t="s">
        <v>2309</v>
      </c>
      <c r="F1361" s="5">
        <v>45521</v>
      </c>
      <c r="G1361" t="s">
        <v>126</v>
      </c>
      <c r="H1361" t="s">
        <v>2308</v>
      </c>
      <c r="I1361" t="s">
        <v>28</v>
      </c>
      <c r="J1361" t="s">
        <v>45</v>
      </c>
      <c r="K1361" t="s">
        <v>45</v>
      </c>
      <c r="L1361" t="s">
        <v>37</v>
      </c>
      <c r="M1361" t="s">
        <v>19</v>
      </c>
      <c r="N1361">
        <v>1</v>
      </c>
      <c r="O1361">
        <v>1006</v>
      </c>
      <c r="P1361">
        <v>1499</v>
      </c>
      <c r="Q1361">
        <v>15</v>
      </c>
      <c r="R1361">
        <v>300</v>
      </c>
      <c r="S1361">
        <v>1199</v>
      </c>
      <c r="T1361">
        <v>193</v>
      </c>
      <c r="U1361">
        <v>16.100000000000001</v>
      </c>
      <c r="V1361" t="s">
        <v>21</v>
      </c>
    </row>
    <row r="1362" spans="1:22" x14ac:dyDescent="0.35">
      <c r="A1362" t="s">
        <v>2307</v>
      </c>
      <c r="B1362" t="s">
        <v>59</v>
      </c>
      <c r="C1362" t="s">
        <v>27</v>
      </c>
      <c r="D1362" t="s">
        <v>2306</v>
      </c>
      <c r="E1362" t="s">
        <v>2305</v>
      </c>
      <c r="F1362" s="5">
        <v>45611</v>
      </c>
      <c r="G1362" t="s">
        <v>126</v>
      </c>
      <c r="H1362" t="s">
        <v>2304</v>
      </c>
      <c r="I1362" t="s">
        <v>17</v>
      </c>
      <c r="J1362" t="s">
        <v>235</v>
      </c>
      <c r="K1362" t="s">
        <v>18</v>
      </c>
      <c r="L1362" t="s">
        <v>19</v>
      </c>
      <c r="M1362" t="s">
        <v>19</v>
      </c>
      <c r="N1362">
        <v>1</v>
      </c>
      <c r="O1362">
        <v>431</v>
      </c>
      <c r="P1362">
        <v>599</v>
      </c>
      <c r="Q1362">
        <v>0</v>
      </c>
      <c r="R1362">
        <v>0</v>
      </c>
      <c r="S1362">
        <v>599</v>
      </c>
      <c r="T1362">
        <v>168</v>
      </c>
      <c r="U1362">
        <v>28.05</v>
      </c>
      <c r="V1362" t="s">
        <v>33</v>
      </c>
    </row>
    <row r="1363" spans="1:22" x14ac:dyDescent="0.35">
      <c r="A1363" t="s">
        <v>2303</v>
      </c>
      <c r="B1363" t="s">
        <v>69</v>
      </c>
      <c r="C1363" t="s">
        <v>16</v>
      </c>
      <c r="D1363" t="s">
        <v>2302</v>
      </c>
      <c r="E1363" t="s">
        <v>2301</v>
      </c>
      <c r="F1363" s="5">
        <v>45535</v>
      </c>
      <c r="G1363" t="s">
        <v>126</v>
      </c>
      <c r="H1363" t="s">
        <v>2300</v>
      </c>
      <c r="I1363" t="s">
        <v>35</v>
      </c>
      <c r="J1363" t="s">
        <v>214</v>
      </c>
      <c r="K1363" t="s">
        <v>87</v>
      </c>
      <c r="L1363" t="s">
        <v>37</v>
      </c>
      <c r="M1363" t="s">
        <v>20</v>
      </c>
      <c r="N1363">
        <v>2</v>
      </c>
      <c r="O1363">
        <v>1792</v>
      </c>
      <c r="P1363">
        <v>2799</v>
      </c>
      <c r="Q1363">
        <v>10</v>
      </c>
      <c r="R1363">
        <v>600</v>
      </c>
      <c r="S1363">
        <v>4998</v>
      </c>
      <c r="T1363">
        <v>1414</v>
      </c>
      <c r="U1363">
        <v>28.29</v>
      </c>
      <c r="V1363" t="s">
        <v>21</v>
      </c>
    </row>
    <row r="1364" spans="1:22" x14ac:dyDescent="0.35">
      <c r="A1364" t="s">
        <v>2299</v>
      </c>
      <c r="B1364" t="s">
        <v>104</v>
      </c>
      <c r="C1364" t="s">
        <v>27</v>
      </c>
      <c r="D1364" t="s">
        <v>2298</v>
      </c>
      <c r="E1364" t="s">
        <v>842</v>
      </c>
      <c r="F1364" s="5">
        <v>45550</v>
      </c>
      <c r="G1364" t="s">
        <v>126</v>
      </c>
      <c r="H1364" t="s">
        <v>611</v>
      </c>
      <c r="I1364" t="s">
        <v>35</v>
      </c>
      <c r="J1364" t="s">
        <v>159</v>
      </c>
      <c r="K1364" t="s">
        <v>36</v>
      </c>
      <c r="L1364" t="s">
        <v>37</v>
      </c>
      <c r="M1364" t="s">
        <v>20</v>
      </c>
      <c r="N1364">
        <v>3</v>
      </c>
      <c r="O1364">
        <v>355</v>
      </c>
      <c r="P1364">
        <v>499</v>
      </c>
      <c r="Q1364">
        <v>5</v>
      </c>
      <c r="R1364">
        <v>300</v>
      </c>
      <c r="S1364">
        <v>1197</v>
      </c>
      <c r="T1364">
        <v>132</v>
      </c>
      <c r="U1364">
        <v>11.03</v>
      </c>
      <c r="V1364" t="s">
        <v>21</v>
      </c>
    </row>
    <row r="1365" spans="1:22" x14ac:dyDescent="0.35">
      <c r="A1365" t="s">
        <v>2297</v>
      </c>
      <c r="B1365" t="s">
        <v>73</v>
      </c>
      <c r="C1365" t="s">
        <v>16</v>
      </c>
      <c r="D1365" t="s">
        <v>2296</v>
      </c>
      <c r="E1365" t="s">
        <v>2295</v>
      </c>
      <c r="F1365" s="5">
        <v>45581</v>
      </c>
      <c r="G1365" t="s">
        <v>126</v>
      </c>
      <c r="H1365" t="s">
        <v>2294</v>
      </c>
      <c r="I1365" t="s">
        <v>23</v>
      </c>
      <c r="J1365" t="s">
        <v>164</v>
      </c>
      <c r="K1365" t="s">
        <v>24</v>
      </c>
      <c r="L1365" t="s">
        <v>25</v>
      </c>
      <c r="M1365" t="s">
        <v>20</v>
      </c>
      <c r="N1365">
        <v>1</v>
      </c>
      <c r="O1365">
        <v>1416</v>
      </c>
      <c r="P1365">
        <v>2199</v>
      </c>
      <c r="Q1365">
        <v>5</v>
      </c>
      <c r="R1365">
        <v>200</v>
      </c>
      <c r="S1365">
        <v>1999</v>
      </c>
      <c r="T1365">
        <v>583</v>
      </c>
      <c r="U1365">
        <v>29.16</v>
      </c>
      <c r="V1365" t="s">
        <v>21</v>
      </c>
    </row>
    <row r="1366" spans="1:22" x14ac:dyDescent="0.35">
      <c r="A1366" t="s">
        <v>2293</v>
      </c>
      <c r="B1366" t="s">
        <v>96</v>
      </c>
      <c r="C1366" t="s">
        <v>16</v>
      </c>
      <c r="D1366" t="s">
        <v>2292</v>
      </c>
      <c r="E1366" t="s">
        <v>2291</v>
      </c>
      <c r="F1366" s="5">
        <v>45489</v>
      </c>
      <c r="G1366" t="s">
        <v>126</v>
      </c>
      <c r="H1366" t="s">
        <v>1948</v>
      </c>
      <c r="I1366" t="s">
        <v>31</v>
      </c>
      <c r="J1366" t="s">
        <v>76</v>
      </c>
      <c r="K1366" t="s">
        <v>76</v>
      </c>
      <c r="L1366" t="s">
        <v>37</v>
      </c>
      <c r="M1366" t="s">
        <v>20</v>
      </c>
      <c r="N1366">
        <v>1</v>
      </c>
      <c r="O1366">
        <v>619</v>
      </c>
      <c r="P1366">
        <v>999</v>
      </c>
      <c r="Q1366">
        <v>0</v>
      </c>
      <c r="R1366">
        <v>0</v>
      </c>
      <c r="S1366">
        <v>999</v>
      </c>
      <c r="T1366">
        <v>380</v>
      </c>
      <c r="U1366">
        <v>38.04</v>
      </c>
      <c r="V1366" t="s">
        <v>21</v>
      </c>
    </row>
    <row r="1367" spans="1:22" x14ac:dyDescent="0.35">
      <c r="A1367" t="s">
        <v>2290</v>
      </c>
      <c r="B1367" t="s">
        <v>64</v>
      </c>
      <c r="C1367" t="s">
        <v>16</v>
      </c>
      <c r="D1367" t="s">
        <v>2289</v>
      </c>
      <c r="E1367" t="s">
        <v>2288</v>
      </c>
      <c r="F1367" s="5">
        <v>45577</v>
      </c>
      <c r="G1367" t="s">
        <v>126</v>
      </c>
      <c r="H1367" t="s">
        <v>442</v>
      </c>
      <c r="I1367" t="s">
        <v>23</v>
      </c>
      <c r="J1367" t="s">
        <v>142</v>
      </c>
      <c r="K1367" t="s">
        <v>43</v>
      </c>
      <c r="L1367" t="s">
        <v>25</v>
      </c>
      <c r="M1367" t="s">
        <v>20</v>
      </c>
      <c r="N1367">
        <v>2</v>
      </c>
      <c r="O1367">
        <v>1868</v>
      </c>
      <c r="P1367">
        <v>2499</v>
      </c>
      <c r="Q1367">
        <v>20</v>
      </c>
      <c r="R1367">
        <v>1000</v>
      </c>
      <c r="S1367">
        <v>3998</v>
      </c>
      <c r="T1367">
        <v>262</v>
      </c>
      <c r="U1367">
        <v>6.55</v>
      </c>
      <c r="V1367" t="s">
        <v>21</v>
      </c>
    </row>
    <row r="1368" spans="1:22" x14ac:dyDescent="0.35">
      <c r="A1368" t="s">
        <v>2287</v>
      </c>
      <c r="B1368" t="s">
        <v>93</v>
      </c>
      <c r="C1368" t="s">
        <v>16</v>
      </c>
      <c r="D1368" t="s">
        <v>2286</v>
      </c>
      <c r="E1368" t="s">
        <v>2285</v>
      </c>
      <c r="F1368" s="5">
        <v>45495</v>
      </c>
      <c r="G1368" t="s">
        <v>126</v>
      </c>
      <c r="H1368" t="s">
        <v>1723</v>
      </c>
      <c r="I1368" t="s">
        <v>35</v>
      </c>
      <c r="J1368" t="s">
        <v>244</v>
      </c>
      <c r="K1368" t="s">
        <v>58</v>
      </c>
      <c r="L1368" t="s">
        <v>19</v>
      </c>
      <c r="M1368" t="s">
        <v>20</v>
      </c>
      <c r="N1368">
        <v>1</v>
      </c>
      <c r="O1368">
        <v>1299</v>
      </c>
      <c r="P1368">
        <v>2499</v>
      </c>
      <c r="Q1368">
        <v>20</v>
      </c>
      <c r="R1368">
        <v>500</v>
      </c>
      <c r="S1368">
        <v>1999</v>
      </c>
      <c r="T1368">
        <v>700</v>
      </c>
      <c r="U1368">
        <v>35.020000000000003</v>
      </c>
      <c r="V1368" t="s">
        <v>33</v>
      </c>
    </row>
    <row r="1369" spans="1:22" x14ac:dyDescent="0.35">
      <c r="A1369" t="s">
        <v>2284</v>
      </c>
      <c r="B1369" t="s">
        <v>80</v>
      </c>
      <c r="C1369" t="s">
        <v>27</v>
      </c>
      <c r="D1369" t="s">
        <v>2283</v>
      </c>
      <c r="E1369" t="s">
        <v>2282</v>
      </c>
      <c r="F1369" s="5">
        <v>45453</v>
      </c>
      <c r="G1369" t="s">
        <v>126</v>
      </c>
      <c r="H1369" t="s">
        <v>1902</v>
      </c>
      <c r="I1369" t="s">
        <v>17</v>
      </c>
      <c r="J1369" t="s">
        <v>253</v>
      </c>
      <c r="K1369" t="s">
        <v>72</v>
      </c>
      <c r="L1369" t="s">
        <v>25</v>
      </c>
      <c r="M1369" t="s">
        <v>19</v>
      </c>
      <c r="N1369">
        <v>2</v>
      </c>
      <c r="O1369">
        <v>345</v>
      </c>
      <c r="P1369">
        <v>499</v>
      </c>
      <c r="Q1369">
        <v>0</v>
      </c>
      <c r="R1369">
        <v>0</v>
      </c>
      <c r="S1369">
        <v>998</v>
      </c>
      <c r="T1369">
        <v>308</v>
      </c>
      <c r="U1369">
        <v>30.86</v>
      </c>
      <c r="V1369" t="s">
        <v>21</v>
      </c>
    </row>
    <row r="1370" spans="1:22" x14ac:dyDescent="0.35">
      <c r="A1370" t="s">
        <v>2281</v>
      </c>
      <c r="B1370" t="s">
        <v>54</v>
      </c>
      <c r="C1370" t="s">
        <v>27</v>
      </c>
      <c r="D1370" t="s">
        <v>2280</v>
      </c>
      <c r="E1370" t="s">
        <v>2279</v>
      </c>
      <c r="F1370" s="5">
        <v>45513</v>
      </c>
      <c r="G1370" t="s">
        <v>126</v>
      </c>
      <c r="H1370" t="s">
        <v>2278</v>
      </c>
      <c r="I1370" t="s">
        <v>28</v>
      </c>
      <c r="J1370" t="s">
        <v>201</v>
      </c>
      <c r="K1370" t="s">
        <v>29</v>
      </c>
      <c r="L1370" t="s">
        <v>37</v>
      </c>
      <c r="M1370" t="s">
        <v>19</v>
      </c>
      <c r="N1370">
        <v>2</v>
      </c>
      <c r="O1370">
        <v>428</v>
      </c>
      <c r="P1370">
        <v>599</v>
      </c>
      <c r="Q1370">
        <v>10</v>
      </c>
      <c r="R1370">
        <v>200</v>
      </c>
      <c r="S1370">
        <v>998</v>
      </c>
      <c r="T1370">
        <v>142</v>
      </c>
      <c r="U1370">
        <v>14.23</v>
      </c>
      <c r="V1370" t="s">
        <v>33</v>
      </c>
    </row>
    <row r="1371" spans="1:22" x14ac:dyDescent="0.35">
      <c r="A1371" t="s">
        <v>2277</v>
      </c>
      <c r="B1371" t="s">
        <v>42</v>
      </c>
      <c r="C1371" t="s">
        <v>27</v>
      </c>
      <c r="D1371" t="s">
        <v>2276</v>
      </c>
      <c r="E1371" t="s">
        <v>842</v>
      </c>
      <c r="F1371" s="5">
        <v>45546</v>
      </c>
      <c r="G1371" t="s">
        <v>126</v>
      </c>
      <c r="H1371" t="s">
        <v>2275</v>
      </c>
      <c r="I1371" t="s">
        <v>23</v>
      </c>
      <c r="J1371" t="s">
        <v>142</v>
      </c>
      <c r="K1371" t="s">
        <v>43</v>
      </c>
      <c r="L1371" t="s">
        <v>37</v>
      </c>
      <c r="M1371" t="s">
        <v>20</v>
      </c>
      <c r="N1371">
        <v>2</v>
      </c>
      <c r="O1371">
        <v>2139</v>
      </c>
      <c r="P1371">
        <v>2999</v>
      </c>
      <c r="Q1371">
        <v>15</v>
      </c>
      <c r="R1371">
        <v>1000</v>
      </c>
      <c r="S1371">
        <v>4998</v>
      </c>
      <c r="T1371">
        <v>720</v>
      </c>
      <c r="U1371">
        <v>14.41</v>
      </c>
      <c r="V1371" t="s">
        <v>33</v>
      </c>
    </row>
    <row r="1372" spans="1:22" x14ac:dyDescent="0.35">
      <c r="A1372" t="s">
        <v>2274</v>
      </c>
      <c r="B1372" t="s">
        <v>68</v>
      </c>
      <c r="C1372" t="s">
        <v>16</v>
      </c>
      <c r="D1372" t="s">
        <v>2273</v>
      </c>
      <c r="E1372" t="s">
        <v>2272</v>
      </c>
      <c r="F1372" s="5">
        <v>45609</v>
      </c>
      <c r="G1372" t="s">
        <v>126</v>
      </c>
      <c r="H1372" t="s">
        <v>2271</v>
      </c>
      <c r="I1372" t="s">
        <v>23</v>
      </c>
      <c r="J1372" t="s">
        <v>142</v>
      </c>
      <c r="K1372" t="s">
        <v>43</v>
      </c>
      <c r="L1372" t="s">
        <v>37</v>
      </c>
      <c r="M1372" t="s">
        <v>19</v>
      </c>
      <c r="N1372">
        <v>3</v>
      </c>
      <c r="O1372">
        <v>2477</v>
      </c>
      <c r="P1372">
        <v>3699</v>
      </c>
      <c r="Q1372">
        <v>5</v>
      </c>
      <c r="R1372">
        <v>600</v>
      </c>
      <c r="S1372">
        <v>10497</v>
      </c>
      <c r="T1372">
        <v>3066</v>
      </c>
      <c r="U1372">
        <v>29.21</v>
      </c>
      <c r="V1372" t="s">
        <v>21</v>
      </c>
    </row>
    <row r="1373" spans="1:22" x14ac:dyDescent="0.35">
      <c r="A1373" t="s">
        <v>2270</v>
      </c>
      <c r="B1373" t="s">
        <v>105</v>
      </c>
      <c r="C1373" t="s">
        <v>16</v>
      </c>
      <c r="D1373" t="s">
        <v>2269</v>
      </c>
      <c r="E1373" t="s">
        <v>2268</v>
      </c>
      <c r="F1373" s="5">
        <v>45614</v>
      </c>
      <c r="G1373" t="s">
        <v>126</v>
      </c>
      <c r="H1373" t="s">
        <v>2267</v>
      </c>
      <c r="I1373" t="s">
        <v>35</v>
      </c>
      <c r="J1373" t="s">
        <v>244</v>
      </c>
      <c r="K1373" t="s">
        <v>58</v>
      </c>
      <c r="L1373" t="s">
        <v>37</v>
      </c>
      <c r="M1373" t="s">
        <v>20</v>
      </c>
      <c r="N1373">
        <v>3</v>
      </c>
      <c r="O1373">
        <v>1083</v>
      </c>
      <c r="P1373">
        <v>1699</v>
      </c>
      <c r="Q1373">
        <v>10</v>
      </c>
      <c r="R1373">
        <v>600</v>
      </c>
      <c r="S1373">
        <v>4497</v>
      </c>
      <c r="T1373">
        <v>1248</v>
      </c>
      <c r="U1373">
        <v>27.75</v>
      </c>
      <c r="V1373" t="s">
        <v>21</v>
      </c>
    </row>
    <row r="1374" spans="1:22" x14ac:dyDescent="0.35">
      <c r="A1374" t="s">
        <v>2266</v>
      </c>
      <c r="B1374" t="s">
        <v>75</v>
      </c>
      <c r="C1374" t="s">
        <v>27</v>
      </c>
      <c r="D1374" t="s">
        <v>2265</v>
      </c>
      <c r="E1374" t="s">
        <v>2264</v>
      </c>
      <c r="F1374" s="5">
        <v>45548</v>
      </c>
      <c r="G1374" t="s">
        <v>126</v>
      </c>
      <c r="H1374" t="s">
        <v>1073</v>
      </c>
      <c r="I1374" t="s">
        <v>35</v>
      </c>
      <c r="J1374" t="s">
        <v>159</v>
      </c>
      <c r="K1374" t="s">
        <v>100</v>
      </c>
      <c r="L1374" t="s">
        <v>37</v>
      </c>
      <c r="M1374" t="s">
        <v>19</v>
      </c>
      <c r="N1374">
        <v>1</v>
      </c>
      <c r="O1374">
        <v>1187</v>
      </c>
      <c r="P1374">
        <v>2199</v>
      </c>
      <c r="Q1374">
        <v>5</v>
      </c>
      <c r="R1374">
        <v>200</v>
      </c>
      <c r="S1374">
        <v>1999</v>
      </c>
      <c r="T1374">
        <v>812</v>
      </c>
      <c r="U1374">
        <v>40.619999999999997</v>
      </c>
      <c r="V1374" t="s">
        <v>21</v>
      </c>
    </row>
    <row r="1375" spans="1:22" x14ac:dyDescent="0.35">
      <c r="A1375" t="s">
        <v>2263</v>
      </c>
      <c r="B1375" t="s">
        <v>106</v>
      </c>
      <c r="C1375" t="s">
        <v>27</v>
      </c>
      <c r="D1375" t="s">
        <v>2262</v>
      </c>
      <c r="E1375" t="s">
        <v>2261</v>
      </c>
      <c r="F1375" s="5">
        <v>45542</v>
      </c>
      <c r="G1375" t="s">
        <v>126</v>
      </c>
      <c r="H1375" t="s">
        <v>917</v>
      </c>
      <c r="I1375" t="s">
        <v>31</v>
      </c>
      <c r="J1375" t="s">
        <v>76</v>
      </c>
      <c r="K1375" t="s">
        <v>76</v>
      </c>
      <c r="L1375" t="s">
        <v>19</v>
      </c>
      <c r="M1375" t="s">
        <v>19</v>
      </c>
      <c r="N1375">
        <v>4</v>
      </c>
      <c r="O1375">
        <v>539</v>
      </c>
      <c r="P1375">
        <v>799</v>
      </c>
      <c r="Q1375">
        <v>0</v>
      </c>
      <c r="R1375">
        <v>0</v>
      </c>
      <c r="S1375">
        <v>3196</v>
      </c>
      <c r="T1375">
        <v>1040</v>
      </c>
      <c r="U1375">
        <v>32.54</v>
      </c>
      <c r="V1375" t="s">
        <v>21</v>
      </c>
    </row>
    <row r="1376" spans="1:22" x14ac:dyDescent="0.35">
      <c r="A1376" t="s">
        <v>2260</v>
      </c>
      <c r="B1376" t="s">
        <v>95</v>
      </c>
      <c r="C1376" t="s">
        <v>27</v>
      </c>
      <c r="D1376" t="s">
        <v>2259</v>
      </c>
      <c r="E1376" t="s">
        <v>2258</v>
      </c>
      <c r="F1376" s="5">
        <v>45553</v>
      </c>
      <c r="G1376" t="s">
        <v>126</v>
      </c>
      <c r="H1376" t="s">
        <v>2257</v>
      </c>
      <c r="I1376" t="s">
        <v>17</v>
      </c>
      <c r="J1376" t="s">
        <v>253</v>
      </c>
      <c r="K1376" t="s">
        <v>72</v>
      </c>
      <c r="L1376" t="s">
        <v>25</v>
      </c>
      <c r="M1376" t="s">
        <v>20</v>
      </c>
      <c r="N1376">
        <v>1</v>
      </c>
      <c r="O1376">
        <v>350</v>
      </c>
      <c r="P1376">
        <v>499</v>
      </c>
      <c r="Q1376">
        <v>0</v>
      </c>
      <c r="R1376">
        <v>0</v>
      </c>
      <c r="S1376">
        <v>499</v>
      </c>
      <c r="T1376">
        <v>149</v>
      </c>
      <c r="U1376">
        <v>29.86</v>
      </c>
      <c r="V1376" t="s">
        <v>33</v>
      </c>
    </row>
    <row r="1377" spans="1:22" x14ac:dyDescent="0.35">
      <c r="A1377" t="s">
        <v>2256</v>
      </c>
      <c r="B1377" t="s">
        <v>94</v>
      </c>
      <c r="C1377" t="s">
        <v>16</v>
      </c>
      <c r="D1377" t="s">
        <v>2255</v>
      </c>
      <c r="E1377" t="s">
        <v>2254</v>
      </c>
      <c r="F1377" s="5">
        <v>45493</v>
      </c>
      <c r="G1377" t="s">
        <v>126</v>
      </c>
      <c r="H1377" t="s">
        <v>940</v>
      </c>
      <c r="I1377" t="s">
        <v>23</v>
      </c>
      <c r="J1377" t="s">
        <v>164</v>
      </c>
      <c r="K1377" t="s">
        <v>24</v>
      </c>
      <c r="L1377" t="s">
        <v>37</v>
      </c>
      <c r="M1377" t="s">
        <v>19</v>
      </c>
      <c r="N1377">
        <v>1</v>
      </c>
      <c r="O1377">
        <v>1301</v>
      </c>
      <c r="P1377">
        <v>2399</v>
      </c>
      <c r="Q1377">
        <v>15</v>
      </c>
      <c r="R1377">
        <v>400</v>
      </c>
      <c r="S1377">
        <v>1999</v>
      </c>
      <c r="T1377">
        <v>698</v>
      </c>
      <c r="U1377">
        <v>34.92</v>
      </c>
      <c r="V1377" t="s">
        <v>21</v>
      </c>
    </row>
    <row r="1378" spans="1:22" x14ac:dyDescent="0.35">
      <c r="A1378" t="s">
        <v>2253</v>
      </c>
      <c r="B1378" t="s">
        <v>59</v>
      </c>
      <c r="C1378" t="s">
        <v>27</v>
      </c>
      <c r="D1378" t="s">
        <v>2252</v>
      </c>
      <c r="E1378" t="s">
        <v>2251</v>
      </c>
      <c r="F1378" s="5">
        <v>45591</v>
      </c>
      <c r="G1378" t="s">
        <v>126</v>
      </c>
      <c r="H1378" t="s">
        <v>2250</v>
      </c>
      <c r="I1378" t="s">
        <v>23</v>
      </c>
      <c r="J1378" t="s">
        <v>142</v>
      </c>
      <c r="K1378" t="s">
        <v>43</v>
      </c>
      <c r="L1378" t="s">
        <v>19</v>
      </c>
      <c r="M1378" t="s">
        <v>20</v>
      </c>
      <c r="N1378">
        <v>1</v>
      </c>
      <c r="O1378">
        <v>1304</v>
      </c>
      <c r="P1378">
        <v>1999</v>
      </c>
      <c r="Q1378">
        <v>5</v>
      </c>
      <c r="R1378">
        <v>100</v>
      </c>
      <c r="S1378">
        <v>1899</v>
      </c>
      <c r="T1378">
        <v>595</v>
      </c>
      <c r="U1378">
        <v>31.33</v>
      </c>
      <c r="V1378" t="s">
        <v>33</v>
      </c>
    </row>
    <row r="1379" spans="1:22" x14ac:dyDescent="0.35">
      <c r="A1379" t="s">
        <v>2249</v>
      </c>
      <c r="B1379" t="s">
        <v>95</v>
      </c>
      <c r="C1379" t="s">
        <v>27</v>
      </c>
      <c r="D1379" t="s">
        <v>2248</v>
      </c>
      <c r="E1379" t="s">
        <v>2247</v>
      </c>
      <c r="F1379" s="5">
        <v>45641</v>
      </c>
      <c r="G1379" t="s">
        <v>126</v>
      </c>
      <c r="H1379" t="s">
        <v>2246</v>
      </c>
      <c r="I1379" t="s">
        <v>31</v>
      </c>
      <c r="J1379" t="s">
        <v>32</v>
      </c>
      <c r="K1379" t="s">
        <v>32</v>
      </c>
      <c r="L1379" t="s">
        <v>19</v>
      </c>
      <c r="M1379" t="s">
        <v>19</v>
      </c>
      <c r="N1379">
        <v>1</v>
      </c>
      <c r="O1379">
        <v>1015</v>
      </c>
      <c r="P1379">
        <v>1399</v>
      </c>
      <c r="Q1379">
        <v>0</v>
      </c>
      <c r="R1379">
        <v>0</v>
      </c>
      <c r="S1379">
        <v>1399</v>
      </c>
      <c r="T1379">
        <v>384</v>
      </c>
      <c r="U1379">
        <v>27.45</v>
      </c>
      <c r="V1379" t="s">
        <v>21</v>
      </c>
    </row>
    <row r="1380" spans="1:22" x14ac:dyDescent="0.35">
      <c r="A1380" t="s">
        <v>2245</v>
      </c>
      <c r="B1380" t="s">
        <v>79</v>
      </c>
      <c r="C1380" t="s">
        <v>16</v>
      </c>
      <c r="D1380" t="s">
        <v>2244</v>
      </c>
      <c r="E1380" t="s">
        <v>2243</v>
      </c>
      <c r="F1380" s="5">
        <v>45480</v>
      </c>
      <c r="G1380" t="s">
        <v>126</v>
      </c>
      <c r="H1380" t="s">
        <v>1209</v>
      </c>
      <c r="I1380" t="s">
        <v>35</v>
      </c>
      <c r="J1380" t="s">
        <v>41</v>
      </c>
      <c r="K1380" t="s">
        <v>41</v>
      </c>
      <c r="L1380" t="s">
        <v>25</v>
      </c>
      <c r="M1380" t="s">
        <v>20</v>
      </c>
      <c r="N1380">
        <v>2</v>
      </c>
      <c r="O1380">
        <v>448</v>
      </c>
      <c r="P1380">
        <v>599</v>
      </c>
      <c r="Q1380">
        <v>10</v>
      </c>
      <c r="R1380">
        <v>200</v>
      </c>
      <c r="S1380">
        <v>998</v>
      </c>
      <c r="T1380">
        <v>102</v>
      </c>
      <c r="U1380">
        <v>10.220000000000001</v>
      </c>
      <c r="V1380" t="s">
        <v>33</v>
      </c>
    </row>
    <row r="1381" spans="1:22" x14ac:dyDescent="0.35">
      <c r="A1381" t="s">
        <v>2242</v>
      </c>
      <c r="B1381" t="s">
        <v>15</v>
      </c>
      <c r="C1381" t="s">
        <v>16</v>
      </c>
      <c r="D1381" t="s">
        <v>2241</v>
      </c>
      <c r="E1381" t="s">
        <v>2240</v>
      </c>
      <c r="F1381" s="5">
        <v>45613</v>
      </c>
      <c r="G1381" t="s">
        <v>126</v>
      </c>
      <c r="H1381" t="s">
        <v>1281</v>
      </c>
      <c r="I1381" t="s">
        <v>28</v>
      </c>
      <c r="J1381" t="s">
        <v>45</v>
      </c>
      <c r="K1381" t="s">
        <v>45</v>
      </c>
      <c r="L1381" t="s">
        <v>37</v>
      </c>
      <c r="M1381" t="s">
        <v>20</v>
      </c>
      <c r="N1381">
        <v>1</v>
      </c>
      <c r="O1381">
        <v>549</v>
      </c>
      <c r="P1381">
        <v>799</v>
      </c>
      <c r="Q1381">
        <v>15</v>
      </c>
      <c r="R1381">
        <v>200</v>
      </c>
      <c r="S1381">
        <v>599</v>
      </c>
      <c r="T1381">
        <v>50</v>
      </c>
      <c r="U1381">
        <v>8.35</v>
      </c>
      <c r="V1381" t="s">
        <v>21</v>
      </c>
    </row>
    <row r="1382" spans="1:22" x14ac:dyDescent="0.35">
      <c r="A1382" t="s">
        <v>2239</v>
      </c>
      <c r="B1382" t="s">
        <v>86</v>
      </c>
      <c r="C1382" t="s">
        <v>27</v>
      </c>
      <c r="D1382" t="s">
        <v>2238</v>
      </c>
      <c r="E1382" t="s">
        <v>2237</v>
      </c>
      <c r="F1382" s="5">
        <v>45584</v>
      </c>
      <c r="G1382" t="s">
        <v>126</v>
      </c>
      <c r="H1382" t="s">
        <v>2236</v>
      </c>
      <c r="I1382" t="s">
        <v>31</v>
      </c>
      <c r="J1382" t="s">
        <v>32</v>
      </c>
      <c r="K1382" t="s">
        <v>32</v>
      </c>
      <c r="L1382" t="s">
        <v>19</v>
      </c>
      <c r="M1382" t="s">
        <v>20</v>
      </c>
      <c r="N1382">
        <v>1</v>
      </c>
      <c r="O1382">
        <v>741</v>
      </c>
      <c r="P1382">
        <v>999</v>
      </c>
      <c r="Q1382">
        <v>0</v>
      </c>
      <c r="R1382">
        <v>0</v>
      </c>
      <c r="S1382">
        <v>999</v>
      </c>
      <c r="T1382">
        <v>258</v>
      </c>
      <c r="U1382">
        <v>25.83</v>
      </c>
      <c r="V1382" t="s">
        <v>21</v>
      </c>
    </row>
    <row r="1383" spans="1:22" x14ac:dyDescent="0.35">
      <c r="A1383" t="s">
        <v>2235</v>
      </c>
      <c r="B1383" t="s">
        <v>89</v>
      </c>
      <c r="C1383" t="s">
        <v>16</v>
      </c>
      <c r="D1383" t="s">
        <v>2234</v>
      </c>
      <c r="E1383" t="s">
        <v>2233</v>
      </c>
      <c r="F1383" s="5">
        <v>45453</v>
      </c>
      <c r="G1383" t="s">
        <v>126</v>
      </c>
      <c r="H1383" t="s">
        <v>627</v>
      </c>
      <c r="I1383" t="s">
        <v>31</v>
      </c>
      <c r="J1383" t="s">
        <v>76</v>
      </c>
      <c r="K1383" t="s">
        <v>76</v>
      </c>
      <c r="L1383" t="s">
        <v>19</v>
      </c>
      <c r="M1383" t="s">
        <v>19</v>
      </c>
      <c r="N1383">
        <v>3</v>
      </c>
      <c r="O1383">
        <v>673</v>
      </c>
      <c r="P1383">
        <v>999</v>
      </c>
      <c r="Q1383">
        <v>0</v>
      </c>
      <c r="R1383">
        <v>0</v>
      </c>
      <c r="S1383">
        <v>2997</v>
      </c>
      <c r="T1383">
        <v>978</v>
      </c>
      <c r="U1383">
        <v>32.630000000000003</v>
      </c>
      <c r="V1383" t="s">
        <v>21</v>
      </c>
    </row>
    <row r="1384" spans="1:22" x14ac:dyDescent="0.35">
      <c r="A1384" t="s">
        <v>2232</v>
      </c>
      <c r="B1384" t="s">
        <v>70</v>
      </c>
      <c r="C1384" t="s">
        <v>27</v>
      </c>
      <c r="D1384" t="s">
        <v>2231</v>
      </c>
      <c r="E1384" t="s">
        <v>2230</v>
      </c>
      <c r="F1384" s="5">
        <v>45497</v>
      </c>
      <c r="G1384" t="s">
        <v>126</v>
      </c>
      <c r="H1384" t="s">
        <v>2229</v>
      </c>
      <c r="I1384" t="s">
        <v>23</v>
      </c>
      <c r="J1384" t="s">
        <v>142</v>
      </c>
      <c r="K1384" t="s">
        <v>43</v>
      </c>
      <c r="L1384" t="s">
        <v>37</v>
      </c>
      <c r="M1384" t="s">
        <v>20</v>
      </c>
      <c r="N1384">
        <v>2</v>
      </c>
      <c r="O1384">
        <v>1850</v>
      </c>
      <c r="P1384">
        <v>2799</v>
      </c>
      <c r="Q1384">
        <v>10</v>
      </c>
      <c r="R1384">
        <v>600</v>
      </c>
      <c r="S1384">
        <v>4998</v>
      </c>
      <c r="T1384">
        <v>1298</v>
      </c>
      <c r="U1384">
        <v>25.97</v>
      </c>
      <c r="V1384" t="s">
        <v>21</v>
      </c>
    </row>
    <row r="1385" spans="1:22" x14ac:dyDescent="0.35">
      <c r="A1385" t="s">
        <v>2228</v>
      </c>
      <c r="B1385" t="s">
        <v>40</v>
      </c>
      <c r="C1385" t="s">
        <v>27</v>
      </c>
      <c r="D1385" t="s">
        <v>2227</v>
      </c>
      <c r="E1385" t="s">
        <v>2226</v>
      </c>
      <c r="F1385" s="5">
        <v>45584</v>
      </c>
      <c r="G1385" t="s">
        <v>126</v>
      </c>
      <c r="H1385" t="s">
        <v>431</v>
      </c>
      <c r="I1385" t="s">
        <v>17</v>
      </c>
      <c r="J1385" t="s">
        <v>235</v>
      </c>
      <c r="K1385" t="s">
        <v>18</v>
      </c>
      <c r="L1385" t="s">
        <v>25</v>
      </c>
      <c r="M1385" t="s">
        <v>19</v>
      </c>
      <c r="N1385">
        <v>1</v>
      </c>
      <c r="O1385">
        <v>310</v>
      </c>
      <c r="P1385">
        <v>499</v>
      </c>
      <c r="Q1385">
        <v>0</v>
      </c>
      <c r="R1385">
        <v>0</v>
      </c>
      <c r="S1385">
        <v>499</v>
      </c>
      <c r="T1385">
        <v>189</v>
      </c>
      <c r="U1385">
        <v>37.880000000000003</v>
      </c>
      <c r="V1385" t="s">
        <v>33</v>
      </c>
    </row>
    <row r="1386" spans="1:22" x14ac:dyDescent="0.35">
      <c r="A1386" t="s">
        <v>2225</v>
      </c>
      <c r="B1386" t="s">
        <v>70</v>
      </c>
      <c r="C1386" t="s">
        <v>27</v>
      </c>
      <c r="D1386" t="s">
        <v>2224</v>
      </c>
      <c r="E1386" t="s">
        <v>2223</v>
      </c>
      <c r="F1386" s="5">
        <v>45490</v>
      </c>
      <c r="G1386" t="s">
        <v>126</v>
      </c>
      <c r="H1386" t="s">
        <v>1191</v>
      </c>
      <c r="I1386" t="s">
        <v>23</v>
      </c>
      <c r="J1386" t="s">
        <v>142</v>
      </c>
      <c r="K1386" t="s">
        <v>43</v>
      </c>
      <c r="L1386" t="s">
        <v>25</v>
      </c>
      <c r="M1386" t="s">
        <v>20</v>
      </c>
      <c r="N1386">
        <v>1</v>
      </c>
      <c r="O1386">
        <v>2024</v>
      </c>
      <c r="P1386">
        <v>3799</v>
      </c>
      <c r="Q1386">
        <v>20</v>
      </c>
      <c r="R1386">
        <v>800</v>
      </c>
      <c r="S1386">
        <v>2999</v>
      </c>
      <c r="T1386">
        <v>975</v>
      </c>
      <c r="U1386">
        <v>32.51</v>
      </c>
      <c r="V1386" t="s">
        <v>21</v>
      </c>
    </row>
    <row r="1387" spans="1:22" x14ac:dyDescent="0.35">
      <c r="A1387" t="s">
        <v>2222</v>
      </c>
      <c r="B1387" t="s">
        <v>107</v>
      </c>
      <c r="C1387" t="s">
        <v>27</v>
      </c>
      <c r="D1387" t="s">
        <v>2221</v>
      </c>
      <c r="E1387" t="s">
        <v>2220</v>
      </c>
      <c r="F1387" s="5">
        <v>45511</v>
      </c>
      <c r="G1387" t="s">
        <v>126</v>
      </c>
      <c r="H1387" t="s">
        <v>2219</v>
      </c>
      <c r="I1387" t="s">
        <v>28</v>
      </c>
      <c r="J1387" t="s">
        <v>45</v>
      </c>
      <c r="K1387" t="s">
        <v>45</v>
      </c>
      <c r="L1387" t="s">
        <v>37</v>
      </c>
      <c r="M1387" t="s">
        <v>19</v>
      </c>
      <c r="N1387">
        <v>3</v>
      </c>
      <c r="O1387">
        <v>747</v>
      </c>
      <c r="P1387">
        <v>1099</v>
      </c>
      <c r="Q1387">
        <v>5</v>
      </c>
      <c r="R1387">
        <v>300</v>
      </c>
      <c r="S1387">
        <v>2997</v>
      </c>
      <c r="T1387">
        <v>756</v>
      </c>
      <c r="U1387">
        <v>25.23</v>
      </c>
      <c r="V1387" t="s">
        <v>21</v>
      </c>
    </row>
    <row r="1388" spans="1:22" x14ac:dyDescent="0.35">
      <c r="A1388" t="s">
        <v>2218</v>
      </c>
      <c r="B1388" t="s">
        <v>104</v>
      </c>
      <c r="C1388" t="s">
        <v>27</v>
      </c>
      <c r="D1388" t="s">
        <v>2217</v>
      </c>
      <c r="E1388" t="s">
        <v>2216</v>
      </c>
      <c r="F1388" s="5">
        <v>45449</v>
      </c>
      <c r="G1388" t="s">
        <v>126</v>
      </c>
      <c r="H1388" t="s">
        <v>446</v>
      </c>
      <c r="I1388" t="s">
        <v>17</v>
      </c>
      <c r="J1388" t="s">
        <v>55</v>
      </c>
      <c r="K1388" t="s">
        <v>55</v>
      </c>
      <c r="L1388" t="s">
        <v>37</v>
      </c>
      <c r="M1388" t="s">
        <v>19</v>
      </c>
      <c r="N1388">
        <v>4</v>
      </c>
      <c r="O1388">
        <v>401</v>
      </c>
      <c r="P1388">
        <v>599</v>
      </c>
      <c r="Q1388">
        <v>0</v>
      </c>
      <c r="R1388">
        <v>0</v>
      </c>
      <c r="S1388">
        <v>2396</v>
      </c>
      <c r="T1388">
        <v>792</v>
      </c>
      <c r="U1388">
        <v>33.06</v>
      </c>
      <c r="V1388" t="s">
        <v>33</v>
      </c>
    </row>
    <row r="1389" spans="1:22" x14ac:dyDescent="0.35">
      <c r="A1389" t="s">
        <v>2215</v>
      </c>
      <c r="B1389" t="s">
        <v>104</v>
      </c>
      <c r="C1389" t="s">
        <v>27</v>
      </c>
      <c r="D1389" t="s">
        <v>2214</v>
      </c>
      <c r="E1389" t="s">
        <v>2213</v>
      </c>
      <c r="F1389" s="5">
        <v>45537</v>
      </c>
      <c r="G1389" t="s">
        <v>126</v>
      </c>
      <c r="H1389" t="s">
        <v>2212</v>
      </c>
      <c r="I1389" t="s">
        <v>28</v>
      </c>
      <c r="J1389" t="s">
        <v>45</v>
      </c>
      <c r="K1389" t="s">
        <v>45</v>
      </c>
      <c r="L1389" t="s">
        <v>25</v>
      </c>
      <c r="M1389" t="s">
        <v>20</v>
      </c>
      <c r="N1389">
        <v>1</v>
      </c>
      <c r="O1389">
        <v>812</v>
      </c>
      <c r="P1389">
        <v>1299</v>
      </c>
      <c r="Q1389">
        <v>20</v>
      </c>
      <c r="R1389">
        <v>300</v>
      </c>
      <c r="S1389">
        <v>999</v>
      </c>
      <c r="T1389">
        <v>187</v>
      </c>
      <c r="U1389">
        <v>18.72</v>
      </c>
      <c r="V1389" t="s">
        <v>33</v>
      </c>
    </row>
    <row r="1390" spans="1:22" x14ac:dyDescent="0.35">
      <c r="A1390" t="s">
        <v>2211</v>
      </c>
      <c r="B1390" t="s">
        <v>105</v>
      </c>
      <c r="C1390" t="s">
        <v>16</v>
      </c>
      <c r="D1390" t="s">
        <v>2210</v>
      </c>
      <c r="E1390" t="s">
        <v>2209</v>
      </c>
      <c r="F1390" s="5">
        <v>45573</v>
      </c>
      <c r="G1390" t="s">
        <v>126</v>
      </c>
      <c r="H1390" t="s">
        <v>1929</v>
      </c>
      <c r="I1390" t="s">
        <v>35</v>
      </c>
      <c r="J1390" t="s">
        <v>39</v>
      </c>
      <c r="K1390" t="s">
        <v>39</v>
      </c>
      <c r="L1390" t="s">
        <v>37</v>
      </c>
      <c r="M1390" t="s">
        <v>20</v>
      </c>
      <c r="N1390">
        <v>1</v>
      </c>
      <c r="O1390">
        <v>840</v>
      </c>
      <c r="P1390">
        <v>1299</v>
      </c>
      <c r="Q1390">
        <v>20</v>
      </c>
      <c r="R1390">
        <v>300</v>
      </c>
      <c r="S1390">
        <v>999</v>
      </c>
      <c r="T1390">
        <v>159</v>
      </c>
      <c r="U1390">
        <v>15.92</v>
      </c>
      <c r="V1390" t="s">
        <v>33</v>
      </c>
    </row>
    <row r="1391" spans="1:22" x14ac:dyDescent="0.35">
      <c r="A1391" t="s">
        <v>2208</v>
      </c>
      <c r="B1391" t="s">
        <v>65</v>
      </c>
      <c r="C1391" t="s">
        <v>16</v>
      </c>
      <c r="D1391" t="s">
        <v>2207</v>
      </c>
      <c r="E1391" t="s">
        <v>2206</v>
      </c>
      <c r="F1391" s="5">
        <v>45520</v>
      </c>
      <c r="G1391" t="s">
        <v>126</v>
      </c>
      <c r="H1391" t="s">
        <v>2205</v>
      </c>
      <c r="I1391" t="s">
        <v>35</v>
      </c>
      <c r="J1391" t="s">
        <v>244</v>
      </c>
      <c r="K1391" t="s">
        <v>58</v>
      </c>
      <c r="L1391" t="s">
        <v>19</v>
      </c>
      <c r="M1391" t="s">
        <v>20</v>
      </c>
      <c r="N1391">
        <v>1</v>
      </c>
      <c r="O1391">
        <v>605</v>
      </c>
      <c r="P1391">
        <v>1199</v>
      </c>
      <c r="Q1391">
        <v>15</v>
      </c>
      <c r="R1391">
        <v>200</v>
      </c>
      <c r="S1391">
        <v>999</v>
      </c>
      <c r="T1391">
        <v>394</v>
      </c>
      <c r="U1391">
        <v>39.44</v>
      </c>
      <c r="V1391" t="s">
        <v>21</v>
      </c>
    </row>
    <row r="1392" spans="1:22" x14ac:dyDescent="0.35">
      <c r="A1392" t="s">
        <v>2204</v>
      </c>
      <c r="B1392" t="s">
        <v>95</v>
      </c>
      <c r="C1392" t="s">
        <v>27</v>
      </c>
      <c r="D1392" t="s">
        <v>2203</v>
      </c>
      <c r="E1392" t="s">
        <v>182</v>
      </c>
      <c r="F1392" s="5">
        <v>45648</v>
      </c>
      <c r="G1392" t="s">
        <v>126</v>
      </c>
      <c r="H1392" t="s">
        <v>1418</v>
      </c>
      <c r="I1392" t="s">
        <v>23</v>
      </c>
      <c r="J1392" t="s">
        <v>142</v>
      </c>
      <c r="K1392" t="s">
        <v>43</v>
      </c>
      <c r="L1392" t="s">
        <v>25</v>
      </c>
      <c r="M1392" t="s">
        <v>20</v>
      </c>
      <c r="N1392">
        <v>1</v>
      </c>
      <c r="O1392">
        <v>2046</v>
      </c>
      <c r="P1392">
        <v>2799</v>
      </c>
      <c r="Q1392">
        <v>10</v>
      </c>
      <c r="R1392">
        <v>300</v>
      </c>
      <c r="S1392">
        <v>2499</v>
      </c>
      <c r="T1392">
        <v>453</v>
      </c>
      <c r="U1392">
        <v>18.13</v>
      </c>
      <c r="V1392" t="s">
        <v>21</v>
      </c>
    </row>
    <row r="1393" spans="1:22" x14ac:dyDescent="0.35">
      <c r="A1393" t="s">
        <v>2202</v>
      </c>
      <c r="B1393" t="s">
        <v>99</v>
      </c>
      <c r="C1393" t="s">
        <v>27</v>
      </c>
      <c r="D1393" t="s">
        <v>2201</v>
      </c>
      <c r="E1393" t="s">
        <v>2200</v>
      </c>
      <c r="F1393" s="5">
        <v>45525</v>
      </c>
      <c r="G1393" t="s">
        <v>126</v>
      </c>
      <c r="H1393" t="s">
        <v>1243</v>
      </c>
      <c r="I1393" t="s">
        <v>17</v>
      </c>
      <c r="J1393" t="s">
        <v>235</v>
      </c>
      <c r="K1393" t="s">
        <v>18</v>
      </c>
      <c r="L1393" t="s">
        <v>19</v>
      </c>
      <c r="M1393" t="s">
        <v>19</v>
      </c>
      <c r="N1393">
        <v>1</v>
      </c>
      <c r="O1393">
        <v>265</v>
      </c>
      <c r="P1393">
        <v>399</v>
      </c>
      <c r="Q1393">
        <v>0</v>
      </c>
      <c r="R1393">
        <v>0</v>
      </c>
      <c r="S1393">
        <v>399</v>
      </c>
      <c r="T1393">
        <v>134</v>
      </c>
      <c r="U1393">
        <v>33.58</v>
      </c>
      <c r="V1393" t="s">
        <v>33</v>
      </c>
    </row>
    <row r="1394" spans="1:22" x14ac:dyDescent="0.35">
      <c r="A1394" t="s">
        <v>2199</v>
      </c>
      <c r="B1394" t="s">
        <v>71</v>
      </c>
      <c r="C1394" t="s">
        <v>16</v>
      </c>
      <c r="D1394" t="s">
        <v>2198</v>
      </c>
      <c r="E1394" t="s">
        <v>2197</v>
      </c>
      <c r="F1394" s="5">
        <v>45574</v>
      </c>
      <c r="G1394" t="s">
        <v>126</v>
      </c>
      <c r="H1394" t="s">
        <v>599</v>
      </c>
      <c r="I1394" t="s">
        <v>28</v>
      </c>
      <c r="J1394" t="s">
        <v>45</v>
      </c>
      <c r="K1394" t="s">
        <v>45</v>
      </c>
      <c r="L1394" t="s">
        <v>19</v>
      </c>
      <c r="M1394" t="s">
        <v>20</v>
      </c>
      <c r="N1394">
        <v>1</v>
      </c>
      <c r="O1394">
        <v>813</v>
      </c>
      <c r="P1394">
        <v>1499</v>
      </c>
      <c r="Q1394">
        <v>15</v>
      </c>
      <c r="R1394">
        <v>300</v>
      </c>
      <c r="S1394">
        <v>1199</v>
      </c>
      <c r="T1394">
        <v>386</v>
      </c>
      <c r="U1394">
        <v>32.19</v>
      </c>
      <c r="V1394" t="s">
        <v>21</v>
      </c>
    </row>
    <row r="1395" spans="1:22" x14ac:dyDescent="0.35">
      <c r="A1395" t="s">
        <v>2196</v>
      </c>
      <c r="B1395" t="s">
        <v>89</v>
      </c>
      <c r="C1395" t="s">
        <v>16</v>
      </c>
      <c r="D1395" t="s">
        <v>2195</v>
      </c>
      <c r="E1395" t="s">
        <v>2194</v>
      </c>
      <c r="F1395" s="5">
        <v>45609</v>
      </c>
      <c r="G1395" t="s">
        <v>126</v>
      </c>
      <c r="H1395" t="s">
        <v>2193</v>
      </c>
      <c r="I1395" t="s">
        <v>28</v>
      </c>
      <c r="J1395" t="s">
        <v>45</v>
      </c>
      <c r="K1395" t="s">
        <v>45</v>
      </c>
      <c r="L1395" t="s">
        <v>37</v>
      </c>
      <c r="M1395" t="s">
        <v>19</v>
      </c>
      <c r="N1395">
        <v>1</v>
      </c>
      <c r="O1395">
        <v>1392</v>
      </c>
      <c r="P1395">
        <v>2299</v>
      </c>
      <c r="Q1395">
        <v>20</v>
      </c>
      <c r="R1395">
        <v>500</v>
      </c>
      <c r="S1395">
        <v>1799</v>
      </c>
      <c r="T1395">
        <v>407</v>
      </c>
      <c r="U1395">
        <v>22.62</v>
      </c>
      <c r="V1395" t="s">
        <v>21</v>
      </c>
    </row>
    <row r="1396" spans="1:22" x14ac:dyDescent="0.35">
      <c r="A1396" t="s">
        <v>2192</v>
      </c>
      <c r="B1396" t="s">
        <v>63</v>
      </c>
      <c r="C1396" t="s">
        <v>27</v>
      </c>
      <c r="D1396" t="s">
        <v>2191</v>
      </c>
      <c r="E1396" t="s">
        <v>2190</v>
      </c>
      <c r="F1396" s="5">
        <v>45500</v>
      </c>
      <c r="G1396" t="s">
        <v>126</v>
      </c>
      <c r="H1396" t="s">
        <v>2189</v>
      </c>
      <c r="I1396" t="s">
        <v>31</v>
      </c>
      <c r="J1396" t="s">
        <v>32</v>
      </c>
      <c r="K1396" t="s">
        <v>32</v>
      </c>
      <c r="L1396" t="s">
        <v>25</v>
      </c>
      <c r="M1396" t="s">
        <v>20</v>
      </c>
      <c r="N1396">
        <v>1</v>
      </c>
      <c r="O1396">
        <v>690</v>
      </c>
      <c r="P1396">
        <v>1199</v>
      </c>
      <c r="Q1396">
        <v>0</v>
      </c>
      <c r="R1396">
        <v>0</v>
      </c>
      <c r="S1396">
        <v>1199</v>
      </c>
      <c r="T1396">
        <v>509</v>
      </c>
      <c r="U1396">
        <v>42.45</v>
      </c>
      <c r="V1396" t="s">
        <v>21</v>
      </c>
    </row>
    <row r="1397" spans="1:22" x14ac:dyDescent="0.35">
      <c r="A1397" t="s">
        <v>2188</v>
      </c>
      <c r="B1397" t="s">
        <v>79</v>
      </c>
      <c r="C1397" t="s">
        <v>16</v>
      </c>
      <c r="D1397" t="s">
        <v>2187</v>
      </c>
      <c r="E1397" t="s">
        <v>2186</v>
      </c>
      <c r="F1397" s="5">
        <v>45585</v>
      </c>
      <c r="G1397" t="s">
        <v>126</v>
      </c>
      <c r="H1397" t="s">
        <v>2185</v>
      </c>
      <c r="I1397" t="s">
        <v>35</v>
      </c>
      <c r="J1397" t="s">
        <v>214</v>
      </c>
      <c r="K1397" t="s">
        <v>50</v>
      </c>
      <c r="L1397" t="s">
        <v>37</v>
      </c>
      <c r="M1397" t="s">
        <v>20</v>
      </c>
      <c r="N1397">
        <v>4</v>
      </c>
      <c r="O1397">
        <v>1017</v>
      </c>
      <c r="P1397">
        <v>1899</v>
      </c>
      <c r="Q1397">
        <v>20</v>
      </c>
      <c r="R1397">
        <v>1600</v>
      </c>
      <c r="S1397">
        <v>5996</v>
      </c>
      <c r="T1397">
        <v>1928</v>
      </c>
      <c r="U1397">
        <v>32.15</v>
      </c>
      <c r="V1397" t="s">
        <v>33</v>
      </c>
    </row>
    <row r="1398" spans="1:22" x14ac:dyDescent="0.35">
      <c r="A1398" t="s">
        <v>2184</v>
      </c>
      <c r="B1398" t="s">
        <v>106</v>
      </c>
      <c r="C1398" t="s">
        <v>27</v>
      </c>
      <c r="D1398" t="s">
        <v>2183</v>
      </c>
      <c r="E1398" t="s">
        <v>2182</v>
      </c>
      <c r="F1398" s="5">
        <v>45617</v>
      </c>
      <c r="G1398" t="s">
        <v>126</v>
      </c>
      <c r="H1398" t="s">
        <v>883</v>
      </c>
      <c r="I1398" t="s">
        <v>28</v>
      </c>
      <c r="J1398" t="s">
        <v>45</v>
      </c>
      <c r="K1398" t="s">
        <v>45</v>
      </c>
      <c r="L1398" t="s">
        <v>37</v>
      </c>
      <c r="M1398" t="s">
        <v>20</v>
      </c>
      <c r="N1398">
        <v>5</v>
      </c>
      <c r="O1398">
        <v>852</v>
      </c>
      <c r="P1398">
        <v>1399</v>
      </c>
      <c r="Q1398">
        <v>10</v>
      </c>
      <c r="R1398">
        <v>1000</v>
      </c>
      <c r="S1398">
        <v>5995</v>
      </c>
      <c r="T1398">
        <v>1735</v>
      </c>
      <c r="U1398">
        <v>28.94</v>
      </c>
      <c r="V1398" t="s">
        <v>33</v>
      </c>
    </row>
    <row r="1399" spans="1:22" x14ac:dyDescent="0.35">
      <c r="A1399" t="s">
        <v>2181</v>
      </c>
      <c r="B1399" t="s">
        <v>51</v>
      </c>
      <c r="C1399" t="s">
        <v>16</v>
      </c>
      <c r="D1399" t="s">
        <v>2180</v>
      </c>
      <c r="E1399" t="s">
        <v>2179</v>
      </c>
      <c r="F1399" s="5">
        <v>45571</v>
      </c>
      <c r="G1399" t="s">
        <v>126</v>
      </c>
      <c r="H1399" t="s">
        <v>387</v>
      </c>
      <c r="I1399" t="s">
        <v>35</v>
      </c>
      <c r="J1399" t="s">
        <v>214</v>
      </c>
      <c r="K1399" t="s">
        <v>50</v>
      </c>
      <c r="L1399" t="s">
        <v>37</v>
      </c>
      <c r="M1399" t="s">
        <v>19</v>
      </c>
      <c r="N1399">
        <v>1</v>
      </c>
      <c r="O1399">
        <v>517</v>
      </c>
      <c r="P1399">
        <v>899</v>
      </c>
      <c r="Q1399">
        <v>10</v>
      </c>
      <c r="R1399">
        <v>100</v>
      </c>
      <c r="S1399">
        <v>799</v>
      </c>
      <c r="T1399">
        <v>282</v>
      </c>
      <c r="U1399">
        <v>35.29</v>
      </c>
      <c r="V1399" t="s">
        <v>21</v>
      </c>
    </row>
    <row r="1400" spans="1:22" x14ac:dyDescent="0.35">
      <c r="A1400" t="s">
        <v>2178</v>
      </c>
      <c r="B1400" t="s">
        <v>44</v>
      </c>
      <c r="C1400" t="s">
        <v>16</v>
      </c>
      <c r="D1400" t="s">
        <v>2177</v>
      </c>
      <c r="E1400" t="s">
        <v>2176</v>
      </c>
      <c r="F1400" s="5">
        <v>45610</v>
      </c>
      <c r="G1400" t="s">
        <v>126</v>
      </c>
      <c r="H1400" t="s">
        <v>2175</v>
      </c>
      <c r="I1400" t="s">
        <v>31</v>
      </c>
      <c r="J1400" t="s">
        <v>76</v>
      </c>
      <c r="K1400" t="s">
        <v>76</v>
      </c>
      <c r="L1400" t="s">
        <v>37</v>
      </c>
      <c r="M1400" t="s">
        <v>19</v>
      </c>
      <c r="N1400">
        <v>2</v>
      </c>
      <c r="O1400">
        <v>741</v>
      </c>
      <c r="P1400">
        <v>999</v>
      </c>
      <c r="Q1400">
        <v>0</v>
      </c>
      <c r="R1400">
        <v>0</v>
      </c>
      <c r="S1400">
        <v>1998</v>
      </c>
      <c r="T1400">
        <v>516</v>
      </c>
      <c r="U1400">
        <v>25.83</v>
      </c>
      <c r="V1400" t="s">
        <v>21</v>
      </c>
    </row>
    <row r="1401" spans="1:22" x14ac:dyDescent="0.35">
      <c r="A1401" t="s">
        <v>2174</v>
      </c>
      <c r="B1401" t="s">
        <v>15</v>
      </c>
      <c r="C1401" t="s">
        <v>16</v>
      </c>
      <c r="D1401" t="s">
        <v>2173</v>
      </c>
      <c r="E1401" t="s">
        <v>2172</v>
      </c>
      <c r="F1401" s="5">
        <v>45521</v>
      </c>
      <c r="G1401" t="s">
        <v>126</v>
      </c>
      <c r="H1401" t="s">
        <v>1138</v>
      </c>
      <c r="I1401" t="s">
        <v>23</v>
      </c>
      <c r="J1401" t="s">
        <v>142</v>
      </c>
      <c r="K1401" t="s">
        <v>43</v>
      </c>
      <c r="L1401" t="s">
        <v>37</v>
      </c>
      <c r="M1401" t="s">
        <v>19</v>
      </c>
      <c r="N1401">
        <v>1</v>
      </c>
      <c r="O1401">
        <v>2174</v>
      </c>
      <c r="P1401">
        <v>4299</v>
      </c>
      <c r="Q1401">
        <v>5</v>
      </c>
      <c r="R1401">
        <v>300</v>
      </c>
      <c r="S1401">
        <v>3999</v>
      </c>
      <c r="T1401">
        <v>1825</v>
      </c>
      <c r="U1401">
        <v>45.64</v>
      </c>
      <c r="V1401" t="s">
        <v>21</v>
      </c>
    </row>
    <row r="1402" spans="1:22" x14ac:dyDescent="0.35">
      <c r="A1402" t="s">
        <v>2171</v>
      </c>
      <c r="B1402" t="s">
        <v>94</v>
      </c>
      <c r="C1402" t="s">
        <v>16</v>
      </c>
      <c r="D1402" t="s">
        <v>2170</v>
      </c>
      <c r="E1402" t="s">
        <v>2169</v>
      </c>
      <c r="F1402" s="5">
        <v>45508</v>
      </c>
      <c r="G1402" t="s">
        <v>126</v>
      </c>
      <c r="H1402" t="s">
        <v>2168</v>
      </c>
      <c r="I1402" t="s">
        <v>28</v>
      </c>
      <c r="J1402" t="s">
        <v>45</v>
      </c>
      <c r="K1402" t="s">
        <v>45</v>
      </c>
      <c r="L1402" t="s">
        <v>25</v>
      </c>
      <c r="M1402" t="s">
        <v>20</v>
      </c>
      <c r="N1402">
        <v>1</v>
      </c>
      <c r="O1402">
        <v>777</v>
      </c>
      <c r="P1402">
        <v>1299</v>
      </c>
      <c r="Q1402">
        <v>20</v>
      </c>
      <c r="R1402">
        <v>300</v>
      </c>
      <c r="S1402">
        <v>999</v>
      </c>
      <c r="T1402">
        <v>222</v>
      </c>
      <c r="U1402">
        <v>22.22</v>
      </c>
      <c r="V1402" t="s">
        <v>21</v>
      </c>
    </row>
    <row r="1403" spans="1:22" x14ac:dyDescent="0.35">
      <c r="A1403" t="s">
        <v>2167</v>
      </c>
      <c r="B1403" t="s">
        <v>98</v>
      </c>
      <c r="C1403" t="s">
        <v>16</v>
      </c>
      <c r="D1403" t="s">
        <v>2166</v>
      </c>
      <c r="E1403" t="s">
        <v>2165</v>
      </c>
      <c r="F1403" s="5">
        <v>45542</v>
      </c>
      <c r="G1403" t="s">
        <v>126</v>
      </c>
      <c r="H1403" t="s">
        <v>2164</v>
      </c>
      <c r="I1403" t="s">
        <v>31</v>
      </c>
      <c r="J1403" t="s">
        <v>76</v>
      </c>
      <c r="K1403" t="s">
        <v>76</v>
      </c>
      <c r="L1403" t="s">
        <v>19</v>
      </c>
      <c r="M1403" t="s">
        <v>19</v>
      </c>
      <c r="N1403">
        <v>5</v>
      </c>
      <c r="O1403">
        <v>730</v>
      </c>
      <c r="P1403">
        <v>1199</v>
      </c>
      <c r="Q1403">
        <v>0</v>
      </c>
      <c r="R1403">
        <v>0</v>
      </c>
      <c r="S1403">
        <v>5995</v>
      </c>
      <c r="T1403">
        <v>2345</v>
      </c>
      <c r="U1403">
        <v>39.119999999999997</v>
      </c>
      <c r="V1403" t="s">
        <v>21</v>
      </c>
    </row>
    <row r="1404" spans="1:22" x14ac:dyDescent="0.35">
      <c r="A1404" t="s">
        <v>2163</v>
      </c>
      <c r="B1404" t="s">
        <v>66</v>
      </c>
      <c r="C1404" t="s">
        <v>27</v>
      </c>
      <c r="D1404" t="s">
        <v>2162</v>
      </c>
      <c r="E1404" t="s">
        <v>2161</v>
      </c>
      <c r="F1404" s="5">
        <v>45504</v>
      </c>
      <c r="G1404" t="s">
        <v>126</v>
      </c>
      <c r="H1404" t="s">
        <v>2160</v>
      </c>
      <c r="I1404" t="s">
        <v>35</v>
      </c>
      <c r="J1404" t="s">
        <v>41</v>
      </c>
      <c r="K1404" t="s">
        <v>41</v>
      </c>
      <c r="L1404" t="s">
        <v>25</v>
      </c>
      <c r="M1404" t="s">
        <v>20</v>
      </c>
      <c r="N1404">
        <v>2</v>
      </c>
      <c r="O1404">
        <v>373</v>
      </c>
      <c r="P1404">
        <v>699</v>
      </c>
      <c r="Q1404">
        <v>20</v>
      </c>
      <c r="R1404">
        <v>400</v>
      </c>
      <c r="S1404">
        <v>998</v>
      </c>
      <c r="T1404">
        <v>252</v>
      </c>
      <c r="U1404">
        <v>25.25</v>
      </c>
      <c r="V1404" t="s">
        <v>21</v>
      </c>
    </row>
    <row r="1405" spans="1:22" x14ac:dyDescent="0.35">
      <c r="A1405" t="s">
        <v>2159</v>
      </c>
      <c r="B1405" t="s">
        <v>67</v>
      </c>
      <c r="C1405" t="s">
        <v>27</v>
      </c>
      <c r="D1405" t="s">
        <v>2158</v>
      </c>
      <c r="E1405" t="s">
        <v>2157</v>
      </c>
      <c r="F1405" s="5">
        <v>45508</v>
      </c>
      <c r="G1405" t="s">
        <v>126</v>
      </c>
      <c r="H1405" t="s">
        <v>1686</v>
      </c>
      <c r="I1405" t="s">
        <v>28</v>
      </c>
      <c r="J1405" t="s">
        <v>45</v>
      </c>
      <c r="K1405" t="s">
        <v>45</v>
      </c>
      <c r="L1405" t="s">
        <v>37</v>
      </c>
      <c r="M1405" t="s">
        <v>20</v>
      </c>
      <c r="N1405">
        <v>1</v>
      </c>
      <c r="O1405">
        <v>668</v>
      </c>
      <c r="P1405">
        <v>1199</v>
      </c>
      <c r="Q1405">
        <v>15</v>
      </c>
      <c r="R1405">
        <v>200</v>
      </c>
      <c r="S1405">
        <v>999</v>
      </c>
      <c r="T1405">
        <v>331</v>
      </c>
      <c r="U1405">
        <v>33.130000000000003</v>
      </c>
      <c r="V1405" t="s">
        <v>33</v>
      </c>
    </row>
    <row r="1406" spans="1:22" x14ac:dyDescent="0.35">
      <c r="A1406" t="s">
        <v>2156</v>
      </c>
      <c r="B1406" t="s">
        <v>69</v>
      </c>
      <c r="C1406" t="s">
        <v>16</v>
      </c>
      <c r="D1406" t="s">
        <v>2155</v>
      </c>
      <c r="E1406" t="s">
        <v>2154</v>
      </c>
      <c r="F1406" s="5">
        <v>45627</v>
      </c>
      <c r="G1406" t="s">
        <v>126</v>
      </c>
      <c r="H1406" t="s">
        <v>968</v>
      </c>
      <c r="I1406" t="s">
        <v>17</v>
      </c>
      <c r="J1406" t="s">
        <v>48</v>
      </c>
      <c r="K1406" t="s">
        <v>48</v>
      </c>
      <c r="L1406" t="s">
        <v>37</v>
      </c>
      <c r="M1406" t="s">
        <v>20</v>
      </c>
      <c r="N1406">
        <v>4</v>
      </c>
      <c r="O1406">
        <v>338</v>
      </c>
      <c r="P1406">
        <v>499</v>
      </c>
      <c r="Q1406">
        <v>0</v>
      </c>
      <c r="R1406">
        <v>0</v>
      </c>
      <c r="S1406">
        <v>1996</v>
      </c>
      <c r="T1406">
        <v>644</v>
      </c>
      <c r="U1406">
        <v>32.26</v>
      </c>
      <c r="V1406" t="s">
        <v>33</v>
      </c>
    </row>
    <row r="1407" spans="1:22" x14ac:dyDescent="0.35">
      <c r="A1407" t="s">
        <v>2153</v>
      </c>
      <c r="B1407" t="s">
        <v>53</v>
      </c>
      <c r="C1407" t="s">
        <v>27</v>
      </c>
      <c r="D1407" t="s">
        <v>2152</v>
      </c>
      <c r="E1407" t="s">
        <v>2151</v>
      </c>
      <c r="F1407" s="5">
        <v>45466</v>
      </c>
      <c r="G1407" t="s">
        <v>126</v>
      </c>
      <c r="H1407" t="s">
        <v>2150</v>
      </c>
      <c r="I1407" t="s">
        <v>31</v>
      </c>
      <c r="J1407" t="s">
        <v>32</v>
      </c>
      <c r="K1407" t="s">
        <v>32</v>
      </c>
      <c r="L1407" t="s">
        <v>25</v>
      </c>
      <c r="M1407" t="s">
        <v>19</v>
      </c>
      <c r="N1407">
        <v>2</v>
      </c>
      <c r="O1407">
        <v>536</v>
      </c>
      <c r="P1407">
        <v>899</v>
      </c>
      <c r="Q1407">
        <v>0</v>
      </c>
      <c r="R1407">
        <v>0</v>
      </c>
      <c r="S1407">
        <v>1798</v>
      </c>
      <c r="T1407">
        <v>726</v>
      </c>
      <c r="U1407">
        <v>40.380000000000003</v>
      </c>
      <c r="V1407" t="s">
        <v>21</v>
      </c>
    </row>
    <row r="1408" spans="1:22" x14ac:dyDescent="0.35">
      <c r="A1408" t="s">
        <v>2149</v>
      </c>
      <c r="B1408" t="s">
        <v>57</v>
      </c>
      <c r="C1408" t="s">
        <v>27</v>
      </c>
      <c r="D1408" t="s">
        <v>2148</v>
      </c>
      <c r="E1408" t="s">
        <v>2147</v>
      </c>
      <c r="F1408" s="5">
        <v>45525</v>
      </c>
      <c r="G1408" t="s">
        <v>126</v>
      </c>
      <c r="H1408" t="s">
        <v>1138</v>
      </c>
      <c r="I1408" t="s">
        <v>23</v>
      </c>
      <c r="J1408" t="s">
        <v>164</v>
      </c>
      <c r="K1408" t="s">
        <v>24</v>
      </c>
      <c r="L1408" t="s">
        <v>37</v>
      </c>
      <c r="M1408" t="s">
        <v>20</v>
      </c>
      <c r="N1408">
        <v>1</v>
      </c>
      <c r="O1408">
        <v>953</v>
      </c>
      <c r="P1408">
        <v>1299</v>
      </c>
      <c r="Q1408">
        <v>5</v>
      </c>
      <c r="R1408">
        <v>100</v>
      </c>
      <c r="S1408">
        <v>1199</v>
      </c>
      <c r="T1408">
        <v>246</v>
      </c>
      <c r="U1408">
        <v>20.52</v>
      </c>
      <c r="V1408" t="s">
        <v>33</v>
      </c>
    </row>
    <row r="1409" spans="1:22" x14ac:dyDescent="0.35">
      <c r="A1409" t="s">
        <v>2146</v>
      </c>
      <c r="B1409" t="s">
        <v>34</v>
      </c>
      <c r="C1409" t="s">
        <v>27</v>
      </c>
      <c r="D1409" t="s">
        <v>2145</v>
      </c>
      <c r="E1409" t="s">
        <v>2144</v>
      </c>
      <c r="F1409" s="5">
        <v>45586</v>
      </c>
      <c r="G1409" t="s">
        <v>126</v>
      </c>
      <c r="H1409" t="s">
        <v>944</v>
      </c>
      <c r="I1409" t="s">
        <v>23</v>
      </c>
      <c r="J1409" t="s">
        <v>142</v>
      </c>
      <c r="K1409" t="s">
        <v>43</v>
      </c>
      <c r="L1409" t="s">
        <v>37</v>
      </c>
      <c r="M1409" t="s">
        <v>19</v>
      </c>
      <c r="N1409">
        <v>1</v>
      </c>
      <c r="O1409">
        <v>1611</v>
      </c>
      <c r="P1409">
        <v>2799</v>
      </c>
      <c r="Q1409">
        <v>20</v>
      </c>
      <c r="R1409">
        <v>600</v>
      </c>
      <c r="S1409">
        <v>2199</v>
      </c>
      <c r="T1409">
        <v>588</v>
      </c>
      <c r="U1409">
        <v>26.74</v>
      </c>
      <c r="V1409" t="s">
        <v>21</v>
      </c>
    </row>
    <row r="1410" spans="1:22" x14ac:dyDescent="0.35">
      <c r="A1410" t="s">
        <v>2143</v>
      </c>
      <c r="B1410" t="s">
        <v>57</v>
      </c>
      <c r="C1410" t="s">
        <v>27</v>
      </c>
      <c r="D1410" t="s">
        <v>2142</v>
      </c>
      <c r="E1410" t="s">
        <v>2141</v>
      </c>
      <c r="F1410" s="5">
        <v>45562</v>
      </c>
      <c r="G1410" t="s">
        <v>126</v>
      </c>
      <c r="H1410" t="s">
        <v>520</v>
      </c>
      <c r="I1410" t="s">
        <v>17</v>
      </c>
      <c r="J1410" t="s">
        <v>253</v>
      </c>
      <c r="K1410" t="s">
        <v>72</v>
      </c>
      <c r="L1410" t="s">
        <v>37</v>
      </c>
      <c r="M1410" t="s">
        <v>19</v>
      </c>
      <c r="N1410">
        <v>3</v>
      </c>
      <c r="O1410">
        <v>251</v>
      </c>
      <c r="P1410">
        <v>399</v>
      </c>
      <c r="Q1410">
        <v>0</v>
      </c>
      <c r="R1410">
        <v>0</v>
      </c>
      <c r="S1410">
        <v>1197</v>
      </c>
      <c r="T1410">
        <v>444</v>
      </c>
      <c r="U1410">
        <v>37.090000000000003</v>
      </c>
      <c r="V1410" t="s">
        <v>21</v>
      </c>
    </row>
    <row r="1411" spans="1:22" x14ac:dyDescent="0.35">
      <c r="A1411" t="s">
        <v>2140</v>
      </c>
      <c r="B1411" t="s">
        <v>54</v>
      </c>
      <c r="C1411" t="s">
        <v>27</v>
      </c>
      <c r="D1411" t="s">
        <v>2139</v>
      </c>
      <c r="E1411" t="s">
        <v>2138</v>
      </c>
      <c r="F1411" s="5">
        <v>45537</v>
      </c>
      <c r="G1411" t="s">
        <v>126</v>
      </c>
      <c r="H1411" t="s">
        <v>2137</v>
      </c>
      <c r="I1411" t="s">
        <v>23</v>
      </c>
      <c r="J1411" t="s">
        <v>142</v>
      </c>
      <c r="K1411" t="s">
        <v>43</v>
      </c>
      <c r="L1411" t="s">
        <v>25</v>
      </c>
      <c r="M1411" t="s">
        <v>20</v>
      </c>
      <c r="N1411">
        <v>4</v>
      </c>
      <c r="O1411">
        <v>2965</v>
      </c>
      <c r="P1411">
        <v>4399</v>
      </c>
      <c r="Q1411">
        <v>20</v>
      </c>
      <c r="R1411">
        <v>3600</v>
      </c>
      <c r="S1411">
        <v>13996</v>
      </c>
      <c r="T1411">
        <v>2136</v>
      </c>
      <c r="U1411">
        <v>15.26</v>
      </c>
      <c r="V1411" t="s">
        <v>21</v>
      </c>
    </row>
    <row r="1412" spans="1:22" x14ac:dyDescent="0.35">
      <c r="A1412" t="s">
        <v>2136</v>
      </c>
      <c r="B1412" t="s">
        <v>38</v>
      </c>
      <c r="C1412" t="s">
        <v>27</v>
      </c>
      <c r="D1412" t="s">
        <v>2135</v>
      </c>
      <c r="E1412" t="s">
        <v>2134</v>
      </c>
      <c r="F1412" s="5">
        <v>45528</v>
      </c>
      <c r="G1412" t="s">
        <v>126</v>
      </c>
      <c r="H1412" t="s">
        <v>2133</v>
      </c>
      <c r="I1412" t="s">
        <v>28</v>
      </c>
      <c r="J1412" t="s">
        <v>45</v>
      </c>
      <c r="K1412" t="s">
        <v>45</v>
      </c>
      <c r="L1412" t="s">
        <v>37</v>
      </c>
      <c r="M1412" t="s">
        <v>19</v>
      </c>
      <c r="N1412">
        <v>1</v>
      </c>
      <c r="O1412">
        <v>963</v>
      </c>
      <c r="P1412">
        <v>1499</v>
      </c>
      <c r="Q1412">
        <v>20</v>
      </c>
      <c r="R1412">
        <v>300</v>
      </c>
      <c r="S1412">
        <v>1199</v>
      </c>
      <c r="T1412">
        <v>236</v>
      </c>
      <c r="U1412">
        <v>19.68</v>
      </c>
      <c r="V1412" t="s">
        <v>33</v>
      </c>
    </row>
    <row r="1413" spans="1:22" x14ac:dyDescent="0.35">
      <c r="A1413" t="s">
        <v>2132</v>
      </c>
      <c r="B1413" t="s">
        <v>98</v>
      </c>
      <c r="C1413" t="s">
        <v>16</v>
      </c>
      <c r="D1413" t="s">
        <v>2131</v>
      </c>
      <c r="E1413" t="s">
        <v>2130</v>
      </c>
      <c r="F1413" s="5">
        <v>45467</v>
      </c>
      <c r="G1413" t="s">
        <v>126</v>
      </c>
      <c r="H1413" t="s">
        <v>1745</v>
      </c>
      <c r="I1413" t="s">
        <v>23</v>
      </c>
      <c r="J1413" t="s">
        <v>164</v>
      </c>
      <c r="K1413" t="s">
        <v>24</v>
      </c>
      <c r="L1413" t="s">
        <v>19</v>
      </c>
      <c r="M1413" t="s">
        <v>20</v>
      </c>
      <c r="N1413">
        <v>4</v>
      </c>
      <c r="O1413">
        <v>1371</v>
      </c>
      <c r="P1413">
        <v>2299</v>
      </c>
      <c r="Q1413">
        <v>10</v>
      </c>
      <c r="R1413">
        <v>1200</v>
      </c>
      <c r="S1413">
        <v>7996</v>
      </c>
      <c r="T1413">
        <v>2512</v>
      </c>
      <c r="U1413">
        <v>31.42</v>
      </c>
      <c r="V1413" t="s">
        <v>21</v>
      </c>
    </row>
    <row r="1414" spans="1:22" x14ac:dyDescent="0.35">
      <c r="A1414" t="s">
        <v>2129</v>
      </c>
      <c r="B1414" t="s">
        <v>64</v>
      </c>
      <c r="C1414" t="s">
        <v>16</v>
      </c>
      <c r="D1414" t="s">
        <v>2128</v>
      </c>
      <c r="E1414" t="s">
        <v>2127</v>
      </c>
      <c r="F1414" s="5">
        <v>45621</v>
      </c>
      <c r="G1414" t="s">
        <v>126</v>
      </c>
      <c r="H1414" t="s">
        <v>1870</v>
      </c>
      <c r="I1414" t="s">
        <v>28</v>
      </c>
      <c r="J1414" t="s">
        <v>201</v>
      </c>
      <c r="K1414" t="s">
        <v>29</v>
      </c>
      <c r="L1414" t="s">
        <v>37</v>
      </c>
      <c r="M1414" t="s">
        <v>20</v>
      </c>
      <c r="N1414">
        <v>1</v>
      </c>
      <c r="O1414">
        <v>388</v>
      </c>
      <c r="P1414">
        <v>699</v>
      </c>
      <c r="Q1414">
        <v>10</v>
      </c>
      <c r="R1414">
        <v>100</v>
      </c>
      <c r="S1414">
        <v>599</v>
      </c>
      <c r="T1414">
        <v>211</v>
      </c>
      <c r="U1414">
        <v>35.229999999999997</v>
      </c>
      <c r="V1414" t="s">
        <v>33</v>
      </c>
    </row>
    <row r="1415" spans="1:22" x14ac:dyDescent="0.35">
      <c r="A1415" t="s">
        <v>2126</v>
      </c>
      <c r="B1415" t="s">
        <v>83</v>
      </c>
      <c r="C1415" t="s">
        <v>27</v>
      </c>
      <c r="D1415" t="s">
        <v>2125</v>
      </c>
      <c r="E1415" t="s">
        <v>2124</v>
      </c>
      <c r="F1415" s="5">
        <v>45647</v>
      </c>
      <c r="G1415" t="s">
        <v>126</v>
      </c>
      <c r="H1415" t="s">
        <v>2123</v>
      </c>
      <c r="I1415" t="s">
        <v>28</v>
      </c>
      <c r="J1415" t="s">
        <v>201</v>
      </c>
      <c r="K1415" t="s">
        <v>29</v>
      </c>
      <c r="L1415" t="s">
        <v>19</v>
      </c>
      <c r="M1415" t="s">
        <v>20</v>
      </c>
      <c r="N1415">
        <v>2</v>
      </c>
      <c r="O1415">
        <v>372</v>
      </c>
      <c r="P1415">
        <v>599</v>
      </c>
      <c r="Q1415">
        <v>10</v>
      </c>
      <c r="R1415">
        <v>200</v>
      </c>
      <c r="S1415">
        <v>998</v>
      </c>
      <c r="T1415">
        <v>254</v>
      </c>
      <c r="U1415">
        <v>25.45</v>
      </c>
      <c r="V1415" t="s">
        <v>33</v>
      </c>
    </row>
    <row r="1416" spans="1:22" x14ac:dyDescent="0.35">
      <c r="A1416" t="s">
        <v>2122</v>
      </c>
      <c r="B1416" t="s">
        <v>30</v>
      </c>
      <c r="C1416" t="s">
        <v>16</v>
      </c>
      <c r="D1416" t="s">
        <v>2121</v>
      </c>
      <c r="E1416" t="s">
        <v>2120</v>
      </c>
      <c r="F1416" s="5">
        <v>45620</v>
      </c>
      <c r="G1416" t="s">
        <v>126</v>
      </c>
      <c r="H1416" t="s">
        <v>1131</v>
      </c>
      <c r="I1416" t="s">
        <v>28</v>
      </c>
      <c r="J1416" t="s">
        <v>201</v>
      </c>
      <c r="K1416" t="s">
        <v>29</v>
      </c>
      <c r="L1416" t="s">
        <v>25</v>
      </c>
      <c r="M1416" t="s">
        <v>20</v>
      </c>
      <c r="N1416">
        <v>1</v>
      </c>
      <c r="O1416">
        <v>441</v>
      </c>
      <c r="P1416">
        <v>599</v>
      </c>
      <c r="Q1416">
        <v>15</v>
      </c>
      <c r="R1416">
        <v>150</v>
      </c>
      <c r="S1416">
        <v>449</v>
      </c>
      <c r="T1416">
        <v>8</v>
      </c>
      <c r="U1416">
        <v>1.78</v>
      </c>
      <c r="V1416" t="s">
        <v>21</v>
      </c>
    </row>
    <row r="1417" spans="1:22" x14ac:dyDescent="0.35">
      <c r="A1417" t="s">
        <v>2119</v>
      </c>
      <c r="B1417" t="s">
        <v>52</v>
      </c>
      <c r="C1417" t="s">
        <v>27</v>
      </c>
      <c r="D1417" t="s">
        <v>2118</v>
      </c>
      <c r="E1417" t="s">
        <v>2023</v>
      </c>
      <c r="F1417" s="5">
        <v>45447</v>
      </c>
      <c r="G1417" t="s">
        <v>126</v>
      </c>
      <c r="H1417" t="s">
        <v>1169</v>
      </c>
      <c r="I1417" t="s">
        <v>35</v>
      </c>
      <c r="J1417" t="s">
        <v>41</v>
      </c>
      <c r="K1417" t="s">
        <v>41</v>
      </c>
      <c r="L1417" t="s">
        <v>25</v>
      </c>
      <c r="M1417" t="s">
        <v>19</v>
      </c>
      <c r="N1417">
        <v>2</v>
      </c>
      <c r="O1417">
        <v>534</v>
      </c>
      <c r="P1417">
        <v>899</v>
      </c>
      <c r="Q1417">
        <v>10</v>
      </c>
      <c r="R1417">
        <v>200</v>
      </c>
      <c r="S1417">
        <v>1598</v>
      </c>
      <c r="T1417">
        <v>530</v>
      </c>
      <c r="U1417">
        <v>33.17</v>
      </c>
      <c r="V1417" t="s">
        <v>21</v>
      </c>
    </row>
    <row r="1418" spans="1:22" x14ac:dyDescent="0.35">
      <c r="A1418" t="s">
        <v>2117</v>
      </c>
      <c r="B1418" t="s">
        <v>63</v>
      </c>
      <c r="C1418" t="s">
        <v>27</v>
      </c>
      <c r="D1418" t="s">
        <v>2116</v>
      </c>
      <c r="E1418" t="s">
        <v>2115</v>
      </c>
      <c r="F1418" s="5">
        <v>45594</v>
      </c>
      <c r="G1418" t="s">
        <v>126</v>
      </c>
      <c r="H1418" t="s">
        <v>337</v>
      </c>
      <c r="I1418" t="s">
        <v>28</v>
      </c>
      <c r="J1418" t="s">
        <v>201</v>
      </c>
      <c r="K1418" t="s">
        <v>29</v>
      </c>
      <c r="L1418" t="s">
        <v>37</v>
      </c>
      <c r="M1418" t="s">
        <v>20</v>
      </c>
      <c r="N1418">
        <v>4</v>
      </c>
      <c r="O1418">
        <v>349</v>
      </c>
      <c r="P1418">
        <v>599</v>
      </c>
      <c r="Q1418">
        <v>20</v>
      </c>
      <c r="R1418">
        <v>600</v>
      </c>
      <c r="S1418">
        <v>1796</v>
      </c>
      <c r="T1418">
        <v>400</v>
      </c>
      <c r="U1418">
        <v>22.27</v>
      </c>
      <c r="V1418" t="s">
        <v>21</v>
      </c>
    </row>
    <row r="1419" spans="1:22" x14ac:dyDescent="0.35">
      <c r="A1419" t="s">
        <v>2114</v>
      </c>
      <c r="B1419" t="s">
        <v>38</v>
      </c>
      <c r="C1419" t="s">
        <v>27</v>
      </c>
      <c r="D1419" t="s">
        <v>2113</v>
      </c>
      <c r="E1419" t="s">
        <v>2112</v>
      </c>
      <c r="F1419" s="5">
        <v>45497</v>
      </c>
      <c r="G1419" t="s">
        <v>126</v>
      </c>
      <c r="H1419" t="s">
        <v>2111</v>
      </c>
      <c r="I1419" t="s">
        <v>31</v>
      </c>
      <c r="J1419" t="s">
        <v>76</v>
      </c>
      <c r="K1419" t="s">
        <v>76</v>
      </c>
      <c r="L1419" t="s">
        <v>19</v>
      </c>
      <c r="M1419" t="s">
        <v>20</v>
      </c>
      <c r="N1419">
        <v>3</v>
      </c>
      <c r="O1419">
        <v>372</v>
      </c>
      <c r="P1419">
        <v>699</v>
      </c>
      <c r="Q1419">
        <v>0</v>
      </c>
      <c r="R1419">
        <v>0</v>
      </c>
      <c r="S1419">
        <v>2097</v>
      </c>
      <c r="T1419">
        <v>981</v>
      </c>
      <c r="U1419">
        <v>46.78</v>
      </c>
      <c r="V1419" t="s">
        <v>33</v>
      </c>
    </row>
    <row r="1420" spans="1:22" x14ac:dyDescent="0.35">
      <c r="A1420" t="s">
        <v>2110</v>
      </c>
      <c r="B1420" t="s">
        <v>51</v>
      </c>
      <c r="C1420" t="s">
        <v>16</v>
      </c>
      <c r="D1420" t="s">
        <v>2109</v>
      </c>
      <c r="E1420" t="s">
        <v>2108</v>
      </c>
      <c r="F1420" s="5">
        <v>45523</v>
      </c>
      <c r="G1420" t="s">
        <v>126</v>
      </c>
      <c r="H1420" t="s">
        <v>2107</v>
      </c>
      <c r="I1420" t="s">
        <v>31</v>
      </c>
      <c r="J1420" t="s">
        <v>32</v>
      </c>
      <c r="K1420" t="s">
        <v>32</v>
      </c>
      <c r="L1420" t="s">
        <v>25</v>
      </c>
      <c r="M1420" t="s">
        <v>20</v>
      </c>
      <c r="N1420">
        <v>2</v>
      </c>
      <c r="O1420">
        <v>650</v>
      </c>
      <c r="P1420">
        <v>1199</v>
      </c>
      <c r="Q1420">
        <v>0</v>
      </c>
      <c r="R1420">
        <v>0</v>
      </c>
      <c r="S1420">
        <v>2398</v>
      </c>
      <c r="T1420">
        <v>1098</v>
      </c>
      <c r="U1420">
        <v>45.79</v>
      </c>
      <c r="V1420" t="s">
        <v>33</v>
      </c>
    </row>
    <row r="1421" spans="1:22" x14ac:dyDescent="0.35">
      <c r="A1421" t="s">
        <v>2106</v>
      </c>
      <c r="B1421" t="s">
        <v>82</v>
      </c>
      <c r="C1421" t="s">
        <v>27</v>
      </c>
      <c r="D1421" t="s">
        <v>2105</v>
      </c>
      <c r="E1421" t="s">
        <v>2104</v>
      </c>
      <c r="F1421" s="5">
        <v>45484</v>
      </c>
      <c r="G1421" t="s">
        <v>126</v>
      </c>
      <c r="H1421" t="s">
        <v>1154</v>
      </c>
      <c r="I1421" t="s">
        <v>35</v>
      </c>
      <c r="J1421" t="s">
        <v>41</v>
      </c>
      <c r="K1421" t="s">
        <v>41</v>
      </c>
      <c r="L1421" t="s">
        <v>37</v>
      </c>
      <c r="M1421" t="s">
        <v>20</v>
      </c>
      <c r="N1421">
        <v>2</v>
      </c>
      <c r="O1421">
        <v>616</v>
      </c>
      <c r="P1421">
        <v>999</v>
      </c>
      <c r="Q1421">
        <v>20</v>
      </c>
      <c r="R1421">
        <v>400</v>
      </c>
      <c r="S1421">
        <v>1598</v>
      </c>
      <c r="T1421">
        <v>366</v>
      </c>
      <c r="U1421">
        <v>22.9</v>
      </c>
      <c r="V1421" t="s">
        <v>21</v>
      </c>
    </row>
    <row r="1422" spans="1:22" x14ac:dyDescent="0.35">
      <c r="A1422" t="s">
        <v>2103</v>
      </c>
      <c r="B1422" t="s">
        <v>78</v>
      </c>
      <c r="C1422" t="s">
        <v>16</v>
      </c>
      <c r="D1422" t="s">
        <v>2102</v>
      </c>
      <c r="E1422" t="s">
        <v>2101</v>
      </c>
      <c r="F1422" s="5">
        <v>45502</v>
      </c>
      <c r="G1422" t="s">
        <v>126</v>
      </c>
      <c r="H1422" t="s">
        <v>197</v>
      </c>
      <c r="I1422" t="s">
        <v>31</v>
      </c>
      <c r="J1422" t="s">
        <v>32</v>
      </c>
      <c r="K1422" t="s">
        <v>32</v>
      </c>
      <c r="L1422" t="s">
        <v>37</v>
      </c>
      <c r="M1422" t="s">
        <v>20</v>
      </c>
      <c r="N1422">
        <v>1</v>
      </c>
      <c r="O1422">
        <v>527</v>
      </c>
      <c r="P1422">
        <v>899</v>
      </c>
      <c r="Q1422">
        <v>0</v>
      </c>
      <c r="R1422">
        <v>0</v>
      </c>
      <c r="S1422">
        <v>899</v>
      </c>
      <c r="T1422">
        <v>372</v>
      </c>
      <c r="U1422">
        <v>41.38</v>
      </c>
      <c r="V1422" t="s">
        <v>33</v>
      </c>
    </row>
    <row r="1423" spans="1:22" x14ac:dyDescent="0.35">
      <c r="A1423" t="s">
        <v>2100</v>
      </c>
      <c r="B1423" t="s">
        <v>38</v>
      </c>
      <c r="C1423" t="s">
        <v>27</v>
      </c>
      <c r="D1423" t="s">
        <v>2099</v>
      </c>
      <c r="E1423" t="s">
        <v>2098</v>
      </c>
      <c r="F1423" s="5">
        <v>45595</v>
      </c>
      <c r="G1423" t="s">
        <v>126</v>
      </c>
      <c r="H1423" t="s">
        <v>2097</v>
      </c>
      <c r="I1423" t="s">
        <v>17</v>
      </c>
      <c r="J1423" t="s">
        <v>235</v>
      </c>
      <c r="K1423" t="s">
        <v>18</v>
      </c>
      <c r="L1423" t="s">
        <v>25</v>
      </c>
      <c r="M1423" t="s">
        <v>20</v>
      </c>
      <c r="N1423">
        <v>5</v>
      </c>
      <c r="O1423">
        <v>206</v>
      </c>
      <c r="P1423">
        <v>299</v>
      </c>
      <c r="Q1423">
        <v>0</v>
      </c>
      <c r="R1423">
        <v>0</v>
      </c>
      <c r="S1423">
        <v>1495</v>
      </c>
      <c r="T1423">
        <v>465</v>
      </c>
      <c r="U1423">
        <v>31.1</v>
      </c>
      <c r="V1423" t="s">
        <v>21</v>
      </c>
    </row>
    <row r="1424" spans="1:22" x14ac:dyDescent="0.35">
      <c r="A1424" t="s">
        <v>2096</v>
      </c>
      <c r="B1424" t="s">
        <v>83</v>
      </c>
      <c r="C1424" t="s">
        <v>27</v>
      </c>
      <c r="D1424" t="s">
        <v>2095</v>
      </c>
      <c r="E1424" t="s">
        <v>2094</v>
      </c>
      <c r="F1424" s="5">
        <v>45617</v>
      </c>
      <c r="G1424" t="s">
        <v>126</v>
      </c>
      <c r="H1424" t="s">
        <v>395</v>
      </c>
      <c r="I1424" t="s">
        <v>35</v>
      </c>
      <c r="J1424" t="s">
        <v>41</v>
      </c>
      <c r="K1424" t="s">
        <v>41</v>
      </c>
      <c r="L1424" t="s">
        <v>37</v>
      </c>
      <c r="M1424" t="s">
        <v>20</v>
      </c>
      <c r="N1424">
        <v>1</v>
      </c>
      <c r="O1424">
        <v>413</v>
      </c>
      <c r="P1424">
        <v>599</v>
      </c>
      <c r="Q1424">
        <v>15</v>
      </c>
      <c r="R1424">
        <v>100</v>
      </c>
      <c r="S1424">
        <v>499</v>
      </c>
      <c r="T1424">
        <v>86</v>
      </c>
      <c r="U1424">
        <v>17.23</v>
      </c>
      <c r="V1424" t="s">
        <v>21</v>
      </c>
    </row>
    <row r="1425" spans="1:22" x14ac:dyDescent="0.35">
      <c r="A1425" t="s">
        <v>2093</v>
      </c>
      <c r="B1425" t="s">
        <v>51</v>
      </c>
      <c r="C1425" t="s">
        <v>16</v>
      </c>
      <c r="D1425" t="s">
        <v>2092</v>
      </c>
      <c r="E1425" t="s">
        <v>2091</v>
      </c>
      <c r="F1425" s="5">
        <v>45640</v>
      </c>
      <c r="G1425" t="s">
        <v>126</v>
      </c>
      <c r="H1425" t="s">
        <v>2090</v>
      </c>
      <c r="I1425" t="s">
        <v>17</v>
      </c>
      <c r="J1425" t="s">
        <v>55</v>
      </c>
      <c r="K1425" t="s">
        <v>55</v>
      </c>
      <c r="L1425" t="s">
        <v>25</v>
      </c>
      <c r="M1425" t="s">
        <v>20</v>
      </c>
      <c r="N1425">
        <v>1</v>
      </c>
      <c r="O1425">
        <v>525</v>
      </c>
      <c r="P1425">
        <v>799</v>
      </c>
      <c r="Q1425">
        <v>0</v>
      </c>
      <c r="R1425">
        <v>0</v>
      </c>
      <c r="S1425">
        <v>799</v>
      </c>
      <c r="T1425">
        <v>274</v>
      </c>
      <c r="U1425">
        <v>34.29</v>
      </c>
      <c r="V1425" t="s">
        <v>33</v>
      </c>
    </row>
    <row r="1426" spans="1:22" x14ac:dyDescent="0.35">
      <c r="A1426" t="s">
        <v>2089</v>
      </c>
      <c r="B1426" t="s">
        <v>77</v>
      </c>
      <c r="C1426" t="s">
        <v>27</v>
      </c>
      <c r="D1426" t="s">
        <v>2088</v>
      </c>
      <c r="E1426" t="s">
        <v>2087</v>
      </c>
      <c r="F1426" s="5">
        <v>45605</v>
      </c>
      <c r="G1426" t="s">
        <v>126</v>
      </c>
      <c r="H1426" t="s">
        <v>2086</v>
      </c>
      <c r="I1426" t="s">
        <v>31</v>
      </c>
      <c r="J1426" t="s">
        <v>32</v>
      </c>
      <c r="K1426" t="s">
        <v>32</v>
      </c>
      <c r="L1426" t="s">
        <v>25</v>
      </c>
      <c r="M1426" t="s">
        <v>20</v>
      </c>
      <c r="N1426">
        <v>2</v>
      </c>
      <c r="O1426">
        <v>735</v>
      </c>
      <c r="P1426">
        <v>1199</v>
      </c>
      <c r="Q1426">
        <v>0</v>
      </c>
      <c r="R1426">
        <v>0</v>
      </c>
      <c r="S1426">
        <v>2398</v>
      </c>
      <c r="T1426">
        <v>928</v>
      </c>
      <c r="U1426">
        <v>38.700000000000003</v>
      </c>
      <c r="V1426" t="s">
        <v>21</v>
      </c>
    </row>
    <row r="1427" spans="1:22" x14ac:dyDescent="0.35">
      <c r="A1427" t="s">
        <v>2085</v>
      </c>
      <c r="B1427" t="s">
        <v>98</v>
      </c>
      <c r="C1427" t="s">
        <v>16</v>
      </c>
      <c r="D1427" t="s">
        <v>2084</v>
      </c>
      <c r="E1427" t="s">
        <v>2083</v>
      </c>
      <c r="F1427" s="5">
        <v>45526</v>
      </c>
      <c r="G1427" t="s">
        <v>126</v>
      </c>
      <c r="H1427" t="s">
        <v>1363</v>
      </c>
      <c r="I1427" t="s">
        <v>28</v>
      </c>
      <c r="J1427" t="s">
        <v>201</v>
      </c>
      <c r="K1427" t="s">
        <v>29</v>
      </c>
      <c r="L1427" t="s">
        <v>37</v>
      </c>
      <c r="M1427" t="s">
        <v>19</v>
      </c>
      <c r="N1427">
        <v>1</v>
      </c>
      <c r="O1427">
        <v>304</v>
      </c>
      <c r="P1427">
        <v>499</v>
      </c>
      <c r="Q1427">
        <v>10</v>
      </c>
      <c r="R1427">
        <v>50</v>
      </c>
      <c r="S1427">
        <v>449</v>
      </c>
      <c r="T1427">
        <v>145</v>
      </c>
      <c r="U1427">
        <v>32.29</v>
      </c>
      <c r="V1427" t="s">
        <v>33</v>
      </c>
    </row>
    <row r="1428" spans="1:22" x14ac:dyDescent="0.35">
      <c r="A1428" t="s">
        <v>2082</v>
      </c>
      <c r="B1428" t="s">
        <v>83</v>
      </c>
      <c r="C1428" t="s">
        <v>27</v>
      </c>
      <c r="D1428" t="s">
        <v>2081</v>
      </c>
      <c r="E1428" t="s">
        <v>2080</v>
      </c>
      <c r="F1428" s="5">
        <v>45538</v>
      </c>
      <c r="G1428" t="s">
        <v>126</v>
      </c>
      <c r="H1428" t="s">
        <v>2079</v>
      </c>
      <c r="I1428" t="s">
        <v>17</v>
      </c>
      <c r="J1428" t="s">
        <v>55</v>
      </c>
      <c r="K1428" t="s">
        <v>55</v>
      </c>
      <c r="L1428" t="s">
        <v>37</v>
      </c>
      <c r="M1428" t="s">
        <v>20</v>
      </c>
      <c r="N1428">
        <v>1</v>
      </c>
      <c r="O1428">
        <v>179</v>
      </c>
      <c r="P1428">
        <v>299</v>
      </c>
      <c r="Q1428">
        <v>0</v>
      </c>
      <c r="R1428">
        <v>0</v>
      </c>
      <c r="S1428">
        <v>299</v>
      </c>
      <c r="T1428">
        <v>120</v>
      </c>
      <c r="U1428">
        <v>40.130000000000003</v>
      </c>
      <c r="V1428" t="s">
        <v>33</v>
      </c>
    </row>
    <row r="1429" spans="1:22" x14ac:dyDescent="0.35">
      <c r="A1429" t="s">
        <v>2078</v>
      </c>
      <c r="B1429" t="s">
        <v>30</v>
      </c>
      <c r="C1429" t="s">
        <v>16</v>
      </c>
      <c r="D1429" t="s">
        <v>2077</v>
      </c>
      <c r="E1429" t="s">
        <v>2076</v>
      </c>
      <c r="F1429" s="5">
        <v>45561</v>
      </c>
      <c r="G1429" t="s">
        <v>126</v>
      </c>
      <c r="H1429" t="s">
        <v>1235</v>
      </c>
      <c r="I1429" t="s">
        <v>17</v>
      </c>
      <c r="J1429" t="s">
        <v>55</v>
      </c>
      <c r="K1429" t="s">
        <v>55</v>
      </c>
      <c r="L1429" t="s">
        <v>25</v>
      </c>
      <c r="M1429" t="s">
        <v>19</v>
      </c>
      <c r="N1429">
        <v>1</v>
      </c>
      <c r="O1429">
        <v>367</v>
      </c>
      <c r="P1429">
        <v>599</v>
      </c>
      <c r="Q1429">
        <v>0</v>
      </c>
      <c r="R1429">
        <v>0</v>
      </c>
      <c r="S1429">
        <v>599</v>
      </c>
      <c r="T1429">
        <v>232</v>
      </c>
      <c r="U1429">
        <v>38.729999999999997</v>
      </c>
      <c r="V1429" t="s">
        <v>21</v>
      </c>
    </row>
    <row r="1430" spans="1:22" x14ac:dyDescent="0.35">
      <c r="A1430" t="s">
        <v>2075</v>
      </c>
      <c r="B1430" t="s">
        <v>65</v>
      </c>
      <c r="C1430" t="s">
        <v>16</v>
      </c>
      <c r="D1430" t="s">
        <v>2074</v>
      </c>
      <c r="E1430" t="s">
        <v>2073</v>
      </c>
      <c r="F1430" s="5">
        <v>45508</v>
      </c>
      <c r="G1430" t="s">
        <v>126</v>
      </c>
      <c r="H1430" t="s">
        <v>2072</v>
      </c>
      <c r="I1430" t="s">
        <v>17</v>
      </c>
      <c r="J1430" t="s">
        <v>48</v>
      </c>
      <c r="K1430" t="s">
        <v>48</v>
      </c>
      <c r="L1430" t="s">
        <v>37</v>
      </c>
      <c r="M1430" t="s">
        <v>20</v>
      </c>
      <c r="N1430">
        <v>2</v>
      </c>
      <c r="O1430">
        <v>269</v>
      </c>
      <c r="P1430">
        <v>399</v>
      </c>
      <c r="Q1430">
        <v>0</v>
      </c>
      <c r="R1430">
        <v>0</v>
      </c>
      <c r="S1430">
        <v>798</v>
      </c>
      <c r="T1430">
        <v>260</v>
      </c>
      <c r="U1430">
        <v>32.58</v>
      </c>
      <c r="V1430" t="s">
        <v>21</v>
      </c>
    </row>
    <row r="1431" spans="1:22" x14ac:dyDescent="0.35">
      <c r="A1431" t="s">
        <v>2071</v>
      </c>
      <c r="B1431" t="s">
        <v>26</v>
      </c>
      <c r="C1431" t="s">
        <v>27</v>
      </c>
      <c r="D1431" t="s">
        <v>2070</v>
      </c>
      <c r="E1431" t="s">
        <v>2069</v>
      </c>
      <c r="F1431" s="5">
        <v>45650</v>
      </c>
      <c r="G1431" t="s">
        <v>126</v>
      </c>
      <c r="H1431" t="s">
        <v>932</v>
      </c>
      <c r="I1431" t="s">
        <v>31</v>
      </c>
      <c r="J1431" t="s">
        <v>76</v>
      </c>
      <c r="K1431" t="s">
        <v>76</v>
      </c>
      <c r="L1431" t="s">
        <v>19</v>
      </c>
      <c r="M1431" t="s">
        <v>19</v>
      </c>
      <c r="N1431">
        <v>2</v>
      </c>
      <c r="O1431">
        <v>1048</v>
      </c>
      <c r="P1431">
        <v>1499</v>
      </c>
      <c r="Q1431">
        <v>0</v>
      </c>
      <c r="R1431">
        <v>0</v>
      </c>
      <c r="S1431">
        <v>2998</v>
      </c>
      <c r="T1431">
        <v>902</v>
      </c>
      <c r="U1431">
        <v>30.09</v>
      </c>
      <c r="V1431" t="s">
        <v>21</v>
      </c>
    </row>
    <row r="1432" spans="1:22" x14ac:dyDescent="0.35">
      <c r="A1432" t="s">
        <v>2068</v>
      </c>
      <c r="B1432" t="s">
        <v>30</v>
      </c>
      <c r="C1432" t="s">
        <v>16</v>
      </c>
      <c r="D1432" t="s">
        <v>2067</v>
      </c>
      <c r="E1432" t="s">
        <v>2066</v>
      </c>
      <c r="F1432" s="5">
        <v>45560</v>
      </c>
      <c r="G1432" t="s">
        <v>126</v>
      </c>
      <c r="H1432" t="s">
        <v>1088</v>
      </c>
      <c r="I1432" t="s">
        <v>17</v>
      </c>
      <c r="J1432" t="s">
        <v>48</v>
      </c>
      <c r="K1432" t="s">
        <v>48</v>
      </c>
      <c r="L1432" t="s">
        <v>19</v>
      </c>
      <c r="M1432" t="s">
        <v>20</v>
      </c>
      <c r="N1432">
        <v>2</v>
      </c>
      <c r="O1432">
        <v>408</v>
      </c>
      <c r="P1432">
        <v>599</v>
      </c>
      <c r="Q1432">
        <v>0</v>
      </c>
      <c r="R1432">
        <v>0</v>
      </c>
      <c r="S1432">
        <v>1198</v>
      </c>
      <c r="T1432">
        <v>382</v>
      </c>
      <c r="U1432">
        <v>31.89</v>
      </c>
      <c r="V1432" t="s">
        <v>21</v>
      </c>
    </row>
    <row r="1433" spans="1:22" x14ac:dyDescent="0.35">
      <c r="A1433" t="s">
        <v>2065</v>
      </c>
      <c r="B1433" t="s">
        <v>98</v>
      </c>
      <c r="C1433" t="s">
        <v>16</v>
      </c>
      <c r="D1433" t="s">
        <v>2064</v>
      </c>
      <c r="E1433" t="s">
        <v>2063</v>
      </c>
      <c r="F1433" s="5">
        <v>45509</v>
      </c>
      <c r="G1433" t="s">
        <v>126</v>
      </c>
      <c r="H1433" t="s">
        <v>2062</v>
      </c>
      <c r="I1433" t="s">
        <v>23</v>
      </c>
      <c r="J1433" t="s">
        <v>142</v>
      </c>
      <c r="K1433" t="s">
        <v>43</v>
      </c>
      <c r="L1433" t="s">
        <v>25</v>
      </c>
      <c r="M1433" t="s">
        <v>20</v>
      </c>
      <c r="N1433">
        <v>1</v>
      </c>
      <c r="O1433">
        <v>1401</v>
      </c>
      <c r="P1433">
        <v>2599</v>
      </c>
      <c r="Q1433">
        <v>15</v>
      </c>
      <c r="R1433">
        <v>400</v>
      </c>
      <c r="S1433">
        <v>2199</v>
      </c>
      <c r="T1433">
        <v>798</v>
      </c>
      <c r="U1433">
        <v>36.29</v>
      </c>
      <c r="V1433" t="s">
        <v>21</v>
      </c>
    </row>
    <row r="1434" spans="1:22" x14ac:dyDescent="0.35">
      <c r="A1434" t="s">
        <v>2061</v>
      </c>
      <c r="B1434" t="s">
        <v>101</v>
      </c>
      <c r="C1434" t="s">
        <v>16</v>
      </c>
      <c r="D1434" t="s">
        <v>2060</v>
      </c>
      <c r="E1434" t="s">
        <v>2059</v>
      </c>
      <c r="F1434" s="5">
        <v>45581</v>
      </c>
      <c r="G1434" t="s">
        <v>126</v>
      </c>
      <c r="H1434" t="s">
        <v>990</v>
      </c>
      <c r="I1434" t="s">
        <v>35</v>
      </c>
      <c r="J1434" t="s">
        <v>244</v>
      </c>
      <c r="K1434" t="s">
        <v>58</v>
      </c>
      <c r="L1434" t="s">
        <v>37</v>
      </c>
      <c r="M1434" t="s">
        <v>19</v>
      </c>
      <c r="N1434">
        <v>1</v>
      </c>
      <c r="O1434">
        <v>1385</v>
      </c>
      <c r="P1434">
        <v>2199</v>
      </c>
      <c r="Q1434">
        <v>5</v>
      </c>
      <c r="R1434">
        <v>200</v>
      </c>
      <c r="S1434">
        <v>1999</v>
      </c>
      <c r="T1434">
        <v>614</v>
      </c>
      <c r="U1434">
        <v>30.72</v>
      </c>
      <c r="V1434" t="s">
        <v>21</v>
      </c>
    </row>
    <row r="1435" spans="1:22" x14ac:dyDescent="0.35">
      <c r="A1435" t="s">
        <v>2058</v>
      </c>
      <c r="B1435" t="s">
        <v>105</v>
      </c>
      <c r="C1435" t="s">
        <v>16</v>
      </c>
      <c r="D1435" t="s">
        <v>2057</v>
      </c>
      <c r="E1435" t="s">
        <v>2056</v>
      </c>
      <c r="F1435" s="5">
        <v>45553</v>
      </c>
      <c r="G1435" t="s">
        <v>126</v>
      </c>
      <c r="H1435" t="s">
        <v>1777</v>
      </c>
      <c r="I1435" t="s">
        <v>23</v>
      </c>
      <c r="J1435" t="s">
        <v>164</v>
      </c>
      <c r="K1435" t="s">
        <v>24</v>
      </c>
      <c r="L1435" t="s">
        <v>19</v>
      </c>
      <c r="M1435" t="s">
        <v>20</v>
      </c>
      <c r="N1435">
        <v>2</v>
      </c>
      <c r="O1435">
        <v>1167</v>
      </c>
      <c r="P1435">
        <v>2299</v>
      </c>
      <c r="Q1435">
        <v>10</v>
      </c>
      <c r="R1435">
        <v>600</v>
      </c>
      <c r="S1435">
        <v>3998</v>
      </c>
      <c r="T1435">
        <v>1664</v>
      </c>
      <c r="U1435">
        <v>41.62</v>
      </c>
      <c r="V1435" t="s">
        <v>21</v>
      </c>
    </row>
    <row r="1436" spans="1:22" x14ac:dyDescent="0.35">
      <c r="A1436" t="s">
        <v>2055</v>
      </c>
      <c r="B1436" t="s">
        <v>57</v>
      </c>
      <c r="C1436" t="s">
        <v>27</v>
      </c>
      <c r="D1436" t="s">
        <v>2054</v>
      </c>
      <c r="E1436" t="s">
        <v>2053</v>
      </c>
      <c r="F1436" s="5">
        <v>45633</v>
      </c>
      <c r="G1436" t="s">
        <v>126</v>
      </c>
      <c r="H1436" t="s">
        <v>485</v>
      </c>
      <c r="I1436" t="s">
        <v>28</v>
      </c>
      <c r="J1436" t="s">
        <v>45</v>
      </c>
      <c r="K1436" t="s">
        <v>45</v>
      </c>
      <c r="L1436" t="s">
        <v>37</v>
      </c>
      <c r="M1436" t="s">
        <v>19</v>
      </c>
      <c r="N1436">
        <v>5</v>
      </c>
      <c r="O1436">
        <v>670</v>
      </c>
      <c r="P1436">
        <v>999</v>
      </c>
      <c r="Q1436">
        <v>20</v>
      </c>
      <c r="R1436">
        <v>1000</v>
      </c>
      <c r="S1436">
        <v>3995</v>
      </c>
      <c r="T1436">
        <v>645</v>
      </c>
      <c r="U1436">
        <v>16.149999999999999</v>
      </c>
      <c r="V1436" t="s">
        <v>33</v>
      </c>
    </row>
    <row r="1437" spans="1:22" x14ac:dyDescent="0.35">
      <c r="A1437" t="s">
        <v>2052</v>
      </c>
      <c r="B1437" t="s">
        <v>46</v>
      </c>
      <c r="C1437" t="s">
        <v>16</v>
      </c>
      <c r="D1437" t="s">
        <v>2051</v>
      </c>
      <c r="E1437" t="s">
        <v>2050</v>
      </c>
      <c r="F1437" s="5">
        <v>45453</v>
      </c>
      <c r="G1437" t="s">
        <v>126</v>
      </c>
      <c r="H1437" t="s">
        <v>1866</v>
      </c>
      <c r="I1437" t="s">
        <v>17</v>
      </c>
      <c r="J1437" t="s">
        <v>235</v>
      </c>
      <c r="K1437" t="s">
        <v>18</v>
      </c>
      <c r="L1437" t="s">
        <v>37</v>
      </c>
      <c r="M1437" t="s">
        <v>19</v>
      </c>
      <c r="N1437">
        <v>3</v>
      </c>
      <c r="O1437">
        <v>345</v>
      </c>
      <c r="P1437">
        <v>599</v>
      </c>
      <c r="Q1437">
        <v>0</v>
      </c>
      <c r="R1437">
        <v>0</v>
      </c>
      <c r="S1437">
        <v>1797</v>
      </c>
      <c r="T1437">
        <v>762</v>
      </c>
      <c r="U1437">
        <v>42.4</v>
      </c>
      <c r="V1437" t="s">
        <v>21</v>
      </c>
    </row>
    <row r="1438" spans="1:22" x14ac:dyDescent="0.35">
      <c r="A1438" t="s">
        <v>2049</v>
      </c>
      <c r="B1438" t="s">
        <v>93</v>
      </c>
      <c r="C1438" t="s">
        <v>16</v>
      </c>
      <c r="D1438" t="s">
        <v>2048</v>
      </c>
      <c r="E1438" t="s">
        <v>2047</v>
      </c>
      <c r="F1438" s="5">
        <v>45500</v>
      </c>
      <c r="G1438" t="s">
        <v>126</v>
      </c>
      <c r="H1438" t="s">
        <v>956</v>
      </c>
      <c r="I1438" t="s">
        <v>17</v>
      </c>
      <c r="J1438" t="s">
        <v>253</v>
      </c>
      <c r="K1438" t="s">
        <v>72</v>
      </c>
      <c r="L1438" t="s">
        <v>19</v>
      </c>
      <c r="M1438" t="s">
        <v>19</v>
      </c>
      <c r="N1438">
        <v>1</v>
      </c>
      <c r="O1438">
        <v>216</v>
      </c>
      <c r="P1438">
        <v>399</v>
      </c>
      <c r="Q1438">
        <v>0</v>
      </c>
      <c r="R1438">
        <v>0</v>
      </c>
      <c r="S1438">
        <v>399</v>
      </c>
      <c r="T1438">
        <v>183</v>
      </c>
      <c r="U1438">
        <v>45.86</v>
      </c>
      <c r="V1438" t="s">
        <v>33</v>
      </c>
    </row>
    <row r="1439" spans="1:22" x14ac:dyDescent="0.35">
      <c r="A1439" t="s">
        <v>2046</v>
      </c>
      <c r="B1439" t="s">
        <v>63</v>
      </c>
      <c r="C1439" t="s">
        <v>27</v>
      </c>
      <c r="D1439" t="s">
        <v>2045</v>
      </c>
      <c r="E1439" t="s">
        <v>2044</v>
      </c>
      <c r="F1439" s="5">
        <v>45583</v>
      </c>
      <c r="G1439" t="s">
        <v>126</v>
      </c>
      <c r="H1439" t="s">
        <v>2043</v>
      </c>
      <c r="I1439" t="s">
        <v>23</v>
      </c>
      <c r="J1439" t="s">
        <v>142</v>
      </c>
      <c r="K1439" t="s">
        <v>43</v>
      </c>
      <c r="L1439" t="s">
        <v>37</v>
      </c>
      <c r="M1439" t="s">
        <v>20</v>
      </c>
      <c r="N1439">
        <v>1</v>
      </c>
      <c r="O1439">
        <v>1413</v>
      </c>
      <c r="P1439">
        <v>2399</v>
      </c>
      <c r="Q1439">
        <v>15</v>
      </c>
      <c r="R1439">
        <v>400</v>
      </c>
      <c r="S1439">
        <v>1999</v>
      </c>
      <c r="T1439">
        <v>586</v>
      </c>
      <c r="U1439">
        <v>29.31</v>
      </c>
      <c r="V1439" t="s">
        <v>21</v>
      </c>
    </row>
    <row r="1440" spans="1:22" x14ac:dyDescent="0.35">
      <c r="A1440" t="s">
        <v>2042</v>
      </c>
      <c r="B1440" t="s">
        <v>77</v>
      </c>
      <c r="C1440" t="s">
        <v>27</v>
      </c>
      <c r="D1440" t="s">
        <v>2041</v>
      </c>
      <c r="E1440" t="s">
        <v>2040</v>
      </c>
      <c r="F1440" s="5">
        <v>45584</v>
      </c>
      <c r="G1440" t="s">
        <v>126</v>
      </c>
      <c r="H1440" t="s">
        <v>2039</v>
      </c>
      <c r="I1440" t="s">
        <v>35</v>
      </c>
      <c r="J1440" t="s">
        <v>244</v>
      </c>
      <c r="K1440" t="s">
        <v>58</v>
      </c>
      <c r="L1440" t="s">
        <v>19</v>
      </c>
      <c r="M1440" t="s">
        <v>20</v>
      </c>
      <c r="N1440">
        <v>4</v>
      </c>
      <c r="O1440">
        <v>672</v>
      </c>
      <c r="P1440">
        <v>1199</v>
      </c>
      <c r="Q1440">
        <v>15</v>
      </c>
      <c r="R1440">
        <v>800</v>
      </c>
      <c r="S1440">
        <v>3996</v>
      </c>
      <c r="T1440">
        <v>1308</v>
      </c>
      <c r="U1440">
        <v>32.729999999999997</v>
      </c>
      <c r="V1440" t="s">
        <v>21</v>
      </c>
    </row>
    <row r="1441" spans="1:22" x14ac:dyDescent="0.35">
      <c r="A1441" t="s">
        <v>2038</v>
      </c>
      <c r="B1441" t="s">
        <v>104</v>
      </c>
      <c r="C1441" t="s">
        <v>27</v>
      </c>
      <c r="D1441" t="s">
        <v>2037</v>
      </c>
      <c r="E1441" t="s">
        <v>2036</v>
      </c>
      <c r="F1441" s="5">
        <v>45581</v>
      </c>
      <c r="G1441" t="s">
        <v>126</v>
      </c>
      <c r="H1441" t="s">
        <v>726</v>
      </c>
      <c r="I1441" t="s">
        <v>35</v>
      </c>
      <c r="J1441" t="s">
        <v>39</v>
      </c>
      <c r="K1441" t="s">
        <v>39</v>
      </c>
      <c r="L1441" t="s">
        <v>25</v>
      </c>
      <c r="M1441" t="s">
        <v>20</v>
      </c>
      <c r="N1441">
        <v>1</v>
      </c>
      <c r="O1441">
        <v>639</v>
      </c>
      <c r="P1441">
        <v>899</v>
      </c>
      <c r="Q1441">
        <v>20</v>
      </c>
      <c r="R1441">
        <v>200</v>
      </c>
      <c r="S1441">
        <v>699</v>
      </c>
      <c r="T1441">
        <v>60</v>
      </c>
      <c r="U1441">
        <v>8.58</v>
      </c>
      <c r="V1441" t="s">
        <v>33</v>
      </c>
    </row>
    <row r="1442" spans="1:22" x14ac:dyDescent="0.35">
      <c r="A1442" t="s">
        <v>2035</v>
      </c>
      <c r="B1442" t="s">
        <v>83</v>
      </c>
      <c r="C1442" t="s">
        <v>27</v>
      </c>
      <c r="D1442" t="s">
        <v>2034</v>
      </c>
      <c r="E1442" t="s">
        <v>1155</v>
      </c>
      <c r="F1442" s="5">
        <v>45617</v>
      </c>
      <c r="G1442" t="s">
        <v>126</v>
      </c>
      <c r="H1442" t="s">
        <v>2033</v>
      </c>
      <c r="I1442" t="s">
        <v>35</v>
      </c>
      <c r="J1442" t="s">
        <v>41</v>
      </c>
      <c r="K1442" t="s">
        <v>41</v>
      </c>
      <c r="L1442" t="s">
        <v>19</v>
      </c>
      <c r="M1442" t="s">
        <v>20</v>
      </c>
      <c r="N1442">
        <v>1</v>
      </c>
      <c r="O1442">
        <v>391</v>
      </c>
      <c r="P1442">
        <v>699</v>
      </c>
      <c r="Q1442">
        <v>20</v>
      </c>
      <c r="R1442">
        <v>200</v>
      </c>
      <c r="S1442">
        <v>499</v>
      </c>
      <c r="T1442">
        <v>108</v>
      </c>
      <c r="U1442">
        <v>21.64</v>
      </c>
      <c r="V1442" t="s">
        <v>33</v>
      </c>
    </row>
    <row r="1443" spans="1:22" x14ac:dyDescent="0.35">
      <c r="A1443" t="s">
        <v>2032</v>
      </c>
      <c r="B1443" t="s">
        <v>63</v>
      </c>
      <c r="C1443" t="s">
        <v>27</v>
      </c>
      <c r="D1443" t="s">
        <v>2031</v>
      </c>
      <c r="E1443" t="s">
        <v>2030</v>
      </c>
      <c r="F1443" s="5">
        <v>45459</v>
      </c>
      <c r="G1443" t="s">
        <v>126</v>
      </c>
      <c r="H1443" t="s">
        <v>147</v>
      </c>
      <c r="I1443" t="s">
        <v>23</v>
      </c>
      <c r="J1443" t="s">
        <v>164</v>
      </c>
      <c r="K1443" t="s">
        <v>24</v>
      </c>
      <c r="L1443" t="s">
        <v>19</v>
      </c>
      <c r="M1443" t="s">
        <v>19</v>
      </c>
      <c r="N1443">
        <v>1</v>
      </c>
      <c r="O1443">
        <v>737</v>
      </c>
      <c r="P1443">
        <v>1399</v>
      </c>
      <c r="Q1443">
        <v>10</v>
      </c>
      <c r="R1443">
        <v>200</v>
      </c>
      <c r="S1443">
        <v>1199</v>
      </c>
      <c r="T1443">
        <v>462</v>
      </c>
      <c r="U1443">
        <v>38.53</v>
      </c>
      <c r="V1443" t="s">
        <v>21</v>
      </c>
    </row>
    <row r="1444" spans="1:22" x14ac:dyDescent="0.35">
      <c r="A1444" t="s">
        <v>2029</v>
      </c>
      <c r="B1444" t="s">
        <v>83</v>
      </c>
      <c r="C1444" t="s">
        <v>27</v>
      </c>
      <c r="D1444" t="s">
        <v>2028</v>
      </c>
      <c r="E1444" t="s">
        <v>2027</v>
      </c>
      <c r="F1444" s="5">
        <v>45452</v>
      </c>
      <c r="G1444" t="s">
        <v>126</v>
      </c>
      <c r="H1444" t="s">
        <v>2026</v>
      </c>
      <c r="I1444" t="s">
        <v>35</v>
      </c>
      <c r="J1444" t="s">
        <v>39</v>
      </c>
      <c r="K1444" t="s">
        <v>39</v>
      </c>
      <c r="L1444" t="s">
        <v>25</v>
      </c>
      <c r="M1444" t="s">
        <v>19</v>
      </c>
      <c r="N1444">
        <v>5</v>
      </c>
      <c r="O1444">
        <v>1051</v>
      </c>
      <c r="P1444">
        <v>1599</v>
      </c>
      <c r="Q1444">
        <v>15</v>
      </c>
      <c r="R1444">
        <v>1500</v>
      </c>
      <c r="S1444">
        <v>6495</v>
      </c>
      <c r="T1444">
        <v>1240</v>
      </c>
      <c r="U1444">
        <v>19.09</v>
      </c>
      <c r="V1444" t="s">
        <v>21</v>
      </c>
    </row>
    <row r="1445" spans="1:22" x14ac:dyDescent="0.35">
      <c r="A1445" t="s">
        <v>2025</v>
      </c>
      <c r="B1445" t="s">
        <v>49</v>
      </c>
      <c r="C1445" t="s">
        <v>27</v>
      </c>
      <c r="D1445" t="s">
        <v>2024</v>
      </c>
      <c r="E1445" t="s">
        <v>2023</v>
      </c>
      <c r="F1445" s="5">
        <v>45494</v>
      </c>
      <c r="G1445" t="s">
        <v>126</v>
      </c>
      <c r="H1445" t="s">
        <v>2022</v>
      </c>
      <c r="I1445" t="s">
        <v>35</v>
      </c>
      <c r="J1445" t="s">
        <v>214</v>
      </c>
      <c r="K1445" t="s">
        <v>87</v>
      </c>
      <c r="L1445" t="s">
        <v>19</v>
      </c>
      <c r="M1445" t="s">
        <v>19</v>
      </c>
      <c r="N1445">
        <v>1</v>
      </c>
      <c r="O1445">
        <v>1772</v>
      </c>
      <c r="P1445">
        <v>3199</v>
      </c>
      <c r="Q1445">
        <v>5</v>
      </c>
      <c r="R1445">
        <v>200</v>
      </c>
      <c r="S1445">
        <v>2999</v>
      </c>
      <c r="T1445">
        <v>1227</v>
      </c>
      <c r="U1445">
        <v>40.909999999999997</v>
      </c>
      <c r="V1445" t="s">
        <v>33</v>
      </c>
    </row>
    <row r="1446" spans="1:22" x14ac:dyDescent="0.35">
      <c r="A1446" t="s">
        <v>2021</v>
      </c>
      <c r="B1446" t="s">
        <v>102</v>
      </c>
      <c r="C1446" t="s">
        <v>27</v>
      </c>
      <c r="D1446" t="s">
        <v>2020</v>
      </c>
      <c r="E1446" t="s">
        <v>2019</v>
      </c>
      <c r="F1446" s="5">
        <v>45449</v>
      </c>
      <c r="G1446" t="s">
        <v>126</v>
      </c>
      <c r="H1446" t="s">
        <v>2018</v>
      </c>
      <c r="I1446" t="s">
        <v>23</v>
      </c>
      <c r="J1446" t="s">
        <v>142</v>
      </c>
      <c r="K1446" t="s">
        <v>43</v>
      </c>
      <c r="L1446" t="s">
        <v>19</v>
      </c>
      <c r="M1446" t="s">
        <v>19</v>
      </c>
      <c r="N1446">
        <v>5</v>
      </c>
      <c r="O1446">
        <v>3181</v>
      </c>
      <c r="P1446">
        <v>4799</v>
      </c>
      <c r="Q1446">
        <v>15</v>
      </c>
      <c r="R1446">
        <v>4000</v>
      </c>
      <c r="S1446">
        <v>19995</v>
      </c>
      <c r="T1446">
        <v>4090</v>
      </c>
      <c r="U1446">
        <v>20.46</v>
      </c>
      <c r="V1446" t="s">
        <v>21</v>
      </c>
    </row>
    <row r="1447" spans="1:22" x14ac:dyDescent="0.35">
      <c r="A1447" t="s">
        <v>2017</v>
      </c>
      <c r="B1447" t="s">
        <v>84</v>
      </c>
      <c r="C1447" t="s">
        <v>27</v>
      </c>
      <c r="D1447" t="s">
        <v>2016</v>
      </c>
      <c r="E1447" t="s">
        <v>2015</v>
      </c>
      <c r="F1447" s="5">
        <v>45565</v>
      </c>
      <c r="G1447" t="s">
        <v>126</v>
      </c>
      <c r="H1447" t="s">
        <v>2014</v>
      </c>
      <c r="I1447" t="s">
        <v>35</v>
      </c>
      <c r="J1447" t="s">
        <v>214</v>
      </c>
      <c r="K1447" t="s">
        <v>87</v>
      </c>
      <c r="L1447" t="s">
        <v>37</v>
      </c>
      <c r="M1447" t="s">
        <v>20</v>
      </c>
      <c r="N1447">
        <v>5</v>
      </c>
      <c r="O1447">
        <v>2064</v>
      </c>
      <c r="P1447">
        <v>2999</v>
      </c>
      <c r="Q1447">
        <v>15</v>
      </c>
      <c r="R1447">
        <v>2500</v>
      </c>
      <c r="S1447">
        <v>12495</v>
      </c>
      <c r="T1447">
        <v>2175</v>
      </c>
      <c r="U1447">
        <v>17.41</v>
      </c>
      <c r="V1447" t="s">
        <v>33</v>
      </c>
    </row>
    <row r="1448" spans="1:22" x14ac:dyDescent="0.35">
      <c r="A1448" t="s">
        <v>2013</v>
      </c>
      <c r="B1448" t="s">
        <v>49</v>
      </c>
      <c r="C1448" t="s">
        <v>27</v>
      </c>
      <c r="D1448" t="s">
        <v>2012</v>
      </c>
      <c r="E1448" t="s">
        <v>2011</v>
      </c>
      <c r="F1448" s="5">
        <v>45525</v>
      </c>
      <c r="G1448" t="s">
        <v>126</v>
      </c>
      <c r="H1448" t="s">
        <v>2010</v>
      </c>
      <c r="I1448" t="s">
        <v>23</v>
      </c>
      <c r="J1448" t="s">
        <v>142</v>
      </c>
      <c r="K1448" t="s">
        <v>43</v>
      </c>
      <c r="L1448" t="s">
        <v>19</v>
      </c>
      <c r="M1448" t="s">
        <v>20</v>
      </c>
      <c r="N1448">
        <v>1</v>
      </c>
      <c r="O1448">
        <v>1949</v>
      </c>
      <c r="P1448">
        <v>3199</v>
      </c>
      <c r="Q1448">
        <v>20</v>
      </c>
      <c r="R1448">
        <v>700</v>
      </c>
      <c r="S1448">
        <v>2499</v>
      </c>
      <c r="T1448">
        <v>550</v>
      </c>
      <c r="U1448">
        <v>22.01</v>
      </c>
      <c r="V1448" t="s">
        <v>21</v>
      </c>
    </row>
    <row r="1449" spans="1:22" x14ac:dyDescent="0.35">
      <c r="A1449" t="s">
        <v>2009</v>
      </c>
      <c r="B1449" t="s">
        <v>69</v>
      </c>
      <c r="C1449" t="s">
        <v>16</v>
      </c>
      <c r="D1449" t="s">
        <v>2008</v>
      </c>
      <c r="E1449" t="s">
        <v>2007</v>
      </c>
      <c r="F1449" s="5">
        <v>45527</v>
      </c>
      <c r="G1449" t="s">
        <v>126</v>
      </c>
      <c r="H1449" t="s">
        <v>2006</v>
      </c>
      <c r="I1449" t="s">
        <v>23</v>
      </c>
      <c r="J1449" t="s">
        <v>164</v>
      </c>
      <c r="K1449" t="s">
        <v>24</v>
      </c>
      <c r="L1449" t="s">
        <v>19</v>
      </c>
      <c r="M1449" t="s">
        <v>19</v>
      </c>
      <c r="N1449">
        <v>2</v>
      </c>
      <c r="O1449">
        <v>1060</v>
      </c>
      <c r="P1449">
        <v>1799</v>
      </c>
      <c r="Q1449">
        <v>15</v>
      </c>
      <c r="R1449">
        <v>600</v>
      </c>
      <c r="S1449">
        <v>2998</v>
      </c>
      <c r="T1449">
        <v>878</v>
      </c>
      <c r="U1449">
        <v>29.29</v>
      </c>
      <c r="V1449" t="s">
        <v>33</v>
      </c>
    </row>
    <row r="1450" spans="1:22" x14ac:dyDescent="0.35">
      <c r="A1450" t="s">
        <v>2005</v>
      </c>
      <c r="B1450" t="s">
        <v>107</v>
      </c>
      <c r="C1450" t="s">
        <v>27</v>
      </c>
      <c r="D1450" t="s">
        <v>2004</v>
      </c>
      <c r="E1450" t="s">
        <v>2003</v>
      </c>
      <c r="F1450" s="5">
        <v>45528</v>
      </c>
      <c r="G1450" t="s">
        <v>126</v>
      </c>
      <c r="H1450" t="s">
        <v>395</v>
      </c>
      <c r="I1450" t="s">
        <v>17</v>
      </c>
      <c r="J1450" t="s">
        <v>235</v>
      </c>
      <c r="K1450" t="s">
        <v>18</v>
      </c>
      <c r="L1450" t="s">
        <v>37</v>
      </c>
      <c r="M1450" t="s">
        <v>20</v>
      </c>
      <c r="N1450">
        <v>1</v>
      </c>
      <c r="O1450">
        <v>254</v>
      </c>
      <c r="P1450">
        <v>399</v>
      </c>
      <c r="Q1450">
        <v>0</v>
      </c>
      <c r="R1450">
        <v>0</v>
      </c>
      <c r="S1450">
        <v>399</v>
      </c>
      <c r="T1450">
        <v>145</v>
      </c>
      <c r="U1450">
        <v>36.340000000000003</v>
      </c>
      <c r="V1450" t="s">
        <v>21</v>
      </c>
    </row>
    <row r="1451" spans="1:22" x14ac:dyDescent="0.35">
      <c r="A1451" t="s">
        <v>2002</v>
      </c>
      <c r="B1451" t="s">
        <v>22</v>
      </c>
      <c r="C1451" t="s">
        <v>16</v>
      </c>
      <c r="D1451" t="s">
        <v>2001</v>
      </c>
      <c r="E1451" t="s">
        <v>2000</v>
      </c>
      <c r="F1451" s="5">
        <v>45531</v>
      </c>
      <c r="G1451" t="s">
        <v>126</v>
      </c>
      <c r="H1451" t="s">
        <v>1088</v>
      </c>
      <c r="I1451" t="s">
        <v>28</v>
      </c>
      <c r="J1451" t="s">
        <v>45</v>
      </c>
      <c r="K1451" t="s">
        <v>45</v>
      </c>
      <c r="L1451" t="s">
        <v>37</v>
      </c>
      <c r="M1451" t="s">
        <v>20</v>
      </c>
      <c r="N1451">
        <v>1</v>
      </c>
      <c r="O1451">
        <v>666</v>
      </c>
      <c r="P1451">
        <v>1099</v>
      </c>
      <c r="Q1451">
        <v>5</v>
      </c>
      <c r="R1451">
        <v>100</v>
      </c>
      <c r="S1451">
        <v>999</v>
      </c>
      <c r="T1451">
        <v>333</v>
      </c>
      <c r="U1451">
        <v>33.33</v>
      </c>
      <c r="V1451" t="s">
        <v>21</v>
      </c>
    </row>
    <row r="1452" spans="1:22" x14ac:dyDescent="0.35">
      <c r="A1452" t="s">
        <v>1999</v>
      </c>
      <c r="B1452" t="s">
        <v>30</v>
      </c>
      <c r="C1452" t="s">
        <v>16</v>
      </c>
      <c r="D1452" t="s">
        <v>1998</v>
      </c>
      <c r="E1452" t="s">
        <v>1997</v>
      </c>
      <c r="F1452" s="5">
        <v>45548</v>
      </c>
      <c r="G1452" t="s">
        <v>126</v>
      </c>
      <c r="H1452" t="s">
        <v>1996</v>
      </c>
      <c r="I1452" t="s">
        <v>17</v>
      </c>
      <c r="J1452" t="s">
        <v>55</v>
      </c>
      <c r="K1452" t="s">
        <v>55</v>
      </c>
      <c r="L1452" t="s">
        <v>19</v>
      </c>
      <c r="M1452" t="s">
        <v>20</v>
      </c>
      <c r="N1452">
        <v>1</v>
      </c>
      <c r="O1452">
        <v>182</v>
      </c>
      <c r="P1452">
        <v>299</v>
      </c>
      <c r="Q1452">
        <v>0</v>
      </c>
      <c r="R1452">
        <v>0</v>
      </c>
      <c r="S1452">
        <v>299</v>
      </c>
      <c r="T1452">
        <v>117</v>
      </c>
      <c r="U1452">
        <v>39.130000000000003</v>
      </c>
      <c r="V1452" t="s">
        <v>21</v>
      </c>
    </row>
    <row r="1453" spans="1:22" x14ac:dyDescent="0.35">
      <c r="A1453" t="s">
        <v>1995</v>
      </c>
      <c r="B1453" t="s">
        <v>74</v>
      </c>
      <c r="C1453" t="s">
        <v>16</v>
      </c>
      <c r="D1453" t="s">
        <v>1994</v>
      </c>
      <c r="E1453" t="s">
        <v>1993</v>
      </c>
      <c r="F1453" s="5">
        <v>45580</v>
      </c>
      <c r="G1453" t="s">
        <v>126</v>
      </c>
      <c r="H1453" t="s">
        <v>1992</v>
      </c>
      <c r="I1453" t="s">
        <v>23</v>
      </c>
      <c r="J1453" t="s">
        <v>164</v>
      </c>
      <c r="K1453" t="s">
        <v>24</v>
      </c>
      <c r="L1453" t="s">
        <v>37</v>
      </c>
      <c r="M1453" t="s">
        <v>20</v>
      </c>
      <c r="N1453">
        <v>4</v>
      </c>
      <c r="O1453">
        <v>695</v>
      </c>
      <c r="P1453">
        <v>1299</v>
      </c>
      <c r="Q1453">
        <v>20</v>
      </c>
      <c r="R1453">
        <v>1200</v>
      </c>
      <c r="S1453">
        <v>3996</v>
      </c>
      <c r="T1453">
        <v>1216</v>
      </c>
      <c r="U1453">
        <v>30.43</v>
      </c>
      <c r="V1453" t="s">
        <v>21</v>
      </c>
    </row>
    <row r="1454" spans="1:22" x14ac:dyDescent="0.35">
      <c r="A1454" t="s">
        <v>1991</v>
      </c>
      <c r="B1454" t="s">
        <v>98</v>
      </c>
      <c r="C1454" t="s">
        <v>16</v>
      </c>
      <c r="D1454" t="s">
        <v>1990</v>
      </c>
      <c r="E1454" t="s">
        <v>1989</v>
      </c>
      <c r="F1454" s="5">
        <v>45502</v>
      </c>
      <c r="G1454" t="s">
        <v>126</v>
      </c>
      <c r="H1454" t="s">
        <v>1988</v>
      </c>
      <c r="I1454" t="s">
        <v>17</v>
      </c>
      <c r="J1454" t="s">
        <v>253</v>
      </c>
      <c r="K1454" t="s">
        <v>72</v>
      </c>
      <c r="L1454" t="s">
        <v>19</v>
      </c>
      <c r="M1454" t="s">
        <v>20</v>
      </c>
      <c r="N1454">
        <v>1</v>
      </c>
      <c r="O1454">
        <v>212</v>
      </c>
      <c r="P1454">
        <v>399</v>
      </c>
      <c r="Q1454">
        <v>0</v>
      </c>
      <c r="R1454">
        <v>0</v>
      </c>
      <c r="S1454">
        <v>399</v>
      </c>
      <c r="T1454">
        <v>187</v>
      </c>
      <c r="U1454">
        <v>46.87</v>
      </c>
      <c r="V1454" t="s">
        <v>21</v>
      </c>
    </row>
    <row r="1455" spans="1:22" x14ac:dyDescent="0.35">
      <c r="A1455" t="s">
        <v>1987</v>
      </c>
      <c r="B1455" t="s">
        <v>83</v>
      </c>
      <c r="C1455" t="s">
        <v>27</v>
      </c>
      <c r="D1455" t="s">
        <v>1986</v>
      </c>
      <c r="E1455" t="s">
        <v>1985</v>
      </c>
      <c r="F1455" s="5">
        <v>45502</v>
      </c>
      <c r="G1455" t="s">
        <v>126</v>
      </c>
      <c r="H1455" t="s">
        <v>567</v>
      </c>
      <c r="I1455" t="s">
        <v>23</v>
      </c>
      <c r="J1455" t="s">
        <v>142</v>
      </c>
      <c r="K1455" t="s">
        <v>43</v>
      </c>
      <c r="L1455" t="s">
        <v>25</v>
      </c>
      <c r="M1455" t="s">
        <v>20</v>
      </c>
      <c r="N1455">
        <v>2</v>
      </c>
      <c r="O1455">
        <v>2347</v>
      </c>
      <c r="P1455">
        <v>3699</v>
      </c>
      <c r="Q1455">
        <v>5</v>
      </c>
      <c r="R1455">
        <v>400</v>
      </c>
      <c r="S1455">
        <v>6998</v>
      </c>
      <c r="T1455">
        <v>2304</v>
      </c>
      <c r="U1455">
        <v>32.92</v>
      </c>
      <c r="V1455" t="s">
        <v>21</v>
      </c>
    </row>
    <row r="1456" spans="1:22" x14ac:dyDescent="0.35">
      <c r="A1456" t="s">
        <v>1984</v>
      </c>
      <c r="B1456" t="s">
        <v>92</v>
      </c>
      <c r="C1456" t="s">
        <v>27</v>
      </c>
      <c r="D1456" t="s">
        <v>1983</v>
      </c>
      <c r="E1456" t="s">
        <v>1982</v>
      </c>
      <c r="F1456" s="5">
        <v>45569</v>
      </c>
      <c r="G1456" t="s">
        <v>126</v>
      </c>
      <c r="H1456" t="s">
        <v>1981</v>
      </c>
      <c r="I1456" t="s">
        <v>35</v>
      </c>
      <c r="J1456" t="s">
        <v>214</v>
      </c>
      <c r="K1456" t="s">
        <v>50</v>
      </c>
      <c r="L1456" t="s">
        <v>37</v>
      </c>
      <c r="M1456" t="s">
        <v>19</v>
      </c>
      <c r="N1456">
        <v>1</v>
      </c>
      <c r="O1456">
        <v>844</v>
      </c>
      <c r="P1456">
        <v>1199</v>
      </c>
      <c r="Q1456">
        <v>15</v>
      </c>
      <c r="R1456">
        <v>200</v>
      </c>
      <c r="S1456">
        <v>999</v>
      </c>
      <c r="T1456">
        <v>155</v>
      </c>
      <c r="U1456">
        <v>15.52</v>
      </c>
      <c r="V1456" t="s">
        <v>33</v>
      </c>
    </row>
    <row r="1457" spans="1:22" x14ac:dyDescent="0.35">
      <c r="A1457" t="s">
        <v>1980</v>
      </c>
      <c r="B1457" t="s">
        <v>51</v>
      </c>
      <c r="C1457" t="s">
        <v>16</v>
      </c>
      <c r="D1457" t="s">
        <v>1979</v>
      </c>
      <c r="E1457" t="s">
        <v>759</v>
      </c>
      <c r="F1457" s="5">
        <v>45588</v>
      </c>
      <c r="G1457" t="s">
        <v>126</v>
      </c>
      <c r="H1457" t="s">
        <v>1978</v>
      </c>
      <c r="I1457" t="s">
        <v>31</v>
      </c>
      <c r="J1457" t="s">
        <v>32</v>
      </c>
      <c r="K1457" t="s">
        <v>32</v>
      </c>
      <c r="L1457" t="s">
        <v>25</v>
      </c>
      <c r="M1457" t="s">
        <v>20</v>
      </c>
      <c r="N1457">
        <v>1</v>
      </c>
      <c r="O1457">
        <v>571</v>
      </c>
      <c r="P1457">
        <v>899</v>
      </c>
      <c r="Q1457">
        <v>0</v>
      </c>
      <c r="R1457">
        <v>0</v>
      </c>
      <c r="S1457">
        <v>899</v>
      </c>
      <c r="T1457">
        <v>328</v>
      </c>
      <c r="U1457">
        <v>36.479999999999997</v>
      </c>
      <c r="V1457" t="s">
        <v>21</v>
      </c>
    </row>
    <row r="1458" spans="1:22" x14ac:dyDescent="0.35">
      <c r="A1458" t="s">
        <v>1977</v>
      </c>
      <c r="B1458" t="s">
        <v>85</v>
      </c>
      <c r="C1458" t="s">
        <v>27</v>
      </c>
      <c r="D1458" t="s">
        <v>1976</v>
      </c>
      <c r="E1458" t="s">
        <v>1975</v>
      </c>
      <c r="F1458" s="5">
        <v>45586</v>
      </c>
      <c r="G1458" t="s">
        <v>126</v>
      </c>
      <c r="H1458" t="s">
        <v>726</v>
      </c>
      <c r="I1458" t="s">
        <v>28</v>
      </c>
      <c r="J1458" t="s">
        <v>45</v>
      </c>
      <c r="K1458" t="s">
        <v>45</v>
      </c>
      <c r="L1458" t="s">
        <v>37</v>
      </c>
      <c r="M1458" t="s">
        <v>19</v>
      </c>
      <c r="N1458">
        <v>1</v>
      </c>
      <c r="O1458">
        <v>861</v>
      </c>
      <c r="P1458">
        <v>1199</v>
      </c>
      <c r="Q1458">
        <v>10</v>
      </c>
      <c r="R1458">
        <v>200</v>
      </c>
      <c r="S1458">
        <v>999</v>
      </c>
      <c r="T1458">
        <v>138</v>
      </c>
      <c r="U1458">
        <v>13.81</v>
      </c>
      <c r="V1458" t="s">
        <v>33</v>
      </c>
    </row>
    <row r="1459" spans="1:22" x14ac:dyDescent="0.35">
      <c r="A1459" t="s">
        <v>1974</v>
      </c>
      <c r="B1459" t="s">
        <v>101</v>
      </c>
      <c r="C1459" t="s">
        <v>16</v>
      </c>
      <c r="D1459" t="s">
        <v>1973</v>
      </c>
      <c r="E1459" t="s">
        <v>1972</v>
      </c>
      <c r="F1459" s="5">
        <v>45528</v>
      </c>
      <c r="G1459" t="s">
        <v>126</v>
      </c>
      <c r="H1459" t="s">
        <v>298</v>
      </c>
      <c r="I1459" t="s">
        <v>17</v>
      </c>
      <c r="J1459" t="s">
        <v>48</v>
      </c>
      <c r="K1459" t="s">
        <v>48</v>
      </c>
      <c r="L1459" t="s">
        <v>25</v>
      </c>
      <c r="M1459" t="s">
        <v>20</v>
      </c>
      <c r="N1459">
        <v>2</v>
      </c>
      <c r="O1459">
        <v>300</v>
      </c>
      <c r="P1459">
        <v>499</v>
      </c>
      <c r="Q1459">
        <v>0</v>
      </c>
      <c r="R1459">
        <v>0</v>
      </c>
      <c r="S1459">
        <v>998</v>
      </c>
      <c r="T1459">
        <v>398</v>
      </c>
      <c r="U1459">
        <v>39.880000000000003</v>
      </c>
      <c r="V1459" t="s">
        <v>21</v>
      </c>
    </row>
    <row r="1460" spans="1:22" x14ac:dyDescent="0.35">
      <c r="A1460" t="s">
        <v>1971</v>
      </c>
      <c r="B1460" t="s">
        <v>98</v>
      </c>
      <c r="C1460" t="s">
        <v>16</v>
      </c>
      <c r="D1460" t="s">
        <v>1970</v>
      </c>
      <c r="E1460" t="s">
        <v>1969</v>
      </c>
      <c r="F1460" s="5">
        <v>45514</v>
      </c>
      <c r="G1460" t="s">
        <v>126</v>
      </c>
      <c r="H1460" t="s">
        <v>1968</v>
      </c>
      <c r="I1460" t="s">
        <v>17</v>
      </c>
      <c r="J1460" t="s">
        <v>253</v>
      </c>
      <c r="K1460" t="s">
        <v>72</v>
      </c>
      <c r="L1460" t="s">
        <v>37</v>
      </c>
      <c r="M1460" t="s">
        <v>20</v>
      </c>
      <c r="N1460">
        <v>1</v>
      </c>
      <c r="O1460">
        <v>366</v>
      </c>
      <c r="P1460">
        <v>499</v>
      </c>
      <c r="Q1460">
        <v>0</v>
      </c>
      <c r="R1460">
        <v>0</v>
      </c>
      <c r="S1460">
        <v>499</v>
      </c>
      <c r="T1460">
        <v>133</v>
      </c>
      <c r="U1460">
        <v>26.65</v>
      </c>
      <c r="V1460" t="s">
        <v>21</v>
      </c>
    </row>
    <row r="1461" spans="1:22" x14ac:dyDescent="0.35">
      <c r="A1461" t="s">
        <v>1967</v>
      </c>
      <c r="B1461" t="s">
        <v>42</v>
      </c>
      <c r="C1461" t="s">
        <v>27</v>
      </c>
      <c r="D1461" t="s">
        <v>1966</v>
      </c>
      <c r="E1461" t="s">
        <v>1835</v>
      </c>
      <c r="F1461" s="5">
        <v>45510</v>
      </c>
      <c r="G1461" t="s">
        <v>126</v>
      </c>
      <c r="H1461" t="s">
        <v>1527</v>
      </c>
      <c r="I1461" t="s">
        <v>35</v>
      </c>
      <c r="J1461" t="s">
        <v>244</v>
      </c>
      <c r="K1461" t="s">
        <v>58</v>
      </c>
      <c r="L1461" t="s">
        <v>19</v>
      </c>
      <c r="M1461" t="s">
        <v>20</v>
      </c>
      <c r="N1461">
        <v>1</v>
      </c>
      <c r="O1461">
        <v>570</v>
      </c>
      <c r="P1461">
        <v>1099</v>
      </c>
      <c r="Q1461">
        <v>5</v>
      </c>
      <c r="R1461">
        <v>100</v>
      </c>
      <c r="S1461">
        <v>999</v>
      </c>
      <c r="T1461">
        <v>429</v>
      </c>
      <c r="U1461">
        <v>42.94</v>
      </c>
      <c r="V1461" t="s">
        <v>33</v>
      </c>
    </row>
    <row r="1462" spans="1:22" x14ac:dyDescent="0.35">
      <c r="A1462" t="s">
        <v>1965</v>
      </c>
      <c r="B1462" t="s">
        <v>54</v>
      </c>
      <c r="C1462" t="s">
        <v>27</v>
      </c>
      <c r="D1462" t="s">
        <v>1964</v>
      </c>
      <c r="E1462" t="s">
        <v>1963</v>
      </c>
      <c r="F1462" s="5">
        <v>45645</v>
      </c>
      <c r="G1462" t="s">
        <v>126</v>
      </c>
      <c r="H1462" t="s">
        <v>1962</v>
      </c>
      <c r="I1462" t="s">
        <v>17</v>
      </c>
      <c r="J1462" t="s">
        <v>48</v>
      </c>
      <c r="K1462" t="s">
        <v>48</v>
      </c>
      <c r="L1462" t="s">
        <v>37</v>
      </c>
      <c r="M1462" t="s">
        <v>19</v>
      </c>
      <c r="N1462">
        <v>1</v>
      </c>
      <c r="O1462">
        <v>184</v>
      </c>
      <c r="P1462">
        <v>299</v>
      </c>
      <c r="Q1462">
        <v>0</v>
      </c>
      <c r="R1462">
        <v>0</v>
      </c>
      <c r="S1462">
        <v>299</v>
      </c>
      <c r="T1462">
        <v>115</v>
      </c>
      <c r="U1462">
        <v>38.46</v>
      </c>
      <c r="V1462" t="s">
        <v>21</v>
      </c>
    </row>
    <row r="1463" spans="1:22" x14ac:dyDescent="0.35">
      <c r="A1463" t="s">
        <v>1961</v>
      </c>
      <c r="B1463" t="s">
        <v>94</v>
      </c>
      <c r="C1463" t="s">
        <v>16</v>
      </c>
      <c r="D1463" t="s">
        <v>1960</v>
      </c>
      <c r="E1463" t="s">
        <v>1959</v>
      </c>
      <c r="F1463" s="5">
        <v>45599</v>
      </c>
      <c r="G1463" t="s">
        <v>126</v>
      </c>
      <c r="H1463" t="s">
        <v>520</v>
      </c>
      <c r="I1463" t="s">
        <v>35</v>
      </c>
      <c r="J1463" t="s">
        <v>159</v>
      </c>
      <c r="K1463" t="s">
        <v>100</v>
      </c>
      <c r="L1463" t="s">
        <v>37</v>
      </c>
      <c r="M1463" t="s">
        <v>20</v>
      </c>
      <c r="N1463">
        <v>1</v>
      </c>
      <c r="O1463">
        <v>912</v>
      </c>
      <c r="P1463">
        <v>1299</v>
      </c>
      <c r="Q1463">
        <v>20</v>
      </c>
      <c r="R1463">
        <v>300</v>
      </c>
      <c r="S1463">
        <v>999</v>
      </c>
      <c r="T1463">
        <v>87</v>
      </c>
      <c r="U1463">
        <v>8.7100000000000009</v>
      </c>
      <c r="V1463" t="s">
        <v>21</v>
      </c>
    </row>
    <row r="1464" spans="1:22" x14ac:dyDescent="0.35">
      <c r="A1464" t="s">
        <v>1958</v>
      </c>
      <c r="B1464" t="s">
        <v>30</v>
      </c>
      <c r="C1464" t="s">
        <v>16</v>
      </c>
      <c r="D1464" t="s">
        <v>1957</v>
      </c>
      <c r="E1464" t="s">
        <v>1956</v>
      </c>
      <c r="F1464" s="5">
        <v>45524</v>
      </c>
      <c r="G1464" t="s">
        <v>126</v>
      </c>
      <c r="H1464" t="s">
        <v>1955</v>
      </c>
      <c r="I1464" t="s">
        <v>31</v>
      </c>
      <c r="J1464" t="s">
        <v>32</v>
      </c>
      <c r="K1464" t="s">
        <v>32</v>
      </c>
      <c r="L1464" t="s">
        <v>25</v>
      </c>
      <c r="M1464" t="s">
        <v>20</v>
      </c>
      <c r="N1464">
        <v>4</v>
      </c>
      <c r="O1464">
        <v>1080</v>
      </c>
      <c r="P1464">
        <v>1499</v>
      </c>
      <c r="Q1464">
        <v>0</v>
      </c>
      <c r="R1464">
        <v>0</v>
      </c>
      <c r="S1464">
        <v>5996</v>
      </c>
      <c r="T1464">
        <v>1676</v>
      </c>
      <c r="U1464">
        <v>27.95</v>
      </c>
      <c r="V1464" t="s">
        <v>21</v>
      </c>
    </row>
    <row r="1465" spans="1:22" x14ac:dyDescent="0.35">
      <c r="A1465" t="s">
        <v>1954</v>
      </c>
      <c r="B1465" t="s">
        <v>74</v>
      </c>
      <c r="C1465" t="s">
        <v>16</v>
      </c>
      <c r="D1465" t="s">
        <v>1953</v>
      </c>
      <c r="E1465" t="s">
        <v>1952</v>
      </c>
      <c r="F1465" s="5">
        <v>45539</v>
      </c>
      <c r="G1465" t="s">
        <v>126</v>
      </c>
      <c r="H1465" t="s">
        <v>1516</v>
      </c>
      <c r="I1465" t="s">
        <v>23</v>
      </c>
      <c r="J1465" t="s">
        <v>142</v>
      </c>
      <c r="K1465" t="s">
        <v>43</v>
      </c>
      <c r="L1465" t="s">
        <v>37</v>
      </c>
      <c r="M1465" t="s">
        <v>20</v>
      </c>
      <c r="N1465">
        <v>1</v>
      </c>
      <c r="O1465">
        <v>3048</v>
      </c>
      <c r="P1465">
        <v>4299</v>
      </c>
      <c r="Q1465">
        <v>5</v>
      </c>
      <c r="R1465">
        <v>300</v>
      </c>
      <c r="S1465">
        <v>3999</v>
      </c>
      <c r="T1465">
        <v>951</v>
      </c>
      <c r="U1465">
        <v>23.78</v>
      </c>
      <c r="V1465" t="s">
        <v>21</v>
      </c>
    </row>
    <row r="1466" spans="1:22" x14ac:dyDescent="0.35">
      <c r="A1466" t="s">
        <v>1951</v>
      </c>
      <c r="B1466" t="s">
        <v>51</v>
      </c>
      <c r="C1466" t="s">
        <v>16</v>
      </c>
      <c r="D1466" t="s">
        <v>1950</v>
      </c>
      <c r="E1466" t="s">
        <v>1949</v>
      </c>
      <c r="F1466" s="5">
        <v>45538</v>
      </c>
      <c r="G1466" t="s">
        <v>126</v>
      </c>
      <c r="H1466" t="s">
        <v>1948</v>
      </c>
      <c r="I1466" t="s">
        <v>17</v>
      </c>
      <c r="J1466" t="s">
        <v>55</v>
      </c>
      <c r="K1466" t="s">
        <v>55</v>
      </c>
      <c r="L1466" t="s">
        <v>25</v>
      </c>
      <c r="M1466" t="s">
        <v>20</v>
      </c>
      <c r="N1466">
        <v>2</v>
      </c>
      <c r="O1466">
        <v>334</v>
      </c>
      <c r="P1466">
        <v>499</v>
      </c>
      <c r="Q1466">
        <v>0</v>
      </c>
      <c r="R1466">
        <v>0</v>
      </c>
      <c r="S1466">
        <v>998</v>
      </c>
      <c r="T1466">
        <v>330</v>
      </c>
      <c r="U1466">
        <v>33.07</v>
      </c>
      <c r="V1466" t="s">
        <v>21</v>
      </c>
    </row>
    <row r="1467" spans="1:22" x14ac:dyDescent="0.35">
      <c r="A1467" t="s">
        <v>1947</v>
      </c>
      <c r="B1467" t="s">
        <v>91</v>
      </c>
      <c r="C1467" t="s">
        <v>16</v>
      </c>
      <c r="D1467" t="s">
        <v>1946</v>
      </c>
      <c r="E1467" t="s">
        <v>1945</v>
      </c>
      <c r="F1467" s="5">
        <v>45483</v>
      </c>
      <c r="G1467" t="s">
        <v>126</v>
      </c>
      <c r="H1467" t="s">
        <v>1944</v>
      </c>
      <c r="I1467" t="s">
        <v>31</v>
      </c>
      <c r="J1467" t="s">
        <v>76</v>
      </c>
      <c r="K1467" t="s">
        <v>76</v>
      </c>
      <c r="L1467" t="s">
        <v>25</v>
      </c>
      <c r="M1467" t="s">
        <v>19</v>
      </c>
      <c r="N1467">
        <v>1</v>
      </c>
      <c r="O1467">
        <v>661</v>
      </c>
      <c r="P1467">
        <v>999</v>
      </c>
      <c r="Q1467">
        <v>0</v>
      </c>
      <c r="R1467">
        <v>0</v>
      </c>
      <c r="S1467">
        <v>999</v>
      </c>
      <c r="T1467">
        <v>338</v>
      </c>
      <c r="U1467">
        <v>33.83</v>
      </c>
      <c r="V1467" t="s">
        <v>21</v>
      </c>
    </row>
    <row r="1468" spans="1:22" x14ac:dyDescent="0.35">
      <c r="A1468" t="s">
        <v>1943</v>
      </c>
      <c r="B1468" t="s">
        <v>70</v>
      </c>
      <c r="C1468" t="s">
        <v>27</v>
      </c>
      <c r="D1468" t="s">
        <v>1942</v>
      </c>
      <c r="E1468" t="s">
        <v>1941</v>
      </c>
      <c r="F1468" s="5">
        <v>45452</v>
      </c>
      <c r="G1468" t="s">
        <v>126</v>
      </c>
      <c r="H1468" t="s">
        <v>1579</v>
      </c>
      <c r="I1468" t="s">
        <v>35</v>
      </c>
      <c r="J1468" t="s">
        <v>214</v>
      </c>
      <c r="K1468" t="s">
        <v>50</v>
      </c>
      <c r="L1468" t="s">
        <v>25</v>
      </c>
      <c r="M1468" t="s">
        <v>19</v>
      </c>
      <c r="N1468">
        <v>1</v>
      </c>
      <c r="O1468">
        <v>608</v>
      </c>
      <c r="P1468">
        <v>999</v>
      </c>
      <c r="Q1468">
        <v>15</v>
      </c>
      <c r="R1468">
        <v>200</v>
      </c>
      <c r="S1468">
        <v>799</v>
      </c>
      <c r="T1468">
        <v>191</v>
      </c>
      <c r="U1468">
        <v>23.9</v>
      </c>
      <c r="V1468" t="s">
        <v>33</v>
      </c>
    </row>
    <row r="1469" spans="1:22" x14ac:dyDescent="0.35">
      <c r="A1469" t="s">
        <v>1940</v>
      </c>
      <c r="B1469" t="s">
        <v>15</v>
      </c>
      <c r="C1469" t="s">
        <v>16</v>
      </c>
      <c r="D1469" t="s">
        <v>1939</v>
      </c>
      <c r="E1469" t="s">
        <v>1938</v>
      </c>
      <c r="F1469" s="5">
        <v>45570</v>
      </c>
      <c r="G1469" t="s">
        <v>126</v>
      </c>
      <c r="H1469" t="s">
        <v>1937</v>
      </c>
      <c r="I1469" t="s">
        <v>17</v>
      </c>
      <c r="J1469" t="s">
        <v>48</v>
      </c>
      <c r="K1469" t="s">
        <v>48</v>
      </c>
      <c r="L1469" t="s">
        <v>19</v>
      </c>
      <c r="M1469" t="s">
        <v>20</v>
      </c>
      <c r="N1469">
        <v>1</v>
      </c>
      <c r="O1469">
        <v>314</v>
      </c>
      <c r="P1469">
        <v>499</v>
      </c>
      <c r="Q1469">
        <v>0</v>
      </c>
      <c r="R1469">
        <v>0</v>
      </c>
      <c r="S1469">
        <v>499</v>
      </c>
      <c r="T1469">
        <v>185</v>
      </c>
      <c r="U1469">
        <v>37.07</v>
      </c>
      <c r="V1469" t="s">
        <v>21</v>
      </c>
    </row>
    <row r="1470" spans="1:22" x14ac:dyDescent="0.35">
      <c r="A1470" t="s">
        <v>1936</v>
      </c>
      <c r="B1470" t="s">
        <v>47</v>
      </c>
      <c r="C1470" t="s">
        <v>16</v>
      </c>
      <c r="D1470" t="s">
        <v>1935</v>
      </c>
      <c r="E1470" t="s">
        <v>1934</v>
      </c>
      <c r="F1470" s="5">
        <v>45577</v>
      </c>
      <c r="G1470" t="s">
        <v>126</v>
      </c>
      <c r="H1470" t="s">
        <v>1933</v>
      </c>
      <c r="I1470" t="s">
        <v>31</v>
      </c>
      <c r="J1470" t="s">
        <v>76</v>
      </c>
      <c r="K1470" t="s">
        <v>76</v>
      </c>
      <c r="L1470" t="s">
        <v>19</v>
      </c>
      <c r="M1470" t="s">
        <v>20</v>
      </c>
      <c r="N1470">
        <v>1</v>
      </c>
      <c r="O1470">
        <v>838</v>
      </c>
      <c r="P1470">
        <v>1199</v>
      </c>
      <c r="Q1470">
        <v>0</v>
      </c>
      <c r="R1470">
        <v>0</v>
      </c>
      <c r="S1470">
        <v>1199</v>
      </c>
      <c r="T1470">
        <v>361</v>
      </c>
      <c r="U1470">
        <v>30.11</v>
      </c>
      <c r="V1470" t="s">
        <v>21</v>
      </c>
    </row>
    <row r="1471" spans="1:22" x14ac:dyDescent="0.35">
      <c r="A1471" t="s">
        <v>1932</v>
      </c>
      <c r="B1471" t="s">
        <v>46</v>
      </c>
      <c r="C1471" t="s">
        <v>16</v>
      </c>
      <c r="D1471" t="s">
        <v>1931</v>
      </c>
      <c r="E1471" t="s">
        <v>1930</v>
      </c>
      <c r="F1471" s="5">
        <v>45592</v>
      </c>
      <c r="G1471" t="s">
        <v>126</v>
      </c>
      <c r="H1471" t="s">
        <v>1929</v>
      </c>
      <c r="I1471" t="s">
        <v>17</v>
      </c>
      <c r="J1471" t="s">
        <v>48</v>
      </c>
      <c r="K1471" t="s">
        <v>48</v>
      </c>
      <c r="L1471" t="s">
        <v>25</v>
      </c>
      <c r="M1471" t="s">
        <v>19</v>
      </c>
      <c r="N1471">
        <v>1</v>
      </c>
      <c r="O1471">
        <v>319</v>
      </c>
      <c r="P1471">
        <v>499</v>
      </c>
      <c r="Q1471">
        <v>0</v>
      </c>
      <c r="R1471">
        <v>0</v>
      </c>
      <c r="S1471">
        <v>499</v>
      </c>
      <c r="T1471">
        <v>180</v>
      </c>
      <c r="U1471">
        <v>36.07</v>
      </c>
      <c r="V1471" t="s">
        <v>21</v>
      </c>
    </row>
    <row r="1472" spans="1:22" x14ac:dyDescent="0.35">
      <c r="A1472" t="s">
        <v>1928</v>
      </c>
      <c r="B1472" t="s">
        <v>79</v>
      </c>
      <c r="C1472" t="s">
        <v>16</v>
      </c>
      <c r="D1472" t="s">
        <v>1927</v>
      </c>
      <c r="E1472" t="s">
        <v>1926</v>
      </c>
      <c r="F1472" s="5">
        <v>45580</v>
      </c>
      <c r="G1472" t="s">
        <v>126</v>
      </c>
      <c r="H1472" t="s">
        <v>956</v>
      </c>
      <c r="I1472" t="s">
        <v>23</v>
      </c>
      <c r="J1472" t="s">
        <v>164</v>
      </c>
      <c r="K1472" t="s">
        <v>24</v>
      </c>
      <c r="L1472" t="s">
        <v>37</v>
      </c>
      <c r="M1472" t="s">
        <v>20</v>
      </c>
      <c r="N1472">
        <v>1</v>
      </c>
      <c r="O1472">
        <v>1667</v>
      </c>
      <c r="P1472">
        <v>2499</v>
      </c>
      <c r="Q1472">
        <v>20</v>
      </c>
      <c r="R1472">
        <v>500</v>
      </c>
      <c r="S1472">
        <v>1999</v>
      </c>
      <c r="T1472">
        <v>332</v>
      </c>
      <c r="U1472">
        <v>16.61</v>
      </c>
      <c r="V1472" t="s">
        <v>21</v>
      </c>
    </row>
    <row r="1473" spans="1:22" x14ac:dyDescent="0.35">
      <c r="A1473" t="s">
        <v>1925</v>
      </c>
      <c r="B1473" t="s">
        <v>15</v>
      </c>
      <c r="C1473" t="s">
        <v>16</v>
      </c>
      <c r="D1473" t="s">
        <v>1924</v>
      </c>
      <c r="E1473" t="s">
        <v>1923</v>
      </c>
      <c r="F1473" s="5">
        <v>45573</v>
      </c>
      <c r="G1473" t="s">
        <v>126</v>
      </c>
      <c r="H1473" t="s">
        <v>1906</v>
      </c>
      <c r="I1473" t="s">
        <v>31</v>
      </c>
      <c r="J1473" t="s">
        <v>32</v>
      </c>
      <c r="K1473" t="s">
        <v>32</v>
      </c>
      <c r="L1473" t="s">
        <v>19</v>
      </c>
      <c r="M1473" t="s">
        <v>20</v>
      </c>
      <c r="N1473">
        <v>4</v>
      </c>
      <c r="O1473">
        <v>521</v>
      </c>
      <c r="P1473">
        <v>999</v>
      </c>
      <c r="Q1473">
        <v>0</v>
      </c>
      <c r="R1473">
        <v>0</v>
      </c>
      <c r="S1473">
        <v>3996</v>
      </c>
      <c r="T1473">
        <v>1912</v>
      </c>
      <c r="U1473">
        <v>47.85</v>
      </c>
      <c r="V1473" t="s">
        <v>21</v>
      </c>
    </row>
    <row r="1474" spans="1:22" x14ac:dyDescent="0.35">
      <c r="A1474" t="s">
        <v>1922</v>
      </c>
      <c r="B1474" t="s">
        <v>53</v>
      </c>
      <c r="C1474" t="s">
        <v>27</v>
      </c>
      <c r="D1474" t="s">
        <v>1921</v>
      </c>
      <c r="E1474" t="s">
        <v>1920</v>
      </c>
      <c r="F1474" s="5">
        <v>45447</v>
      </c>
      <c r="G1474" t="s">
        <v>126</v>
      </c>
      <c r="H1474" t="s">
        <v>1892</v>
      </c>
      <c r="I1474" t="s">
        <v>35</v>
      </c>
      <c r="J1474" t="s">
        <v>41</v>
      </c>
      <c r="K1474" t="s">
        <v>41</v>
      </c>
      <c r="L1474" t="s">
        <v>37</v>
      </c>
      <c r="M1474" t="s">
        <v>20</v>
      </c>
      <c r="N1474">
        <v>1</v>
      </c>
      <c r="O1474">
        <v>565</v>
      </c>
      <c r="P1474">
        <v>999</v>
      </c>
      <c r="Q1474">
        <v>15</v>
      </c>
      <c r="R1474">
        <v>200</v>
      </c>
      <c r="S1474">
        <v>799</v>
      </c>
      <c r="T1474">
        <v>234</v>
      </c>
      <c r="U1474">
        <v>29.29</v>
      </c>
      <c r="V1474" t="s">
        <v>21</v>
      </c>
    </row>
    <row r="1475" spans="1:22" x14ac:dyDescent="0.35">
      <c r="A1475" t="s">
        <v>1919</v>
      </c>
      <c r="B1475" t="s">
        <v>94</v>
      </c>
      <c r="C1475" t="s">
        <v>16</v>
      </c>
      <c r="D1475" t="s">
        <v>1918</v>
      </c>
      <c r="E1475" t="s">
        <v>1917</v>
      </c>
      <c r="F1475" s="5">
        <v>45469</v>
      </c>
      <c r="G1475" t="s">
        <v>126</v>
      </c>
      <c r="H1475" t="s">
        <v>802</v>
      </c>
      <c r="I1475" t="s">
        <v>31</v>
      </c>
      <c r="J1475" t="s">
        <v>32</v>
      </c>
      <c r="K1475" t="s">
        <v>32</v>
      </c>
      <c r="L1475" t="s">
        <v>25</v>
      </c>
      <c r="M1475" t="s">
        <v>20</v>
      </c>
      <c r="N1475">
        <v>1</v>
      </c>
      <c r="O1475">
        <v>506</v>
      </c>
      <c r="P1475">
        <v>899</v>
      </c>
      <c r="Q1475">
        <v>0</v>
      </c>
      <c r="R1475">
        <v>0</v>
      </c>
      <c r="S1475">
        <v>899</v>
      </c>
      <c r="T1475">
        <v>393</v>
      </c>
      <c r="U1475">
        <v>43.72</v>
      </c>
      <c r="V1475" t="s">
        <v>21</v>
      </c>
    </row>
    <row r="1476" spans="1:22" x14ac:dyDescent="0.35">
      <c r="A1476" t="s">
        <v>1916</v>
      </c>
      <c r="B1476" t="s">
        <v>99</v>
      </c>
      <c r="C1476" t="s">
        <v>27</v>
      </c>
      <c r="D1476" t="s">
        <v>1915</v>
      </c>
      <c r="E1476" t="s">
        <v>1914</v>
      </c>
      <c r="F1476" s="5">
        <v>45652</v>
      </c>
      <c r="G1476" t="s">
        <v>126</v>
      </c>
      <c r="H1476" t="s">
        <v>1913</v>
      </c>
      <c r="I1476" t="s">
        <v>17</v>
      </c>
      <c r="J1476" t="s">
        <v>253</v>
      </c>
      <c r="K1476" t="s">
        <v>72</v>
      </c>
      <c r="L1476" t="s">
        <v>25</v>
      </c>
      <c r="M1476" t="s">
        <v>19</v>
      </c>
      <c r="N1476">
        <v>1</v>
      </c>
      <c r="O1476">
        <v>204</v>
      </c>
      <c r="P1476">
        <v>399</v>
      </c>
      <c r="Q1476">
        <v>0</v>
      </c>
      <c r="R1476">
        <v>0</v>
      </c>
      <c r="S1476">
        <v>399</v>
      </c>
      <c r="T1476">
        <v>195</v>
      </c>
      <c r="U1476">
        <v>48.87</v>
      </c>
      <c r="V1476" t="s">
        <v>33</v>
      </c>
    </row>
    <row r="1477" spans="1:22" x14ac:dyDescent="0.35">
      <c r="A1477" t="s">
        <v>1912</v>
      </c>
      <c r="B1477" t="s">
        <v>53</v>
      </c>
      <c r="C1477" t="s">
        <v>27</v>
      </c>
      <c r="D1477" t="s">
        <v>1911</v>
      </c>
      <c r="E1477" t="s">
        <v>1910</v>
      </c>
      <c r="F1477" s="5">
        <v>45600</v>
      </c>
      <c r="G1477" t="s">
        <v>126</v>
      </c>
      <c r="H1477" t="s">
        <v>1274</v>
      </c>
      <c r="I1477" t="s">
        <v>28</v>
      </c>
      <c r="J1477" t="s">
        <v>45</v>
      </c>
      <c r="K1477" t="s">
        <v>45</v>
      </c>
      <c r="L1477" t="s">
        <v>25</v>
      </c>
      <c r="M1477" t="s">
        <v>19</v>
      </c>
      <c r="N1477">
        <v>2</v>
      </c>
      <c r="O1477">
        <v>1180</v>
      </c>
      <c r="P1477">
        <v>1699</v>
      </c>
      <c r="Q1477">
        <v>10</v>
      </c>
      <c r="R1477">
        <v>400</v>
      </c>
      <c r="S1477">
        <v>2998</v>
      </c>
      <c r="T1477">
        <v>638</v>
      </c>
      <c r="U1477">
        <v>21.28</v>
      </c>
      <c r="V1477" t="s">
        <v>21</v>
      </c>
    </row>
    <row r="1478" spans="1:22" x14ac:dyDescent="0.35">
      <c r="A1478" t="s">
        <v>1909</v>
      </c>
      <c r="B1478" t="s">
        <v>92</v>
      </c>
      <c r="C1478" t="s">
        <v>27</v>
      </c>
      <c r="D1478" t="s">
        <v>1908</v>
      </c>
      <c r="E1478" t="s">
        <v>1907</v>
      </c>
      <c r="F1478" s="5">
        <v>45564</v>
      </c>
      <c r="G1478" t="s">
        <v>126</v>
      </c>
      <c r="H1478" t="s">
        <v>1906</v>
      </c>
      <c r="I1478" t="s">
        <v>28</v>
      </c>
      <c r="J1478" t="s">
        <v>201</v>
      </c>
      <c r="K1478" t="s">
        <v>29</v>
      </c>
      <c r="L1478" t="s">
        <v>25</v>
      </c>
      <c r="M1478" t="s">
        <v>19</v>
      </c>
      <c r="N1478">
        <v>1</v>
      </c>
      <c r="O1478">
        <v>396</v>
      </c>
      <c r="P1478">
        <v>599</v>
      </c>
      <c r="Q1478">
        <v>5</v>
      </c>
      <c r="R1478">
        <v>100</v>
      </c>
      <c r="S1478">
        <v>499</v>
      </c>
      <c r="T1478">
        <v>103</v>
      </c>
      <c r="U1478">
        <v>20.64</v>
      </c>
      <c r="V1478" t="s">
        <v>33</v>
      </c>
    </row>
    <row r="1479" spans="1:22" x14ac:dyDescent="0.35">
      <c r="A1479" t="s">
        <v>1905</v>
      </c>
      <c r="B1479" t="s">
        <v>54</v>
      </c>
      <c r="C1479" t="s">
        <v>27</v>
      </c>
      <c r="D1479" t="s">
        <v>1904</v>
      </c>
      <c r="E1479" t="s">
        <v>1903</v>
      </c>
      <c r="F1479" s="5">
        <v>45620</v>
      </c>
      <c r="G1479" t="s">
        <v>126</v>
      </c>
      <c r="H1479" t="s">
        <v>1902</v>
      </c>
      <c r="I1479" t="s">
        <v>35</v>
      </c>
      <c r="J1479" t="s">
        <v>214</v>
      </c>
      <c r="K1479" t="s">
        <v>50</v>
      </c>
      <c r="L1479" t="s">
        <v>19</v>
      </c>
      <c r="M1479" t="s">
        <v>20</v>
      </c>
      <c r="N1479">
        <v>2</v>
      </c>
      <c r="O1479">
        <v>899</v>
      </c>
      <c r="P1479">
        <v>1599</v>
      </c>
      <c r="Q1479">
        <v>5</v>
      </c>
      <c r="R1479">
        <v>200</v>
      </c>
      <c r="S1479">
        <v>2998</v>
      </c>
      <c r="T1479">
        <v>1200</v>
      </c>
      <c r="U1479">
        <v>40.03</v>
      </c>
      <c r="V1479" t="s">
        <v>21</v>
      </c>
    </row>
    <row r="1480" spans="1:22" x14ac:dyDescent="0.35">
      <c r="A1480" t="s">
        <v>1901</v>
      </c>
      <c r="B1480" t="s">
        <v>107</v>
      </c>
      <c r="C1480" t="s">
        <v>27</v>
      </c>
      <c r="D1480" t="s">
        <v>1900</v>
      </c>
      <c r="E1480" t="s">
        <v>1899</v>
      </c>
      <c r="F1480" s="5">
        <v>45480</v>
      </c>
      <c r="G1480" t="s">
        <v>126</v>
      </c>
      <c r="H1480" t="s">
        <v>691</v>
      </c>
      <c r="I1480" t="s">
        <v>23</v>
      </c>
      <c r="J1480" t="s">
        <v>142</v>
      </c>
      <c r="K1480" t="s">
        <v>43</v>
      </c>
      <c r="L1480" t="s">
        <v>37</v>
      </c>
      <c r="M1480" t="s">
        <v>20</v>
      </c>
      <c r="N1480">
        <v>2</v>
      </c>
      <c r="O1480">
        <v>2760</v>
      </c>
      <c r="P1480">
        <v>3899</v>
      </c>
      <c r="Q1480">
        <v>10</v>
      </c>
      <c r="R1480">
        <v>800</v>
      </c>
      <c r="S1480">
        <v>6998</v>
      </c>
      <c r="T1480">
        <v>1478</v>
      </c>
      <c r="U1480">
        <v>21.12</v>
      </c>
      <c r="V1480" t="s">
        <v>21</v>
      </c>
    </row>
    <row r="1481" spans="1:22" x14ac:dyDescent="0.35">
      <c r="A1481" t="s">
        <v>1898</v>
      </c>
      <c r="B1481" t="s">
        <v>44</v>
      </c>
      <c r="C1481" t="s">
        <v>16</v>
      </c>
      <c r="D1481" t="s">
        <v>1897</v>
      </c>
      <c r="E1481" t="s">
        <v>1896</v>
      </c>
      <c r="F1481" s="5">
        <v>45482</v>
      </c>
      <c r="G1481" t="s">
        <v>126</v>
      </c>
      <c r="H1481" t="s">
        <v>155</v>
      </c>
      <c r="I1481" t="s">
        <v>31</v>
      </c>
      <c r="J1481" t="s">
        <v>32</v>
      </c>
      <c r="K1481" t="s">
        <v>32</v>
      </c>
      <c r="L1481" t="s">
        <v>25</v>
      </c>
      <c r="M1481" t="s">
        <v>20</v>
      </c>
      <c r="N1481">
        <v>1</v>
      </c>
      <c r="O1481">
        <v>687</v>
      </c>
      <c r="P1481">
        <v>999</v>
      </c>
      <c r="Q1481">
        <v>0</v>
      </c>
      <c r="R1481">
        <v>0</v>
      </c>
      <c r="S1481">
        <v>999</v>
      </c>
      <c r="T1481">
        <v>312</v>
      </c>
      <c r="U1481">
        <v>31.23</v>
      </c>
      <c r="V1481" t="s">
        <v>21</v>
      </c>
    </row>
    <row r="1482" spans="1:22" x14ac:dyDescent="0.35">
      <c r="A1482" t="s">
        <v>1895</v>
      </c>
      <c r="B1482" t="s">
        <v>49</v>
      </c>
      <c r="C1482" t="s">
        <v>27</v>
      </c>
      <c r="D1482" t="s">
        <v>1894</v>
      </c>
      <c r="E1482" t="s">
        <v>1893</v>
      </c>
      <c r="F1482" s="5">
        <v>45497</v>
      </c>
      <c r="G1482" t="s">
        <v>126</v>
      </c>
      <c r="H1482" t="s">
        <v>1892</v>
      </c>
      <c r="I1482" t="s">
        <v>17</v>
      </c>
      <c r="J1482" t="s">
        <v>253</v>
      </c>
      <c r="K1482" t="s">
        <v>72</v>
      </c>
      <c r="L1482" t="s">
        <v>37</v>
      </c>
      <c r="M1482" t="s">
        <v>20</v>
      </c>
      <c r="N1482">
        <v>3</v>
      </c>
      <c r="O1482">
        <v>234</v>
      </c>
      <c r="P1482">
        <v>399</v>
      </c>
      <c r="Q1482">
        <v>0</v>
      </c>
      <c r="R1482">
        <v>0</v>
      </c>
      <c r="S1482">
        <v>1197</v>
      </c>
      <c r="T1482">
        <v>495</v>
      </c>
      <c r="U1482">
        <v>41.35</v>
      </c>
      <c r="V1482" t="s">
        <v>21</v>
      </c>
    </row>
    <row r="1483" spans="1:22" x14ac:dyDescent="0.35">
      <c r="A1483" t="s">
        <v>1891</v>
      </c>
      <c r="B1483" t="s">
        <v>70</v>
      </c>
      <c r="C1483" t="s">
        <v>27</v>
      </c>
      <c r="D1483" t="s">
        <v>1890</v>
      </c>
      <c r="E1483" t="s">
        <v>1889</v>
      </c>
      <c r="F1483" s="5">
        <v>45449</v>
      </c>
      <c r="G1483" t="s">
        <v>126</v>
      </c>
      <c r="H1483" t="s">
        <v>1888</v>
      </c>
      <c r="I1483" t="s">
        <v>23</v>
      </c>
      <c r="J1483" t="s">
        <v>142</v>
      </c>
      <c r="K1483" t="s">
        <v>43</v>
      </c>
      <c r="L1483" t="s">
        <v>19</v>
      </c>
      <c r="M1483" t="s">
        <v>19</v>
      </c>
      <c r="N1483">
        <v>1</v>
      </c>
      <c r="O1483">
        <v>1100</v>
      </c>
      <c r="P1483">
        <v>2199</v>
      </c>
      <c r="Q1483">
        <v>5</v>
      </c>
      <c r="R1483">
        <v>200</v>
      </c>
      <c r="S1483">
        <v>1999</v>
      </c>
      <c r="T1483">
        <v>899</v>
      </c>
      <c r="U1483">
        <v>44.97</v>
      </c>
      <c r="V1483" t="s">
        <v>21</v>
      </c>
    </row>
    <row r="1484" spans="1:22" x14ac:dyDescent="0.35">
      <c r="A1484" t="s">
        <v>1887</v>
      </c>
      <c r="B1484" t="s">
        <v>83</v>
      </c>
      <c r="C1484" t="s">
        <v>27</v>
      </c>
      <c r="D1484" t="s">
        <v>1886</v>
      </c>
      <c r="E1484" t="s">
        <v>1885</v>
      </c>
      <c r="F1484" s="5">
        <v>45612</v>
      </c>
      <c r="G1484" t="s">
        <v>126</v>
      </c>
      <c r="H1484" t="s">
        <v>1884</v>
      </c>
      <c r="I1484" t="s">
        <v>17</v>
      </c>
      <c r="J1484" t="s">
        <v>253</v>
      </c>
      <c r="K1484" t="s">
        <v>72</v>
      </c>
      <c r="L1484" t="s">
        <v>37</v>
      </c>
      <c r="M1484" t="s">
        <v>20</v>
      </c>
      <c r="N1484">
        <v>3</v>
      </c>
      <c r="O1484">
        <v>338</v>
      </c>
      <c r="P1484">
        <v>499</v>
      </c>
      <c r="Q1484">
        <v>0</v>
      </c>
      <c r="R1484">
        <v>0</v>
      </c>
      <c r="S1484">
        <v>1497</v>
      </c>
      <c r="T1484">
        <v>483</v>
      </c>
      <c r="U1484">
        <v>32.26</v>
      </c>
      <c r="V1484" t="s">
        <v>33</v>
      </c>
    </row>
    <row r="1485" spans="1:22" x14ac:dyDescent="0.35">
      <c r="A1485" t="s">
        <v>1883</v>
      </c>
      <c r="B1485" t="s">
        <v>80</v>
      </c>
      <c r="C1485" t="s">
        <v>27</v>
      </c>
      <c r="D1485" t="s">
        <v>1882</v>
      </c>
      <c r="E1485" t="s">
        <v>1881</v>
      </c>
      <c r="F1485" s="5">
        <v>45653</v>
      </c>
      <c r="G1485" t="s">
        <v>126</v>
      </c>
      <c r="H1485" t="s">
        <v>575</v>
      </c>
      <c r="I1485" t="s">
        <v>28</v>
      </c>
      <c r="J1485" t="s">
        <v>201</v>
      </c>
      <c r="K1485" t="s">
        <v>29</v>
      </c>
      <c r="L1485" t="s">
        <v>19</v>
      </c>
      <c r="M1485" t="s">
        <v>19</v>
      </c>
      <c r="N1485">
        <v>4</v>
      </c>
      <c r="O1485">
        <v>357</v>
      </c>
      <c r="P1485">
        <v>599</v>
      </c>
      <c r="Q1485">
        <v>20</v>
      </c>
      <c r="R1485">
        <v>600</v>
      </c>
      <c r="S1485">
        <v>1796</v>
      </c>
      <c r="T1485">
        <v>368</v>
      </c>
      <c r="U1485">
        <v>20.49</v>
      </c>
      <c r="V1485" t="s">
        <v>33</v>
      </c>
    </row>
    <row r="1486" spans="1:22" x14ac:dyDescent="0.35">
      <c r="A1486" t="s">
        <v>1880</v>
      </c>
      <c r="B1486" t="s">
        <v>77</v>
      </c>
      <c r="C1486" t="s">
        <v>27</v>
      </c>
      <c r="D1486" t="s">
        <v>1879</v>
      </c>
      <c r="E1486" t="s">
        <v>1878</v>
      </c>
      <c r="F1486" s="5">
        <v>45614</v>
      </c>
      <c r="G1486" t="s">
        <v>126</v>
      </c>
      <c r="H1486" t="s">
        <v>1660</v>
      </c>
      <c r="I1486" t="s">
        <v>35</v>
      </c>
      <c r="J1486" t="s">
        <v>214</v>
      </c>
      <c r="K1486" t="s">
        <v>50</v>
      </c>
      <c r="L1486" t="s">
        <v>25</v>
      </c>
      <c r="M1486" t="s">
        <v>20</v>
      </c>
      <c r="N1486">
        <v>1</v>
      </c>
      <c r="O1486">
        <v>613</v>
      </c>
      <c r="P1486">
        <v>1199</v>
      </c>
      <c r="Q1486">
        <v>15</v>
      </c>
      <c r="R1486">
        <v>200</v>
      </c>
      <c r="S1486">
        <v>999</v>
      </c>
      <c r="T1486">
        <v>386</v>
      </c>
      <c r="U1486">
        <v>38.64</v>
      </c>
      <c r="V1486" t="s">
        <v>21</v>
      </c>
    </row>
    <row r="1487" spans="1:22" x14ac:dyDescent="0.35">
      <c r="A1487" t="s">
        <v>1877</v>
      </c>
      <c r="B1487" t="s">
        <v>108</v>
      </c>
      <c r="C1487" t="s">
        <v>27</v>
      </c>
      <c r="D1487" t="s">
        <v>1876</v>
      </c>
      <c r="E1487" t="s">
        <v>1875</v>
      </c>
      <c r="F1487" s="5">
        <v>45546</v>
      </c>
      <c r="G1487" t="s">
        <v>126</v>
      </c>
      <c r="H1487" t="s">
        <v>1874</v>
      </c>
      <c r="I1487" t="s">
        <v>28</v>
      </c>
      <c r="J1487" t="s">
        <v>45</v>
      </c>
      <c r="K1487" t="s">
        <v>45</v>
      </c>
      <c r="L1487" t="s">
        <v>37</v>
      </c>
      <c r="M1487" t="s">
        <v>19</v>
      </c>
      <c r="N1487">
        <v>1</v>
      </c>
      <c r="O1487">
        <v>1356</v>
      </c>
      <c r="P1487">
        <v>1899</v>
      </c>
      <c r="Q1487">
        <v>20</v>
      </c>
      <c r="R1487">
        <v>400</v>
      </c>
      <c r="S1487">
        <v>1499</v>
      </c>
      <c r="T1487">
        <v>143</v>
      </c>
      <c r="U1487">
        <v>9.5399999999999991</v>
      </c>
      <c r="V1487" t="s">
        <v>33</v>
      </c>
    </row>
    <row r="1488" spans="1:22" x14ac:dyDescent="0.35">
      <c r="A1488" t="s">
        <v>1873</v>
      </c>
      <c r="B1488" t="s">
        <v>77</v>
      </c>
      <c r="C1488" t="s">
        <v>27</v>
      </c>
      <c r="D1488" t="s">
        <v>1872</v>
      </c>
      <c r="E1488" t="s">
        <v>1871</v>
      </c>
      <c r="F1488" s="5">
        <v>45578</v>
      </c>
      <c r="G1488" t="s">
        <v>126</v>
      </c>
      <c r="H1488" t="s">
        <v>1870</v>
      </c>
      <c r="I1488" t="s">
        <v>23</v>
      </c>
      <c r="J1488" t="s">
        <v>142</v>
      </c>
      <c r="K1488" t="s">
        <v>43</v>
      </c>
      <c r="L1488" t="s">
        <v>37</v>
      </c>
      <c r="M1488" t="s">
        <v>19</v>
      </c>
      <c r="N1488">
        <v>3</v>
      </c>
      <c r="O1488">
        <v>3744</v>
      </c>
      <c r="P1488">
        <v>4999</v>
      </c>
      <c r="Q1488">
        <v>20</v>
      </c>
      <c r="R1488">
        <v>3000</v>
      </c>
      <c r="S1488">
        <v>11997</v>
      </c>
      <c r="T1488">
        <v>765</v>
      </c>
      <c r="U1488">
        <v>6.38</v>
      </c>
      <c r="V1488" t="s">
        <v>21</v>
      </c>
    </row>
    <row r="1489" spans="1:22" x14ac:dyDescent="0.35">
      <c r="A1489" t="s">
        <v>1869</v>
      </c>
      <c r="B1489" t="s">
        <v>61</v>
      </c>
      <c r="C1489" t="s">
        <v>27</v>
      </c>
      <c r="D1489" t="s">
        <v>1868</v>
      </c>
      <c r="E1489" t="s">
        <v>1867</v>
      </c>
      <c r="F1489" s="5">
        <v>45629</v>
      </c>
      <c r="G1489" t="s">
        <v>126</v>
      </c>
      <c r="H1489" t="s">
        <v>1866</v>
      </c>
      <c r="I1489" t="s">
        <v>28</v>
      </c>
      <c r="J1489" t="s">
        <v>201</v>
      </c>
      <c r="K1489" t="s">
        <v>29</v>
      </c>
      <c r="L1489" t="s">
        <v>19</v>
      </c>
      <c r="M1489" t="s">
        <v>20</v>
      </c>
      <c r="N1489">
        <v>1</v>
      </c>
      <c r="O1489">
        <v>313</v>
      </c>
      <c r="P1489">
        <v>599</v>
      </c>
      <c r="Q1489">
        <v>15</v>
      </c>
      <c r="R1489">
        <v>150</v>
      </c>
      <c r="S1489">
        <v>449</v>
      </c>
      <c r="T1489">
        <v>136</v>
      </c>
      <c r="U1489">
        <v>30.29</v>
      </c>
      <c r="V1489" t="s">
        <v>33</v>
      </c>
    </row>
    <row r="1490" spans="1:22" x14ac:dyDescent="0.35">
      <c r="A1490" t="s">
        <v>1865</v>
      </c>
      <c r="B1490" t="s">
        <v>60</v>
      </c>
      <c r="C1490" t="s">
        <v>27</v>
      </c>
      <c r="D1490" t="s">
        <v>1864</v>
      </c>
      <c r="E1490" t="s">
        <v>1863</v>
      </c>
      <c r="F1490" s="5">
        <v>45637</v>
      </c>
      <c r="G1490" t="s">
        <v>126</v>
      </c>
      <c r="H1490" t="s">
        <v>1382</v>
      </c>
      <c r="I1490" t="s">
        <v>23</v>
      </c>
      <c r="J1490" t="s">
        <v>164</v>
      </c>
      <c r="K1490" t="s">
        <v>24</v>
      </c>
      <c r="L1490" t="s">
        <v>19</v>
      </c>
      <c r="M1490" t="s">
        <v>20</v>
      </c>
      <c r="N1490">
        <v>2</v>
      </c>
      <c r="O1490">
        <v>816</v>
      </c>
      <c r="P1490">
        <v>1099</v>
      </c>
      <c r="Q1490">
        <v>5</v>
      </c>
      <c r="R1490">
        <v>200</v>
      </c>
      <c r="S1490">
        <v>1998</v>
      </c>
      <c r="T1490">
        <v>366</v>
      </c>
      <c r="U1490">
        <v>18.32</v>
      </c>
      <c r="V1490" t="s">
        <v>21</v>
      </c>
    </row>
    <row r="1491" spans="1:22" x14ac:dyDescent="0.35">
      <c r="A1491" t="s">
        <v>1862</v>
      </c>
      <c r="B1491" t="s">
        <v>89</v>
      </c>
      <c r="C1491" t="s">
        <v>16</v>
      </c>
      <c r="D1491" t="s">
        <v>1861</v>
      </c>
      <c r="E1491" t="s">
        <v>1860</v>
      </c>
      <c r="F1491" s="5">
        <v>45577</v>
      </c>
      <c r="G1491" t="s">
        <v>126</v>
      </c>
      <c r="H1491" t="s">
        <v>1859</v>
      </c>
      <c r="I1491" t="s">
        <v>17</v>
      </c>
      <c r="J1491" t="s">
        <v>48</v>
      </c>
      <c r="K1491" t="s">
        <v>48</v>
      </c>
      <c r="L1491" t="s">
        <v>19</v>
      </c>
      <c r="M1491" t="s">
        <v>20</v>
      </c>
      <c r="N1491">
        <v>1</v>
      </c>
      <c r="O1491">
        <v>347</v>
      </c>
      <c r="P1491">
        <v>599</v>
      </c>
      <c r="Q1491">
        <v>0</v>
      </c>
      <c r="R1491">
        <v>0</v>
      </c>
      <c r="S1491">
        <v>599</v>
      </c>
      <c r="T1491">
        <v>252</v>
      </c>
      <c r="U1491">
        <v>42.07</v>
      </c>
      <c r="V1491" t="s">
        <v>21</v>
      </c>
    </row>
    <row r="1492" spans="1:22" x14ac:dyDescent="0.35">
      <c r="A1492" t="s">
        <v>1858</v>
      </c>
      <c r="B1492" t="s">
        <v>65</v>
      </c>
      <c r="C1492" t="s">
        <v>16</v>
      </c>
      <c r="D1492" t="s">
        <v>1857</v>
      </c>
      <c r="E1492" t="s">
        <v>1856</v>
      </c>
      <c r="F1492" s="5">
        <v>45488</v>
      </c>
      <c r="G1492" t="s">
        <v>126</v>
      </c>
      <c r="H1492" t="s">
        <v>1855</v>
      </c>
      <c r="I1492" t="s">
        <v>31</v>
      </c>
      <c r="J1492" t="s">
        <v>76</v>
      </c>
      <c r="K1492" t="s">
        <v>76</v>
      </c>
      <c r="L1492" t="s">
        <v>37</v>
      </c>
      <c r="M1492" t="s">
        <v>19</v>
      </c>
      <c r="N1492">
        <v>1</v>
      </c>
      <c r="O1492">
        <v>521</v>
      </c>
      <c r="P1492">
        <v>799</v>
      </c>
      <c r="Q1492">
        <v>0</v>
      </c>
      <c r="R1492">
        <v>0</v>
      </c>
      <c r="S1492">
        <v>799</v>
      </c>
      <c r="T1492">
        <v>278</v>
      </c>
      <c r="U1492">
        <v>34.79</v>
      </c>
      <c r="V1492" t="s">
        <v>21</v>
      </c>
    </row>
    <row r="1493" spans="1:22" x14ac:dyDescent="0.35">
      <c r="A1493" t="s">
        <v>1854</v>
      </c>
      <c r="B1493" t="s">
        <v>85</v>
      </c>
      <c r="C1493" t="s">
        <v>27</v>
      </c>
      <c r="D1493" t="s">
        <v>1853</v>
      </c>
      <c r="E1493" t="s">
        <v>1852</v>
      </c>
      <c r="F1493" s="5">
        <v>45627</v>
      </c>
      <c r="G1493" t="s">
        <v>126</v>
      </c>
      <c r="H1493" t="s">
        <v>921</v>
      </c>
      <c r="I1493" t="s">
        <v>23</v>
      </c>
      <c r="J1493" t="s">
        <v>142</v>
      </c>
      <c r="K1493" t="s">
        <v>43</v>
      </c>
      <c r="L1493" t="s">
        <v>19</v>
      </c>
      <c r="M1493" t="s">
        <v>19</v>
      </c>
      <c r="N1493">
        <v>1</v>
      </c>
      <c r="O1493">
        <v>1997</v>
      </c>
      <c r="P1493">
        <v>2699</v>
      </c>
      <c r="Q1493">
        <v>5</v>
      </c>
      <c r="R1493">
        <v>200</v>
      </c>
      <c r="S1493">
        <v>2499</v>
      </c>
      <c r="T1493">
        <v>502</v>
      </c>
      <c r="U1493">
        <v>20.09</v>
      </c>
      <c r="V1493" t="s">
        <v>21</v>
      </c>
    </row>
    <row r="1494" spans="1:22" x14ac:dyDescent="0.35">
      <c r="A1494" t="s">
        <v>1851</v>
      </c>
      <c r="B1494" t="s">
        <v>66</v>
      </c>
      <c r="C1494" t="s">
        <v>27</v>
      </c>
      <c r="D1494" t="s">
        <v>1850</v>
      </c>
      <c r="E1494" t="s">
        <v>1849</v>
      </c>
      <c r="F1494" s="5">
        <v>45457</v>
      </c>
      <c r="G1494" t="s">
        <v>126</v>
      </c>
      <c r="H1494" t="s">
        <v>1848</v>
      </c>
      <c r="I1494" t="s">
        <v>35</v>
      </c>
      <c r="J1494" t="s">
        <v>39</v>
      </c>
      <c r="K1494" t="s">
        <v>39</v>
      </c>
      <c r="L1494" t="s">
        <v>37</v>
      </c>
      <c r="M1494" t="s">
        <v>19</v>
      </c>
      <c r="N1494">
        <v>5</v>
      </c>
      <c r="O1494">
        <v>819</v>
      </c>
      <c r="P1494">
        <v>1099</v>
      </c>
      <c r="Q1494">
        <v>5</v>
      </c>
      <c r="R1494">
        <v>500</v>
      </c>
      <c r="S1494">
        <v>4995</v>
      </c>
      <c r="T1494">
        <v>900</v>
      </c>
      <c r="U1494">
        <v>18.02</v>
      </c>
      <c r="V1494" t="s">
        <v>21</v>
      </c>
    </row>
    <row r="1495" spans="1:22" x14ac:dyDescent="0.35">
      <c r="A1495" t="s">
        <v>1847</v>
      </c>
      <c r="B1495" t="s">
        <v>98</v>
      </c>
      <c r="C1495" t="s">
        <v>16</v>
      </c>
      <c r="D1495" t="s">
        <v>1846</v>
      </c>
      <c r="E1495" t="s">
        <v>1845</v>
      </c>
      <c r="F1495" s="5">
        <v>45652</v>
      </c>
      <c r="G1495" t="s">
        <v>126</v>
      </c>
      <c r="H1495" t="s">
        <v>1844</v>
      </c>
      <c r="I1495" t="s">
        <v>23</v>
      </c>
      <c r="J1495" t="s">
        <v>142</v>
      </c>
      <c r="K1495" t="s">
        <v>43</v>
      </c>
      <c r="L1495" t="s">
        <v>37</v>
      </c>
      <c r="M1495" t="s">
        <v>20</v>
      </c>
      <c r="N1495">
        <v>1</v>
      </c>
      <c r="O1495">
        <v>1323</v>
      </c>
      <c r="P1495">
        <v>2499</v>
      </c>
      <c r="Q1495">
        <v>20</v>
      </c>
      <c r="R1495">
        <v>500</v>
      </c>
      <c r="S1495">
        <v>1999</v>
      </c>
      <c r="T1495">
        <v>676</v>
      </c>
      <c r="U1495">
        <v>33.82</v>
      </c>
      <c r="V1495" t="s">
        <v>21</v>
      </c>
    </row>
    <row r="1496" spans="1:22" x14ac:dyDescent="0.35">
      <c r="A1496" t="s">
        <v>1843</v>
      </c>
      <c r="B1496" t="s">
        <v>66</v>
      </c>
      <c r="C1496" t="s">
        <v>27</v>
      </c>
      <c r="D1496" t="s">
        <v>1842</v>
      </c>
      <c r="E1496" t="s">
        <v>1841</v>
      </c>
      <c r="F1496" s="5">
        <v>45599</v>
      </c>
      <c r="G1496" t="s">
        <v>126</v>
      </c>
      <c r="H1496" t="s">
        <v>360</v>
      </c>
      <c r="I1496" t="s">
        <v>28</v>
      </c>
      <c r="J1496" t="s">
        <v>45</v>
      </c>
      <c r="K1496" t="s">
        <v>45</v>
      </c>
      <c r="L1496" t="s">
        <v>19</v>
      </c>
      <c r="M1496" t="s">
        <v>20</v>
      </c>
      <c r="N1496">
        <v>4</v>
      </c>
      <c r="O1496">
        <v>732</v>
      </c>
      <c r="P1496">
        <v>999</v>
      </c>
      <c r="Q1496">
        <v>15</v>
      </c>
      <c r="R1496">
        <v>800</v>
      </c>
      <c r="S1496">
        <v>3196</v>
      </c>
      <c r="T1496">
        <v>268</v>
      </c>
      <c r="U1496">
        <v>8.39</v>
      </c>
      <c r="V1496" t="s">
        <v>21</v>
      </c>
    </row>
    <row r="1497" spans="1:22" x14ac:dyDescent="0.35">
      <c r="A1497" t="s">
        <v>1840</v>
      </c>
      <c r="B1497" t="s">
        <v>105</v>
      </c>
      <c r="C1497" t="s">
        <v>16</v>
      </c>
      <c r="D1497" t="s">
        <v>1839</v>
      </c>
      <c r="E1497" t="s">
        <v>1838</v>
      </c>
      <c r="F1497" s="5">
        <v>45522</v>
      </c>
      <c r="G1497" t="s">
        <v>126</v>
      </c>
      <c r="H1497" t="s">
        <v>1300</v>
      </c>
      <c r="I1497" t="s">
        <v>35</v>
      </c>
      <c r="J1497" t="s">
        <v>159</v>
      </c>
      <c r="K1497" t="s">
        <v>100</v>
      </c>
      <c r="L1497" t="s">
        <v>25</v>
      </c>
      <c r="M1497" t="s">
        <v>20</v>
      </c>
      <c r="N1497">
        <v>1</v>
      </c>
      <c r="O1497">
        <v>1324</v>
      </c>
      <c r="P1497">
        <v>2299</v>
      </c>
      <c r="Q1497">
        <v>10</v>
      </c>
      <c r="R1497">
        <v>300</v>
      </c>
      <c r="S1497">
        <v>1999</v>
      </c>
      <c r="T1497">
        <v>675</v>
      </c>
      <c r="U1497">
        <v>33.770000000000003</v>
      </c>
      <c r="V1497" t="s">
        <v>21</v>
      </c>
    </row>
    <row r="1498" spans="1:22" x14ac:dyDescent="0.35">
      <c r="A1498" t="s">
        <v>1837</v>
      </c>
      <c r="B1498" t="s">
        <v>107</v>
      </c>
      <c r="C1498" t="s">
        <v>27</v>
      </c>
      <c r="D1498" t="s">
        <v>1836</v>
      </c>
      <c r="E1498" t="s">
        <v>1835</v>
      </c>
      <c r="F1498" s="5">
        <v>45534</v>
      </c>
      <c r="G1498" t="s">
        <v>126</v>
      </c>
      <c r="H1498" t="s">
        <v>1834</v>
      </c>
      <c r="I1498" t="s">
        <v>31</v>
      </c>
      <c r="J1498" t="s">
        <v>76</v>
      </c>
      <c r="K1498" t="s">
        <v>76</v>
      </c>
      <c r="L1498" t="s">
        <v>37</v>
      </c>
      <c r="M1498" t="s">
        <v>19</v>
      </c>
      <c r="N1498">
        <v>1</v>
      </c>
      <c r="O1498">
        <v>651</v>
      </c>
      <c r="P1498">
        <v>1199</v>
      </c>
      <c r="Q1498">
        <v>0</v>
      </c>
      <c r="R1498">
        <v>0</v>
      </c>
      <c r="S1498">
        <v>1199</v>
      </c>
      <c r="T1498">
        <v>548</v>
      </c>
      <c r="U1498">
        <v>45.7</v>
      </c>
      <c r="V1498" t="s">
        <v>21</v>
      </c>
    </row>
    <row r="1499" spans="1:22" x14ac:dyDescent="0.35">
      <c r="A1499" t="s">
        <v>1833</v>
      </c>
      <c r="B1499" t="s">
        <v>79</v>
      </c>
      <c r="C1499" t="s">
        <v>16</v>
      </c>
      <c r="D1499" t="s">
        <v>1832</v>
      </c>
      <c r="E1499" t="s">
        <v>1831</v>
      </c>
      <c r="F1499" s="5">
        <v>45513</v>
      </c>
      <c r="G1499" t="s">
        <v>126</v>
      </c>
      <c r="H1499" t="s">
        <v>1830</v>
      </c>
      <c r="I1499" t="s">
        <v>31</v>
      </c>
      <c r="J1499" t="s">
        <v>76</v>
      </c>
      <c r="K1499" t="s">
        <v>76</v>
      </c>
      <c r="L1499" t="s">
        <v>19</v>
      </c>
      <c r="M1499" t="s">
        <v>20</v>
      </c>
      <c r="N1499">
        <v>2</v>
      </c>
      <c r="O1499">
        <v>524</v>
      </c>
      <c r="P1499">
        <v>699</v>
      </c>
      <c r="Q1499">
        <v>0</v>
      </c>
      <c r="R1499">
        <v>0</v>
      </c>
      <c r="S1499">
        <v>1398</v>
      </c>
      <c r="T1499">
        <v>350</v>
      </c>
      <c r="U1499">
        <v>25.04</v>
      </c>
      <c r="V1499" t="s">
        <v>21</v>
      </c>
    </row>
    <row r="1500" spans="1:22" x14ac:dyDescent="0.35">
      <c r="A1500" t="s">
        <v>1829</v>
      </c>
      <c r="B1500" t="s">
        <v>42</v>
      </c>
      <c r="C1500" t="s">
        <v>27</v>
      </c>
      <c r="D1500" t="s">
        <v>1828</v>
      </c>
      <c r="E1500" t="s">
        <v>1827</v>
      </c>
      <c r="F1500" s="5">
        <v>45453</v>
      </c>
      <c r="G1500" t="s">
        <v>126</v>
      </c>
      <c r="H1500" t="s">
        <v>1826</v>
      </c>
      <c r="I1500" t="s">
        <v>31</v>
      </c>
      <c r="J1500" t="s">
        <v>32</v>
      </c>
      <c r="K1500" t="s">
        <v>32</v>
      </c>
      <c r="L1500" t="s">
        <v>25</v>
      </c>
      <c r="M1500" t="s">
        <v>20</v>
      </c>
      <c r="N1500">
        <v>3</v>
      </c>
      <c r="O1500">
        <v>638</v>
      </c>
      <c r="P1500">
        <v>899</v>
      </c>
      <c r="Q1500">
        <v>0</v>
      </c>
      <c r="R1500">
        <v>0</v>
      </c>
      <c r="S1500">
        <v>2697</v>
      </c>
      <c r="T1500">
        <v>783</v>
      </c>
      <c r="U1500">
        <v>29.03</v>
      </c>
      <c r="V1500" t="s">
        <v>33</v>
      </c>
    </row>
    <row r="1501" spans="1:22" x14ac:dyDescent="0.35">
      <c r="A1501" t="s">
        <v>1825</v>
      </c>
      <c r="B1501" t="s">
        <v>69</v>
      </c>
      <c r="C1501" t="s">
        <v>16</v>
      </c>
      <c r="D1501" t="s">
        <v>1824</v>
      </c>
      <c r="E1501" t="s">
        <v>1823</v>
      </c>
      <c r="F1501" s="5">
        <v>45515</v>
      </c>
      <c r="G1501" t="s">
        <v>126</v>
      </c>
      <c r="H1501" t="s">
        <v>1822</v>
      </c>
      <c r="I1501" t="s">
        <v>23</v>
      </c>
      <c r="J1501" t="s">
        <v>164</v>
      </c>
      <c r="K1501" t="s">
        <v>24</v>
      </c>
      <c r="L1501" t="s">
        <v>25</v>
      </c>
      <c r="M1501" t="s">
        <v>20</v>
      </c>
      <c r="N1501">
        <v>1</v>
      </c>
      <c r="O1501">
        <v>1621</v>
      </c>
      <c r="P1501">
        <v>2199</v>
      </c>
      <c r="Q1501">
        <v>5</v>
      </c>
      <c r="R1501">
        <v>200</v>
      </c>
      <c r="S1501">
        <v>1999</v>
      </c>
      <c r="T1501">
        <v>378</v>
      </c>
      <c r="U1501">
        <v>18.91</v>
      </c>
      <c r="V1501" t="s">
        <v>21</v>
      </c>
    </row>
    <row r="1502" spans="1:22" x14ac:dyDescent="0.35">
      <c r="A1502" t="s">
        <v>1821</v>
      </c>
      <c r="B1502" t="s">
        <v>56</v>
      </c>
      <c r="C1502" t="s">
        <v>27</v>
      </c>
      <c r="D1502" t="s">
        <v>1820</v>
      </c>
      <c r="E1502" t="s">
        <v>1819</v>
      </c>
      <c r="F1502" s="5">
        <v>45489</v>
      </c>
      <c r="G1502" t="s">
        <v>126</v>
      </c>
      <c r="H1502" t="s">
        <v>1818</v>
      </c>
      <c r="I1502" t="s">
        <v>28</v>
      </c>
      <c r="J1502" t="s">
        <v>45</v>
      </c>
      <c r="K1502" t="s">
        <v>45</v>
      </c>
      <c r="L1502" t="s">
        <v>25</v>
      </c>
      <c r="M1502" t="s">
        <v>19</v>
      </c>
      <c r="N1502">
        <v>5</v>
      </c>
      <c r="O1502">
        <v>817</v>
      </c>
      <c r="P1502">
        <v>1499</v>
      </c>
      <c r="Q1502">
        <v>15</v>
      </c>
      <c r="R1502">
        <v>1500</v>
      </c>
      <c r="S1502">
        <v>5995</v>
      </c>
      <c r="T1502">
        <v>1910</v>
      </c>
      <c r="U1502">
        <v>31.86</v>
      </c>
      <c r="V1502" t="s">
        <v>33</v>
      </c>
    </row>
    <row r="1503" spans="1:22" x14ac:dyDescent="0.35">
      <c r="A1503" t="s">
        <v>1817</v>
      </c>
      <c r="B1503" t="s">
        <v>75</v>
      </c>
      <c r="C1503" t="s">
        <v>27</v>
      </c>
      <c r="D1503" t="s">
        <v>1816</v>
      </c>
      <c r="E1503" t="s">
        <v>1815</v>
      </c>
      <c r="F1503" s="5">
        <v>45560</v>
      </c>
      <c r="G1503" t="s">
        <v>126</v>
      </c>
      <c r="H1503" t="s">
        <v>1814</v>
      </c>
      <c r="I1503" t="s">
        <v>23</v>
      </c>
      <c r="J1503" t="s">
        <v>164</v>
      </c>
      <c r="K1503" t="s">
        <v>24</v>
      </c>
      <c r="L1503" t="s">
        <v>25</v>
      </c>
      <c r="M1503" t="s">
        <v>19</v>
      </c>
      <c r="N1503">
        <v>2</v>
      </c>
      <c r="O1503">
        <v>675</v>
      </c>
      <c r="P1503">
        <v>1099</v>
      </c>
      <c r="Q1503">
        <v>5</v>
      </c>
      <c r="R1503">
        <v>200</v>
      </c>
      <c r="S1503">
        <v>1998</v>
      </c>
      <c r="T1503">
        <v>648</v>
      </c>
      <c r="U1503">
        <v>32.43</v>
      </c>
      <c r="V1503" t="s">
        <v>21</v>
      </c>
    </row>
    <row r="1504" spans="1:22" x14ac:dyDescent="0.35">
      <c r="A1504" t="s">
        <v>1813</v>
      </c>
      <c r="B1504" t="s">
        <v>92</v>
      </c>
      <c r="C1504" t="s">
        <v>27</v>
      </c>
      <c r="D1504" t="s">
        <v>1812</v>
      </c>
      <c r="E1504" t="s">
        <v>873</v>
      </c>
      <c r="F1504" s="5">
        <v>45597</v>
      </c>
      <c r="G1504" t="s">
        <v>126</v>
      </c>
      <c r="H1504" t="s">
        <v>1013</v>
      </c>
      <c r="I1504" t="s">
        <v>28</v>
      </c>
      <c r="J1504" t="s">
        <v>201</v>
      </c>
      <c r="K1504" t="s">
        <v>29</v>
      </c>
      <c r="L1504" t="s">
        <v>25</v>
      </c>
      <c r="M1504" t="s">
        <v>20</v>
      </c>
      <c r="N1504">
        <v>2</v>
      </c>
      <c r="O1504">
        <v>310</v>
      </c>
      <c r="P1504">
        <v>599</v>
      </c>
      <c r="Q1504">
        <v>15</v>
      </c>
      <c r="R1504">
        <v>200</v>
      </c>
      <c r="S1504">
        <v>998</v>
      </c>
      <c r="T1504">
        <v>378</v>
      </c>
      <c r="U1504">
        <v>37.880000000000003</v>
      </c>
      <c r="V1504" t="s">
        <v>33</v>
      </c>
    </row>
    <row r="1505" spans="1:22" x14ac:dyDescent="0.35">
      <c r="A1505" t="s">
        <v>1811</v>
      </c>
      <c r="B1505" t="s">
        <v>94</v>
      </c>
      <c r="C1505" t="s">
        <v>16</v>
      </c>
      <c r="D1505" t="s">
        <v>1810</v>
      </c>
      <c r="E1505" t="s">
        <v>1809</v>
      </c>
      <c r="F1505" s="5">
        <v>45657</v>
      </c>
      <c r="G1505" t="s">
        <v>126</v>
      </c>
      <c r="H1505" t="s">
        <v>818</v>
      </c>
      <c r="I1505" t="s">
        <v>31</v>
      </c>
      <c r="J1505" t="s">
        <v>76</v>
      </c>
      <c r="K1505" t="s">
        <v>76</v>
      </c>
      <c r="L1505" t="s">
        <v>19</v>
      </c>
      <c r="M1505" t="s">
        <v>20</v>
      </c>
      <c r="N1505">
        <v>1</v>
      </c>
      <c r="O1505">
        <v>514</v>
      </c>
      <c r="P1505">
        <v>799</v>
      </c>
      <c r="Q1505">
        <v>0</v>
      </c>
      <c r="R1505">
        <v>0</v>
      </c>
      <c r="S1505">
        <v>799</v>
      </c>
      <c r="T1505">
        <v>285</v>
      </c>
      <c r="U1505">
        <v>35.67</v>
      </c>
      <c r="V1505" t="s">
        <v>21</v>
      </c>
    </row>
    <row r="1506" spans="1:22" x14ac:dyDescent="0.35">
      <c r="A1506" t="s">
        <v>1808</v>
      </c>
      <c r="B1506" t="s">
        <v>65</v>
      </c>
      <c r="C1506" t="s">
        <v>16</v>
      </c>
      <c r="D1506" t="s">
        <v>1807</v>
      </c>
      <c r="E1506" t="s">
        <v>1806</v>
      </c>
      <c r="F1506" s="5">
        <v>45529</v>
      </c>
      <c r="G1506" t="s">
        <v>126</v>
      </c>
      <c r="H1506" t="s">
        <v>1805</v>
      </c>
      <c r="I1506" t="s">
        <v>17</v>
      </c>
      <c r="J1506" t="s">
        <v>48</v>
      </c>
      <c r="K1506" t="s">
        <v>48</v>
      </c>
      <c r="L1506" t="s">
        <v>25</v>
      </c>
      <c r="M1506" t="s">
        <v>20</v>
      </c>
      <c r="N1506">
        <v>2</v>
      </c>
      <c r="O1506">
        <v>283</v>
      </c>
      <c r="P1506">
        <v>399</v>
      </c>
      <c r="Q1506">
        <v>0</v>
      </c>
      <c r="R1506">
        <v>0</v>
      </c>
      <c r="S1506">
        <v>798</v>
      </c>
      <c r="T1506">
        <v>232</v>
      </c>
      <c r="U1506">
        <v>29.07</v>
      </c>
      <c r="V1506" t="s">
        <v>33</v>
      </c>
    </row>
    <row r="1507" spans="1:22" x14ac:dyDescent="0.35">
      <c r="A1507" t="s">
        <v>1804</v>
      </c>
      <c r="B1507" t="s">
        <v>93</v>
      </c>
      <c r="C1507" t="s">
        <v>16</v>
      </c>
      <c r="D1507" t="s">
        <v>1803</v>
      </c>
      <c r="E1507" t="s">
        <v>1802</v>
      </c>
      <c r="F1507" s="5">
        <v>45542</v>
      </c>
      <c r="G1507" t="s">
        <v>126</v>
      </c>
      <c r="H1507" t="s">
        <v>1801</v>
      </c>
      <c r="I1507" t="s">
        <v>31</v>
      </c>
      <c r="J1507" t="s">
        <v>76</v>
      </c>
      <c r="K1507" t="s">
        <v>76</v>
      </c>
      <c r="L1507" t="s">
        <v>37</v>
      </c>
      <c r="M1507" t="s">
        <v>19</v>
      </c>
      <c r="N1507">
        <v>2</v>
      </c>
      <c r="O1507">
        <v>724</v>
      </c>
      <c r="P1507">
        <v>1199</v>
      </c>
      <c r="Q1507">
        <v>0</v>
      </c>
      <c r="R1507">
        <v>0</v>
      </c>
      <c r="S1507">
        <v>2398</v>
      </c>
      <c r="T1507">
        <v>950</v>
      </c>
      <c r="U1507">
        <v>39.619999999999997</v>
      </c>
      <c r="V1507" t="s">
        <v>21</v>
      </c>
    </row>
    <row r="1508" spans="1:22" x14ac:dyDescent="0.35">
      <c r="A1508" t="s">
        <v>1800</v>
      </c>
      <c r="B1508" t="s">
        <v>61</v>
      </c>
      <c r="C1508" t="s">
        <v>27</v>
      </c>
      <c r="D1508" t="s">
        <v>1799</v>
      </c>
      <c r="E1508" t="s">
        <v>1798</v>
      </c>
      <c r="F1508" s="5">
        <v>45534</v>
      </c>
      <c r="G1508" t="s">
        <v>126</v>
      </c>
      <c r="H1508" t="s">
        <v>921</v>
      </c>
      <c r="I1508" t="s">
        <v>23</v>
      </c>
      <c r="J1508" t="s">
        <v>142</v>
      </c>
      <c r="K1508" t="s">
        <v>43</v>
      </c>
      <c r="L1508" t="s">
        <v>25</v>
      </c>
      <c r="M1508" t="s">
        <v>20</v>
      </c>
      <c r="N1508">
        <v>1</v>
      </c>
      <c r="O1508">
        <v>1504</v>
      </c>
      <c r="P1508">
        <v>2399</v>
      </c>
      <c r="Q1508">
        <v>5</v>
      </c>
      <c r="R1508">
        <v>200</v>
      </c>
      <c r="S1508">
        <v>2199</v>
      </c>
      <c r="T1508">
        <v>695</v>
      </c>
      <c r="U1508">
        <v>31.61</v>
      </c>
      <c r="V1508" t="s">
        <v>21</v>
      </c>
    </row>
    <row r="1509" spans="1:22" x14ac:dyDescent="0.35">
      <c r="A1509" t="s">
        <v>1797</v>
      </c>
      <c r="B1509" t="s">
        <v>82</v>
      </c>
      <c r="C1509" t="s">
        <v>27</v>
      </c>
      <c r="D1509" t="s">
        <v>1796</v>
      </c>
      <c r="E1509" t="s">
        <v>1795</v>
      </c>
      <c r="F1509" s="5">
        <v>45628</v>
      </c>
      <c r="G1509" t="s">
        <v>126</v>
      </c>
      <c r="H1509" t="s">
        <v>742</v>
      </c>
      <c r="I1509" t="s">
        <v>28</v>
      </c>
      <c r="J1509" t="s">
        <v>45</v>
      </c>
      <c r="K1509" t="s">
        <v>45</v>
      </c>
      <c r="L1509" t="s">
        <v>37</v>
      </c>
      <c r="M1509" t="s">
        <v>20</v>
      </c>
      <c r="N1509">
        <v>1</v>
      </c>
      <c r="O1509">
        <v>1002</v>
      </c>
      <c r="P1509">
        <v>1499</v>
      </c>
      <c r="Q1509">
        <v>20</v>
      </c>
      <c r="R1509">
        <v>300</v>
      </c>
      <c r="S1509">
        <v>1199</v>
      </c>
      <c r="T1509">
        <v>197</v>
      </c>
      <c r="U1509">
        <v>16.43</v>
      </c>
      <c r="V1509" t="s">
        <v>21</v>
      </c>
    </row>
    <row r="1510" spans="1:22" x14ac:dyDescent="0.35">
      <c r="A1510" t="s">
        <v>1794</v>
      </c>
      <c r="B1510" t="s">
        <v>73</v>
      </c>
      <c r="C1510" t="s">
        <v>16</v>
      </c>
      <c r="D1510" t="s">
        <v>1793</v>
      </c>
      <c r="E1510" t="s">
        <v>1792</v>
      </c>
      <c r="F1510" s="5">
        <v>45532</v>
      </c>
      <c r="G1510" t="s">
        <v>126</v>
      </c>
      <c r="H1510" t="s">
        <v>1791</v>
      </c>
      <c r="I1510" t="s">
        <v>23</v>
      </c>
      <c r="J1510" t="s">
        <v>142</v>
      </c>
      <c r="K1510" t="s">
        <v>43</v>
      </c>
      <c r="L1510" t="s">
        <v>37</v>
      </c>
      <c r="M1510" t="s">
        <v>19</v>
      </c>
      <c r="N1510">
        <v>2</v>
      </c>
      <c r="O1510">
        <v>1411</v>
      </c>
      <c r="P1510">
        <v>2399</v>
      </c>
      <c r="Q1510">
        <v>5</v>
      </c>
      <c r="R1510">
        <v>400</v>
      </c>
      <c r="S1510">
        <v>4398</v>
      </c>
      <c r="T1510">
        <v>1576</v>
      </c>
      <c r="U1510">
        <v>35.83</v>
      </c>
      <c r="V1510" t="s">
        <v>21</v>
      </c>
    </row>
    <row r="1511" spans="1:22" x14ac:dyDescent="0.35">
      <c r="A1511" t="s">
        <v>1790</v>
      </c>
      <c r="B1511" t="s">
        <v>49</v>
      </c>
      <c r="C1511" t="s">
        <v>27</v>
      </c>
      <c r="D1511" t="s">
        <v>1789</v>
      </c>
      <c r="E1511" t="s">
        <v>1788</v>
      </c>
      <c r="F1511" s="5">
        <v>45652</v>
      </c>
      <c r="G1511" t="s">
        <v>126</v>
      </c>
      <c r="H1511" t="s">
        <v>567</v>
      </c>
      <c r="I1511" t="s">
        <v>23</v>
      </c>
      <c r="J1511" t="s">
        <v>142</v>
      </c>
      <c r="K1511" t="s">
        <v>43</v>
      </c>
      <c r="L1511" t="s">
        <v>25</v>
      </c>
      <c r="M1511" t="s">
        <v>19</v>
      </c>
      <c r="N1511">
        <v>1</v>
      </c>
      <c r="O1511">
        <v>2622</v>
      </c>
      <c r="P1511">
        <v>4399</v>
      </c>
      <c r="Q1511">
        <v>20</v>
      </c>
      <c r="R1511">
        <v>900</v>
      </c>
      <c r="S1511">
        <v>3499</v>
      </c>
      <c r="T1511">
        <v>877</v>
      </c>
      <c r="U1511">
        <v>25.06</v>
      </c>
      <c r="V1511" t="s">
        <v>33</v>
      </c>
    </row>
    <row r="1512" spans="1:22" x14ac:dyDescent="0.35">
      <c r="A1512" t="s">
        <v>1787</v>
      </c>
      <c r="B1512" t="s">
        <v>96</v>
      </c>
      <c r="C1512" t="s">
        <v>16</v>
      </c>
      <c r="D1512" t="s">
        <v>1786</v>
      </c>
      <c r="E1512" t="s">
        <v>1785</v>
      </c>
      <c r="F1512" s="5">
        <v>45473</v>
      </c>
      <c r="G1512" t="s">
        <v>126</v>
      </c>
      <c r="H1512" t="s">
        <v>1784</v>
      </c>
      <c r="I1512" t="s">
        <v>31</v>
      </c>
      <c r="J1512" t="s">
        <v>76</v>
      </c>
      <c r="K1512" t="s">
        <v>76</v>
      </c>
      <c r="L1512" t="s">
        <v>37</v>
      </c>
      <c r="M1512" t="s">
        <v>20</v>
      </c>
      <c r="N1512">
        <v>4</v>
      </c>
      <c r="O1512">
        <v>388</v>
      </c>
      <c r="P1512">
        <v>699</v>
      </c>
      <c r="Q1512">
        <v>0</v>
      </c>
      <c r="R1512">
        <v>0</v>
      </c>
      <c r="S1512">
        <v>2796</v>
      </c>
      <c r="T1512">
        <v>1244</v>
      </c>
      <c r="U1512">
        <v>44.49</v>
      </c>
      <c r="V1512" t="s">
        <v>33</v>
      </c>
    </row>
    <row r="1513" spans="1:22" x14ac:dyDescent="0.35">
      <c r="A1513" t="s">
        <v>1783</v>
      </c>
      <c r="B1513" t="s">
        <v>108</v>
      </c>
      <c r="C1513" t="s">
        <v>27</v>
      </c>
      <c r="D1513" t="s">
        <v>1782</v>
      </c>
      <c r="E1513" t="s">
        <v>1781</v>
      </c>
      <c r="F1513" s="5">
        <v>45466</v>
      </c>
      <c r="G1513" t="s">
        <v>126</v>
      </c>
      <c r="H1513" t="s">
        <v>215</v>
      </c>
      <c r="I1513" t="s">
        <v>28</v>
      </c>
      <c r="J1513" t="s">
        <v>201</v>
      </c>
      <c r="K1513" t="s">
        <v>29</v>
      </c>
      <c r="L1513" t="s">
        <v>25</v>
      </c>
      <c r="M1513" t="s">
        <v>19</v>
      </c>
      <c r="N1513">
        <v>1</v>
      </c>
      <c r="O1513">
        <v>299</v>
      </c>
      <c r="P1513">
        <v>499</v>
      </c>
      <c r="Q1513">
        <v>20</v>
      </c>
      <c r="R1513">
        <v>100</v>
      </c>
      <c r="S1513">
        <v>399</v>
      </c>
      <c r="T1513">
        <v>100</v>
      </c>
      <c r="U1513">
        <v>25.06</v>
      </c>
      <c r="V1513" t="s">
        <v>33</v>
      </c>
    </row>
    <row r="1514" spans="1:22" x14ac:dyDescent="0.35">
      <c r="A1514" t="s">
        <v>1780</v>
      </c>
      <c r="B1514" t="s">
        <v>89</v>
      </c>
      <c r="C1514" t="s">
        <v>16</v>
      </c>
      <c r="D1514" t="s">
        <v>1779</v>
      </c>
      <c r="E1514" t="s">
        <v>1778</v>
      </c>
      <c r="F1514" s="5">
        <v>45481</v>
      </c>
      <c r="G1514" t="s">
        <v>126</v>
      </c>
      <c r="H1514" t="s">
        <v>1777</v>
      </c>
      <c r="I1514" t="s">
        <v>35</v>
      </c>
      <c r="J1514" t="s">
        <v>39</v>
      </c>
      <c r="K1514" t="s">
        <v>39</v>
      </c>
      <c r="L1514" t="s">
        <v>37</v>
      </c>
      <c r="M1514" t="s">
        <v>19</v>
      </c>
      <c r="N1514">
        <v>2</v>
      </c>
      <c r="O1514">
        <v>897</v>
      </c>
      <c r="P1514">
        <v>1499</v>
      </c>
      <c r="Q1514">
        <v>10</v>
      </c>
      <c r="R1514">
        <v>400</v>
      </c>
      <c r="S1514">
        <v>2598</v>
      </c>
      <c r="T1514">
        <v>804</v>
      </c>
      <c r="U1514">
        <v>30.95</v>
      </c>
      <c r="V1514" t="s">
        <v>33</v>
      </c>
    </row>
    <row r="1515" spans="1:22" x14ac:dyDescent="0.35">
      <c r="A1515" t="s">
        <v>1776</v>
      </c>
      <c r="B1515" t="s">
        <v>86</v>
      </c>
      <c r="C1515" t="s">
        <v>27</v>
      </c>
      <c r="D1515" t="s">
        <v>1775</v>
      </c>
      <c r="E1515" t="s">
        <v>1774</v>
      </c>
      <c r="F1515" s="5">
        <v>45546</v>
      </c>
      <c r="G1515" t="s">
        <v>126</v>
      </c>
      <c r="H1515" t="s">
        <v>1773</v>
      </c>
      <c r="I1515" t="s">
        <v>31</v>
      </c>
      <c r="J1515" t="s">
        <v>76</v>
      </c>
      <c r="K1515" t="s">
        <v>76</v>
      </c>
      <c r="L1515" t="s">
        <v>25</v>
      </c>
      <c r="M1515" t="s">
        <v>19</v>
      </c>
      <c r="N1515">
        <v>4</v>
      </c>
      <c r="O1515">
        <v>816</v>
      </c>
      <c r="P1515">
        <v>1199</v>
      </c>
      <c r="Q1515">
        <v>0</v>
      </c>
      <c r="R1515">
        <v>0</v>
      </c>
      <c r="S1515">
        <v>4796</v>
      </c>
      <c r="T1515">
        <v>1532</v>
      </c>
      <c r="U1515">
        <v>31.94</v>
      </c>
      <c r="V1515" t="s">
        <v>21</v>
      </c>
    </row>
    <row r="1516" spans="1:22" x14ac:dyDescent="0.35">
      <c r="A1516" t="s">
        <v>1772</v>
      </c>
      <c r="B1516" t="s">
        <v>109</v>
      </c>
      <c r="C1516" t="s">
        <v>16</v>
      </c>
      <c r="D1516" t="s">
        <v>1771</v>
      </c>
      <c r="E1516" t="s">
        <v>1770</v>
      </c>
      <c r="F1516" s="5">
        <v>45469</v>
      </c>
      <c r="G1516" t="s">
        <v>126</v>
      </c>
      <c r="H1516" t="s">
        <v>1769</v>
      </c>
      <c r="I1516" t="s">
        <v>31</v>
      </c>
      <c r="J1516" t="s">
        <v>76</v>
      </c>
      <c r="K1516" t="s">
        <v>76</v>
      </c>
      <c r="L1516" t="s">
        <v>25</v>
      </c>
      <c r="M1516" t="s">
        <v>20</v>
      </c>
      <c r="N1516">
        <v>2</v>
      </c>
      <c r="O1516">
        <v>950</v>
      </c>
      <c r="P1516">
        <v>1499</v>
      </c>
      <c r="Q1516">
        <v>0</v>
      </c>
      <c r="R1516">
        <v>0</v>
      </c>
      <c r="S1516">
        <v>2998</v>
      </c>
      <c r="T1516">
        <v>1098</v>
      </c>
      <c r="U1516">
        <v>36.619999999999997</v>
      </c>
      <c r="V1516" t="s">
        <v>21</v>
      </c>
    </row>
    <row r="1517" spans="1:22" x14ac:dyDescent="0.35">
      <c r="A1517" t="s">
        <v>1768</v>
      </c>
      <c r="B1517" t="s">
        <v>34</v>
      </c>
      <c r="C1517" t="s">
        <v>27</v>
      </c>
      <c r="D1517" t="s">
        <v>1767</v>
      </c>
      <c r="E1517" t="s">
        <v>1766</v>
      </c>
      <c r="F1517" s="5">
        <v>45511</v>
      </c>
      <c r="G1517" t="s">
        <v>126</v>
      </c>
      <c r="H1517" t="s">
        <v>1765</v>
      </c>
      <c r="I1517" t="s">
        <v>17</v>
      </c>
      <c r="J1517" t="s">
        <v>253</v>
      </c>
      <c r="K1517" t="s">
        <v>72</v>
      </c>
      <c r="L1517" t="s">
        <v>25</v>
      </c>
      <c r="M1517" t="s">
        <v>19</v>
      </c>
      <c r="N1517">
        <v>1</v>
      </c>
      <c r="O1517">
        <v>273</v>
      </c>
      <c r="P1517">
        <v>399</v>
      </c>
      <c r="Q1517">
        <v>0</v>
      </c>
      <c r="R1517">
        <v>0</v>
      </c>
      <c r="S1517">
        <v>399</v>
      </c>
      <c r="T1517">
        <v>126</v>
      </c>
      <c r="U1517">
        <v>31.58</v>
      </c>
      <c r="V1517" t="s">
        <v>21</v>
      </c>
    </row>
    <row r="1518" spans="1:22" x14ac:dyDescent="0.35">
      <c r="A1518" t="s">
        <v>1764</v>
      </c>
      <c r="B1518" t="s">
        <v>96</v>
      </c>
      <c r="C1518" t="s">
        <v>16</v>
      </c>
      <c r="D1518" t="s">
        <v>1763</v>
      </c>
      <c r="E1518" t="s">
        <v>1762</v>
      </c>
      <c r="F1518" s="5">
        <v>45445</v>
      </c>
      <c r="G1518" t="s">
        <v>126</v>
      </c>
      <c r="H1518" t="s">
        <v>1761</v>
      </c>
      <c r="I1518" t="s">
        <v>35</v>
      </c>
      <c r="J1518" t="s">
        <v>214</v>
      </c>
      <c r="K1518" t="s">
        <v>87</v>
      </c>
      <c r="L1518" t="s">
        <v>25</v>
      </c>
      <c r="M1518" t="s">
        <v>19</v>
      </c>
      <c r="N1518">
        <v>1</v>
      </c>
      <c r="O1518">
        <v>1431</v>
      </c>
      <c r="P1518">
        <v>2299</v>
      </c>
      <c r="Q1518">
        <v>10</v>
      </c>
      <c r="R1518">
        <v>300</v>
      </c>
      <c r="S1518">
        <v>1999</v>
      </c>
      <c r="T1518">
        <v>568</v>
      </c>
      <c r="U1518">
        <v>28.41</v>
      </c>
      <c r="V1518" t="s">
        <v>21</v>
      </c>
    </row>
    <row r="1519" spans="1:22" x14ac:dyDescent="0.35">
      <c r="A1519" t="s">
        <v>1760</v>
      </c>
      <c r="B1519" t="s">
        <v>77</v>
      </c>
      <c r="C1519" t="s">
        <v>27</v>
      </c>
      <c r="D1519" t="s">
        <v>1759</v>
      </c>
      <c r="E1519" t="s">
        <v>1758</v>
      </c>
      <c r="F1519" s="5">
        <v>45485</v>
      </c>
      <c r="G1519" t="s">
        <v>126</v>
      </c>
      <c r="H1519" t="s">
        <v>1757</v>
      </c>
      <c r="I1519" t="s">
        <v>31</v>
      </c>
      <c r="J1519" t="s">
        <v>32</v>
      </c>
      <c r="K1519" t="s">
        <v>32</v>
      </c>
      <c r="L1519" t="s">
        <v>25</v>
      </c>
      <c r="M1519" t="s">
        <v>19</v>
      </c>
      <c r="N1519">
        <v>4</v>
      </c>
      <c r="O1519">
        <v>512</v>
      </c>
      <c r="P1519">
        <v>899</v>
      </c>
      <c r="Q1519">
        <v>0</v>
      </c>
      <c r="R1519">
        <v>0</v>
      </c>
      <c r="S1519">
        <v>3596</v>
      </c>
      <c r="T1519">
        <v>1548</v>
      </c>
      <c r="U1519">
        <v>43.05</v>
      </c>
      <c r="V1519" t="s">
        <v>33</v>
      </c>
    </row>
    <row r="1520" spans="1:22" x14ac:dyDescent="0.35">
      <c r="A1520" t="s">
        <v>1756</v>
      </c>
      <c r="B1520" t="s">
        <v>67</v>
      </c>
      <c r="C1520" t="s">
        <v>27</v>
      </c>
      <c r="D1520" t="s">
        <v>1755</v>
      </c>
      <c r="E1520" t="s">
        <v>1754</v>
      </c>
      <c r="F1520" s="5">
        <v>45572</v>
      </c>
      <c r="G1520" t="s">
        <v>126</v>
      </c>
      <c r="H1520" t="s">
        <v>1753</v>
      </c>
      <c r="I1520" t="s">
        <v>28</v>
      </c>
      <c r="J1520" t="s">
        <v>45</v>
      </c>
      <c r="K1520" t="s">
        <v>45</v>
      </c>
      <c r="L1520" t="s">
        <v>19</v>
      </c>
      <c r="M1520" t="s">
        <v>20</v>
      </c>
      <c r="N1520">
        <v>2</v>
      </c>
      <c r="O1520">
        <v>561</v>
      </c>
      <c r="P1520">
        <v>799</v>
      </c>
      <c r="Q1520">
        <v>15</v>
      </c>
      <c r="R1520">
        <v>400</v>
      </c>
      <c r="S1520">
        <v>1198</v>
      </c>
      <c r="T1520">
        <v>76</v>
      </c>
      <c r="U1520">
        <v>6.34</v>
      </c>
      <c r="V1520" t="s">
        <v>21</v>
      </c>
    </row>
    <row r="1521" spans="1:22" x14ac:dyDescent="0.35">
      <c r="A1521" t="s">
        <v>1752</v>
      </c>
      <c r="B1521" t="s">
        <v>53</v>
      </c>
      <c r="C1521" t="s">
        <v>27</v>
      </c>
      <c r="D1521" t="s">
        <v>1751</v>
      </c>
      <c r="E1521" t="s">
        <v>1750</v>
      </c>
      <c r="F1521" s="5">
        <v>45531</v>
      </c>
      <c r="G1521" t="s">
        <v>126</v>
      </c>
      <c r="H1521" t="s">
        <v>1749</v>
      </c>
      <c r="I1521" t="s">
        <v>17</v>
      </c>
      <c r="J1521" t="s">
        <v>55</v>
      </c>
      <c r="K1521" t="s">
        <v>55</v>
      </c>
      <c r="L1521" t="s">
        <v>19</v>
      </c>
      <c r="M1521" t="s">
        <v>19</v>
      </c>
      <c r="N1521">
        <v>3</v>
      </c>
      <c r="O1521">
        <v>431</v>
      </c>
      <c r="P1521">
        <v>599</v>
      </c>
      <c r="Q1521">
        <v>0</v>
      </c>
      <c r="R1521">
        <v>0</v>
      </c>
      <c r="S1521">
        <v>1797</v>
      </c>
      <c r="T1521">
        <v>504</v>
      </c>
      <c r="U1521">
        <v>28.05</v>
      </c>
      <c r="V1521" t="s">
        <v>21</v>
      </c>
    </row>
    <row r="1522" spans="1:22" x14ac:dyDescent="0.35">
      <c r="A1522" t="s">
        <v>1748</v>
      </c>
      <c r="B1522" t="s">
        <v>44</v>
      </c>
      <c r="C1522" t="s">
        <v>16</v>
      </c>
      <c r="D1522" t="s">
        <v>1747</v>
      </c>
      <c r="E1522" t="s">
        <v>1746</v>
      </c>
      <c r="F1522" s="5">
        <v>45596</v>
      </c>
      <c r="G1522" t="s">
        <v>126</v>
      </c>
      <c r="H1522" t="s">
        <v>1745</v>
      </c>
      <c r="I1522" t="s">
        <v>31</v>
      </c>
      <c r="J1522" t="s">
        <v>32</v>
      </c>
      <c r="K1522" t="s">
        <v>32</v>
      </c>
      <c r="L1522" t="s">
        <v>37</v>
      </c>
      <c r="M1522" t="s">
        <v>19</v>
      </c>
      <c r="N1522">
        <v>1</v>
      </c>
      <c r="O1522">
        <v>943</v>
      </c>
      <c r="P1522">
        <v>1499</v>
      </c>
      <c r="Q1522">
        <v>0</v>
      </c>
      <c r="R1522">
        <v>0</v>
      </c>
      <c r="S1522">
        <v>1499</v>
      </c>
      <c r="T1522">
        <v>556</v>
      </c>
      <c r="U1522">
        <v>37.090000000000003</v>
      </c>
      <c r="V1522" t="s">
        <v>21</v>
      </c>
    </row>
    <row r="1523" spans="1:22" x14ac:dyDescent="0.35">
      <c r="A1523" t="s">
        <v>1744</v>
      </c>
      <c r="B1523" t="s">
        <v>85</v>
      </c>
      <c r="C1523" t="s">
        <v>27</v>
      </c>
      <c r="D1523" t="s">
        <v>1743</v>
      </c>
      <c r="E1523" t="s">
        <v>1742</v>
      </c>
      <c r="F1523" s="5">
        <v>45550</v>
      </c>
      <c r="G1523" t="s">
        <v>126</v>
      </c>
      <c r="H1523" t="s">
        <v>1741</v>
      </c>
      <c r="I1523" t="s">
        <v>23</v>
      </c>
      <c r="J1523" t="s">
        <v>164</v>
      </c>
      <c r="K1523" t="s">
        <v>24</v>
      </c>
      <c r="L1523" t="s">
        <v>19</v>
      </c>
      <c r="M1523" t="s">
        <v>20</v>
      </c>
      <c r="N1523">
        <v>4</v>
      </c>
      <c r="O1523">
        <v>863</v>
      </c>
      <c r="P1523">
        <v>1699</v>
      </c>
      <c r="Q1523">
        <v>10</v>
      </c>
      <c r="R1523">
        <v>800</v>
      </c>
      <c r="S1523">
        <v>5996</v>
      </c>
      <c r="T1523">
        <v>2544</v>
      </c>
      <c r="U1523">
        <v>42.43</v>
      </c>
      <c r="V1523" t="s">
        <v>21</v>
      </c>
    </row>
    <row r="1524" spans="1:22" x14ac:dyDescent="0.35">
      <c r="A1524" t="s">
        <v>1740</v>
      </c>
      <c r="B1524" t="s">
        <v>79</v>
      </c>
      <c r="C1524" t="s">
        <v>16</v>
      </c>
      <c r="D1524" t="s">
        <v>1739</v>
      </c>
      <c r="E1524" t="s">
        <v>1738</v>
      </c>
      <c r="F1524" s="5">
        <v>45642</v>
      </c>
      <c r="G1524" t="s">
        <v>126</v>
      </c>
      <c r="H1524" t="s">
        <v>1594</v>
      </c>
      <c r="I1524" t="s">
        <v>31</v>
      </c>
      <c r="J1524" t="s">
        <v>76</v>
      </c>
      <c r="K1524" t="s">
        <v>76</v>
      </c>
      <c r="L1524" t="s">
        <v>37</v>
      </c>
      <c r="M1524" t="s">
        <v>19</v>
      </c>
      <c r="N1524">
        <v>5</v>
      </c>
      <c r="O1524">
        <v>889</v>
      </c>
      <c r="P1524">
        <v>1199</v>
      </c>
      <c r="Q1524">
        <v>0</v>
      </c>
      <c r="R1524">
        <v>0</v>
      </c>
      <c r="S1524">
        <v>5995</v>
      </c>
      <c r="T1524">
        <v>1550</v>
      </c>
      <c r="U1524">
        <v>25.85</v>
      </c>
      <c r="V1524" t="s">
        <v>21</v>
      </c>
    </row>
    <row r="1525" spans="1:22" x14ac:dyDescent="0.35">
      <c r="A1525" t="s">
        <v>1737</v>
      </c>
      <c r="B1525" t="s">
        <v>83</v>
      </c>
      <c r="C1525" t="s">
        <v>27</v>
      </c>
      <c r="D1525" t="s">
        <v>1736</v>
      </c>
      <c r="E1525" t="s">
        <v>1735</v>
      </c>
      <c r="F1525" s="5">
        <v>45604</v>
      </c>
      <c r="G1525" t="s">
        <v>126</v>
      </c>
      <c r="H1525" t="s">
        <v>1734</v>
      </c>
      <c r="I1525" t="s">
        <v>23</v>
      </c>
      <c r="J1525" t="s">
        <v>142</v>
      </c>
      <c r="K1525" t="s">
        <v>43</v>
      </c>
      <c r="L1525" t="s">
        <v>37</v>
      </c>
      <c r="M1525" t="s">
        <v>19</v>
      </c>
      <c r="N1525">
        <v>1</v>
      </c>
      <c r="O1525">
        <v>1702</v>
      </c>
      <c r="P1525">
        <v>2399</v>
      </c>
      <c r="Q1525">
        <v>20</v>
      </c>
      <c r="R1525">
        <v>500</v>
      </c>
      <c r="S1525">
        <v>1899</v>
      </c>
      <c r="T1525">
        <v>197</v>
      </c>
      <c r="U1525">
        <v>10.37</v>
      </c>
      <c r="V1525" t="s">
        <v>33</v>
      </c>
    </row>
    <row r="1526" spans="1:22" x14ac:dyDescent="0.35">
      <c r="A1526" t="s">
        <v>1733</v>
      </c>
      <c r="B1526" t="s">
        <v>30</v>
      </c>
      <c r="C1526" t="s">
        <v>16</v>
      </c>
      <c r="D1526" t="s">
        <v>1732</v>
      </c>
      <c r="E1526" t="s">
        <v>1731</v>
      </c>
      <c r="F1526" s="5">
        <v>45541</v>
      </c>
      <c r="G1526" t="s">
        <v>126</v>
      </c>
      <c r="H1526" t="s">
        <v>1730</v>
      </c>
      <c r="I1526" t="s">
        <v>31</v>
      </c>
      <c r="J1526" t="s">
        <v>32</v>
      </c>
      <c r="K1526" t="s">
        <v>32</v>
      </c>
      <c r="L1526" t="s">
        <v>25</v>
      </c>
      <c r="M1526" t="s">
        <v>19</v>
      </c>
      <c r="N1526">
        <v>1</v>
      </c>
      <c r="O1526">
        <v>624</v>
      </c>
      <c r="P1526">
        <v>999</v>
      </c>
      <c r="Q1526">
        <v>0</v>
      </c>
      <c r="R1526">
        <v>0</v>
      </c>
      <c r="S1526">
        <v>999</v>
      </c>
      <c r="T1526">
        <v>375</v>
      </c>
      <c r="U1526">
        <v>37.54</v>
      </c>
      <c r="V1526" t="s">
        <v>21</v>
      </c>
    </row>
    <row r="1527" spans="1:22" x14ac:dyDescent="0.35">
      <c r="A1527" t="s">
        <v>1729</v>
      </c>
      <c r="B1527" t="s">
        <v>109</v>
      </c>
      <c r="C1527" t="s">
        <v>16</v>
      </c>
      <c r="D1527" t="s">
        <v>1728</v>
      </c>
      <c r="E1527" t="s">
        <v>1727</v>
      </c>
      <c r="F1527" s="5">
        <v>45629</v>
      </c>
      <c r="G1527" t="s">
        <v>126</v>
      </c>
      <c r="H1527" t="s">
        <v>1553</v>
      </c>
      <c r="I1527" t="s">
        <v>17</v>
      </c>
      <c r="J1527" t="s">
        <v>253</v>
      </c>
      <c r="K1527" t="s">
        <v>72</v>
      </c>
      <c r="L1527" t="s">
        <v>19</v>
      </c>
      <c r="M1527" t="s">
        <v>19</v>
      </c>
      <c r="N1527">
        <v>1</v>
      </c>
      <c r="O1527">
        <v>216</v>
      </c>
      <c r="P1527">
        <v>399</v>
      </c>
      <c r="Q1527">
        <v>0</v>
      </c>
      <c r="R1527">
        <v>0</v>
      </c>
      <c r="S1527">
        <v>399</v>
      </c>
      <c r="T1527">
        <v>183</v>
      </c>
      <c r="U1527">
        <v>45.86</v>
      </c>
      <c r="V1527" t="s">
        <v>33</v>
      </c>
    </row>
    <row r="1528" spans="1:22" x14ac:dyDescent="0.35">
      <c r="A1528" t="s">
        <v>1726</v>
      </c>
      <c r="B1528" t="s">
        <v>77</v>
      </c>
      <c r="C1528" t="s">
        <v>27</v>
      </c>
      <c r="D1528" t="s">
        <v>1725</v>
      </c>
      <c r="E1528" t="s">
        <v>1724</v>
      </c>
      <c r="F1528" s="5">
        <v>45579</v>
      </c>
      <c r="G1528" t="s">
        <v>126</v>
      </c>
      <c r="H1528" t="s">
        <v>1723</v>
      </c>
      <c r="I1528" t="s">
        <v>31</v>
      </c>
      <c r="J1528" t="s">
        <v>32</v>
      </c>
      <c r="K1528" t="s">
        <v>32</v>
      </c>
      <c r="L1528" t="s">
        <v>25</v>
      </c>
      <c r="M1528" t="s">
        <v>20</v>
      </c>
      <c r="N1528">
        <v>4</v>
      </c>
      <c r="O1528">
        <v>636</v>
      </c>
      <c r="P1528">
        <v>1199</v>
      </c>
      <c r="Q1528">
        <v>0</v>
      </c>
      <c r="R1528">
        <v>0</v>
      </c>
      <c r="S1528">
        <v>4796</v>
      </c>
      <c r="T1528">
        <v>2252</v>
      </c>
      <c r="U1528">
        <v>46.96</v>
      </c>
      <c r="V1528" t="s">
        <v>21</v>
      </c>
    </row>
    <row r="1529" spans="1:22" x14ac:dyDescent="0.35">
      <c r="A1529" t="s">
        <v>1722</v>
      </c>
      <c r="B1529" t="s">
        <v>67</v>
      </c>
      <c r="C1529" t="s">
        <v>27</v>
      </c>
      <c r="D1529" t="s">
        <v>1721</v>
      </c>
      <c r="E1529" t="s">
        <v>1720</v>
      </c>
      <c r="F1529" s="5">
        <v>45447</v>
      </c>
      <c r="G1529" t="s">
        <v>126</v>
      </c>
      <c r="H1529" t="s">
        <v>1719</v>
      </c>
      <c r="I1529" t="s">
        <v>31</v>
      </c>
      <c r="J1529" t="s">
        <v>76</v>
      </c>
      <c r="K1529" t="s">
        <v>76</v>
      </c>
      <c r="L1529" t="s">
        <v>25</v>
      </c>
      <c r="M1529" t="s">
        <v>19</v>
      </c>
      <c r="N1529">
        <v>1</v>
      </c>
      <c r="O1529">
        <v>488</v>
      </c>
      <c r="P1529">
        <v>699</v>
      </c>
      <c r="Q1529">
        <v>0</v>
      </c>
      <c r="R1529">
        <v>0</v>
      </c>
      <c r="S1529">
        <v>699</v>
      </c>
      <c r="T1529">
        <v>211</v>
      </c>
      <c r="U1529">
        <v>30.19</v>
      </c>
      <c r="V1529" t="s">
        <v>21</v>
      </c>
    </row>
    <row r="1530" spans="1:22" x14ac:dyDescent="0.35">
      <c r="A1530" t="s">
        <v>1718</v>
      </c>
      <c r="B1530" t="s">
        <v>107</v>
      </c>
      <c r="C1530" t="s">
        <v>27</v>
      </c>
      <c r="D1530" t="s">
        <v>1717</v>
      </c>
      <c r="E1530" t="s">
        <v>1716</v>
      </c>
      <c r="F1530" s="5">
        <v>45597</v>
      </c>
      <c r="G1530" t="s">
        <v>126</v>
      </c>
      <c r="H1530" t="s">
        <v>1715</v>
      </c>
      <c r="I1530" t="s">
        <v>28</v>
      </c>
      <c r="J1530" t="s">
        <v>45</v>
      </c>
      <c r="K1530" t="s">
        <v>45</v>
      </c>
      <c r="L1530" t="s">
        <v>37</v>
      </c>
      <c r="M1530" t="s">
        <v>20</v>
      </c>
      <c r="N1530">
        <v>1</v>
      </c>
      <c r="O1530">
        <v>1274</v>
      </c>
      <c r="P1530">
        <v>2299</v>
      </c>
      <c r="Q1530">
        <v>20</v>
      </c>
      <c r="R1530">
        <v>500</v>
      </c>
      <c r="S1530">
        <v>1799</v>
      </c>
      <c r="T1530">
        <v>525</v>
      </c>
      <c r="U1530">
        <v>29.18</v>
      </c>
      <c r="V1530" t="s">
        <v>21</v>
      </c>
    </row>
    <row r="1531" spans="1:22" x14ac:dyDescent="0.35">
      <c r="A1531" t="s">
        <v>1714</v>
      </c>
      <c r="B1531" t="s">
        <v>46</v>
      </c>
      <c r="C1531" t="s">
        <v>16</v>
      </c>
      <c r="D1531" t="s">
        <v>1713</v>
      </c>
      <c r="E1531" t="s">
        <v>1712</v>
      </c>
      <c r="F1531" s="5">
        <v>45582</v>
      </c>
      <c r="G1531" t="s">
        <v>126</v>
      </c>
      <c r="H1531" t="s">
        <v>1711</v>
      </c>
      <c r="I1531" t="s">
        <v>31</v>
      </c>
      <c r="J1531" t="s">
        <v>76</v>
      </c>
      <c r="K1531" t="s">
        <v>76</v>
      </c>
      <c r="L1531" t="s">
        <v>37</v>
      </c>
      <c r="M1531" t="s">
        <v>20</v>
      </c>
      <c r="N1531">
        <v>1</v>
      </c>
      <c r="O1531">
        <v>397</v>
      </c>
      <c r="P1531">
        <v>699</v>
      </c>
      <c r="Q1531">
        <v>0</v>
      </c>
      <c r="R1531">
        <v>0</v>
      </c>
      <c r="S1531">
        <v>699</v>
      </c>
      <c r="T1531">
        <v>302</v>
      </c>
      <c r="U1531">
        <v>43.2</v>
      </c>
      <c r="V1531" t="s">
        <v>21</v>
      </c>
    </row>
    <row r="1532" spans="1:22" x14ac:dyDescent="0.35">
      <c r="A1532" t="s">
        <v>1710</v>
      </c>
      <c r="B1532" t="s">
        <v>103</v>
      </c>
      <c r="C1532" t="s">
        <v>16</v>
      </c>
      <c r="D1532" t="s">
        <v>1709</v>
      </c>
      <c r="E1532" t="s">
        <v>1708</v>
      </c>
      <c r="F1532" s="5">
        <v>45580</v>
      </c>
      <c r="G1532" t="s">
        <v>126</v>
      </c>
      <c r="H1532" t="s">
        <v>680</v>
      </c>
      <c r="I1532" t="s">
        <v>35</v>
      </c>
      <c r="J1532" t="s">
        <v>244</v>
      </c>
      <c r="K1532" t="s">
        <v>58</v>
      </c>
      <c r="L1532" t="s">
        <v>25</v>
      </c>
      <c r="M1532" t="s">
        <v>20</v>
      </c>
      <c r="N1532">
        <v>1</v>
      </c>
      <c r="O1532">
        <v>695</v>
      </c>
      <c r="P1532">
        <v>1199</v>
      </c>
      <c r="Q1532">
        <v>15</v>
      </c>
      <c r="R1532">
        <v>200</v>
      </c>
      <c r="S1532">
        <v>999</v>
      </c>
      <c r="T1532">
        <v>304</v>
      </c>
      <c r="U1532">
        <v>30.43</v>
      </c>
      <c r="V1532" t="s">
        <v>21</v>
      </c>
    </row>
    <row r="1533" spans="1:22" x14ac:dyDescent="0.35">
      <c r="A1533" t="s">
        <v>1707</v>
      </c>
      <c r="B1533" t="s">
        <v>22</v>
      </c>
      <c r="C1533" t="s">
        <v>16</v>
      </c>
      <c r="D1533" t="s">
        <v>1706</v>
      </c>
      <c r="E1533" t="s">
        <v>1705</v>
      </c>
      <c r="F1533" s="5">
        <v>45508</v>
      </c>
      <c r="G1533" t="s">
        <v>126</v>
      </c>
      <c r="H1533" t="s">
        <v>1704</v>
      </c>
      <c r="I1533" t="s">
        <v>17</v>
      </c>
      <c r="J1533" t="s">
        <v>253</v>
      </c>
      <c r="K1533" t="s">
        <v>72</v>
      </c>
      <c r="L1533" t="s">
        <v>37</v>
      </c>
      <c r="M1533" t="s">
        <v>20</v>
      </c>
      <c r="N1533">
        <v>3</v>
      </c>
      <c r="O1533">
        <v>288</v>
      </c>
      <c r="P1533">
        <v>399</v>
      </c>
      <c r="Q1533">
        <v>0</v>
      </c>
      <c r="R1533">
        <v>0</v>
      </c>
      <c r="S1533">
        <v>1197</v>
      </c>
      <c r="T1533">
        <v>333</v>
      </c>
      <c r="U1533">
        <v>27.82</v>
      </c>
      <c r="V1533" t="s">
        <v>21</v>
      </c>
    </row>
    <row r="1534" spans="1:22" x14ac:dyDescent="0.35">
      <c r="A1534" t="s">
        <v>1703</v>
      </c>
      <c r="B1534" t="s">
        <v>109</v>
      </c>
      <c r="C1534" t="s">
        <v>16</v>
      </c>
      <c r="D1534" t="s">
        <v>1702</v>
      </c>
      <c r="E1534" t="s">
        <v>1701</v>
      </c>
      <c r="F1534" s="5">
        <v>45549</v>
      </c>
      <c r="G1534" t="s">
        <v>126</v>
      </c>
      <c r="H1534" t="s">
        <v>1700</v>
      </c>
      <c r="I1534" t="s">
        <v>17</v>
      </c>
      <c r="J1534" t="s">
        <v>48</v>
      </c>
      <c r="K1534" t="s">
        <v>48</v>
      </c>
      <c r="L1534" t="s">
        <v>19</v>
      </c>
      <c r="M1534" t="s">
        <v>20</v>
      </c>
      <c r="N1534">
        <v>5</v>
      </c>
      <c r="O1534">
        <v>224</v>
      </c>
      <c r="P1534">
        <v>299</v>
      </c>
      <c r="Q1534">
        <v>0</v>
      </c>
      <c r="R1534">
        <v>0</v>
      </c>
      <c r="S1534">
        <v>1495</v>
      </c>
      <c r="T1534">
        <v>375</v>
      </c>
      <c r="U1534">
        <v>25.08</v>
      </c>
      <c r="V1534" t="s">
        <v>21</v>
      </c>
    </row>
    <row r="1535" spans="1:22" x14ac:dyDescent="0.35">
      <c r="A1535" t="s">
        <v>1699</v>
      </c>
      <c r="B1535" t="s">
        <v>75</v>
      </c>
      <c r="C1535" t="s">
        <v>27</v>
      </c>
      <c r="D1535" t="s">
        <v>1698</v>
      </c>
      <c r="E1535" t="s">
        <v>1697</v>
      </c>
      <c r="F1535" s="5">
        <v>45452</v>
      </c>
      <c r="G1535" t="s">
        <v>126</v>
      </c>
      <c r="H1535" t="s">
        <v>1478</v>
      </c>
      <c r="I1535" t="s">
        <v>35</v>
      </c>
      <c r="J1535" t="s">
        <v>214</v>
      </c>
      <c r="K1535" t="s">
        <v>50</v>
      </c>
      <c r="L1535" t="s">
        <v>37</v>
      </c>
      <c r="M1535" t="s">
        <v>20</v>
      </c>
      <c r="N1535">
        <v>2</v>
      </c>
      <c r="O1535">
        <v>1133</v>
      </c>
      <c r="P1535">
        <v>1599</v>
      </c>
      <c r="Q1535">
        <v>5</v>
      </c>
      <c r="R1535">
        <v>200</v>
      </c>
      <c r="S1535">
        <v>2998</v>
      </c>
      <c r="T1535">
        <v>732</v>
      </c>
      <c r="U1535">
        <v>24.42</v>
      </c>
      <c r="V1535" t="s">
        <v>21</v>
      </c>
    </row>
    <row r="1536" spans="1:22" x14ac:dyDescent="0.35">
      <c r="A1536" t="s">
        <v>1696</v>
      </c>
      <c r="B1536" t="s">
        <v>44</v>
      </c>
      <c r="C1536" t="s">
        <v>16</v>
      </c>
      <c r="D1536" t="s">
        <v>1695</v>
      </c>
      <c r="E1536" t="s">
        <v>1694</v>
      </c>
      <c r="F1536" s="5">
        <v>45474</v>
      </c>
      <c r="G1536" t="s">
        <v>126</v>
      </c>
      <c r="H1536" t="s">
        <v>1386</v>
      </c>
      <c r="I1536" t="s">
        <v>31</v>
      </c>
      <c r="J1536" t="s">
        <v>32</v>
      </c>
      <c r="K1536" t="s">
        <v>32</v>
      </c>
      <c r="L1536" t="s">
        <v>37</v>
      </c>
      <c r="M1536" t="s">
        <v>20</v>
      </c>
      <c r="N1536">
        <v>1</v>
      </c>
      <c r="O1536">
        <v>967</v>
      </c>
      <c r="P1536">
        <v>1499</v>
      </c>
      <c r="Q1536">
        <v>0</v>
      </c>
      <c r="R1536">
        <v>0</v>
      </c>
      <c r="S1536">
        <v>1499</v>
      </c>
      <c r="T1536">
        <v>532</v>
      </c>
      <c r="U1536">
        <v>35.49</v>
      </c>
      <c r="V1536" t="s">
        <v>33</v>
      </c>
    </row>
    <row r="1537" spans="1:22" x14ac:dyDescent="0.35">
      <c r="A1537" t="s">
        <v>1693</v>
      </c>
      <c r="B1537" t="s">
        <v>94</v>
      </c>
      <c r="C1537" t="s">
        <v>16</v>
      </c>
      <c r="D1537" t="s">
        <v>1692</v>
      </c>
      <c r="E1537" t="s">
        <v>1691</v>
      </c>
      <c r="F1537" s="5">
        <v>45494</v>
      </c>
      <c r="G1537" t="s">
        <v>126</v>
      </c>
      <c r="H1537" t="s">
        <v>1690</v>
      </c>
      <c r="I1537" t="s">
        <v>31</v>
      </c>
      <c r="J1537" t="s">
        <v>76</v>
      </c>
      <c r="K1537" t="s">
        <v>76</v>
      </c>
      <c r="L1537" t="s">
        <v>25</v>
      </c>
      <c r="M1537" t="s">
        <v>20</v>
      </c>
      <c r="N1537">
        <v>1</v>
      </c>
      <c r="O1537">
        <v>593</v>
      </c>
      <c r="P1537">
        <v>799</v>
      </c>
      <c r="Q1537">
        <v>0</v>
      </c>
      <c r="R1537">
        <v>0</v>
      </c>
      <c r="S1537">
        <v>799</v>
      </c>
      <c r="T1537">
        <v>206</v>
      </c>
      <c r="U1537">
        <v>25.78</v>
      </c>
      <c r="V1537" t="s">
        <v>21</v>
      </c>
    </row>
    <row r="1538" spans="1:22" x14ac:dyDescent="0.35">
      <c r="A1538" t="s">
        <v>1689</v>
      </c>
      <c r="B1538" t="s">
        <v>92</v>
      </c>
      <c r="C1538" t="s">
        <v>27</v>
      </c>
      <c r="D1538" t="s">
        <v>1688</v>
      </c>
      <c r="E1538" t="s">
        <v>1687</v>
      </c>
      <c r="F1538" s="5">
        <v>45573</v>
      </c>
      <c r="G1538" t="s">
        <v>126</v>
      </c>
      <c r="H1538" t="s">
        <v>1686</v>
      </c>
      <c r="I1538" t="s">
        <v>28</v>
      </c>
      <c r="J1538" t="s">
        <v>201</v>
      </c>
      <c r="K1538" t="s">
        <v>29</v>
      </c>
      <c r="L1538" t="s">
        <v>19</v>
      </c>
      <c r="M1538" t="s">
        <v>20</v>
      </c>
      <c r="N1538">
        <v>1</v>
      </c>
      <c r="O1538">
        <v>345</v>
      </c>
      <c r="P1538">
        <v>499</v>
      </c>
      <c r="Q1538">
        <v>20</v>
      </c>
      <c r="R1538">
        <v>100</v>
      </c>
      <c r="S1538">
        <v>399</v>
      </c>
      <c r="T1538">
        <v>54</v>
      </c>
      <c r="U1538">
        <v>13.53</v>
      </c>
      <c r="V1538" t="s">
        <v>21</v>
      </c>
    </row>
    <row r="1539" spans="1:22" x14ac:dyDescent="0.35">
      <c r="A1539" t="s">
        <v>1685</v>
      </c>
      <c r="B1539" t="s">
        <v>86</v>
      </c>
      <c r="C1539" t="s">
        <v>27</v>
      </c>
      <c r="D1539" t="s">
        <v>1684</v>
      </c>
      <c r="E1539" t="s">
        <v>1683</v>
      </c>
      <c r="F1539" s="5">
        <v>45505</v>
      </c>
      <c r="G1539" t="s">
        <v>126</v>
      </c>
      <c r="H1539" t="s">
        <v>641</v>
      </c>
      <c r="I1539" t="s">
        <v>17</v>
      </c>
      <c r="J1539" t="s">
        <v>55</v>
      </c>
      <c r="K1539" t="s">
        <v>55</v>
      </c>
      <c r="L1539" t="s">
        <v>25</v>
      </c>
      <c r="M1539" t="s">
        <v>20</v>
      </c>
      <c r="N1539">
        <v>4</v>
      </c>
      <c r="O1539">
        <v>255</v>
      </c>
      <c r="P1539">
        <v>499</v>
      </c>
      <c r="Q1539">
        <v>0</v>
      </c>
      <c r="R1539">
        <v>0</v>
      </c>
      <c r="S1539">
        <v>1996</v>
      </c>
      <c r="T1539">
        <v>976</v>
      </c>
      <c r="U1539">
        <v>48.9</v>
      </c>
      <c r="V1539" t="s">
        <v>33</v>
      </c>
    </row>
    <row r="1540" spans="1:22" x14ac:dyDescent="0.35">
      <c r="A1540" t="s">
        <v>1682</v>
      </c>
      <c r="B1540" t="s">
        <v>74</v>
      </c>
      <c r="C1540" t="s">
        <v>16</v>
      </c>
      <c r="D1540" t="s">
        <v>1681</v>
      </c>
      <c r="E1540" t="s">
        <v>1680</v>
      </c>
      <c r="F1540" s="5">
        <v>45542</v>
      </c>
      <c r="G1540" t="s">
        <v>126</v>
      </c>
      <c r="H1540" t="s">
        <v>1679</v>
      </c>
      <c r="I1540" t="s">
        <v>17</v>
      </c>
      <c r="J1540" t="s">
        <v>48</v>
      </c>
      <c r="K1540" t="s">
        <v>48</v>
      </c>
      <c r="L1540" t="s">
        <v>37</v>
      </c>
      <c r="M1540" t="s">
        <v>19</v>
      </c>
      <c r="N1540">
        <v>1</v>
      </c>
      <c r="O1540">
        <v>270</v>
      </c>
      <c r="P1540">
        <v>399</v>
      </c>
      <c r="Q1540">
        <v>0</v>
      </c>
      <c r="R1540">
        <v>0</v>
      </c>
      <c r="S1540">
        <v>399</v>
      </c>
      <c r="T1540">
        <v>129</v>
      </c>
      <c r="U1540">
        <v>32.33</v>
      </c>
      <c r="V1540" t="s">
        <v>21</v>
      </c>
    </row>
    <row r="1541" spans="1:22" x14ac:dyDescent="0.35">
      <c r="A1541" t="s">
        <v>1678</v>
      </c>
      <c r="B1541" t="s">
        <v>15</v>
      </c>
      <c r="C1541" t="s">
        <v>16</v>
      </c>
      <c r="D1541" t="s">
        <v>1677</v>
      </c>
      <c r="E1541" t="s">
        <v>1676</v>
      </c>
      <c r="F1541" s="5">
        <v>45526</v>
      </c>
      <c r="G1541" t="s">
        <v>126</v>
      </c>
      <c r="H1541" t="s">
        <v>1675</v>
      </c>
      <c r="I1541" t="s">
        <v>28</v>
      </c>
      <c r="J1541" t="s">
        <v>201</v>
      </c>
      <c r="K1541" t="s">
        <v>29</v>
      </c>
      <c r="L1541" t="s">
        <v>25</v>
      </c>
      <c r="M1541" t="s">
        <v>20</v>
      </c>
      <c r="N1541">
        <v>2</v>
      </c>
      <c r="O1541">
        <v>435</v>
      </c>
      <c r="P1541">
        <v>599</v>
      </c>
      <c r="Q1541">
        <v>15</v>
      </c>
      <c r="R1541">
        <v>300</v>
      </c>
      <c r="S1541">
        <v>898</v>
      </c>
      <c r="T1541">
        <v>28</v>
      </c>
      <c r="U1541">
        <v>3.12</v>
      </c>
      <c r="V1541" t="s">
        <v>21</v>
      </c>
    </row>
    <row r="1542" spans="1:22" x14ac:dyDescent="0.35">
      <c r="A1542" t="s">
        <v>1674</v>
      </c>
      <c r="B1542" t="s">
        <v>106</v>
      </c>
      <c r="C1542" t="s">
        <v>27</v>
      </c>
      <c r="D1542" t="s">
        <v>1673</v>
      </c>
      <c r="E1542" t="s">
        <v>1672</v>
      </c>
      <c r="F1542" s="5">
        <v>45591</v>
      </c>
      <c r="G1542" t="s">
        <v>126</v>
      </c>
      <c r="H1542" t="s">
        <v>1671</v>
      </c>
      <c r="I1542" t="s">
        <v>31</v>
      </c>
      <c r="J1542" t="s">
        <v>32</v>
      </c>
      <c r="K1542" t="s">
        <v>32</v>
      </c>
      <c r="L1542" t="s">
        <v>37</v>
      </c>
      <c r="M1542" t="s">
        <v>20</v>
      </c>
      <c r="N1542">
        <v>1</v>
      </c>
      <c r="O1542">
        <v>577</v>
      </c>
      <c r="P1542">
        <v>999</v>
      </c>
      <c r="Q1542">
        <v>0</v>
      </c>
      <c r="R1542">
        <v>0</v>
      </c>
      <c r="S1542">
        <v>999</v>
      </c>
      <c r="T1542">
        <v>422</v>
      </c>
      <c r="U1542">
        <v>42.24</v>
      </c>
      <c r="V1542" t="s">
        <v>33</v>
      </c>
    </row>
    <row r="1543" spans="1:22" x14ac:dyDescent="0.35">
      <c r="A1543" t="s">
        <v>1670</v>
      </c>
      <c r="B1543" t="s">
        <v>57</v>
      </c>
      <c r="C1543" t="s">
        <v>27</v>
      </c>
      <c r="D1543" t="s">
        <v>1669</v>
      </c>
      <c r="E1543" t="s">
        <v>1668</v>
      </c>
      <c r="F1543" s="5">
        <v>45508</v>
      </c>
      <c r="G1543" t="s">
        <v>126</v>
      </c>
      <c r="H1543" t="s">
        <v>1667</v>
      </c>
      <c r="I1543" t="s">
        <v>23</v>
      </c>
      <c r="J1543" t="s">
        <v>164</v>
      </c>
      <c r="K1543" t="s">
        <v>24</v>
      </c>
      <c r="L1543" t="s">
        <v>37</v>
      </c>
      <c r="M1543" t="s">
        <v>20</v>
      </c>
      <c r="N1543">
        <v>3</v>
      </c>
      <c r="O1543">
        <v>1249</v>
      </c>
      <c r="P1543">
        <v>2199</v>
      </c>
      <c r="Q1543">
        <v>5</v>
      </c>
      <c r="R1543">
        <v>600</v>
      </c>
      <c r="S1543">
        <v>5997</v>
      </c>
      <c r="T1543">
        <v>2250</v>
      </c>
      <c r="U1543">
        <v>37.520000000000003</v>
      </c>
      <c r="V1543" t="s">
        <v>21</v>
      </c>
    </row>
    <row r="1544" spans="1:22" x14ac:dyDescent="0.35">
      <c r="A1544" t="s">
        <v>1666</v>
      </c>
      <c r="B1544" t="s">
        <v>105</v>
      </c>
      <c r="C1544" t="s">
        <v>16</v>
      </c>
      <c r="D1544" t="s">
        <v>1665</v>
      </c>
      <c r="E1544" t="s">
        <v>1664</v>
      </c>
      <c r="F1544" s="5">
        <v>45551</v>
      </c>
      <c r="G1544" t="s">
        <v>126</v>
      </c>
      <c r="H1544" t="s">
        <v>215</v>
      </c>
      <c r="I1544" t="s">
        <v>17</v>
      </c>
      <c r="J1544" t="s">
        <v>253</v>
      </c>
      <c r="K1544" t="s">
        <v>72</v>
      </c>
      <c r="L1544" t="s">
        <v>37</v>
      </c>
      <c r="M1544" t="s">
        <v>19</v>
      </c>
      <c r="N1544">
        <v>1</v>
      </c>
      <c r="O1544">
        <v>304</v>
      </c>
      <c r="P1544">
        <v>499</v>
      </c>
      <c r="Q1544">
        <v>0</v>
      </c>
      <c r="R1544">
        <v>0</v>
      </c>
      <c r="S1544">
        <v>499</v>
      </c>
      <c r="T1544">
        <v>195</v>
      </c>
      <c r="U1544">
        <v>39.08</v>
      </c>
      <c r="V1544" t="s">
        <v>21</v>
      </c>
    </row>
    <row r="1545" spans="1:22" x14ac:dyDescent="0.35">
      <c r="A1545" t="s">
        <v>1663</v>
      </c>
      <c r="B1545" t="s">
        <v>105</v>
      </c>
      <c r="C1545" t="s">
        <v>16</v>
      </c>
      <c r="D1545" t="s">
        <v>1662</v>
      </c>
      <c r="E1545" t="s">
        <v>1661</v>
      </c>
      <c r="F1545" s="5">
        <v>45549</v>
      </c>
      <c r="G1545" t="s">
        <v>126</v>
      </c>
      <c r="H1545" t="s">
        <v>1660</v>
      </c>
      <c r="I1545" t="s">
        <v>28</v>
      </c>
      <c r="J1545" t="s">
        <v>45</v>
      </c>
      <c r="K1545" t="s">
        <v>45</v>
      </c>
      <c r="L1545" t="s">
        <v>37</v>
      </c>
      <c r="M1545" t="s">
        <v>19</v>
      </c>
      <c r="N1545">
        <v>2</v>
      </c>
      <c r="O1545">
        <v>800</v>
      </c>
      <c r="P1545">
        <v>1099</v>
      </c>
      <c r="Q1545">
        <v>5</v>
      </c>
      <c r="R1545">
        <v>200</v>
      </c>
      <c r="S1545">
        <v>1998</v>
      </c>
      <c r="T1545">
        <v>398</v>
      </c>
      <c r="U1545">
        <v>19.920000000000002</v>
      </c>
      <c r="V1545" t="s">
        <v>21</v>
      </c>
    </row>
    <row r="1546" spans="1:22" x14ac:dyDescent="0.35">
      <c r="A1546" t="s">
        <v>1659</v>
      </c>
      <c r="B1546" t="s">
        <v>67</v>
      </c>
      <c r="C1546" t="s">
        <v>27</v>
      </c>
      <c r="D1546" t="s">
        <v>1658</v>
      </c>
      <c r="E1546" t="s">
        <v>1657</v>
      </c>
      <c r="F1546" s="5">
        <v>45480</v>
      </c>
      <c r="G1546" t="s">
        <v>126</v>
      </c>
      <c r="H1546" t="s">
        <v>1656</v>
      </c>
      <c r="I1546" t="s">
        <v>31</v>
      </c>
      <c r="J1546" t="s">
        <v>76</v>
      </c>
      <c r="K1546" t="s">
        <v>76</v>
      </c>
      <c r="L1546" t="s">
        <v>25</v>
      </c>
      <c r="M1546" t="s">
        <v>19</v>
      </c>
      <c r="N1546">
        <v>4</v>
      </c>
      <c r="O1546">
        <v>873</v>
      </c>
      <c r="P1546">
        <v>1499</v>
      </c>
      <c r="Q1546">
        <v>0</v>
      </c>
      <c r="R1546">
        <v>0</v>
      </c>
      <c r="S1546">
        <v>5996</v>
      </c>
      <c r="T1546">
        <v>2504</v>
      </c>
      <c r="U1546">
        <v>41.76</v>
      </c>
      <c r="V1546" t="s">
        <v>33</v>
      </c>
    </row>
    <row r="1547" spans="1:22" x14ac:dyDescent="0.35">
      <c r="A1547" t="s">
        <v>1655</v>
      </c>
      <c r="B1547" t="s">
        <v>49</v>
      </c>
      <c r="C1547" t="s">
        <v>27</v>
      </c>
      <c r="D1547" t="s">
        <v>1654</v>
      </c>
      <c r="E1547" t="s">
        <v>1653</v>
      </c>
      <c r="F1547" s="5">
        <v>45592</v>
      </c>
      <c r="G1547" t="s">
        <v>126</v>
      </c>
      <c r="H1547" t="s">
        <v>1652</v>
      </c>
      <c r="I1547" t="s">
        <v>35</v>
      </c>
      <c r="J1547" t="s">
        <v>244</v>
      </c>
      <c r="K1547" t="s">
        <v>58</v>
      </c>
      <c r="L1547" t="s">
        <v>19</v>
      </c>
      <c r="M1547" t="s">
        <v>19</v>
      </c>
      <c r="N1547">
        <v>1</v>
      </c>
      <c r="O1547">
        <v>817</v>
      </c>
      <c r="P1547">
        <v>1099</v>
      </c>
      <c r="Q1547">
        <v>5</v>
      </c>
      <c r="R1547">
        <v>100</v>
      </c>
      <c r="S1547">
        <v>999</v>
      </c>
      <c r="T1547">
        <v>182</v>
      </c>
      <c r="U1547">
        <v>18.22</v>
      </c>
      <c r="V1547" t="s">
        <v>21</v>
      </c>
    </row>
    <row r="1548" spans="1:22" x14ac:dyDescent="0.35">
      <c r="A1548" t="s">
        <v>1651</v>
      </c>
      <c r="B1548" t="s">
        <v>98</v>
      </c>
      <c r="C1548" t="s">
        <v>16</v>
      </c>
      <c r="D1548" t="s">
        <v>1650</v>
      </c>
      <c r="E1548" t="s">
        <v>1649</v>
      </c>
      <c r="F1548" s="5">
        <v>45648</v>
      </c>
      <c r="G1548" t="s">
        <v>126</v>
      </c>
      <c r="H1548" t="s">
        <v>1648</v>
      </c>
      <c r="I1548" t="s">
        <v>28</v>
      </c>
      <c r="J1548" t="s">
        <v>201</v>
      </c>
      <c r="K1548" t="s">
        <v>29</v>
      </c>
      <c r="L1548" t="s">
        <v>25</v>
      </c>
      <c r="M1548" t="s">
        <v>19</v>
      </c>
      <c r="N1548">
        <v>1</v>
      </c>
      <c r="O1548">
        <v>301</v>
      </c>
      <c r="P1548">
        <v>599</v>
      </c>
      <c r="Q1548">
        <v>5</v>
      </c>
      <c r="R1548">
        <v>100</v>
      </c>
      <c r="S1548">
        <v>499</v>
      </c>
      <c r="T1548">
        <v>198</v>
      </c>
      <c r="U1548">
        <v>39.68</v>
      </c>
      <c r="V1548" t="s">
        <v>21</v>
      </c>
    </row>
    <row r="1549" spans="1:22" x14ac:dyDescent="0.35">
      <c r="A1549" t="s">
        <v>1647</v>
      </c>
      <c r="B1549" t="s">
        <v>107</v>
      </c>
      <c r="C1549" t="s">
        <v>27</v>
      </c>
      <c r="D1549" t="s">
        <v>1646</v>
      </c>
      <c r="E1549" t="s">
        <v>1645</v>
      </c>
      <c r="F1549" s="5">
        <v>45655</v>
      </c>
      <c r="G1549" t="s">
        <v>126</v>
      </c>
      <c r="H1549" t="s">
        <v>181</v>
      </c>
      <c r="I1549" t="s">
        <v>28</v>
      </c>
      <c r="J1549" t="s">
        <v>45</v>
      </c>
      <c r="K1549" t="s">
        <v>45</v>
      </c>
      <c r="L1549" t="s">
        <v>19</v>
      </c>
      <c r="M1549" t="s">
        <v>19</v>
      </c>
      <c r="N1549">
        <v>1</v>
      </c>
      <c r="O1549">
        <v>961</v>
      </c>
      <c r="P1549">
        <v>1299</v>
      </c>
      <c r="Q1549">
        <v>20</v>
      </c>
      <c r="R1549">
        <v>300</v>
      </c>
      <c r="S1549">
        <v>999</v>
      </c>
      <c r="T1549">
        <v>38</v>
      </c>
      <c r="U1549">
        <v>3.8</v>
      </c>
      <c r="V1549" t="s">
        <v>21</v>
      </c>
    </row>
    <row r="1550" spans="1:22" x14ac:dyDescent="0.35">
      <c r="A1550" t="s">
        <v>1644</v>
      </c>
      <c r="B1550" t="s">
        <v>91</v>
      </c>
      <c r="C1550" t="s">
        <v>16</v>
      </c>
      <c r="D1550" t="s">
        <v>1643</v>
      </c>
      <c r="E1550" t="s">
        <v>1642</v>
      </c>
      <c r="F1550" s="5">
        <v>45649</v>
      </c>
      <c r="G1550" t="s">
        <v>126</v>
      </c>
      <c r="H1550" t="s">
        <v>948</v>
      </c>
      <c r="I1550" t="s">
        <v>31</v>
      </c>
      <c r="J1550" t="s">
        <v>32</v>
      </c>
      <c r="K1550" t="s">
        <v>32</v>
      </c>
      <c r="L1550" t="s">
        <v>25</v>
      </c>
      <c r="M1550" t="s">
        <v>20</v>
      </c>
      <c r="N1550">
        <v>4</v>
      </c>
      <c r="O1550">
        <v>770</v>
      </c>
      <c r="P1550">
        <v>1399</v>
      </c>
      <c r="Q1550">
        <v>0</v>
      </c>
      <c r="R1550">
        <v>0</v>
      </c>
      <c r="S1550">
        <v>5596</v>
      </c>
      <c r="T1550">
        <v>2516</v>
      </c>
      <c r="U1550">
        <v>44.96</v>
      </c>
      <c r="V1550" t="s">
        <v>33</v>
      </c>
    </row>
    <row r="1551" spans="1:22" x14ac:dyDescent="0.35">
      <c r="A1551" t="s">
        <v>1641</v>
      </c>
      <c r="B1551" t="s">
        <v>73</v>
      </c>
      <c r="C1551" t="s">
        <v>16</v>
      </c>
      <c r="D1551" t="s">
        <v>1640</v>
      </c>
      <c r="E1551" t="s">
        <v>1639</v>
      </c>
      <c r="F1551" s="5">
        <v>45573</v>
      </c>
      <c r="G1551" t="s">
        <v>126</v>
      </c>
      <c r="H1551" t="s">
        <v>1638</v>
      </c>
      <c r="I1551" t="s">
        <v>31</v>
      </c>
      <c r="J1551" t="s">
        <v>76</v>
      </c>
      <c r="K1551" t="s">
        <v>76</v>
      </c>
      <c r="L1551" t="s">
        <v>37</v>
      </c>
      <c r="M1551" t="s">
        <v>20</v>
      </c>
      <c r="N1551">
        <v>1</v>
      </c>
      <c r="O1551">
        <v>1086</v>
      </c>
      <c r="P1551">
        <v>1499</v>
      </c>
      <c r="Q1551">
        <v>0</v>
      </c>
      <c r="R1551">
        <v>0</v>
      </c>
      <c r="S1551">
        <v>1499</v>
      </c>
      <c r="T1551">
        <v>413</v>
      </c>
      <c r="U1551">
        <v>27.55</v>
      </c>
      <c r="V1551" t="s">
        <v>21</v>
      </c>
    </row>
    <row r="1552" spans="1:22" x14ac:dyDescent="0.35">
      <c r="A1552" t="s">
        <v>1637</v>
      </c>
      <c r="B1552" t="s">
        <v>69</v>
      </c>
      <c r="C1552" t="s">
        <v>16</v>
      </c>
      <c r="D1552" t="s">
        <v>1636</v>
      </c>
      <c r="E1552" t="s">
        <v>1635</v>
      </c>
      <c r="F1552" s="5">
        <v>45536</v>
      </c>
      <c r="G1552" t="s">
        <v>126</v>
      </c>
      <c r="H1552" t="s">
        <v>1634</v>
      </c>
      <c r="I1552" t="s">
        <v>17</v>
      </c>
      <c r="J1552" t="s">
        <v>253</v>
      </c>
      <c r="K1552" t="s">
        <v>72</v>
      </c>
      <c r="L1552" t="s">
        <v>19</v>
      </c>
      <c r="M1552" t="s">
        <v>19</v>
      </c>
      <c r="N1552">
        <v>3</v>
      </c>
      <c r="O1552">
        <v>255</v>
      </c>
      <c r="P1552">
        <v>399</v>
      </c>
      <c r="Q1552">
        <v>0</v>
      </c>
      <c r="R1552">
        <v>0</v>
      </c>
      <c r="S1552">
        <v>1197</v>
      </c>
      <c r="T1552">
        <v>432</v>
      </c>
      <c r="U1552">
        <v>36.090000000000003</v>
      </c>
      <c r="V1552" t="s">
        <v>33</v>
      </c>
    </row>
    <row r="1553" spans="1:22" x14ac:dyDescent="0.35">
      <c r="A1553" t="s">
        <v>1633</v>
      </c>
      <c r="B1553" t="s">
        <v>85</v>
      </c>
      <c r="C1553" t="s">
        <v>27</v>
      </c>
      <c r="D1553" t="s">
        <v>1632</v>
      </c>
      <c r="E1553" t="s">
        <v>1631</v>
      </c>
      <c r="F1553" s="5">
        <v>45657</v>
      </c>
      <c r="G1553" t="s">
        <v>126</v>
      </c>
      <c r="H1553" t="s">
        <v>1024</v>
      </c>
      <c r="I1553" t="s">
        <v>23</v>
      </c>
      <c r="J1553" t="s">
        <v>142</v>
      </c>
      <c r="K1553" t="s">
        <v>43</v>
      </c>
      <c r="L1553" t="s">
        <v>19</v>
      </c>
      <c r="M1553" t="s">
        <v>19</v>
      </c>
      <c r="N1553">
        <v>2</v>
      </c>
      <c r="O1553">
        <v>1670</v>
      </c>
      <c r="P1553">
        <v>2399</v>
      </c>
      <c r="Q1553">
        <v>15</v>
      </c>
      <c r="R1553">
        <v>800</v>
      </c>
      <c r="S1553">
        <v>3998</v>
      </c>
      <c r="T1553">
        <v>658</v>
      </c>
      <c r="U1553">
        <v>16.46</v>
      </c>
      <c r="V1553" t="s">
        <v>21</v>
      </c>
    </row>
    <row r="1554" spans="1:22" x14ac:dyDescent="0.35">
      <c r="A1554" t="s">
        <v>1630</v>
      </c>
      <c r="B1554" t="s">
        <v>96</v>
      </c>
      <c r="C1554" t="s">
        <v>16</v>
      </c>
      <c r="D1554" t="s">
        <v>1629</v>
      </c>
      <c r="E1554" t="s">
        <v>1628</v>
      </c>
      <c r="F1554" s="5">
        <v>45546</v>
      </c>
      <c r="G1554" t="s">
        <v>126</v>
      </c>
      <c r="H1554" t="s">
        <v>1057</v>
      </c>
      <c r="I1554" t="s">
        <v>35</v>
      </c>
      <c r="J1554" t="s">
        <v>159</v>
      </c>
      <c r="K1554" t="s">
        <v>100</v>
      </c>
      <c r="L1554" t="s">
        <v>19</v>
      </c>
      <c r="M1554" t="s">
        <v>19</v>
      </c>
      <c r="N1554">
        <v>2</v>
      </c>
      <c r="O1554">
        <v>1563</v>
      </c>
      <c r="P1554">
        <v>2199</v>
      </c>
      <c r="Q1554">
        <v>5</v>
      </c>
      <c r="R1554">
        <v>400</v>
      </c>
      <c r="S1554">
        <v>3998</v>
      </c>
      <c r="T1554">
        <v>872</v>
      </c>
      <c r="U1554">
        <v>21.81</v>
      </c>
      <c r="V1554" t="s">
        <v>21</v>
      </c>
    </row>
    <row r="1555" spans="1:22" x14ac:dyDescent="0.35">
      <c r="A1555" t="s">
        <v>1627</v>
      </c>
      <c r="B1555" t="s">
        <v>63</v>
      </c>
      <c r="C1555" t="s">
        <v>27</v>
      </c>
      <c r="D1555" t="s">
        <v>1626</v>
      </c>
      <c r="E1555" t="s">
        <v>372</v>
      </c>
      <c r="F1555" s="5">
        <v>45623</v>
      </c>
      <c r="G1555" t="s">
        <v>126</v>
      </c>
      <c r="H1555" t="s">
        <v>1474</v>
      </c>
      <c r="I1555" t="s">
        <v>23</v>
      </c>
      <c r="J1555" t="s">
        <v>164</v>
      </c>
      <c r="K1555" t="s">
        <v>24</v>
      </c>
      <c r="L1555" t="s">
        <v>37</v>
      </c>
      <c r="M1555" t="s">
        <v>20</v>
      </c>
      <c r="N1555">
        <v>4</v>
      </c>
      <c r="O1555">
        <v>618</v>
      </c>
      <c r="P1555">
        <v>899</v>
      </c>
      <c r="Q1555">
        <v>10</v>
      </c>
      <c r="R1555">
        <v>400</v>
      </c>
      <c r="S1555">
        <v>3196</v>
      </c>
      <c r="T1555">
        <v>724</v>
      </c>
      <c r="U1555">
        <v>22.65</v>
      </c>
      <c r="V1555" t="s">
        <v>33</v>
      </c>
    </row>
    <row r="1556" spans="1:22" x14ac:dyDescent="0.35">
      <c r="A1556" t="s">
        <v>1625</v>
      </c>
      <c r="B1556" t="s">
        <v>62</v>
      </c>
      <c r="C1556" t="s">
        <v>16</v>
      </c>
      <c r="D1556" t="s">
        <v>1624</v>
      </c>
      <c r="E1556" t="s">
        <v>1623</v>
      </c>
      <c r="F1556" s="5">
        <v>45458</v>
      </c>
      <c r="G1556" t="s">
        <v>126</v>
      </c>
      <c r="H1556" t="s">
        <v>1622</v>
      </c>
      <c r="I1556" t="s">
        <v>31</v>
      </c>
      <c r="J1556" t="s">
        <v>76</v>
      </c>
      <c r="K1556" t="s">
        <v>76</v>
      </c>
      <c r="L1556" t="s">
        <v>37</v>
      </c>
      <c r="M1556" t="s">
        <v>19</v>
      </c>
      <c r="N1556">
        <v>2</v>
      </c>
      <c r="O1556">
        <v>730</v>
      </c>
      <c r="P1556">
        <v>999</v>
      </c>
      <c r="Q1556">
        <v>0</v>
      </c>
      <c r="R1556">
        <v>0</v>
      </c>
      <c r="S1556">
        <v>1998</v>
      </c>
      <c r="T1556">
        <v>538</v>
      </c>
      <c r="U1556">
        <v>26.93</v>
      </c>
      <c r="V1556" t="s">
        <v>21</v>
      </c>
    </row>
    <row r="1557" spans="1:22" x14ac:dyDescent="0.35">
      <c r="A1557" t="s">
        <v>1621</v>
      </c>
      <c r="B1557" t="s">
        <v>99</v>
      </c>
      <c r="C1557" t="s">
        <v>27</v>
      </c>
      <c r="D1557" t="s">
        <v>1620</v>
      </c>
      <c r="E1557" t="s">
        <v>1619</v>
      </c>
      <c r="F1557" s="5">
        <v>45502</v>
      </c>
      <c r="G1557" t="s">
        <v>126</v>
      </c>
      <c r="H1557" t="s">
        <v>766</v>
      </c>
      <c r="I1557" t="s">
        <v>31</v>
      </c>
      <c r="J1557" t="s">
        <v>32</v>
      </c>
      <c r="K1557" t="s">
        <v>32</v>
      </c>
      <c r="L1557" t="s">
        <v>25</v>
      </c>
      <c r="M1557" t="s">
        <v>20</v>
      </c>
      <c r="N1557">
        <v>2</v>
      </c>
      <c r="O1557">
        <v>998</v>
      </c>
      <c r="P1557">
        <v>1499</v>
      </c>
      <c r="Q1557">
        <v>0</v>
      </c>
      <c r="R1557">
        <v>0</v>
      </c>
      <c r="S1557">
        <v>2998</v>
      </c>
      <c r="T1557">
        <v>1002</v>
      </c>
      <c r="U1557">
        <v>33.42</v>
      </c>
      <c r="V1557" t="s">
        <v>21</v>
      </c>
    </row>
    <row r="1558" spans="1:22" x14ac:dyDescent="0.35">
      <c r="A1558" t="s">
        <v>1618</v>
      </c>
      <c r="B1558" t="s">
        <v>102</v>
      </c>
      <c r="C1558" t="s">
        <v>27</v>
      </c>
      <c r="D1558" t="s">
        <v>1617</v>
      </c>
      <c r="E1558" t="s">
        <v>1616</v>
      </c>
      <c r="F1558" s="5">
        <v>45610</v>
      </c>
      <c r="G1558" t="s">
        <v>126</v>
      </c>
      <c r="H1558" t="s">
        <v>206</v>
      </c>
      <c r="I1558" t="s">
        <v>31</v>
      </c>
      <c r="J1558" t="s">
        <v>76</v>
      </c>
      <c r="K1558" t="s">
        <v>76</v>
      </c>
      <c r="L1558" t="s">
        <v>37</v>
      </c>
      <c r="M1558" t="s">
        <v>20</v>
      </c>
      <c r="N1558">
        <v>1</v>
      </c>
      <c r="O1558">
        <v>387</v>
      </c>
      <c r="P1558">
        <v>699</v>
      </c>
      <c r="Q1558">
        <v>0</v>
      </c>
      <c r="R1558">
        <v>0</v>
      </c>
      <c r="S1558">
        <v>699</v>
      </c>
      <c r="T1558">
        <v>312</v>
      </c>
      <c r="U1558">
        <v>44.64</v>
      </c>
      <c r="V1558" t="s">
        <v>21</v>
      </c>
    </row>
    <row r="1559" spans="1:22" x14ac:dyDescent="0.35">
      <c r="A1559" t="s">
        <v>1615</v>
      </c>
      <c r="B1559" t="s">
        <v>40</v>
      </c>
      <c r="C1559" t="s">
        <v>27</v>
      </c>
      <c r="D1559" t="s">
        <v>1614</v>
      </c>
      <c r="E1559" t="s">
        <v>1613</v>
      </c>
      <c r="F1559" s="5">
        <v>45473</v>
      </c>
      <c r="G1559" t="s">
        <v>126</v>
      </c>
      <c r="H1559" t="s">
        <v>1612</v>
      </c>
      <c r="I1559" t="s">
        <v>17</v>
      </c>
      <c r="J1559" t="s">
        <v>55</v>
      </c>
      <c r="K1559" t="s">
        <v>55</v>
      </c>
      <c r="L1559" t="s">
        <v>25</v>
      </c>
      <c r="M1559" t="s">
        <v>20</v>
      </c>
      <c r="N1559">
        <v>1</v>
      </c>
      <c r="O1559">
        <v>453</v>
      </c>
      <c r="P1559">
        <v>799</v>
      </c>
      <c r="Q1559">
        <v>0</v>
      </c>
      <c r="R1559">
        <v>0</v>
      </c>
      <c r="S1559">
        <v>799</v>
      </c>
      <c r="T1559">
        <v>346</v>
      </c>
      <c r="U1559">
        <v>43.3</v>
      </c>
      <c r="V1559" t="s">
        <v>21</v>
      </c>
    </row>
    <row r="1560" spans="1:22" x14ac:dyDescent="0.35">
      <c r="A1560" t="s">
        <v>1611</v>
      </c>
      <c r="B1560" t="s">
        <v>104</v>
      </c>
      <c r="C1560" t="s">
        <v>27</v>
      </c>
      <c r="D1560" t="s">
        <v>1610</v>
      </c>
      <c r="E1560" t="s">
        <v>1609</v>
      </c>
      <c r="F1560" s="5">
        <v>45539</v>
      </c>
      <c r="G1560" t="s">
        <v>126</v>
      </c>
      <c r="H1560" t="s">
        <v>1608</v>
      </c>
      <c r="I1560" t="s">
        <v>17</v>
      </c>
      <c r="J1560" t="s">
        <v>48</v>
      </c>
      <c r="K1560" t="s">
        <v>48</v>
      </c>
      <c r="L1560" t="s">
        <v>37</v>
      </c>
      <c r="M1560" t="s">
        <v>19</v>
      </c>
      <c r="N1560">
        <v>3</v>
      </c>
      <c r="O1560">
        <v>222</v>
      </c>
      <c r="P1560">
        <v>299</v>
      </c>
      <c r="Q1560">
        <v>0</v>
      </c>
      <c r="R1560">
        <v>0</v>
      </c>
      <c r="S1560">
        <v>897</v>
      </c>
      <c r="T1560">
        <v>231</v>
      </c>
      <c r="U1560">
        <v>25.75</v>
      </c>
      <c r="V1560" t="s">
        <v>21</v>
      </c>
    </row>
    <row r="1561" spans="1:22" x14ac:dyDescent="0.35">
      <c r="A1561" t="s">
        <v>1607</v>
      </c>
      <c r="B1561" t="s">
        <v>80</v>
      </c>
      <c r="C1561" t="s">
        <v>27</v>
      </c>
      <c r="D1561" t="s">
        <v>1606</v>
      </c>
      <c r="E1561" t="s">
        <v>1605</v>
      </c>
      <c r="F1561" s="5">
        <v>45615</v>
      </c>
      <c r="G1561" t="s">
        <v>126</v>
      </c>
      <c r="H1561" t="s">
        <v>1541</v>
      </c>
      <c r="I1561" t="s">
        <v>23</v>
      </c>
      <c r="J1561" t="s">
        <v>164</v>
      </c>
      <c r="K1561" t="s">
        <v>24</v>
      </c>
      <c r="L1561" t="s">
        <v>37</v>
      </c>
      <c r="M1561" t="s">
        <v>19</v>
      </c>
      <c r="N1561">
        <v>1</v>
      </c>
      <c r="O1561">
        <v>1248</v>
      </c>
      <c r="P1561">
        <v>1799</v>
      </c>
      <c r="Q1561">
        <v>15</v>
      </c>
      <c r="R1561">
        <v>300</v>
      </c>
      <c r="S1561">
        <v>1499</v>
      </c>
      <c r="T1561">
        <v>251</v>
      </c>
      <c r="U1561">
        <v>16.739999999999998</v>
      </c>
      <c r="V1561" t="s">
        <v>21</v>
      </c>
    </row>
    <row r="1562" spans="1:22" x14ac:dyDescent="0.35">
      <c r="A1562" t="s">
        <v>1604</v>
      </c>
      <c r="B1562" t="s">
        <v>106</v>
      </c>
      <c r="C1562" t="s">
        <v>27</v>
      </c>
      <c r="D1562" t="s">
        <v>1603</v>
      </c>
      <c r="E1562" t="s">
        <v>1602</v>
      </c>
      <c r="F1562" s="5">
        <v>45447</v>
      </c>
      <c r="G1562" t="s">
        <v>126</v>
      </c>
      <c r="H1562" t="s">
        <v>968</v>
      </c>
      <c r="I1562" t="s">
        <v>35</v>
      </c>
      <c r="J1562" t="s">
        <v>214</v>
      </c>
      <c r="K1562" t="s">
        <v>87</v>
      </c>
      <c r="L1562" t="s">
        <v>37</v>
      </c>
      <c r="M1562" t="s">
        <v>19</v>
      </c>
      <c r="N1562">
        <v>2</v>
      </c>
      <c r="O1562">
        <v>2205</v>
      </c>
      <c r="P1562">
        <v>3199</v>
      </c>
      <c r="Q1562">
        <v>20</v>
      </c>
      <c r="R1562">
        <v>1400</v>
      </c>
      <c r="S1562">
        <v>4998</v>
      </c>
      <c r="T1562">
        <v>588</v>
      </c>
      <c r="U1562">
        <v>11.76</v>
      </c>
      <c r="V1562" t="s">
        <v>21</v>
      </c>
    </row>
    <row r="1563" spans="1:22" x14ac:dyDescent="0.35">
      <c r="A1563" t="s">
        <v>1601</v>
      </c>
      <c r="B1563" t="s">
        <v>91</v>
      </c>
      <c r="C1563" t="s">
        <v>16</v>
      </c>
      <c r="D1563" t="s">
        <v>1600</v>
      </c>
      <c r="E1563" t="s">
        <v>1599</v>
      </c>
      <c r="F1563" s="5">
        <v>45647</v>
      </c>
      <c r="G1563" t="s">
        <v>126</v>
      </c>
      <c r="H1563" t="s">
        <v>1598</v>
      </c>
      <c r="I1563" t="s">
        <v>17</v>
      </c>
      <c r="J1563" t="s">
        <v>253</v>
      </c>
      <c r="K1563" t="s">
        <v>72</v>
      </c>
      <c r="L1563" t="s">
        <v>19</v>
      </c>
      <c r="M1563" t="s">
        <v>19</v>
      </c>
      <c r="N1563">
        <v>5</v>
      </c>
      <c r="O1563">
        <v>343</v>
      </c>
      <c r="P1563">
        <v>499</v>
      </c>
      <c r="Q1563">
        <v>0</v>
      </c>
      <c r="R1563">
        <v>0</v>
      </c>
      <c r="S1563">
        <v>2495</v>
      </c>
      <c r="T1563">
        <v>780</v>
      </c>
      <c r="U1563">
        <v>31.26</v>
      </c>
      <c r="V1563" t="s">
        <v>21</v>
      </c>
    </row>
    <row r="1564" spans="1:22" x14ac:dyDescent="0.35">
      <c r="A1564" t="s">
        <v>1597</v>
      </c>
      <c r="B1564" t="s">
        <v>61</v>
      </c>
      <c r="C1564" t="s">
        <v>27</v>
      </c>
      <c r="D1564" t="s">
        <v>1596</v>
      </c>
      <c r="E1564" t="s">
        <v>1595</v>
      </c>
      <c r="F1564" s="5">
        <v>45621</v>
      </c>
      <c r="G1564" t="s">
        <v>126</v>
      </c>
      <c r="H1564" t="s">
        <v>1594</v>
      </c>
      <c r="I1564" t="s">
        <v>17</v>
      </c>
      <c r="J1564" t="s">
        <v>253</v>
      </c>
      <c r="K1564" t="s">
        <v>72</v>
      </c>
      <c r="L1564" t="s">
        <v>25</v>
      </c>
      <c r="M1564" t="s">
        <v>20</v>
      </c>
      <c r="N1564">
        <v>1</v>
      </c>
      <c r="O1564">
        <v>311</v>
      </c>
      <c r="P1564">
        <v>499</v>
      </c>
      <c r="Q1564">
        <v>0</v>
      </c>
      <c r="R1564">
        <v>0</v>
      </c>
      <c r="S1564">
        <v>499</v>
      </c>
      <c r="T1564">
        <v>188</v>
      </c>
      <c r="U1564">
        <v>37.68</v>
      </c>
      <c r="V1564" t="s">
        <v>21</v>
      </c>
    </row>
    <row r="1565" spans="1:22" x14ac:dyDescent="0.35">
      <c r="A1565" t="s">
        <v>1593</v>
      </c>
      <c r="B1565" t="s">
        <v>22</v>
      </c>
      <c r="C1565" t="s">
        <v>16</v>
      </c>
      <c r="D1565" t="s">
        <v>1592</v>
      </c>
      <c r="E1565" t="s">
        <v>1591</v>
      </c>
      <c r="F1565" s="5">
        <v>45516</v>
      </c>
      <c r="G1565" t="s">
        <v>126</v>
      </c>
      <c r="H1565" t="s">
        <v>1590</v>
      </c>
      <c r="I1565" t="s">
        <v>31</v>
      </c>
      <c r="J1565" t="s">
        <v>32</v>
      </c>
      <c r="K1565" t="s">
        <v>32</v>
      </c>
      <c r="L1565" t="s">
        <v>37</v>
      </c>
      <c r="M1565" t="s">
        <v>20</v>
      </c>
      <c r="N1565">
        <v>4</v>
      </c>
      <c r="O1565">
        <v>1040</v>
      </c>
      <c r="P1565">
        <v>1399</v>
      </c>
      <c r="Q1565">
        <v>0</v>
      </c>
      <c r="R1565">
        <v>0</v>
      </c>
      <c r="S1565">
        <v>5596</v>
      </c>
      <c r="T1565">
        <v>1436</v>
      </c>
      <c r="U1565">
        <v>25.66</v>
      </c>
      <c r="V1565" t="s">
        <v>21</v>
      </c>
    </row>
    <row r="1566" spans="1:22" x14ac:dyDescent="0.35">
      <c r="A1566" t="s">
        <v>1589</v>
      </c>
      <c r="B1566" t="s">
        <v>81</v>
      </c>
      <c r="C1566" t="s">
        <v>27</v>
      </c>
      <c r="D1566" t="s">
        <v>1588</v>
      </c>
      <c r="E1566" t="s">
        <v>1587</v>
      </c>
      <c r="F1566" s="5">
        <v>45452</v>
      </c>
      <c r="G1566" t="s">
        <v>126</v>
      </c>
      <c r="H1566" t="s">
        <v>1371</v>
      </c>
      <c r="I1566" t="s">
        <v>17</v>
      </c>
      <c r="J1566" t="s">
        <v>253</v>
      </c>
      <c r="K1566" t="s">
        <v>72</v>
      </c>
      <c r="L1566" t="s">
        <v>37</v>
      </c>
      <c r="M1566" t="s">
        <v>20</v>
      </c>
      <c r="N1566">
        <v>1</v>
      </c>
      <c r="O1566">
        <v>265</v>
      </c>
      <c r="P1566">
        <v>499</v>
      </c>
      <c r="Q1566">
        <v>0</v>
      </c>
      <c r="R1566">
        <v>0</v>
      </c>
      <c r="S1566">
        <v>499</v>
      </c>
      <c r="T1566">
        <v>234</v>
      </c>
      <c r="U1566">
        <v>46.89</v>
      </c>
      <c r="V1566" t="s">
        <v>21</v>
      </c>
    </row>
    <row r="1567" spans="1:22" x14ac:dyDescent="0.35">
      <c r="A1567" t="s">
        <v>1586</v>
      </c>
      <c r="B1567" t="s">
        <v>90</v>
      </c>
      <c r="C1567" t="s">
        <v>27</v>
      </c>
      <c r="D1567" t="s">
        <v>1585</v>
      </c>
      <c r="E1567" t="s">
        <v>1584</v>
      </c>
      <c r="F1567" s="5">
        <v>45536</v>
      </c>
      <c r="G1567" t="s">
        <v>126</v>
      </c>
      <c r="H1567" t="s">
        <v>1583</v>
      </c>
      <c r="I1567" t="s">
        <v>35</v>
      </c>
      <c r="J1567" t="s">
        <v>214</v>
      </c>
      <c r="K1567" t="s">
        <v>50</v>
      </c>
      <c r="L1567" t="s">
        <v>37</v>
      </c>
      <c r="M1567" t="s">
        <v>19</v>
      </c>
      <c r="N1567">
        <v>2</v>
      </c>
      <c r="O1567">
        <v>1064</v>
      </c>
      <c r="P1567">
        <v>1799</v>
      </c>
      <c r="Q1567">
        <v>15</v>
      </c>
      <c r="R1567">
        <v>600</v>
      </c>
      <c r="S1567">
        <v>2998</v>
      </c>
      <c r="T1567">
        <v>870</v>
      </c>
      <c r="U1567">
        <v>29.02</v>
      </c>
      <c r="V1567" t="s">
        <v>21</v>
      </c>
    </row>
    <row r="1568" spans="1:22" x14ac:dyDescent="0.35">
      <c r="A1568" t="s">
        <v>1582</v>
      </c>
      <c r="B1568" t="s">
        <v>74</v>
      </c>
      <c r="C1568" t="s">
        <v>16</v>
      </c>
      <c r="D1568" t="s">
        <v>1581</v>
      </c>
      <c r="E1568" t="s">
        <v>1580</v>
      </c>
      <c r="F1568" s="5">
        <v>45624</v>
      </c>
      <c r="G1568" t="s">
        <v>126</v>
      </c>
      <c r="H1568" t="s">
        <v>1579</v>
      </c>
      <c r="I1568" t="s">
        <v>31</v>
      </c>
      <c r="J1568" t="s">
        <v>32</v>
      </c>
      <c r="K1568" t="s">
        <v>32</v>
      </c>
      <c r="L1568" t="s">
        <v>37</v>
      </c>
      <c r="M1568" t="s">
        <v>20</v>
      </c>
      <c r="N1568">
        <v>4</v>
      </c>
      <c r="O1568">
        <v>820</v>
      </c>
      <c r="P1568">
        <v>1199</v>
      </c>
      <c r="Q1568">
        <v>0</v>
      </c>
      <c r="R1568">
        <v>0</v>
      </c>
      <c r="S1568">
        <v>4796</v>
      </c>
      <c r="T1568">
        <v>1516</v>
      </c>
      <c r="U1568">
        <v>31.61</v>
      </c>
      <c r="V1568" t="s">
        <v>21</v>
      </c>
    </row>
    <row r="1569" spans="1:22" x14ac:dyDescent="0.35">
      <c r="A1569" t="s">
        <v>1578</v>
      </c>
      <c r="B1569" t="s">
        <v>34</v>
      </c>
      <c r="C1569" t="s">
        <v>27</v>
      </c>
      <c r="D1569" t="s">
        <v>1577</v>
      </c>
      <c r="E1569" t="s">
        <v>1576</v>
      </c>
      <c r="F1569" s="5">
        <v>45599</v>
      </c>
      <c r="G1569" t="s">
        <v>126</v>
      </c>
      <c r="H1569" t="s">
        <v>1575</v>
      </c>
      <c r="I1569" t="s">
        <v>17</v>
      </c>
      <c r="J1569" t="s">
        <v>235</v>
      </c>
      <c r="K1569" t="s">
        <v>18</v>
      </c>
      <c r="L1569" t="s">
        <v>19</v>
      </c>
      <c r="M1569" t="s">
        <v>20</v>
      </c>
      <c r="N1569">
        <v>4</v>
      </c>
      <c r="O1569">
        <v>242</v>
      </c>
      <c r="P1569">
        <v>399</v>
      </c>
      <c r="Q1569">
        <v>0</v>
      </c>
      <c r="R1569">
        <v>0</v>
      </c>
      <c r="S1569">
        <v>1596</v>
      </c>
      <c r="T1569">
        <v>628</v>
      </c>
      <c r="U1569">
        <v>39.35</v>
      </c>
      <c r="V1569" t="s">
        <v>21</v>
      </c>
    </row>
    <row r="1570" spans="1:22" x14ac:dyDescent="0.35">
      <c r="A1570" t="s">
        <v>1574</v>
      </c>
      <c r="B1570" t="s">
        <v>70</v>
      </c>
      <c r="C1570" t="s">
        <v>27</v>
      </c>
      <c r="D1570" t="s">
        <v>1573</v>
      </c>
      <c r="E1570" t="s">
        <v>1572</v>
      </c>
      <c r="F1570" s="5">
        <v>45459</v>
      </c>
      <c r="G1570" t="s">
        <v>126</v>
      </c>
      <c r="H1570" t="s">
        <v>1571</v>
      </c>
      <c r="I1570" t="s">
        <v>17</v>
      </c>
      <c r="J1570" t="s">
        <v>55</v>
      </c>
      <c r="K1570" t="s">
        <v>55</v>
      </c>
      <c r="L1570" t="s">
        <v>37</v>
      </c>
      <c r="M1570" t="s">
        <v>19</v>
      </c>
      <c r="N1570">
        <v>5</v>
      </c>
      <c r="O1570">
        <v>311</v>
      </c>
      <c r="P1570">
        <v>499</v>
      </c>
      <c r="Q1570">
        <v>0</v>
      </c>
      <c r="R1570">
        <v>0</v>
      </c>
      <c r="S1570">
        <v>2495</v>
      </c>
      <c r="T1570">
        <v>940</v>
      </c>
      <c r="U1570">
        <v>37.68</v>
      </c>
      <c r="V1570" t="s">
        <v>33</v>
      </c>
    </row>
    <row r="1571" spans="1:22" x14ac:dyDescent="0.35">
      <c r="A1571" t="s">
        <v>1570</v>
      </c>
      <c r="B1571" t="s">
        <v>56</v>
      </c>
      <c r="C1571" t="s">
        <v>27</v>
      </c>
      <c r="D1571" t="s">
        <v>1569</v>
      </c>
      <c r="E1571" t="s">
        <v>1568</v>
      </c>
      <c r="F1571" s="5">
        <v>45631</v>
      </c>
      <c r="G1571" t="s">
        <v>126</v>
      </c>
      <c r="H1571" t="s">
        <v>1567</v>
      </c>
      <c r="I1571" t="s">
        <v>28</v>
      </c>
      <c r="J1571" t="s">
        <v>45</v>
      </c>
      <c r="K1571" t="s">
        <v>45</v>
      </c>
      <c r="L1571" t="s">
        <v>37</v>
      </c>
      <c r="M1571" t="s">
        <v>20</v>
      </c>
      <c r="N1571">
        <v>1</v>
      </c>
      <c r="O1571">
        <v>1459</v>
      </c>
      <c r="P1571">
        <v>2299</v>
      </c>
      <c r="Q1571">
        <v>20</v>
      </c>
      <c r="R1571">
        <v>500</v>
      </c>
      <c r="S1571">
        <v>1799</v>
      </c>
      <c r="T1571">
        <v>340</v>
      </c>
      <c r="U1571">
        <v>18.899999999999999</v>
      </c>
      <c r="V1571" t="s">
        <v>33</v>
      </c>
    </row>
    <row r="1572" spans="1:22" x14ac:dyDescent="0.35">
      <c r="A1572" t="s">
        <v>1566</v>
      </c>
      <c r="B1572" t="s">
        <v>82</v>
      </c>
      <c r="C1572" t="s">
        <v>27</v>
      </c>
      <c r="D1572" t="s">
        <v>1565</v>
      </c>
      <c r="E1572" t="s">
        <v>1564</v>
      </c>
      <c r="F1572" s="5">
        <v>45629</v>
      </c>
      <c r="G1572" t="s">
        <v>126</v>
      </c>
      <c r="H1572" t="s">
        <v>151</v>
      </c>
      <c r="I1572" t="s">
        <v>35</v>
      </c>
      <c r="J1572" t="s">
        <v>214</v>
      </c>
      <c r="K1572" t="s">
        <v>87</v>
      </c>
      <c r="L1572" t="s">
        <v>25</v>
      </c>
      <c r="M1572" t="s">
        <v>20</v>
      </c>
      <c r="N1572">
        <v>1</v>
      </c>
      <c r="O1572">
        <v>1449</v>
      </c>
      <c r="P1572">
        <v>2299</v>
      </c>
      <c r="Q1572">
        <v>10</v>
      </c>
      <c r="R1572">
        <v>300</v>
      </c>
      <c r="S1572">
        <v>1999</v>
      </c>
      <c r="T1572">
        <v>550</v>
      </c>
      <c r="U1572">
        <v>27.51</v>
      </c>
      <c r="V1572" t="s">
        <v>21</v>
      </c>
    </row>
    <row r="1573" spans="1:22" x14ac:dyDescent="0.35">
      <c r="A1573" t="s">
        <v>1563</v>
      </c>
      <c r="B1573" t="s">
        <v>79</v>
      </c>
      <c r="C1573" t="s">
        <v>16</v>
      </c>
      <c r="D1573" t="s">
        <v>1562</v>
      </c>
      <c r="E1573" t="s">
        <v>1561</v>
      </c>
      <c r="F1573" s="5">
        <v>45613</v>
      </c>
      <c r="G1573" t="s">
        <v>126</v>
      </c>
      <c r="H1573" t="s">
        <v>1560</v>
      </c>
      <c r="I1573" t="s">
        <v>23</v>
      </c>
      <c r="J1573" t="s">
        <v>164</v>
      </c>
      <c r="K1573" t="s">
        <v>24</v>
      </c>
      <c r="L1573" t="s">
        <v>37</v>
      </c>
      <c r="M1573" t="s">
        <v>20</v>
      </c>
      <c r="N1573">
        <v>3</v>
      </c>
      <c r="O1573">
        <v>1071</v>
      </c>
      <c r="P1573">
        <v>1699</v>
      </c>
      <c r="Q1573">
        <v>10</v>
      </c>
      <c r="R1573">
        <v>600</v>
      </c>
      <c r="S1573">
        <v>4497</v>
      </c>
      <c r="T1573">
        <v>1284</v>
      </c>
      <c r="U1573">
        <v>28.55</v>
      </c>
      <c r="V1573" t="s">
        <v>21</v>
      </c>
    </row>
    <row r="1574" spans="1:22" x14ac:dyDescent="0.35">
      <c r="A1574" t="s">
        <v>1559</v>
      </c>
      <c r="B1574" t="s">
        <v>82</v>
      </c>
      <c r="C1574" t="s">
        <v>27</v>
      </c>
      <c r="D1574" t="s">
        <v>1558</v>
      </c>
      <c r="E1574" t="s">
        <v>1557</v>
      </c>
      <c r="F1574" s="5">
        <v>45537</v>
      </c>
      <c r="G1574" t="s">
        <v>126</v>
      </c>
      <c r="H1574" t="s">
        <v>375</v>
      </c>
      <c r="I1574" t="s">
        <v>31</v>
      </c>
      <c r="J1574" t="s">
        <v>76</v>
      </c>
      <c r="K1574" t="s">
        <v>76</v>
      </c>
      <c r="L1574" t="s">
        <v>19</v>
      </c>
      <c r="M1574" t="s">
        <v>19</v>
      </c>
      <c r="N1574">
        <v>1</v>
      </c>
      <c r="O1574">
        <v>683</v>
      </c>
      <c r="P1574">
        <v>999</v>
      </c>
      <c r="Q1574">
        <v>0</v>
      </c>
      <c r="R1574">
        <v>0</v>
      </c>
      <c r="S1574">
        <v>999</v>
      </c>
      <c r="T1574">
        <v>316</v>
      </c>
      <c r="U1574">
        <v>31.63</v>
      </c>
      <c r="V1574" t="s">
        <v>21</v>
      </c>
    </row>
    <row r="1575" spans="1:22" x14ac:dyDescent="0.35">
      <c r="A1575" t="s">
        <v>1556</v>
      </c>
      <c r="B1575" t="s">
        <v>102</v>
      </c>
      <c r="C1575" t="s">
        <v>27</v>
      </c>
      <c r="D1575" t="s">
        <v>1555</v>
      </c>
      <c r="E1575" t="s">
        <v>1554</v>
      </c>
      <c r="F1575" s="5">
        <v>45542</v>
      </c>
      <c r="G1575" t="s">
        <v>126</v>
      </c>
      <c r="H1575" t="s">
        <v>1553</v>
      </c>
      <c r="I1575" t="s">
        <v>35</v>
      </c>
      <c r="J1575" t="s">
        <v>159</v>
      </c>
      <c r="K1575" t="s">
        <v>36</v>
      </c>
      <c r="L1575" t="s">
        <v>37</v>
      </c>
      <c r="M1575" t="s">
        <v>20</v>
      </c>
      <c r="N1575">
        <v>1</v>
      </c>
      <c r="O1575">
        <v>300</v>
      </c>
      <c r="P1575">
        <v>599</v>
      </c>
      <c r="Q1575">
        <v>10</v>
      </c>
      <c r="R1575">
        <v>100</v>
      </c>
      <c r="S1575">
        <v>499</v>
      </c>
      <c r="T1575">
        <v>199</v>
      </c>
      <c r="U1575">
        <v>39.880000000000003</v>
      </c>
      <c r="V1575" t="s">
        <v>21</v>
      </c>
    </row>
    <row r="1576" spans="1:22" x14ac:dyDescent="0.35">
      <c r="A1576" t="s">
        <v>1552</v>
      </c>
      <c r="B1576" t="s">
        <v>93</v>
      </c>
      <c r="C1576" t="s">
        <v>16</v>
      </c>
      <c r="D1576" t="s">
        <v>1551</v>
      </c>
      <c r="E1576" t="s">
        <v>1550</v>
      </c>
      <c r="F1576" s="5">
        <v>45614</v>
      </c>
      <c r="G1576" t="s">
        <v>126</v>
      </c>
      <c r="H1576" t="s">
        <v>1549</v>
      </c>
      <c r="I1576" t="s">
        <v>35</v>
      </c>
      <c r="J1576" t="s">
        <v>39</v>
      </c>
      <c r="K1576" t="s">
        <v>39</v>
      </c>
      <c r="L1576" t="s">
        <v>19</v>
      </c>
      <c r="M1576" t="s">
        <v>19</v>
      </c>
      <c r="N1576">
        <v>2</v>
      </c>
      <c r="O1576">
        <v>526</v>
      </c>
      <c r="P1576">
        <v>799</v>
      </c>
      <c r="Q1576">
        <v>10</v>
      </c>
      <c r="R1576">
        <v>200</v>
      </c>
      <c r="S1576">
        <v>1398</v>
      </c>
      <c r="T1576">
        <v>346</v>
      </c>
      <c r="U1576">
        <v>24.75</v>
      </c>
      <c r="V1576" t="s">
        <v>21</v>
      </c>
    </row>
    <row r="1577" spans="1:22" x14ac:dyDescent="0.35">
      <c r="A1577" t="s">
        <v>1548</v>
      </c>
      <c r="B1577" t="s">
        <v>57</v>
      </c>
      <c r="C1577" t="s">
        <v>27</v>
      </c>
      <c r="D1577" t="s">
        <v>1547</v>
      </c>
      <c r="E1577" t="s">
        <v>1546</v>
      </c>
      <c r="F1577" s="5">
        <v>45534</v>
      </c>
      <c r="G1577" t="s">
        <v>126</v>
      </c>
      <c r="H1577" t="s">
        <v>1545</v>
      </c>
      <c r="I1577" t="s">
        <v>23</v>
      </c>
      <c r="J1577" t="s">
        <v>142</v>
      </c>
      <c r="K1577" t="s">
        <v>43</v>
      </c>
      <c r="L1577" t="s">
        <v>37</v>
      </c>
      <c r="M1577" t="s">
        <v>19</v>
      </c>
      <c r="N1577">
        <v>1</v>
      </c>
      <c r="O1577">
        <v>2505</v>
      </c>
      <c r="P1577">
        <v>3799</v>
      </c>
      <c r="Q1577">
        <v>20</v>
      </c>
      <c r="R1577">
        <v>800</v>
      </c>
      <c r="S1577">
        <v>2999</v>
      </c>
      <c r="T1577">
        <v>494</v>
      </c>
      <c r="U1577">
        <v>16.47</v>
      </c>
      <c r="V1577" t="s">
        <v>21</v>
      </c>
    </row>
    <row r="1578" spans="1:22" x14ac:dyDescent="0.35">
      <c r="A1578" t="s">
        <v>1544</v>
      </c>
      <c r="B1578" t="s">
        <v>26</v>
      </c>
      <c r="C1578" t="s">
        <v>27</v>
      </c>
      <c r="D1578" t="s">
        <v>1543</v>
      </c>
      <c r="E1578" t="s">
        <v>1542</v>
      </c>
      <c r="F1578" s="5">
        <v>45504</v>
      </c>
      <c r="G1578" t="s">
        <v>126</v>
      </c>
      <c r="H1578" t="s">
        <v>1541</v>
      </c>
      <c r="I1578" t="s">
        <v>35</v>
      </c>
      <c r="J1578" t="s">
        <v>41</v>
      </c>
      <c r="K1578" t="s">
        <v>41</v>
      </c>
      <c r="L1578" t="s">
        <v>25</v>
      </c>
      <c r="M1578" t="s">
        <v>20</v>
      </c>
      <c r="N1578">
        <v>2</v>
      </c>
      <c r="O1578">
        <v>495</v>
      </c>
      <c r="P1578">
        <v>699</v>
      </c>
      <c r="Q1578">
        <v>20</v>
      </c>
      <c r="R1578">
        <v>400</v>
      </c>
      <c r="S1578">
        <v>998</v>
      </c>
      <c r="T1578">
        <v>8</v>
      </c>
      <c r="U1578">
        <v>0.8</v>
      </c>
      <c r="V1578" t="s">
        <v>21</v>
      </c>
    </row>
    <row r="1579" spans="1:22" x14ac:dyDescent="0.35">
      <c r="A1579" t="s">
        <v>1540</v>
      </c>
      <c r="B1579" t="s">
        <v>51</v>
      </c>
      <c r="C1579" t="s">
        <v>16</v>
      </c>
      <c r="D1579" t="s">
        <v>1539</v>
      </c>
      <c r="E1579" t="s">
        <v>1538</v>
      </c>
      <c r="F1579" s="5">
        <v>45657</v>
      </c>
      <c r="G1579" t="s">
        <v>126</v>
      </c>
      <c r="H1579" t="s">
        <v>1537</v>
      </c>
      <c r="I1579" t="s">
        <v>17</v>
      </c>
      <c r="J1579" t="s">
        <v>48</v>
      </c>
      <c r="K1579" t="s">
        <v>48</v>
      </c>
      <c r="L1579" t="s">
        <v>19</v>
      </c>
      <c r="M1579" t="s">
        <v>19</v>
      </c>
      <c r="N1579">
        <v>2</v>
      </c>
      <c r="O1579">
        <v>176</v>
      </c>
      <c r="P1579">
        <v>299</v>
      </c>
      <c r="Q1579">
        <v>0</v>
      </c>
      <c r="R1579">
        <v>0</v>
      </c>
      <c r="S1579">
        <v>598</v>
      </c>
      <c r="T1579">
        <v>246</v>
      </c>
      <c r="U1579">
        <v>41.14</v>
      </c>
      <c r="V1579" t="s">
        <v>21</v>
      </c>
    </row>
    <row r="1580" spans="1:22" x14ac:dyDescent="0.35">
      <c r="A1580" t="s">
        <v>1536</v>
      </c>
      <c r="B1580" t="s">
        <v>62</v>
      </c>
      <c r="C1580" t="s">
        <v>16</v>
      </c>
      <c r="D1580" t="s">
        <v>1535</v>
      </c>
      <c r="E1580" t="s">
        <v>1534</v>
      </c>
      <c r="F1580" s="5">
        <v>45469</v>
      </c>
      <c r="G1580" t="s">
        <v>126</v>
      </c>
      <c r="H1580" t="s">
        <v>1359</v>
      </c>
      <c r="I1580" t="s">
        <v>35</v>
      </c>
      <c r="J1580" t="s">
        <v>159</v>
      </c>
      <c r="K1580" t="s">
        <v>100</v>
      </c>
      <c r="L1580" t="s">
        <v>19</v>
      </c>
      <c r="M1580" t="s">
        <v>20</v>
      </c>
      <c r="N1580">
        <v>1</v>
      </c>
      <c r="O1580">
        <v>1024</v>
      </c>
      <c r="P1580">
        <v>1699</v>
      </c>
      <c r="Q1580">
        <v>10</v>
      </c>
      <c r="R1580">
        <v>200</v>
      </c>
      <c r="S1580">
        <v>1499</v>
      </c>
      <c r="T1580">
        <v>475</v>
      </c>
      <c r="U1580">
        <v>31.69</v>
      </c>
      <c r="V1580" t="s">
        <v>21</v>
      </c>
    </row>
    <row r="1581" spans="1:22" x14ac:dyDescent="0.35">
      <c r="A1581" t="s">
        <v>1533</v>
      </c>
      <c r="B1581" t="s">
        <v>102</v>
      </c>
      <c r="C1581" t="s">
        <v>27</v>
      </c>
      <c r="D1581" t="s">
        <v>1532</v>
      </c>
      <c r="E1581" t="s">
        <v>1531</v>
      </c>
      <c r="F1581" s="5">
        <v>45578</v>
      </c>
      <c r="G1581" t="s">
        <v>126</v>
      </c>
      <c r="H1581" t="s">
        <v>587</v>
      </c>
      <c r="I1581" t="s">
        <v>35</v>
      </c>
      <c r="J1581" t="s">
        <v>41</v>
      </c>
      <c r="K1581" t="s">
        <v>41</v>
      </c>
      <c r="L1581" t="s">
        <v>19</v>
      </c>
      <c r="M1581" t="s">
        <v>19</v>
      </c>
      <c r="N1581">
        <v>5</v>
      </c>
      <c r="O1581">
        <v>461</v>
      </c>
      <c r="P1581">
        <v>899</v>
      </c>
      <c r="Q1581">
        <v>10</v>
      </c>
      <c r="R1581">
        <v>500</v>
      </c>
      <c r="S1581">
        <v>3995</v>
      </c>
      <c r="T1581">
        <v>1690</v>
      </c>
      <c r="U1581">
        <v>42.3</v>
      </c>
      <c r="V1581" t="s">
        <v>21</v>
      </c>
    </row>
    <row r="1582" spans="1:22" x14ac:dyDescent="0.35">
      <c r="A1582" t="s">
        <v>1530</v>
      </c>
      <c r="B1582" t="s">
        <v>105</v>
      </c>
      <c r="C1582" t="s">
        <v>16</v>
      </c>
      <c r="D1582" t="s">
        <v>1529</v>
      </c>
      <c r="E1582" t="s">
        <v>1528</v>
      </c>
      <c r="F1582" s="5">
        <v>45584</v>
      </c>
      <c r="G1582" t="s">
        <v>126</v>
      </c>
      <c r="H1582" t="s">
        <v>1527</v>
      </c>
      <c r="I1582" t="s">
        <v>17</v>
      </c>
      <c r="J1582" t="s">
        <v>48</v>
      </c>
      <c r="K1582" t="s">
        <v>48</v>
      </c>
      <c r="L1582" t="s">
        <v>25</v>
      </c>
      <c r="M1582" t="s">
        <v>20</v>
      </c>
      <c r="N1582">
        <v>1</v>
      </c>
      <c r="O1582">
        <v>416</v>
      </c>
      <c r="P1582">
        <v>599</v>
      </c>
      <c r="Q1582">
        <v>0</v>
      </c>
      <c r="R1582">
        <v>0</v>
      </c>
      <c r="S1582">
        <v>599</v>
      </c>
      <c r="T1582">
        <v>183</v>
      </c>
      <c r="U1582">
        <v>30.55</v>
      </c>
      <c r="V1582" t="s">
        <v>21</v>
      </c>
    </row>
    <row r="1583" spans="1:22" x14ac:dyDescent="0.35">
      <c r="A1583" t="s">
        <v>1526</v>
      </c>
      <c r="B1583" t="s">
        <v>57</v>
      </c>
      <c r="C1583" t="s">
        <v>27</v>
      </c>
      <c r="D1583" t="s">
        <v>1525</v>
      </c>
      <c r="E1583" t="s">
        <v>1524</v>
      </c>
      <c r="F1583" s="5">
        <v>45571</v>
      </c>
      <c r="G1583" t="s">
        <v>126</v>
      </c>
      <c r="H1583" t="s">
        <v>485</v>
      </c>
      <c r="I1583" t="s">
        <v>35</v>
      </c>
      <c r="J1583" t="s">
        <v>39</v>
      </c>
      <c r="K1583" t="s">
        <v>39</v>
      </c>
      <c r="L1583" t="s">
        <v>37</v>
      </c>
      <c r="M1583" t="s">
        <v>19</v>
      </c>
      <c r="N1583">
        <v>1</v>
      </c>
      <c r="O1583">
        <v>1072</v>
      </c>
      <c r="P1583">
        <v>1599</v>
      </c>
      <c r="Q1583">
        <v>15</v>
      </c>
      <c r="R1583">
        <v>300</v>
      </c>
      <c r="S1583">
        <v>1299</v>
      </c>
      <c r="T1583">
        <v>227</v>
      </c>
      <c r="U1583">
        <v>17.47</v>
      </c>
      <c r="V1583" t="s">
        <v>21</v>
      </c>
    </row>
    <row r="1584" spans="1:22" x14ac:dyDescent="0.35">
      <c r="A1584" t="s">
        <v>1523</v>
      </c>
      <c r="B1584" t="s">
        <v>64</v>
      </c>
      <c r="C1584" t="s">
        <v>16</v>
      </c>
      <c r="D1584" t="s">
        <v>1522</v>
      </c>
      <c r="E1584" t="s">
        <v>1521</v>
      </c>
      <c r="F1584" s="5">
        <v>45601</v>
      </c>
      <c r="G1584" t="s">
        <v>126</v>
      </c>
      <c r="H1584" t="s">
        <v>1520</v>
      </c>
      <c r="I1584" t="s">
        <v>17</v>
      </c>
      <c r="J1584" t="s">
        <v>253</v>
      </c>
      <c r="K1584" t="s">
        <v>72</v>
      </c>
      <c r="L1584" t="s">
        <v>25</v>
      </c>
      <c r="M1584" t="s">
        <v>20</v>
      </c>
      <c r="N1584">
        <v>4</v>
      </c>
      <c r="O1584">
        <v>222</v>
      </c>
      <c r="P1584">
        <v>399</v>
      </c>
      <c r="Q1584">
        <v>0</v>
      </c>
      <c r="R1584">
        <v>0</v>
      </c>
      <c r="S1584">
        <v>1596</v>
      </c>
      <c r="T1584">
        <v>708</v>
      </c>
      <c r="U1584">
        <v>44.36</v>
      </c>
      <c r="V1584" t="s">
        <v>21</v>
      </c>
    </row>
    <row r="1585" spans="1:22" x14ac:dyDescent="0.35">
      <c r="A1585" t="s">
        <v>1519</v>
      </c>
      <c r="B1585" t="s">
        <v>77</v>
      </c>
      <c r="C1585" t="s">
        <v>27</v>
      </c>
      <c r="D1585" t="s">
        <v>1518</v>
      </c>
      <c r="E1585" t="s">
        <v>1517</v>
      </c>
      <c r="F1585" s="5">
        <v>45510</v>
      </c>
      <c r="G1585" t="s">
        <v>126</v>
      </c>
      <c r="H1585" t="s">
        <v>1516</v>
      </c>
      <c r="I1585" t="s">
        <v>35</v>
      </c>
      <c r="J1585" t="s">
        <v>39</v>
      </c>
      <c r="K1585" t="s">
        <v>39</v>
      </c>
      <c r="L1585" t="s">
        <v>19</v>
      </c>
      <c r="M1585" t="s">
        <v>20</v>
      </c>
      <c r="N1585">
        <v>3</v>
      </c>
      <c r="O1585">
        <v>757</v>
      </c>
      <c r="P1585">
        <v>1099</v>
      </c>
      <c r="Q1585">
        <v>5</v>
      </c>
      <c r="R1585">
        <v>300</v>
      </c>
      <c r="S1585">
        <v>2997</v>
      </c>
      <c r="T1585">
        <v>726</v>
      </c>
      <c r="U1585">
        <v>24.22</v>
      </c>
      <c r="V1585" t="s">
        <v>21</v>
      </c>
    </row>
    <row r="1586" spans="1:22" x14ac:dyDescent="0.35">
      <c r="A1586" t="s">
        <v>1515</v>
      </c>
      <c r="B1586" t="s">
        <v>66</v>
      </c>
      <c r="C1586" t="s">
        <v>27</v>
      </c>
      <c r="D1586" t="s">
        <v>1514</v>
      </c>
      <c r="E1586" t="s">
        <v>1513</v>
      </c>
      <c r="F1586" s="5">
        <v>45653</v>
      </c>
      <c r="G1586" t="s">
        <v>126</v>
      </c>
      <c r="H1586" t="s">
        <v>1512</v>
      </c>
      <c r="I1586" t="s">
        <v>17</v>
      </c>
      <c r="J1586" t="s">
        <v>235</v>
      </c>
      <c r="K1586" t="s">
        <v>18</v>
      </c>
      <c r="L1586" t="s">
        <v>37</v>
      </c>
      <c r="M1586" t="s">
        <v>19</v>
      </c>
      <c r="N1586">
        <v>1</v>
      </c>
      <c r="O1586">
        <v>182</v>
      </c>
      <c r="P1586">
        <v>299</v>
      </c>
      <c r="Q1586">
        <v>0</v>
      </c>
      <c r="R1586">
        <v>0</v>
      </c>
      <c r="S1586">
        <v>299</v>
      </c>
      <c r="T1586">
        <v>117</v>
      </c>
      <c r="U1586">
        <v>39.130000000000003</v>
      </c>
      <c r="V1586" t="s">
        <v>21</v>
      </c>
    </row>
    <row r="1587" spans="1:22" x14ac:dyDescent="0.35">
      <c r="A1587" t="s">
        <v>1511</v>
      </c>
      <c r="B1587" t="s">
        <v>77</v>
      </c>
      <c r="C1587" t="s">
        <v>27</v>
      </c>
      <c r="D1587" t="s">
        <v>1510</v>
      </c>
      <c r="E1587" t="s">
        <v>1509</v>
      </c>
      <c r="F1587" s="5">
        <v>45503</v>
      </c>
      <c r="G1587" t="s">
        <v>126</v>
      </c>
      <c r="H1587" t="s">
        <v>1508</v>
      </c>
      <c r="I1587" t="s">
        <v>35</v>
      </c>
      <c r="J1587" t="s">
        <v>159</v>
      </c>
      <c r="K1587" t="s">
        <v>36</v>
      </c>
      <c r="L1587" t="s">
        <v>25</v>
      </c>
      <c r="M1587" t="s">
        <v>20</v>
      </c>
      <c r="N1587">
        <v>2</v>
      </c>
      <c r="O1587">
        <v>294</v>
      </c>
      <c r="P1587">
        <v>399</v>
      </c>
      <c r="Q1587">
        <v>5</v>
      </c>
      <c r="R1587">
        <v>200</v>
      </c>
      <c r="S1587">
        <v>598</v>
      </c>
      <c r="T1587">
        <v>10</v>
      </c>
      <c r="U1587">
        <v>1.67</v>
      </c>
      <c r="V1587" t="s">
        <v>21</v>
      </c>
    </row>
    <row r="1588" spans="1:22" x14ac:dyDescent="0.35">
      <c r="A1588" t="s">
        <v>1507</v>
      </c>
      <c r="B1588" t="s">
        <v>89</v>
      </c>
      <c r="C1588" t="s">
        <v>16</v>
      </c>
      <c r="D1588" t="s">
        <v>1506</v>
      </c>
      <c r="E1588" t="s">
        <v>1505</v>
      </c>
      <c r="F1588" s="5">
        <v>45542</v>
      </c>
      <c r="G1588" t="s">
        <v>126</v>
      </c>
      <c r="H1588" t="s">
        <v>1504</v>
      </c>
      <c r="I1588" t="s">
        <v>23</v>
      </c>
      <c r="J1588" t="s">
        <v>164</v>
      </c>
      <c r="K1588" t="s">
        <v>24</v>
      </c>
      <c r="L1588" t="s">
        <v>25</v>
      </c>
      <c r="M1588" t="s">
        <v>19</v>
      </c>
      <c r="N1588">
        <v>3</v>
      </c>
      <c r="O1588">
        <v>624</v>
      </c>
      <c r="P1588">
        <v>1099</v>
      </c>
      <c r="Q1588">
        <v>5</v>
      </c>
      <c r="R1588">
        <v>300</v>
      </c>
      <c r="S1588">
        <v>2997</v>
      </c>
      <c r="T1588">
        <v>1125</v>
      </c>
      <c r="U1588">
        <v>37.54</v>
      </c>
      <c r="V1588" t="s">
        <v>33</v>
      </c>
    </row>
    <row r="1589" spans="1:22" x14ac:dyDescent="0.35">
      <c r="A1589" t="s">
        <v>1503</v>
      </c>
      <c r="B1589" t="s">
        <v>66</v>
      </c>
      <c r="C1589" t="s">
        <v>27</v>
      </c>
      <c r="D1589" t="s">
        <v>1502</v>
      </c>
      <c r="E1589" t="s">
        <v>1501</v>
      </c>
      <c r="F1589" s="5">
        <v>45589</v>
      </c>
      <c r="G1589" t="s">
        <v>126</v>
      </c>
      <c r="H1589" t="s">
        <v>1500</v>
      </c>
      <c r="I1589" t="s">
        <v>17</v>
      </c>
      <c r="J1589" t="s">
        <v>48</v>
      </c>
      <c r="K1589" t="s">
        <v>48</v>
      </c>
      <c r="L1589" t="s">
        <v>19</v>
      </c>
      <c r="M1589" t="s">
        <v>19</v>
      </c>
      <c r="N1589">
        <v>1</v>
      </c>
      <c r="O1589">
        <v>279</v>
      </c>
      <c r="P1589">
        <v>399</v>
      </c>
      <c r="Q1589">
        <v>0</v>
      </c>
      <c r="R1589">
        <v>0</v>
      </c>
      <c r="S1589">
        <v>399</v>
      </c>
      <c r="T1589">
        <v>120</v>
      </c>
      <c r="U1589">
        <v>30.08</v>
      </c>
      <c r="V1589" t="s">
        <v>21</v>
      </c>
    </row>
    <row r="1590" spans="1:22" x14ac:dyDescent="0.35">
      <c r="A1590" t="s">
        <v>1499</v>
      </c>
      <c r="B1590" t="s">
        <v>60</v>
      </c>
      <c r="C1590" t="s">
        <v>27</v>
      </c>
      <c r="D1590" t="s">
        <v>1498</v>
      </c>
      <c r="E1590" t="s">
        <v>1497</v>
      </c>
      <c r="F1590" s="5">
        <v>45557</v>
      </c>
      <c r="G1590" t="s">
        <v>126</v>
      </c>
      <c r="H1590" t="s">
        <v>1496</v>
      </c>
      <c r="I1590" t="s">
        <v>28</v>
      </c>
      <c r="J1590" t="s">
        <v>201</v>
      </c>
      <c r="K1590" t="s">
        <v>29</v>
      </c>
      <c r="L1590" t="s">
        <v>19</v>
      </c>
      <c r="M1590" t="s">
        <v>19</v>
      </c>
      <c r="N1590">
        <v>1</v>
      </c>
      <c r="O1590">
        <v>331</v>
      </c>
      <c r="P1590">
        <v>499</v>
      </c>
      <c r="Q1590">
        <v>10</v>
      </c>
      <c r="R1590">
        <v>100</v>
      </c>
      <c r="S1590">
        <v>399</v>
      </c>
      <c r="T1590">
        <v>68</v>
      </c>
      <c r="U1590">
        <v>17.04</v>
      </c>
      <c r="V1590" t="s">
        <v>33</v>
      </c>
    </row>
    <row r="1591" spans="1:22" x14ac:dyDescent="0.35">
      <c r="A1591" t="s">
        <v>1495</v>
      </c>
      <c r="B1591" t="s">
        <v>75</v>
      </c>
      <c r="C1591" t="s">
        <v>27</v>
      </c>
      <c r="D1591" t="s">
        <v>1494</v>
      </c>
      <c r="E1591" t="s">
        <v>1493</v>
      </c>
      <c r="F1591" s="5">
        <v>45544</v>
      </c>
      <c r="G1591" t="s">
        <v>126</v>
      </c>
      <c r="H1591" t="s">
        <v>1492</v>
      </c>
      <c r="I1591" t="s">
        <v>35</v>
      </c>
      <c r="J1591" t="s">
        <v>244</v>
      </c>
      <c r="K1591" t="s">
        <v>58</v>
      </c>
      <c r="L1591" t="s">
        <v>19</v>
      </c>
      <c r="M1591" t="s">
        <v>19</v>
      </c>
      <c r="N1591">
        <v>2</v>
      </c>
      <c r="O1591">
        <v>707</v>
      </c>
      <c r="P1591">
        <v>1199</v>
      </c>
      <c r="Q1591">
        <v>10</v>
      </c>
      <c r="R1591">
        <v>400</v>
      </c>
      <c r="S1591">
        <v>1998</v>
      </c>
      <c r="T1591">
        <v>584</v>
      </c>
      <c r="U1591">
        <v>29.23</v>
      </c>
      <c r="V1591" t="s">
        <v>21</v>
      </c>
    </row>
    <row r="1592" spans="1:22" x14ac:dyDescent="0.35">
      <c r="A1592" t="s">
        <v>1491</v>
      </c>
      <c r="B1592" t="s">
        <v>84</v>
      </c>
      <c r="C1592" t="s">
        <v>27</v>
      </c>
      <c r="D1592" t="s">
        <v>1490</v>
      </c>
      <c r="E1592" t="s">
        <v>1489</v>
      </c>
      <c r="F1592" s="5">
        <v>45628</v>
      </c>
      <c r="G1592" t="s">
        <v>126</v>
      </c>
      <c r="H1592" t="s">
        <v>1488</v>
      </c>
      <c r="I1592" t="s">
        <v>28</v>
      </c>
      <c r="J1592" t="s">
        <v>201</v>
      </c>
      <c r="K1592" t="s">
        <v>29</v>
      </c>
      <c r="L1592" t="s">
        <v>19</v>
      </c>
      <c r="M1592" t="s">
        <v>20</v>
      </c>
      <c r="N1592">
        <v>2</v>
      </c>
      <c r="O1592">
        <v>334</v>
      </c>
      <c r="P1592">
        <v>499</v>
      </c>
      <c r="Q1592">
        <v>15</v>
      </c>
      <c r="R1592">
        <v>200</v>
      </c>
      <c r="S1592">
        <v>798</v>
      </c>
      <c r="T1592">
        <v>130</v>
      </c>
      <c r="U1592">
        <v>16.29</v>
      </c>
      <c r="V1592" t="s">
        <v>21</v>
      </c>
    </row>
    <row r="1593" spans="1:22" x14ac:dyDescent="0.35">
      <c r="A1593" t="s">
        <v>1487</v>
      </c>
      <c r="B1593" t="s">
        <v>98</v>
      </c>
      <c r="C1593" t="s">
        <v>16</v>
      </c>
      <c r="D1593" t="s">
        <v>1486</v>
      </c>
      <c r="E1593" t="s">
        <v>1485</v>
      </c>
      <c r="F1593" s="5">
        <v>45626</v>
      </c>
      <c r="G1593" t="s">
        <v>126</v>
      </c>
      <c r="H1593" t="s">
        <v>415</v>
      </c>
      <c r="I1593" t="s">
        <v>17</v>
      </c>
      <c r="J1593" t="s">
        <v>55</v>
      </c>
      <c r="K1593" t="s">
        <v>55</v>
      </c>
      <c r="L1593" t="s">
        <v>37</v>
      </c>
      <c r="M1593" t="s">
        <v>20</v>
      </c>
      <c r="N1593">
        <v>1</v>
      </c>
      <c r="O1593">
        <v>284</v>
      </c>
      <c r="P1593">
        <v>499</v>
      </c>
      <c r="Q1593">
        <v>0</v>
      </c>
      <c r="R1593">
        <v>0</v>
      </c>
      <c r="S1593">
        <v>499</v>
      </c>
      <c r="T1593">
        <v>215</v>
      </c>
      <c r="U1593">
        <v>43.09</v>
      </c>
      <c r="V1593" t="s">
        <v>21</v>
      </c>
    </row>
    <row r="1594" spans="1:22" x14ac:dyDescent="0.35">
      <c r="A1594" t="s">
        <v>1484</v>
      </c>
      <c r="B1594" t="s">
        <v>63</v>
      </c>
      <c r="C1594" t="s">
        <v>27</v>
      </c>
      <c r="D1594" t="s">
        <v>1483</v>
      </c>
      <c r="E1594" t="s">
        <v>1482</v>
      </c>
      <c r="F1594" s="5">
        <v>45486</v>
      </c>
      <c r="G1594" t="s">
        <v>126</v>
      </c>
      <c r="H1594" t="s">
        <v>948</v>
      </c>
      <c r="I1594" t="s">
        <v>17</v>
      </c>
      <c r="J1594" t="s">
        <v>55</v>
      </c>
      <c r="K1594" t="s">
        <v>55</v>
      </c>
      <c r="L1594" t="s">
        <v>19</v>
      </c>
      <c r="M1594" t="s">
        <v>19</v>
      </c>
      <c r="N1594">
        <v>2</v>
      </c>
      <c r="O1594">
        <v>204</v>
      </c>
      <c r="P1594">
        <v>399</v>
      </c>
      <c r="Q1594">
        <v>0</v>
      </c>
      <c r="R1594">
        <v>0</v>
      </c>
      <c r="S1594">
        <v>798</v>
      </c>
      <c r="T1594">
        <v>390</v>
      </c>
      <c r="U1594">
        <v>48.87</v>
      </c>
      <c r="V1594" t="s">
        <v>21</v>
      </c>
    </row>
    <row r="1595" spans="1:22" x14ac:dyDescent="0.35">
      <c r="A1595" t="s">
        <v>1481</v>
      </c>
      <c r="B1595" t="s">
        <v>98</v>
      </c>
      <c r="C1595" t="s">
        <v>16</v>
      </c>
      <c r="D1595" t="s">
        <v>1480</v>
      </c>
      <c r="E1595" t="s">
        <v>1479</v>
      </c>
      <c r="F1595" s="5">
        <v>45468</v>
      </c>
      <c r="G1595" t="s">
        <v>126</v>
      </c>
      <c r="H1595" t="s">
        <v>1478</v>
      </c>
      <c r="I1595" t="s">
        <v>23</v>
      </c>
      <c r="J1595" t="s">
        <v>164</v>
      </c>
      <c r="K1595" t="s">
        <v>24</v>
      </c>
      <c r="L1595" t="s">
        <v>37</v>
      </c>
      <c r="M1595" t="s">
        <v>20</v>
      </c>
      <c r="N1595">
        <v>2</v>
      </c>
      <c r="O1595">
        <v>658</v>
      </c>
      <c r="P1595">
        <v>899</v>
      </c>
      <c r="Q1595">
        <v>10</v>
      </c>
      <c r="R1595">
        <v>200</v>
      </c>
      <c r="S1595">
        <v>1598</v>
      </c>
      <c r="T1595">
        <v>282</v>
      </c>
      <c r="U1595">
        <v>17.649999999999999</v>
      </c>
      <c r="V1595" t="s">
        <v>21</v>
      </c>
    </row>
    <row r="1596" spans="1:22" x14ac:dyDescent="0.35">
      <c r="A1596" t="s">
        <v>1477</v>
      </c>
      <c r="B1596" t="s">
        <v>96</v>
      </c>
      <c r="C1596" t="s">
        <v>16</v>
      </c>
      <c r="D1596" t="s">
        <v>1476</v>
      </c>
      <c r="E1596" t="s">
        <v>1475</v>
      </c>
      <c r="F1596" s="5">
        <v>45566</v>
      </c>
      <c r="G1596" t="s">
        <v>126</v>
      </c>
      <c r="H1596" t="s">
        <v>1474</v>
      </c>
      <c r="I1596" t="s">
        <v>23</v>
      </c>
      <c r="J1596" t="s">
        <v>142</v>
      </c>
      <c r="K1596" t="s">
        <v>43</v>
      </c>
      <c r="L1596" t="s">
        <v>37</v>
      </c>
      <c r="M1596" t="s">
        <v>20</v>
      </c>
      <c r="N1596">
        <v>4</v>
      </c>
      <c r="O1596">
        <v>1806</v>
      </c>
      <c r="P1596">
        <v>2599</v>
      </c>
      <c r="Q1596">
        <v>15</v>
      </c>
      <c r="R1596">
        <v>1600</v>
      </c>
      <c r="S1596">
        <v>8796</v>
      </c>
      <c r="T1596">
        <v>1572</v>
      </c>
      <c r="U1596">
        <v>17.87</v>
      </c>
      <c r="V1596" t="s">
        <v>33</v>
      </c>
    </row>
    <row r="1597" spans="1:22" x14ac:dyDescent="0.35">
      <c r="A1597" t="s">
        <v>1473</v>
      </c>
      <c r="B1597" t="s">
        <v>69</v>
      </c>
      <c r="C1597" t="s">
        <v>16</v>
      </c>
      <c r="D1597" t="s">
        <v>1472</v>
      </c>
      <c r="E1597" t="s">
        <v>1471</v>
      </c>
      <c r="F1597" s="5">
        <v>45465</v>
      </c>
      <c r="G1597" t="s">
        <v>126</v>
      </c>
      <c r="H1597" t="s">
        <v>1470</v>
      </c>
      <c r="I1597" t="s">
        <v>23</v>
      </c>
      <c r="J1597" t="s">
        <v>164</v>
      </c>
      <c r="K1597" t="s">
        <v>24</v>
      </c>
      <c r="L1597" t="s">
        <v>19</v>
      </c>
      <c r="M1597" t="s">
        <v>20</v>
      </c>
      <c r="N1597">
        <v>2</v>
      </c>
      <c r="O1597">
        <v>1172</v>
      </c>
      <c r="P1597">
        <v>1899</v>
      </c>
      <c r="Q1597">
        <v>20</v>
      </c>
      <c r="R1597">
        <v>800</v>
      </c>
      <c r="S1597">
        <v>2998</v>
      </c>
      <c r="T1597">
        <v>654</v>
      </c>
      <c r="U1597">
        <v>21.81</v>
      </c>
      <c r="V1597" t="s">
        <v>21</v>
      </c>
    </row>
    <row r="1598" spans="1:22" x14ac:dyDescent="0.35">
      <c r="A1598" t="s">
        <v>1469</v>
      </c>
      <c r="B1598" t="s">
        <v>64</v>
      </c>
      <c r="C1598" t="s">
        <v>16</v>
      </c>
      <c r="D1598" t="s">
        <v>1468</v>
      </c>
      <c r="E1598" t="s">
        <v>1467</v>
      </c>
      <c r="F1598" s="5">
        <v>45510</v>
      </c>
      <c r="G1598" t="s">
        <v>126</v>
      </c>
      <c r="H1598" t="s">
        <v>1466</v>
      </c>
      <c r="I1598" t="s">
        <v>17</v>
      </c>
      <c r="J1598" t="s">
        <v>253</v>
      </c>
      <c r="K1598" t="s">
        <v>72</v>
      </c>
      <c r="L1598" t="s">
        <v>19</v>
      </c>
      <c r="M1598" t="s">
        <v>20</v>
      </c>
      <c r="N1598">
        <v>1</v>
      </c>
      <c r="O1598">
        <v>260</v>
      </c>
      <c r="P1598">
        <v>399</v>
      </c>
      <c r="Q1598">
        <v>0</v>
      </c>
      <c r="R1598">
        <v>0</v>
      </c>
      <c r="S1598">
        <v>399</v>
      </c>
      <c r="T1598">
        <v>139</v>
      </c>
      <c r="U1598">
        <v>34.840000000000003</v>
      </c>
      <c r="V1598" t="s">
        <v>33</v>
      </c>
    </row>
    <row r="1599" spans="1:22" x14ac:dyDescent="0.35">
      <c r="A1599" t="s">
        <v>1465</v>
      </c>
      <c r="B1599" t="s">
        <v>84</v>
      </c>
      <c r="C1599" t="s">
        <v>27</v>
      </c>
      <c r="D1599" t="s">
        <v>1464</v>
      </c>
      <c r="E1599" t="s">
        <v>1463</v>
      </c>
      <c r="F1599" s="5">
        <v>45546</v>
      </c>
      <c r="G1599" t="s">
        <v>126</v>
      </c>
      <c r="H1599" t="s">
        <v>1337</v>
      </c>
      <c r="I1599" t="s">
        <v>17</v>
      </c>
      <c r="J1599" t="s">
        <v>235</v>
      </c>
      <c r="K1599" t="s">
        <v>18</v>
      </c>
      <c r="L1599" t="s">
        <v>37</v>
      </c>
      <c r="M1599" t="s">
        <v>19</v>
      </c>
      <c r="N1599">
        <v>1</v>
      </c>
      <c r="O1599">
        <v>345</v>
      </c>
      <c r="P1599">
        <v>499</v>
      </c>
      <c r="Q1599">
        <v>0</v>
      </c>
      <c r="R1599">
        <v>0</v>
      </c>
      <c r="S1599">
        <v>499</v>
      </c>
      <c r="T1599">
        <v>154</v>
      </c>
      <c r="U1599">
        <v>30.86</v>
      </c>
      <c r="V1599" t="s">
        <v>21</v>
      </c>
    </row>
    <row r="1600" spans="1:22" x14ac:dyDescent="0.35">
      <c r="A1600" t="s">
        <v>1462</v>
      </c>
      <c r="B1600" t="s">
        <v>99</v>
      </c>
      <c r="C1600" t="s">
        <v>27</v>
      </c>
      <c r="D1600" t="s">
        <v>1461</v>
      </c>
      <c r="E1600" t="s">
        <v>1460</v>
      </c>
      <c r="F1600" s="5">
        <v>45487</v>
      </c>
      <c r="G1600" t="s">
        <v>126</v>
      </c>
      <c r="H1600" t="s">
        <v>1459</v>
      </c>
      <c r="I1600" t="s">
        <v>17</v>
      </c>
      <c r="J1600" t="s">
        <v>48</v>
      </c>
      <c r="K1600" t="s">
        <v>48</v>
      </c>
      <c r="L1600" t="s">
        <v>37</v>
      </c>
      <c r="M1600" t="s">
        <v>20</v>
      </c>
      <c r="N1600">
        <v>3</v>
      </c>
      <c r="O1600">
        <v>395</v>
      </c>
      <c r="P1600">
        <v>599</v>
      </c>
      <c r="Q1600">
        <v>0</v>
      </c>
      <c r="R1600">
        <v>0</v>
      </c>
      <c r="S1600">
        <v>1797</v>
      </c>
      <c r="T1600">
        <v>612</v>
      </c>
      <c r="U1600">
        <v>34.06</v>
      </c>
      <c r="V1600" t="s">
        <v>21</v>
      </c>
    </row>
    <row r="1601" spans="1:22" x14ac:dyDescent="0.35">
      <c r="A1601" t="s">
        <v>1458</v>
      </c>
      <c r="B1601" t="s">
        <v>57</v>
      </c>
      <c r="C1601" t="s">
        <v>27</v>
      </c>
      <c r="D1601" t="s">
        <v>1457</v>
      </c>
      <c r="E1601" t="s">
        <v>1456</v>
      </c>
      <c r="F1601" s="5">
        <v>45583</v>
      </c>
      <c r="G1601" t="s">
        <v>126</v>
      </c>
      <c r="H1601" t="s">
        <v>784</v>
      </c>
      <c r="I1601" t="s">
        <v>31</v>
      </c>
      <c r="J1601" t="s">
        <v>32</v>
      </c>
      <c r="K1601" t="s">
        <v>32</v>
      </c>
      <c r="L1601" t="s">
        <v>25</v>
      </c>
      <c r="M1601" t="s">
        <v>20</v>
      </c>
      <c r="N1601">
        <v>1</v>
      </c>
      <c r="O1601">
        <v>855</v>
      </c>
      <c r="P1601">
        <v>1499</v>
      </c>
      <c r="Q1601">
        <v>0</v>
      </c>
      <c r="R1601">
        <v>0</v>
      </c>
      <c r="S1601">
        <v>1499</v>
      </c>
      <c r="T1601">
        <v>644</v>
      </c>
      <c r="U1601">
        <v>42.96</v>
      </c>
      <c r="V1601" t="s">
        <v>21</v>
      </c>
    </row>
    <row r="1602" spans="1:22" x14ac:dyDescent="0.35">
      <c r="A1602" t="s">
        <v>1455</v>
      </c>
      <c r="B1602" t="s">
        <v>49</v>
      </c>
      <c r="C1602" t="s">
        <v>27</v>
      </c>
      <c r="D1602" t="s">
        <v>1454</v>
      </c>
      <c r="E1602" t="s">
        <v>1453</v>
      </c>
      <c r="F1602" s="5">
        <v>45581</v>
      </c>
      <c r="G1602" t="s">
        <v>126</v>
      </c>
      <c r="H1602" t="s">
        <v>532</v>
      </c>
      <c r="I1602" t="s">
        <v>17</v>
      </c>
      <c r="J1602" t="s">
        <v>55</v>
      </c>
      <c r="K1602" t="s">
        <v>55</v>
      </c>
      <c r="L1602" t="s">
        <v>25</v>
      </c>
      <c r="M1602" t="s">
        <v>19</v>
      </c>
      <c r="N1602">
        <v>1</v>
      </c>
      <c r="O1602">
        <v>282</v>
      </c>
      <c r="P1602">
        <v>399</v>
      </c>
      <c r="Q1602">
        <v>0</v>
      </c>
      <c r="R1602">
        <v>0</v>
      </c>
      <c r="S1602">
        <v>399</v>
      </c>
      <c r="T1602">
        <v>117</v>
      </c>
      <c r="U1602">
        <v>29.32</v>
      </c>
      <c r="V1602" t="s">
        <v>21</v>
      </c>
    </row>
    <row r="1603" spans="1:22" x14ac:dyDescent="0.35">
      <c r="A1603" t="s">
        <v>1452</v>
      </c>
      <c r="B1603" t="s">
        <v>85</v>
      </c>
      <c r="C1603" t="s">
        <v>27</v>
      </c>
      <c r="D1603" t="s">
        <v>1451</v>
      </c>
      <c r="E1603" t="s">
        <v>1450</v>
      </c>
      <c r="F1603" s="5">
        <v>45571</v>
      </c>
      <c r="G1603" t="s">
        <v>126</v>
      </c>
      <c r="H1603" t="s">
        <v>818</v>
      </c>
      <c r="I1603" t="s">
        <v>28</v>
      </c>
      <c r="J1603" t="s">
        <v>45</v>
      </c>
      <c r="K1603" t="s">
        <v>45</v>
      </c>
      <c r="L1603" t="s">
        <v>25</v>
      </c>
      <c r="M1603" t="s">
        <v>20</v>
      </c>
      <c r="N1603">
        <v>2</v>
      </c>
      <c r="O1603">
        <v>579</v>
      </c>
      <c r="P1603">
        <v>1099</v>
      </c>
      <c r="Q1603">
        <v>5</v>
      </c>
      <c r="R1603">
        <v>200</v>
      </c>
      <c r="S1603">
        <v>1998</v>
      </c>
      <c r="T1603">
        <v>840</v>
      </c>
      <c r="U1603">
        <v>42.04</v>
      </c>
      <c r="V1603" t="s">
        <v>21</v>
      </c>
    </row>
    <row r="1604" spans="1:22" x14ac:dyDescent="0.35">
      <c r="A1604" t="s">
        <v>1449</v>
      </c>
      <c r="B1604" t="s">
        <v>75</v>
      </c>
      <c r="C1604" t="s">
        <v>27</v>
      </c>
      <c r="D1604" t="s">
        <v>1448</v>
      </c>
      <c r="E1604" t="s">
        <v>1447</v>
      </c>
      <c r="F1604" s="5">
        <v>45482</v>
      </c>
      <c r="G1604" t="s">
        <v>126</v>
      </c>
      <c r="H1604" t="s">
        <v>1446</v>
      </c>
      <c r="I1604" t="s">
        <v>23</v>
      </c>
      <c r="J1604" t="s">
        <v>164</v>
      </c>
      <c r="K1604" t="s">
        <v>24</v>
      </c>
      <c r="L1604" t="s">
        <v>25</v>
      </c>
      <c r="M1604" t="s">
        <v>20</v>
      </c>
      <c r="N1604">
        <v>1</v>
      </c>
      <c r="O1604">
        <v>1653</v>
      </c>
      <c r="P1604">
        <v>2299</v>
      </c>
      <c r="Q1604">
        <v>10</v>
      </c>
      <c r="R1604">
        <v>300</v>
      </c>
      <c r="S1604">
        <v>1999</v>
      </c>
      <c r="T1604">
        <v>346</v>
      </c>
      <c r="U1604">
        <v>17.309999999999999</v>
      </c>
      <c r="V1604" t="s">
        <v>33</v>
      </c>
    </row>
    <row r="1605" spans="1:22" x14ac:dyDescent="0.35">
      <c r="A1605" t="s">
        <v>1445</v>
      </c>
      <c r="B1605" t="s">
        <v>78</v>
      </c>
      <c r="C1605" t="s">
        <v>16</v>
      </c>
      <c r="D1605" t="s">
        <v>1444</v>
      </c>
      <c r="E1605" t="s">
        <v>1443</v>
      </c>
      <c r="F1605" s="5">
        <v>45580</v>
      </c>
      <c r="G1605" t="s">
        <v>126</v>
      </c>
      <c r="H1605" t="s">
        <v>1442</v>
      </c>
      <c r="I1605" t="s">
        <v>28</v>
      </c>
      <c r="J1605" t="s">
        <v>45</v>
      </c>
      <c r="K1605" t="s">
        <v>45</v>
      </c>
      <c r="L1605" t="s">
        <v>37</v>
      </c>
      <c r="M1605" t="s">
        <v>20</v>
      </c>
      <c r="N1605">
        <v>1</v>
      </c>
      <c r="O1605">
        <v>1291</v>
      </c>
      <c r="P1605">
        <v>1799</v>
      </c>
      <c r="Q1605">
        <v>15</v>
      </c>
      <c r="R1605">
        <v>300</v>
      </c>
      <c r="S1605">
        <v>1499</v>
      </c>
      <c r="T1605">
        <v>208</v>
      </c>
      <c r="U1605">
        <v>13.88</v>
      </c>
      <c r="V1605" t="s">
        <v>21</v>
      </c>
    </row>
    <row r="1606" spans="1:22" x14ac:dyDescent="0.35">
      <c r="A1606" t="s">
        <v>1441</v>
      </c>
      <c r="B1606" t="s">
        <v>34</v>
      </c>
      <c r="C1606" t="s">
        <v>27</v>
      </c>
      <c r="D1606" t="s">
        <v>1440</v>
      </c>
      <c r="E1606" t="s">
        <v>447</v>
      </c>
      <c r="F1606" s="5">
        <v>45603</v>
      </c>
      <c r="G1606" t="s">
        <v>126</v>
      </c>
      <c r="H1606" t="s">
        <v>1439</v>
      </c>
      <c r="I1606" t="s">
        <v>28</v>
      </c>
      <c r="J1606" t="s">
        <v>201</v>
      </c>
      <c r="K1606" t="s">
        <v>29</v>
      </c>
      <c r="L1606" t="s">
        <v>37</v>
      </c>
      <c r="M1606" t="s">
        <v>19</v>
      </c>
      <c r="N1606">
        <v>1</v>
      </c>
      <c r="O1606">
        <v>581</v>
      </c>
      <c r="P1606">
        <v>799</v>
      </c>
      <c r="Q1606">
        <v>20</v>
      </c>
      <c r="R1606">
        <v>200</v>
      </c>
      <c r="S1606">
        <v>599</v>
      </c>
      <c r="T1606">
        <v>18</v>
      </c>
      <c r="U1606">
        <v>3.01</v>
      </c>
      <c r="V1606" t="s">
        <v>21</v>
      </c>
    </row>
    <row r="1607" spans="1:22" x14ac:dyDescent="0.35">
      <c r="A1607" t="s">
        <v>1438</v>
      </c>
      <c r="B1607" t="s">
        <v>106</v>
      </c>
      <c r="C1607" t="s">
        <v>27</v>
      </c>
      <c r="D1607" t="s">
        <v>1437</v>
      </c>
      <c r="E1607" t="s">
        <v>1436</v>
      </c>
      <c r="F1607" s="5">
        <v>45654</v>
      </c>
      <c r="G1607" t="s">
        <v>126</v>
      </c>
      <c r="H1607" t="s">
        <v>1069</v>
      </c>
      <c r="I1607" t="s">
        <v>28</v>
      </c>
      <c r="J1607" t="s">
        <v>45</v>
      </c>
      <c r="K1607" t="s">
        <v>45</v>
      </c>
      <c r="L1607" t="s">
        <v>37</v>
      </c>
      <c r="M1607" t="s">
        <v>20</v>
      </c>
      <c r="N1607">
        <v>1</v>
      </c>
      <c r="O1607">
        <v>506</v>
      </c>
      <c r="P1607">
        <v>799</v>
      </c>
      <c r="Q1607">
        <v>15</v>
      </c>
      <c r="R1607">
        <v>200</v>
      </c>
      <c r="S1607">
        <v>599</v>
      </c>
      <c r="T1607">
        <v>93</v>
      </c>
      <c r="U1607">
        <v>15.53</v>
      </c>
      <c r="V1607" t="s">
        <v>21</v>
      </c>
    </row>
    <row r="1608" spans="1:22" x14ac:dyDescent="0.35">
      <c r="A1608" t="s">
        <v>1435</v>
      </c>
      <c r="B1608" t="s">
        <v>106</v>
      </c>
      <c r="C1608" t="s">
        <v>27</v>
      </c>
      <c r="D1608" t="s">
        <v>1434</v>
      </c>
      <c r="E1608" t="s">
        <v>1433</v>
      </c>
      <c r="F1608" s="5">
        <v>45563</v>
      </c>
      <c r="G1608" t="s">
        <v>126</v>
      </c>
      <c r="H1608" t="s">
        <v>1432</v>
      </c>
      <c r="I1608" t="s">
        <v>31</v>
      </c>
      <c r="J1608" t="s">
        <v>76</v>
      </c>
      <c r="K1608" t="s">
        <v>76</v>
      </c>
      <c r="L1608" t="s">
        <v>25</v>
      </c>
      <c r="M1608" t="s">
        <v>20</v>
      </c>
      <c r="N1608">
        <v>2</v>
      </c>
      <c r="O1608">
        <v>510</v>
      </c>
      <c r="P1608">
        <v>999</v>
      </c>
      <c r="Q1608">
        <v>0</v>
      </c>
      <c r="R1608">
        <v>0</v>
      </c>
      <c r="S1608">
        <v>1998</v>
      </c>
      <c r="T1608">
        <v>978</v>
      </c>
      <c r="U1608">
        <v>48.95</v>
      </c>
      <c r="V1608" t="s">
        <v>33</v>
      </c>
    </row>
    <row r="1609" spans="1:22" x14ac:dyDescent="0.35">
      <c r="A1609" t="s">
        <v>1431</v>
      </c>
      <c r="B1609" t="s">
        <v>80</v>
      </c>
      <c r="C1609" t="s">
        <v>27</v>
      </c>
      <c r="D1609" t="s">
        <v>1430</v>
      </c>
      <c r="E1609" t="s">
        <v>521</v>
      </c>
      <c r="F1609" s="5">
        <v>45586</v>
      </c>
      <c r="G1609" t="s">
        <v>126</v>
      </c>
      <c r="H1609" t="s">
        <v>1429</v>
      </c>
      <c r="I1609" t="s">
        <v>31</v>
      </c>
      <c r="J1609" t="s">
        <v>32</v>
      </c>
      <c r="K1609" t="s">
        <v>32</v>
      </c>
      <c r="L1609" t="s">
        <v>37</v>
      </c>
      <c r="M1609" t="s">
        <v>19</v>
      </c>
      <c r="N1609">
        <v>5</v>
      </c>
      <c r="O1609">
        <v>886</v>
      </c>
      <c r="P1609">
        <v>1499</v>
      </c>
      <c r="Q1609">
        <v>0</v>
      </c>
      <c r="R1609">
        <v>0</v>
      </c>
      <c r="S1609">
        <v>7495</v>
      </c>
      <c r="T1609">
        <v>3065</v>
      </c>
      <c r="U1609">
        <v>40.89</v>
      </c>
      <c r="V1609" t="s">
        <v>21</v>
      </c>
    </row>
    <row r="1610" spans="1:22" x14ac:dyDescent="0.35">
      <c r="A1610" t="s">
        <v>1428</v>
      </c>
      <c r="B1610" t="s">
        <v>95</v>
      </c>
      <c r="C1610" t="s">
        <v>27</v>
      </c>
      <c r="D1610" t="s">
        <v>1427</v>
      </c>
      <c r="E1610" t="s">
        <v>1426</v>
      </c>
      <c r="F1610" s="5">
        <v>45586</v>
      </c>
      <c r="G1610" t="s">
        <v>126</v>
      </c>
      <c r="H1610" t="s">
        <v>1191</v>
      </c>
      <c r="I1610" t="s">
        <v>28</v>
      </c>
      <c r="J1610" t="s">
        <v>201</v>
      </c>
      <c r="K1610" t="s">
        <v>29</v>
      </c>
      <c r="L1610" t="s">
        <v>25</v>
      </c>
      <c r="M1610" t="s">
        <v>19</v>
      </c>
      <c r="N1610">
        <v>1</v>
      </c>
      <c r="O1610">
        <v>345</v>
      </c>
      <c r="P1610">
        <v>499</v>
      </c>
      <c r="Q1610">
        <v>20</v>
      </c>
      <c r="R1610">
        <v>100</v>
      </c>
      <c r="S1610">
        <v>399</v>
      </c>
      <c r="T1610">
        <v>54</v>
      </c>
      <c r="U1610">
        <v>13.53</v>
      </c>
      <c r="V1610" t="s">
        <v>21</v>
      </c>
    </row>
    <row r="1611" spans="1:22" x14ac:dyDescent="0.35">
      <c r="A1611" t="s">
        <v>1425</v>
      </c>
      <c r="B1611" t="s">
        <v>93</v>
      </c>
      <c r="C1611" t="s">
        <v>16</v>
      </c>
      <c r="D1611" t="s">
        <v>1424</v>
      </c>
      <c r="E1611" t="s">
        <v>1423</v>
      </c>
      <c r="F1611" s="5">
        <v>45603</v>
      </c>
      <c r="G1611" t="s">
        <v>126</v>
      </c>
      <c r="H1611" t="s">
        <v>1422</v>
      </c>
      <c r="I1611" t="s">
        <v>28</v>
      </c>
      <c r="J1611" t="s">
        <v>201</v>
      </c>
      <c r="K1611" t="s">
        <v>29</v>
      </c>
      <c r="L1611" t="s">
        <v>25</v>
      </c>
      <c r="M1611" t="s">
        <v>20</v>
      </c>
      <c r="N1611">
        <v>3</v>
      </c>
      <c r="O1611">
        <v>365</v>
      </c>
      <c r="P1611">
        <v>499</v>
      </c>
      <c r="Q1611">
        <v>15</v>
      </c>
      <c r="R1611">
        <v>300</v>
      </c>
      <c r="S1611">
        <v>1197</v>
      </c>
      <c r="T1611">
        <v>102</v>
      </c>
      <c r="U1611">
        <v>8.52</v>
      </c>
      <c r="V1611" t="s">
        <v>21</v>
      </c>
    </row>
    <row r="1612" spans="1:22" x14ac:dyDescent="0.35">
      <c r="A1612" t="s">
        <v>1421</v>
      </c>
      <c r="B1612" t="s">
        <v>49</v>
      </c>
      <c r="C1612" t="s">
        <v>27</v>
      </c>
      <c r="D1612" t="s">
        <v>1420</v>
      </c>
      <c r="E1612" t="s">
        <v>1419</v>
      </c>
      <c r="F1612" s="5">
        <v>45650</v>
      </c>
      <c r="G1612" t="s">
        <v>126</v>
      </c>
      <c r="H1612" t="s">
        <v>1418</v>
      </c>
      <c r="I1612" t="s">
        <v>23</v>
      </c>
      <c r="J1612" t="s">
        <v>164</v>
      </c>
      <c r="K1612" t="s">
        <v>24</v>
      </c>
      <c r="L1612" t="s">
        <v>37</v>
      </c>
      <c r="M1612" t="s">
        <v>19</v>
      </c>
      <c r="N1612">
        <v>1</v>
      </c>
      <c r="O1612">
        <v>788</v>
      </c>
      <c r="P1612">
        <v>1299</v>
      </c>
      <c r="Q1612">
        <v>5</v>
      </c>
      <c r="R1612">
        <v>100</v>
      </c>
      <c r="S1612">
        <v>1199</v>
      </c>
      <c r="T1612">
        <v>411</v>
      </c>
      <c r="U1612">
        <v>34.28</v>
      </c>
      <c r="V1612" t="s">
        <v>21</v>
      </c>
    </row>
    <row r="1613" spans="1:22" x14ac:dyDescent="0.35">
      <c r="A1613" t="s">
        <v>1417</v>
      </c>
      <c r="B1613" t="s">
        <v>65</v>
      </c>
      <c r="C1613" t="s">
        <v>16</v>
      </c>
      <c r="D1613" t="s">
        <v>1416</v>
      </c>
      <c r="E1613" t="s">
        <v>1415</v>
      </c>
      <c r="F1613" s="5">
        <v>45604</v>
      </c>
      <c r="G1613" t="s">
        <v>126</v>
      </c>
      <c r="H1613" t="s">
        <v>1414</v>
      </c>
      <c r="I1613" t="s">
        <v>35</v>
      </c>
      <c r="J1613" t="s">
        <v>41</v>
      </c>
      <c r="K1613" t="s">
        <v>41</v>
      </c>
      <c r="L1613" t="s">
        <v>25</v>
      </c>
      <c r="M1613" t="s">
        <v>20</v>
      </c>
      <c r="N1613">
        <v>2</v>
      </c>
      <c r="O1613">
        <v>444</v>
      </c>
      <c r="P1613">
        <v>599</v>
      </c>
      <c r="Q1613">
        <v>15</v>
      </c>
      <c r="R1613">
        <v>200</v>
      </c>
      <c r="S1613">
        <v>998</v>
      </c>
      <c r="T1613">
        <v>110</v>
      </c>
      <c r="U1613">
        <v>11.02</v>
      </c>
      <c r="V1613" t="s">
        <v>21</v>
      </c>
    </row>
    <row r="1614" spans="1:22" x14ac:dyDescent="0.35">
      <c r="A1614" t="s">
        <v>1413</v>
      </c>
      <c r="B1614" t="s">
        <v>97</v>
      </c>
      <c r="C1614" t="s">
        <v>16</v>
      </c>
      <c r="D1614" t="s">
        <v>1412</v>
      </c>
      <c r="E1614" t="s">
        <v>1411</v>
      </c>
      <c r="F1614" s="5">
        <v>45453</v>
      </c>
      <c r="G1614" t="s">
        <v>126</v>
      </c>
      <c r="H1614" t="s">
        <v>138</v>
      </c>
      <c r="I1614" t="s">
        <v>23</v>
      </c>
      <c r="J1614" t="s">
        <v>164</v>
      </c>
      <c r="K1614" t="s">
        <v>24</v>
      </c>
      <c r="L1614" t="s">
        <v>19</v>
      </c>
      <c r="M1614" t="s">
        <v>20</v>
      </c>
      <c r="N1614">
        <v>1</v>
      </c>
      <c r="O1614">
        <v>602</v>
      </c>
      <c r="P1614">
        <v>899</v>
      </c>
      <c r="Q1614">
        <v>5</v>
      </c>
      <c r="R1614">
        <v>100</v>
      </c>
      <c r="S1614">
        <v>799</v>
      </c>
      <c r="T1614">
        <v>197</v>
      </c>
      <c r="U1614">
        <v>24.66</v>
      </c>
      <c r="V1614" t="s">
        <v>21</v>
      </c>
    </row>
    <row r="1615" spans="1:22" x14ac:dyDescent="0.35">
      <c r="A1615" t="s">
        <v>1410</v>
      </c>
      <c r="B1615" t="s">
        <v>77</v>
      </c>
      <c r="C1615" t="s">
        <v>27</v>
      </c>
      <c r="D1615" t="s">
        <v>1409</v>
      </c>
      <c r="E1615" t="s">
        <v>1254</v>
      </c>
      <c r="F1615" s="5">
        <v>45541</v>
      </c>
      <c r="G1615" t="s">
        <v>126</v>
      </c>
      <c r="H1615" t="s">
        <v>1408</v>
      </c>
      <c r="I1615" t="s">
        <v>31</v>
      </c>
      <c r="J1615" t="s">
        <v>76</v>
      </c>
      <c r="K1615" t="s">
        <v>76</v>
      </c>
      <c r="L1615" t="s">
        <v>25</v>
      </c>
      <c r="M1615" t="s">
        <v>19</v>
      </c>
      <c r="N1615">
        <v>1</v>
      </c>
      <c r="O1615">
        <v>700</v>
      </c>
      <c r="P1615">
        <v>1199</v>
      </c>
      <c r="Q1615">
        <v>0</v>
      </c>
      <c r="R1615">
        <v>0</v>
      </c>
      <c r="S1615">
        <v>1199</v>
      </c>
      <c r="T1615">
        <v>499</v>
      </c>
      <c r="U1615">
        <v>41.62</v>
      </c>
      <c r="V1615" t="s">
        <v>21</v>
      </c>
    </row>
    <row r="1616" spans="1:22" x14ac:dyDescent="0.35">
      <c r="A1616" t="s">
        <v>1407</v>
      </c>
      <c r="B1616" t="s">
        <v>64</v>
      </c>
      <c r="C1616" t="s">
        <v>16</v>
      </c>
      <c r="D1616" t="s">
        <v>1406</v>
      </c>
      <c r="E1616" t="s">
        <v>1405</v>
      </c>
      <c r="F1616" s="5">
        <v>45522</v>
      </c>
      <c r="G1616" t="s">
        <v>126</v>
      </c>
      <c r="H1616" t="s">
        <v>1404</v>
      </c>
      <c r="I1616" t="s">
        <v>31</v>
      </c>
      <c r="J1616" t="s">
        <v>76</v>
      </c>
      <c r="K1616" t="s">
        <v>76</v>
      </c>
      <c r="L1616" t="s">
        <v>19</v>
      </c>
      <c r="M1616" t="s">
        <v>20</v>
      </c>
      <c r="N1616">
        <v>5</v>
      </c>
      <c r="O1616">
        <v>435</v>
      </c>
      <c r="P1616">
        <v>699</v>
      </c>
      <c r="Q1616">
        <v>0</v>
      </c>
      <c r="R1616">
        <v>0</v>
      </c>
      <c r="S1616">
        <v>3495</v>
      </c>
      <c r="T1616">
        <v>1320</v>
      </c>
      <c r="U1616">
        <v>37.770000000000003</v>
      </c>
      <c r="V1616" t="s">
        <v>21</v>
      </c>
    </row>
    <row r="1617" spans="1:22" x14ac:dyDescent="0.35">
      <c r="A1617" t="s">
        <v>1403</v>
      </c>
      <c r="B1617" t="s">
        <v>97</v>
      </c>
      <c r="C1617" t="s">
        <v>16</v>
      </c>
      <c r="D1617" t="s">
        <v>1402</v>
      </c>
      <c r="E1617" t="s">
        <v>1401</v>
      </c>
      <c r="F1617" s="5">
        <v>45497</v>
      </c>
      <c r="G1617" t="s">
        <v>126</v>
      </c>
      <c r="H1617" t="s">
        <v>1400</v>
      </c>
      <c r="I1617" t="s">
        <v>35</v>
      </c>
      <c r="J1617" t="s">
        <v>214</v>
      </c>
      <c r="K1617" t="s">
        <v>50</v>
      </c>
      <c r="L1617" t="s">
        <v>25</v>
      </c>
      <c r="M1617" t="s">
        <v>19</v>
      </c>
      <c r="N1617">
        <v>5</v>
      </c>
      <c r="O1617">
        <v>919</v>
      </c>
      <c r="P1617">
        <v>1799</v>
      </c>
      <c r="Q1617">
        <v>15</v>
      </c>
      <c r="R1617">
        <v>1500</v>
      </c>
      <c r="S1617">
        <v>7495</v>
      </c>
      <c r="T1617">
        <v>2900</v>
      </c>
      <c r="U1617">
        <v>38.69</v>
      </c>
      <c r="V1617" t="s">
        <v>21</v>
      </c>
    </row>
    <row r="1618" spans="1:22" x14ac:dyDescent="0.35">
      <c r="A1618" t="s">
        <v>1399</v>
      </c>
      <c r="B1618" t="s">
        <v>52</v>
      </c>
      <c r="C1618" t="s">
        <v>27</v>
      </c>
      <c r="D1618" t="s">
        <v>1398</v>
      </c>
      <c r="E1618" t="s">
        <v>1397</v>
      </c>
      <c r="F1618" s="5">
        <v>45446</v>
      </c>
      <c r="G1618" t="s">
        <v>126</v>
      </c>
      <c r="H1618" t="s">
        <v>173</v>
      </c>
      <c r="I1618" t="s">
        <v>17</v>
      </c>
      <c r="J1618" t="s">
        <v>235</v>
      </c>
      <c r="K1618" t="s">
        <v>18</v>
      </c>
      <c r="L1618" t="s">
        <v>19</v>
      </c>
      <c r="M1618" t="s">
        <v>19</v>
      </c>
      <c r="N1618">
        <v>5</v>
      </c>
      <c r="O1618">
        <v>370</v>
      </c>
      <c r="P1618">
        <v>599</v>
      </c>
      <c r="Q1618">
        <v>0</v>
      </c>
      <c r="R1618">
        <v>0</v>
      </c>
      <c r="S1618">
        <v>2995</v>
      </c>
      <c r="T1618">
        <v>1145</v>
      </c>
      <c r="U1618">
        <v>38.229999999999997</v>
      </c>
      <c r="V1618" t="s">
        <v>21</v>
      </c>
    </row>
    <row r="1619" spans="1:22" x14ac:dyDescent="0.35">
      <c r="A1619" t="s">
        <v>1396</v>
      </c>
      <c r="B1619" t="s">
        <v>89</v>
      </c>
      <c r="C1619" t="s">
        <v>16</v>
      </c>
      <c r="D1619" t="s">
        <v>1395</v>
      </c>
      <c r="E1619" t="s">
        <v>1394</v>
      </c>
      <c r="F1619" s="5">
        <v>45650</v>
      </c>
      <c r="G1619" t="s">
        <v>126</v>
      </c>
      <c r="H1619" t="s">
        <v>781</v>
      </c>
      <c r="I1619" t="s">
        <v>31</v>
      </c>
      <c r="J1619" t="s">
        <v>76</v>
      </c>
      <c r="K1619" t="s">
        <v>76</v>
      </c>
      <c r="L1619" t="s">
        <v>19</v>
      </c>
      <c r="M1619" t="s">
        <v>19</v>
      </c>
      <c r="N1619">
        <v>1</v>
      </c>
      <c r="O1619">
        <v>1058</v>
      </c>
      <c r="P1619">
        <v>1499</v>
      </c>
      <c r="Q1619">
        <v>0</v>
      </c>
      <c r="R1619">
        <v>0</v>
      </c>
      <c r="S1619">
        <v>1499</v>
      </c>
      <c r="T1619">
        <v>441</v>
      </c>
      <c r="U1619">
        <v>29.42</v>
      </c>
      <c r="V1619" t="s">
        <v>21</v>
      </c>
    </row>
    <row r="1620" spans="1:22" x14ac:dyDescent="0.35">
      <c r="A1620" t="s">
        <v>1393</v>
      </c>
      <c r="B1620" t="s">
        <v>54</v>
      </c>
      <c r="C1620" t="s">
        <v>27</v>
      </c>
      <c r="D1620" t="s">
        <v>1392</v>
      </c>
      <c r="E1620" t="s">
        <v>1391</v>
      </c>
      <c r="F1620" s="5">
        <v>45533</v>
      </c>
      <c r="G1620" t="s">
        <v>126</v>
      </c>
      <c r="H1620" t="s">
        <v>1390</v>
      </c>
      <c r="I1620" t="s">
        <v>17</v>
      </c>
      <c r="J1620" t="s">
        <v>253</v>
      </c>
      <c r="K1620" t="s">
        <v>72</v>
      </c>
      <c r="L1620" t="s">
        <v>37</v>
      </c>
      <c r="M1620" t="s">
        <v>19</v>
      </c>
      <c r="N1620">
        <v>2</v>
      </c>
      <c r="O1620">
        <v>268</v>
      </c>
      <c r="P1620">
        <v>499</v>
      </c>
      <c r="Q1620">
        <v>0</v>
      </c>
      <c r="R1620">
        <v>0</v>
      </c>
      <c r="S1620">
        <v>998</v>
      </c>
      <c r="T1620">
        <v>462</v>
      </c>
      <c r="U1620">
        <v>46.29</v>
      </c>
      <c r="V1620" t="s">
        <v>21</v>
      </c>
    </row>
    <row r="1621" spans="1:22" x14ac:dyDescent="0.35">
      <c r="A1621" t="s">
        <v>1389</v>
      </c>
      <c r="B1621" t="s">
        <v>26</v>
      </c>
      <c r="C1621" t="s">
        <v>27</v>
      </c>
      <c r="D1621" t="s">
        <v>1388</v>
      </c>
      <c r="E1621" t="s">
        <v>1387</v>
      </c>
      <c r="F1621" s="5">
        <v>45466</v>
      </c>
      <c r="G1621" t="s">
        <v>126</v>
      </c>
      <c r="H1621" t="s">
        <v>1386</v>
      </c>
      <c r="I1621" t="s">
        <v>17</v>
      </c>
      <c r="J1621" t="s">
        <v>235</v>
      </c>
      <c r="K1621" t="s">
        <v>18</v>
      </c>
      <c r="L1621" t="s">
        <v>25</v>
      </c>
      <c r="M1621" t="s">
        <v>20</v>
      </c>
      <c r="N1621">
        <v>1</v>
      </c>
      <c r="O1621">
        <v>347</v>
      </c>
      <c r="P1621">
        <v>599</v>
      </c>
      <c r="Q1621">
        <v>0</v>
      </c>
      <c r="R1621">
        <v>0</v>
      </c>
      <c r="S1621">
        <v>599</v>
      </c>
      <c r="T1621">
        <v>252</v>
      </c>
      <c r="U1621">
        <v>42.07</v>
      </c>
      <c r="V1621" t="s">
        <v>21</v>
      </c>
    </row>
    <row r="1622" spans="1:22" x14ac:dyDescent="0.35">
      <c r="A1622" t="s">
        <v>1385</v>
      </c>
      <c r="B1622" t="s">
        <v>84</v>
      </c>
      <c r="C1622" t="s">
        <v>27</v>
      </c>
      <c r="D1622" t="s">
        <v>1384</v>
      </c>
      <c r="E1622" t="s">
        <v>1383</v>
      </c>
      <c r="F1622" s="5">
        <v>45465</v>
      </c>
      <c r="G1622" t="s">
        <v>126</v>
      </c>
      <c r="H1622" t="s">
        <v>1382</v>
      </c>
      <c r="I1622" t="s">
        <v>31</v>
      </c>
      <c r="J1622" t="s">
        <v>76</v>
      </c>
      <c r="K1622" t="s">
        <v>76</v>
      </c>
      <c r="L1622" t="s">
        <v>19</v>
      </c>
      <c r="M1622" t="s">
        <v>20</v>
      </c>
      <c r="N1622">
        <v>5</v>
      </c>
      <c r="O1622">
        <v>983</v>
      </c>
      <c r="P1622">
        <v>1499</v>
      </c>
      <c r="Q1622">
        <v>0</v>
      </c>
      <c r="R1622">
        <v>0</v>
      </c>
      <c r="S1622">
        <v>7495</v>
      </c>
      <c r="T1622">
        <v>2580</v>
      </c>
      <c r="U1622">
        <v>34.42</v>
      </c>
      <c r="V1622" t="s">
        <v>21</v>
      </c>
    </row>
    <row r="1623" spans="1:22" x14ac:dyDescent="0.35">
      <c r="A1623" t="s">
        <v>1381</v>
      </c>
      <c r="B1623" t="s">
        <v>22</v>
      </c>
      <c r="C1623" t="s">
        <v>16</v>
      </c>
      <c r="D1623" t="s">
        <v>1380</v>
      </c>
      <c r="E1623" t="s">
        <v>1379</v>
      </c>
      <c r="F1623" s="5">
        <v>45563</v>
      </c>
      <c r="G1623" t="s">
        <v>126</v>
      </c>
      <c r="H1623" t="s">
        <v>1378</v>
      </c>
      <c r="I1623" t="s">
        <v>23</v>
      </c>
      <c r="J1623" t="s">
        <v>164</v>
      </c>
      <c r="K1623" t="s">
        <v>24</v>
      </c>
      <c r="L1623" t="s">
        <v>25</v>
      </c>
      <c r="M1623" t="s">
        <v>20</v>
      </c>
      <c r="N1623">
        <v>2</v>
      </c>
      <c r="O1623">
        <v>1091</v>
      </c>
      <c r="P1623">
        <v>1499</v>
      </c>
      <c r="Q1623">
        <v>15</v>
      </c>
      <c r="R1623">
        <v>600</v>
      </c>
      <c r="S1623">
        <v>2398</v>
      </c>
      <c r="T1623">
        <v>216</v>
      </c>
      <c r="U1623">
        <v>9.01</v>
      </c>
      <c r="V1623" t="s">
        <v>21</v>
      </c>
    </row>
    <row r="1624" spans="1:22" x14ac:dyDescent="0.35">
      <c r="A1624" t="s">
        <v>1377</v>
      </c>
      <c r="B1624" t="s">
        <v>57</v>
      </c>
      <c r="C1624" t="s">
        <v>27</v>
      </c>
      <c r="D1624" t="s">
        <v>1376</v>
      </c>
      <c r="E1624" t="s">
        <v>1375</v>
      </c>
      <c r="F1624" s="5">
        <v>45473</v>
      </c>
      <c r="G1624" t="s">
        <v>126</v>
      </c>
      <c r="H1624" t="s">
        <v>623</v>
      </c>
      <c r="I1624" t="s">
        <v>23</v>
      </c>
      <c r="J1624" t="s">
        <v>164</v>
      </c>
      <c r="K1624" t="s">
        <v>24</v>
      </c>
      <c r="L1624" t="s">
        <v>37</v>
      </c>
      <c r="M1624" t="s">
        <v>19</v>
      </c>
      <c r="N1624">
        <v>1</v>
      </c>
      <c r="O1624">
        <v>796</v>
      </c>
      <c r="P1624">
        <v>1499</v>
      </c>
      <c r="Q1624">
        <v>20</v>
      </c>
      <c r="R1624">
        <v>300</v>
      </c>
      <c r="S1624">
        <v>1199</v>
      </c>
      <c r="T1624">
        <v>403</v>
      </c>
      <c r="U1624">
        <v>33.61</v>
      </c>
      <c r="V1624" t="s">
        <v>33</v>
      </c>
    </row>
    <row r="1625" spans="1:22" x14ac:dyDescent="0.35">
      <c r="A1625" t="s">
        <v>1374</v>
      </c>
      <c r="B1625" t="s">
        <v>62</v>
      </c>
      <c r="C1625" t="s">
        <v>16</v>
      </c>
      <c r="D1625" t="s">
        <v>1373</v>
      </c>
      <c r="E1625" t="s">
        <v>1372</v>
      </c>
      <c r="F1625" s="5">
        <v>45492</v>
      </c>
      <c r="G1625" t="s">
        <v>126</v>
      </c>
      <c r="H1625" t="s">
        <v>1371</v>
      </c>
      <c r="I1625" t="s">
        <v>23</v>
      </c>
      <c r="J1625" t="s">
        <v>164</v>
      </c>
      <c r="K1625" t="s">
        <v>24</v>
      </c>
      <c r="L1625" t="s">
        <v>37</v>
      </c>
      <c r="M1625" t="s">
        <v>20</v>
      </c>
      <c r="N1625">
        <v>5</v>
      </c>
      <c r="O1625">
        <v>1067</v>
      </c>
      <c r="P1625">
        <v>1499</v>
      </c>
      <c r="Q1625">
        <v>20</v>
      </c>
      <c r="R1625">
        <v>1500</v>
      </c>
      <c r="S1625">
        <v>5995</v>
      </c>
      <c r="T1625">
        <v>660</v>
      </c>
      <c r="U1625">
        <v>11.01</v>
      </c>
      <c r="V1625" t="s">
        <v>21</v>
      </c>
    </row>
    <row r="1626" spans="1:22" x14ac:dyDescent="0.35">
      <c r="A1626" t="s">
        <v>1370</v>
      </c>
      <c r="B1626" t="s">
        <v>54</v>
      </c>
      <c r="C1626" t="s">
        <v>27</v>
      </c>
      <c r="D1626" t="s">
        <v>1369</v>
      </c>
      <c r="E1626" t="s">
        <v>1368</v>
      </c>
      <c r="F1626" s="5">
        <v>45565</v>
      </c>
      <c r="G1626" t="s">
        <v>126</v>
      </c>
      <c r="H1626" t="s">
        <v>1367</v>
      </c>
      <c r="I1626" t="s">
        <v>17</v>
      </c>
      <c r="J1626" t="s">
        <v>253</v>
      </c>
      <c r="K1626" t="s">
        <v>72</v>
      </c>
      <c r="L1626" t="s">
        <v>19</v>
      </c>
      <c r="M1626" t="s">
        <v>19</v>
      </c>
      <c r="N1626">
        <v>1</v>
      </c>
      <c r="O1626">
        <v>244</v>
      </c>
      <c r="P1626">
        <v>399</v>
      </c>
      <c r="Q1626">
        <v>0</v>
      </c>
      <c r="R1626">
        <v>0</v>
      </c>
      <c r="S1626">
        <v>399</v>
      </c>
      <c r="T1626">
        <v>155</v>
      </c>
      <c r="U1626">
        <v>38.85</v>
      </c>
      <c r="V1626" t="s">
        <v>21</v>
      </c>
    </row>
    <row r="1627" spans="1:22" x14ac:dyDescent="0.35">
      <c r="A1627" t="s">
        <v>1366</v>
      </c>
      <c r="B1627" t="s">
        <v>42</v>
      </c>
      <c r="C1627" t="s">
        <v>27</v>
      </c>
      <c r="D1627" t="s">
        <v>1365</v>
      </c>
      <c r="E1627" t="s">
        <v>1364</v>
      </c>
      <c r="F1627" s="5">
        <v>45580</v>
      </c>
      <c r="G1627" t="s">
        <v>126</v>
      </c>
      <c r="H1627" t="s">
        <v>1363</v>
      </c>
      <c r="I1627" t="s">
        <v>23</v>
      </c>
      <c r="J1627" t="s">
        <v>164</v>
      </c>
      <c r="K1627" t="s">
        <v>24</v>
      </c>
      <c r="L1627" t="s">
        <v>37</v>
      </c>
      <c r="M1627" t="s">
        <v>19</v>
      </c>
      <c r="N1627">
        <v>1</v>
      </c>
      <c r="O1627">
        <v>960</v>
      </c>
      <c r="P1627">
        <v>1299</v>
      </c>
      <c r="Q1627">
        <v>5</v>
      </c>
      <c r="R1627">
        <v>100</v>
      </c>
      <c r="S1627">
        <v>1199</v>
      </c>
      <c r="T1627">
        <v>239</v>
      </c>
      <c r="U1627">
        <v>19.93</v>
      </c>
      <c r="V1627" t="s">
        <v>21</v>
      </c>
    </row>
    <row r="1628" spans="1:22" x14ac:dyDescent="0.35">
      <c r="A1628" t="s">
        <v>1362</v>
      </c>
      <c r="B1628" t="s">
        <v>84</v>
      </c>
      <c r="C1628" t="s">
        <v>27</v>
      </c>
      <c r="D1628" t="s">
        <v>1361</v>
      </c>
      <c r="E1628" t="s">
        <v>1360</v>
      </c>
      <c r="F1628" s="5">
        <v>45650</v>
      </c>
      <c r="G1628" t="s">
        <v>126</v>
      </c>
      <c r="H1628" t="s">
        <v>1359</v>
      </c>
      <c r="I1628" t="s">
        <v>35</v>
      </c>
      <c r="J1628" t="s">
        <v>39</v>
      </c>
      <c r="K1628" t="s">
        <v>39</v>
      </c>
      <c r="L1628" t="s">
        <v>25</v>
      </c>
      <c r="M1628" t="s">
        <v>19</v>
      </c>
      <c r="N1628">
        <v>4</v>
      </c>
      <c r="O1628">
        <v>901</v>
      </c>
      <c r="P1628">
        <v>1599</v>
      </c>
      <c r="Q1628">
        <v>15</v>
      </c>
      <c r="R1628">
        <v>1200</v>
      </c>
      <c r="S1628">
        <v>5196</v>
      </c>
      <c r="T1628">
        <v>1592</v>
      </c>
      <c r="U1628">
        <v>30.64</v>
      </c>
      <c r="V1628" t="s">
        <v>21</v>
      </c>
    </row>
    <row r="1629" spans="1:22" x14ac:dyDescent="0.35">
      <c r="A1629" t="s">
        <v>1358</v>
      </c>
      <c r="B1629" t="s">
        <v>103</v>
      </c>
      <c r="C1629" t="s">
        <v>16</v>
      </c>
      <c r="D1629" t="s">
        <v>1357</v>
      </c>
      <c r="E1629" t="s">
        <v>1356</v>
      </c>
      <c r="F1629" s="5">
        <v>45576</v>
      </c>
      <c r="G1629" t="s">
        <v>126</v>
      </c>
      <c r="H1629" t="s">
        <v>1355</v>
      </c>
      <c r="I1629" t="s">
        <v>23</v>
      </c>
      <c r="J1629" t="s">
        <v>164</v>
      </c>
      <c r="K1629" t="s">
        <v>24</v>
      </c>
      <c r="L1629" t="s">
        <v>37</v>
      </c>
      <c r="M1629" t="s">
        <v>20</v>
      </c>
      <c r="N1629">
        <v>1</v>
      </c>
      <c r="O1629">
        <v>1332</v>
      </c>
      <c r="P1629">
        <v>2499</v>
      </c>
      <c r="Q1629">
        <v>20</v>
      </c>
      <c r="R1629">
        <v>500</v>
      </c>
      <c r="S1629">
        <v>1999</v>
      </c>
      <c r="T1629">
        <v>667</v>
      </c>
      <c r="U1629">
        <v>33.369999999999997</v>
      </c>
      <c r="V1629" t="s">
        <v>21</v>
      </c>
    </row>
    <row r="1630" spans="1:22" x14ac:dyDescent="0.35">
      <c r="A1630" t="s">
        <v>1354</v>
      </c>
      <c r="B1630" t="s">
        <v>91</v>
      </c>
      <c r="C1630" t="s">
        <v>16</v>
      </c>
      <c r="D1630" t="s">
        <v>1353</v>
      </c>
      <c r="E1630" t="s">
        <v>1352</v>
      </c>
      <c r="F1630" s="5">
        <v>45538</v>
      </c>
      <c r="G1630" t="s">
        <v>126</v>
      </c>
      <c r="H1630" t="s">
        <v>1351</v>
      </c>
      <c r="I1630" t="s">
        <v>35</v>
      </c>
      <c r="J1630" t="s">
        <v>244</v>
      </c>
      <c r="K1630" t="s">
        <v>58</v>
      </c>
      <c r="L1630" t="s">
        <v>19</v>
      </c>
      <c r="M1630" t="s">
        <v>20</v>
      </c>
      <c r="N1630">
        <v>1</v>
      </c>
      <c r="O1630">
        <v>951</v>
      </c>
      <c r="P1630">
        <v>1699</v>
      </c>
      <c r="Q1630">
        <v>10</v>
      </c>
      <c r="R1630">
        <v>200</v>
      </c>
      <c r="S1630">
        <v>1499</v>
      </c>
      <c r="T1630">
        <v>548</v>
      </c>
      <c r="U1630">
        <v>36.56</v>
      </c>
      <c r="V1630" t="s">
        <v>21</v>
      </c>
    </row>
    <row r="1631" spans="1:22" x14ac:dyDescent="0.35">
      <c r="A1631" t="s">
        <v>1350</v>
      </c>
      <c r="B1631" t="s">
        <v>57</v>
      </c>
      <c r="C1631" t="s">
        <v>27</v>
      </c>
      <c r="D1631" t="s">
        <v>1349</v>
      </c>
      <c r="E1631" t="s">
        <v>291</v>
      </c>
      <c r="F1631" s="5">
        <v>45556</v>
      </c>
      <c r="G1631" t="s">
        <v>126</v>
      </c>
      <c r="H1631" t="s">
        <v>1348</v>
      </c>
      <c r="I1631" t="s">
        <v>31</v>
      </c>
      <c r="J1631" t="s">
        <v>32</v>
      </c>
      <c r="K1631" t="s">
        <v>32</v>
      </c>
      <c r="L1631" t="s">
        <v>25</v>
      </c>
      <c r="M1631" t="s">
        <v>20</v>
      </c>
      <c r="N1631">
        <v>1</v>
      </c>
      <c r="O1631">
        <v>1018</v>
      </c>
      <c r="P1631">
        <v>1399</v>
      </c>
      <c r="Q1631">
        <v>0</v>
      </c>
      <c r="R1631">
        <v>0</v>
      </c>
      <c r="S1631">
        <v>1399</v>
      </c>
      <c r="T1631">
        <v>381</v>
      </c>
      <c r="U1631">
        <v>27.23</v>
      </c>
      <c r="V1631" t="s">
        <v>21</v>
      </c>
    </row>
    <row r="1632" spans="1:22" x14ac:dyDescent="0.35">
      <c r="A1632" t="s">
        <v>1347</v>
      </c>
      <c r="B1632" t="s">
        <v>78</v>
      </c>
      <c r="C1632" t="s">
        <v>16</v>
      </c>
      <c r="D1632" t="s">
        <v>1346</v>
      </c>
      <c r="E1632" t="s">
        <v>1345</v>
      </c>
      <c r="F1632" s="5">
        <v>45579</v>
      </c>
      <c r="G1632" t="s">
        <v>126</v>
      </c>
      <c r="H1632" t="s">
        <v>1344</v>
      </c>
      <c r="I1632" t="s">
        <v>35</v>
      </c>
      <c r="J1632" t="s">
        <v>244</v>
      </c>
      <c r="K1632" t="s">
        <v>58</v>
      </c>
      <c r="L1632" t="s">
        <v>19</v>
      </c>
      <c r="M1632" t="s">
        <v>19</v>
      </c>
      <c r="N1632">
        <v>1</v>
      </c>
      <c r="O1632">
        <v>1473</v>
      </c>
      <c r="P1632">
        <v>2199</v>
      </c>
      <c r="Q1632">
        <v>5</v>
      </c>
      <c r="R1632">
        <v>200</v>
      </c>
      <c r="S1632">
        <v>1999</v>
      </c>
      <c r="T1632">
        <v>526</v>
      </c>
      <c r="U1632">
        <v>26.31</v>
      </c>
      <c r="V1632" t="s">
        <v>21</v>
      </c>
    </row>
    <row r="1633" spans="1:22" x14ac:dyDescent="0.35">
      <c r="A1633" t="s">
        <v>1343</v>
      </c>
      <c r="B1633" t="s">
        <v>59</v>
      </c>
      <c r="C1633" t="s">
        <v>27</v>
      </c>
      <c r="D1633" t="s">
        <v>1342</v>
      </c>
      <c r="E1633" t="s">
        <v>1341</v>
      </c>
      <c r="F1633" s="5">
        <v>45584</v>
      </c>
      <c r="G1633" t="s">
        <v>126</v>
      </c>
      <c r="H1633" t="s">
        <v>143</v>
      </c>
      <c r="I1633" t="s">
        <v>23</v>
      </c>
      <c r="J1633" t="s">
        <v>142</v>
      </c>
      <c r="K1633" t="s">
        <v>43</v>
      </c>
      <c r="L1633" t="s">
        <v>37</v>
      </c>
      <c r="M1633" t="s">
        <v>20</v>
      </c>
      <c r="N1633">
        <v>2</v>
      </c>
      <c r="O1633">
        <v>1290</v>
      </c>
      <c r="P1633">
        <v>2199</v>
      </c>
      <c r="Q1633">
        <v>10</v>
      </c>
      <c r="R1633">
        <v>600</v>
      </c>
      <c r="S1633">
        <v>3798</v>
      </c>
      <c r="T1633">
        <v>1218</v>
      </c>
      <c r="U1633">
        <v>32.07</v>
      </c>
      <c r="V1633" t="s">
        <v>21</v>
      </c>
    </row>
    <row r="1634" spans="1:22" x14ac:dyDescent="0.35">
      <c r="A1634" t="s">
        <v>1340</v>
      </c>
      <c r="B1634" t="s">
        <v>74</v>
      </c>
      <c r="C1634" t="s">
        <v>16</v>
      </c>
      <c r="D1634" t="s">
        <v>1339</v>
      </c>
      <c r="E1634" t="s">
        <v>1338</v>
      </c>
      <c r="F1634" s="5">
        <v>45518</v>
      </c>
      <c r="G1634" t="s">
        <v>126</v>
      </c>
      <c r="H1634" t="s">
        <v>1337</v>
      </c>
      <c r="I1634" t="s">
        <v>31</v>
      </c>
      <c r="J1634" t="s">
        <v>76</v>
      </c>
      <c r="K1634" t="s">
        <v>76</v>
      </c>
      <c r="L1634" t="s">
        <v>19</v>
      </c>
      <c r="M1634" t="s">
        <v>19</v>
      </c>
      <c r="N1634">
        <v>1</v>
      </c>
      <c r="O1634">
        <v>402</v>
      </c>
      <c r="P1634">
        <v>699</v>
      </c>
      <c r="Q1634">
        <v>0</v>
      </c>
      <c r="R1634">
        <v>0</v>
      </c>
      <c r="S1634">
        <v>699</v>
      </c>
      <c r="T1634">
        <v>297</v>
      </c>
      <c r="U1634">
        <v>42.49</v>
      </c>
      <c r="V1634" t="s">
        <v>33</v>
      </c>
    </row>
    <row r="1635" spans="1:22" x14ac:dyDescent="0.35">
      <c r="A1635" t="s">
        <v>1336</v>
      </c>
      <c r="B1635" t="s">
        <v>107</v>
      </c>
      <c r="C1635" t="s">
        <v>27</v>
      </c>
      <c r="D1635" t="s">
        <v>1335</v>
      </c>
      <c r="E1635" t="s">
        <v>1334</v>
      </c>
      <c r="F1635" s="5">
        <v>45556</v>
      </c>
      <c r="G1635" t="s">
        <v>126</v>
      </c>
      <c r="H1635" t="s">
        <v>1333</v>
      </c>
      <c r="I1635" t="s">
        <v>23</v>
      </c>
      <c r="J1635" t="s">
        <v>142</v>
      </c>
      <c r="K1635" t="s">
        <v>43</v>
      </c>
      <c r="L1635" t="s">
        <v>37</v>
      </c>
      <c r="M1635" t="s">
        <v>19</v>
      </c>
      <c r="N1635">
        <v>4</v>
      </c>
      <c r="O1635">
        <v>1856</v>
      </c>
      <c r="P1635">
        <v>2599</v>
      </c>
      <c r="Q1635">
        <v>15</v>
      </c>
      <c r="R1635">
        <v>1600</v>
      </c>
      <c r="S1635">
        <v>8796</v>
      </c>
      <c r="T1635">
        <v>1372</v>
      </c>
      <c r="U1635">
        <v>15.6</v>
      </c>
      <c r="V1635" t="s">
        <v>21</v>
      </c>
    </row>
    <row r="1636" spans="1:22" x14ac:dyDescent="0.35">
      <c r="A1636" t="s">
        <v>1332</v>
      </c>
      <c r="B1636" t="s">
        <v>90</v>
      </c>
      <c r="C1636" t="s">
        <v>27</v>
      </c>
      <c r="D1636" t="s">
        <v>1331</v>
      </c>
      <c r="E1636" t="s">
        <v>1330</v>
      </c>
      <c r="F1636" s="5">
        <v>45655</v>
      </c>
      <c r="G1636" t="s">
        <v>126</v>
      </c>
      <c r="H1636" t="s">
        <v>383</v>
      </c>
      <c r="I1636" t="s">
        <v>31</v>
      </c>
      <c r="J1636" t="s">
        <v>76</v>
      </c>
      <c r="K1636" t="s">
        <v>76</v>
      </c>
      <c r="L1636" t="s">
        <v>25</v>
      </c>
      <c r="M1636" t="s">
        <v>20</v>
      </c>
      <c r="N1636">
        <v>3</v>
      </c>
      <c r="O1636">
        <v>464</v>
      </c>
      <c r="P1636">
        <v>699</v>
      </c>
      <c r="Q1636">
        <v>0</v>
      </c>
      <c r="R1636">
        <v>0</v>
      </c>
      <c r="S1636">
        <v>2097</v>
      </c>
      <c r="T1636">
        <v>705</v>
      </c>
      <c r="U1636">
        <v>33.619999999999997</v>
      </c>
      <c r="V1636" t="s">
        <v>21</v>
      </c>
    </row>
    <row r="1637" spans="1:22" x14ac:dyDescent="0.35">
      <c r="A1637" t="s">
        <v>1329</v>
      </c>
      <c r="B1637" t="s">
        <v>105</v>
      </c>
      <c r="C1637" t="s">
        <v>16</v>
      </c>
      <c r="D1637" t="s">
        <v>1328</v>
      </c>
      <c r="E1637" t="s">
        <v>1327</v>
      </c>
      <c r="F1637" s="5">
        <v>45531</v>
      </c>
      <c r="G1637" t="s">
        <v>126</v>
      </c>
      <c r="H1637" t="s">
        <v>1326</v>
      </c>
      <c r="I1637" t="s">
        <v>28</v>
      </c>
      <c r="J1637" t="s">
        <v>45</v>
      </c>
      <c r="K1637" t="s">
        <v>45</v>
      </c>
      <c r="L1637" t="s">
        <v>25</v>
      </c>
      <c r="M1637" t="s">
        <v>20</v>
      </c>
      <c r="N1637">
        <v>3</v>
      </c>
      <c r="O1637">
        <v>1206</v>
      </c>
      <c r="P1637">
        <v>1899</v>
      </c>
      <c r="Q1637">
        <v>20</v>
      </c>
      <c r="R1637">
        <v>1200</v>
      </c>
      <c r="S1637">
        <v>4497</v>
      </c>
      <c r="T1637">
        <v>879</v>
      </c>
      <c r="U1637">
        <v>19.55</v>
      </c>
      <c r="V1637" t="s">
        <v>21</v>
      </c>
    </row>
    <row r="1638" spans="1:22" x14ac:dyDescent="0.35">
      <c r="A1638" t="s">
        <v>1325</v>
      </c>
      <c r="B1638" t="s">
        <v>67</v>
      </c>
      <c r="C1638" t="s">
        <v>27</v>
      </c>
      <c r="D1638" t="s">
        <v>1324</v>
      </c>
      <c r="E1638" t="s">
        <v>1139</v>
      </c>
      <c r="F1638" s="5">
        <v>45546</v>
      </c>
      <c r="G1638" t="s">
        <v>126</v>
      </c>
      <c r="H1638" t="s">
        <v>1184</v>
      </c>
      <c r="I1638" t="s">
        <v>28</v>
      </c>
      <c r="J1638" t="s">
        <v>201</v>
      </c>
      <c r="K1638" t="s">
        <v>29</v>
      </c>
      <c r="L1638" t="s">
        <v>37</v>
      </c>
      <c r="M1638" t="s">
        <v>20</v>
      </c>
      <c r="N1638">
        <v>1</v>
      </c>
      <c r="O1638">
        <v>362</v>
      </c>
      <c r="P1638">
        <v>499</v>
      </c>
      <c r="Q1638">
        <v>10</v>
      </c>
      <c r="R1638">
        <v>100</v>
      </c>
      <c r="S1638">
        <v>399</v>
      </c>
      <c r="T1638">
        <v>37</v>
      </c>
      <c r="U1638">
        <v>9.27</v>
      </c>
      <c r="V1638" t="s">
        <v>21</v>
      </c>
    </row>
    <row r="1639" spans="1:22" x14ac:dyDescent="0.35">
      <c r="A1639" t="s">
        <v>1323</v>
      </c>
      <c r="B1639" t="s">
        <v>53</v>
      </c>
      <c r="C1639" t="s">
        <v>27</v>
      </c>
      <c r="D1639" t="s">
        <v>1322</v>
      </c>
      <c r="E1639" t="s">
        <v>1321</v>
      </c>
      <c r="F1639" s="5">
        <v>45486</v>
      </c>
      <c r="G1639" t="s">
        <v>126</v>
      </c>
      <c r="H1639" t="s">
        <v>1320</v>
      </c>
      <c r="I1639" t="s">
        <v>23</v>
      </c>
      <c r="J1639" t="s">
        <v>164</v>
      </c>
      <c r="K1639" t="s">
        <v>24</v>
      </c>
      <c r="L1639" t="s">
        <v>19</v>
      </c>
      <c r="M1639" t="s">
        <v>20</v>
      </c>
      <c r="N1639">
        <v>1</v>
      </c>
      <c r="O1639">
        <v>659</v>
      </c>
      <c r="P1639">
        <v>1199</v>
      </c>
      <c r="Q1639">
        <v>15</v>
      </c>
      <c r="R1639">
        <v>200</v>
      </c>
      <c r="S1639">
        <v>999</v>
      </c>
      <c r="T1639">
        <v>340</v>
      </c>
      <c r="U1639">
        <v>34.03</v>
      </c>
      <c r="V1639" t="s">
        <v>33</v>
      </c>
    </row>
    <row r="1640" spans="1:22" x14ac:dyDescent="0.35">
      <c r="A1640" t="s">
        <v>1319</v>
      </c>
      <c r="B1640" t="s">
        <v>34</v>
      </c>
      <c r="C1640" t="s">
        <v>27</v>
      </c>
      <c r="D1640" t="s">
        <v>1318</v>
      </c>
      <c r="E1640" t="s">
        <v>1317</v>
      </c>
      <c r="F1640" s="5">
        <v>45621</v>
      </c>
      <c r="G1640" t="s">
        <v>126</v>
      </c>
      <c r="H1640" t="s">
        <v>1316</v>
      </c>
      <c r="I1640" t="s">
        <v>35</v>
      </c>
      <c r="J1640" t="s">
        <v>41</v>
      </c>
      <c r="K1640" t="s">
        <v>41</v>
      </c>
      <c r="L1640" t="s">
        <v>25</v>
      </c>
      <c r="M1640" t="s">
        <v>19</v>
      </c>
      <c r="N1640">
        <v>1</v>
      </c>
      <c r="O1640">
        <v>426</v>
      </c>
      <c r="P1640">
        <v>599</v>
      </c>
      <c r="Q1640">
        <v>5</v>
      </c>
      <c r="R1640">
        <v>100</v>
      </c>
      <c r="S1640">
        <v>499</v>
      </c>
      <c r="T1640">
        <v>73</v>
      </c>
      <c r="U1640">
        <v>14.63</v>
      </c>
      <c r="V1640" t="s">
        <v>21</v>
      </c>
    </row>
    <row r="1641" spans="1:22" x14ac:dyDescent="0.35">
      <c r="A1641" t="s">
        <v>1315</v>
      </c>
      <c r="B1641" t="s">
        <v>66</v>
      </c>
      <c r="C1641" t="s">
        <v>27</v>
      </c>
      <c r="D1641" t="s">
        <v>1314</v>
      </c>
      <c r="E1641" t="s">
        <v>1313</v>
      </c>
      <c r="F1641" s="5">
        <v>45587</v>
      </c>
      <c r="G1641" t="s">
        <v>126</v>
      </c>
      <c r="H1641" t="s">
        <v>1312</v>
      </c>
      <c r="I1641" t="s">
        <v>28</v>
      </c>
      <c r="J1641" t="s">
        <v>201</v>
      </c>
      <c r="K1641" t="s">
        <v>29</v>
      </c>
      <c r="L1641" t="s">
        <v>19</v>
      </c>
      <c r="M1641" t="s">
        <v>20</v>
      </c>
      <c r="N1641">
        <v>4</v>
      </c>
      <c r="O1641">
        <v>384</v>
      </c>
      <c r="P1641">
        <v>599</v>
      </c>
      <c r="Q1641">
        <v>10</v>
      </c>
      <c r="R1641">
        <v>400</v>
      </c>
      <c r="S1641">
        <v>1996</v>
      </c>
      <c r="T1641">
        <v>460</v>
      </c>
      <c r="U1641">
        <v>23.05</v>
      </c>
      <c r="V1641" t="s">
        <v>21</v>
      </c>
    </row>
    <row r="1642" spans="1:22" x14ac:dyDescent="0.35">
      <c r="A1642" t="s">
        <v>1311</v>
      </c>
      <c r="B1642" t="s">
        <v>85</v>
      </c>
      <c r="C1642" t="s">
        <v>27</v>
      </c>
      <c r="D1642" t="s">
        <v>1310</v>
      </c>
      <c r="E1642" t="s">
        <v>1309</v>
      </c>
      <c r="F1642" s="5">
        <v>45609</v>
      </c>
      <c r="G1642" t="s">
        <v>126</v>
      </c>
      <c r="H1642" t="s">
        <v>1308</v>
      </c>
      <c r="I1642" t="s">
        <v>23</v>
      </c>
      <c r="J1642" t="s">
        <v>164</v>
      </c>
      <c r="K1642" t="s">
        <v>24</v>
      </c>
      <c r="L1642" t="s">
        <v>25</v>
      </c>
      <c r="M1642" t="s">
        <v>20</v>
      </c>
      <c r="N1642">
        <v>1</v>
      </c>
      <c r="O1642">
        <v>506</v>
      </c>
      <c r="P1642">
        <v>999</v>
      </c>
      <c r="Q1642">
        <v>15</v>
      </c>
      <c r="R1642">
        <v>200</v>
      </c>
      <c r="S1642">
        <v>799</v>
      </c>
      <c r="T1642">
        <v>293</v>
      </c>
      <c r="U1642">
        <v>36.67</v>
      </c>
      <c r="V1642" t="s">
        <v>33</v>
      </c>
    </row>
    <row r="1643" spans="1:22" x14ac:dyDescent="0.35">
      <c r="A1643" t="s">
        <v>1307</v>
      </c>
      <c r="B1643" t="s">
        <v>46</v>
      </c>
      <c r="C1643" t="s">
        <v>16</v>
      </c>
      <c r="D1643" t="s">
        <v>1306</v>
      </c>
      <c r="E1643" t="s">
        <v>1305</v>
      </c>
      <c r="F1643" s="5">
        <v>45616</v>
      </c>
      <c r="G1643" t="s">
        <v>126</v>
      </c>
      <c r="H1643" t="s">
        <v>1304</v>
      </c>
      <c r="I1643" t="s">
        <v>23</v>
      </c>
      <c r="J1643" t="s">
        <v>142</v>
      </c>
      <c r="K1643" t="s">
        <v>43</v>
      </c>
      <c r="L1643" t="s">
        <v>25</v>
      </c>
      <c r="M1643" t="s">
        <v>19</v>
      </c>
      <c r="N1643">
        <v>4</v>
      </c>
      <c r="O1643">
        <v>1864</v>
      </c>
      <c r="P1643">
        <v>2799</v>
      </c>
      <c r="Q1643">
        <v>20</v>
      </c>
      <c r="R1643">
        <v>2400</v>
      </c>
      <c r="S1643">
        <v>8796</v>
      </c>
      <c r="T1643">
        <v>1340</v>
      </c>
      <c r="U1643">
        <v>15.23</v>
      </c>
      <c r="V1643" t="s">
        <v>33</v>
      </c>
    </row>
    <row r="1644" spans="1:22" x14ac:dyDescent="0.35">
      <c r="A1644" t="s">
        <v>1303</v>
      </c>
      <c r="B1644" t="s">
        <v>94</v>
      </c>
      <c r="C1644" t="s">
        <v>16</v>
      </c>
      <c r="D1644" t="s">
        <v>1302</v>
      </c>
      <c r="E1644" t="s">
        <v>1301</v>
      </c>
      <c r="F1644" s="5">
        <v>45454</v>
      </c>
      <c r="G1644" t="s">
        <v>126</v>
      </c>
      <c r="H1644" t="s">
        <v>1300</v>
      </c>
      <c r="I1644" t="s">
        <v>31</v>
      </c>
      <c r="J1644" t="s">
        <v>32</v>
      </c>
      <c r="K1644" t="s">
        <v>32</v>
      </c>
      <c r="L1644" t="s">
        <v>25</v>
      </c>
      <c r="M1644" t="s">
        <v>20</v>
      </c>
      <c r="N1644">
        <v>5</v>
      </c>
      <c r="O1644">
        <v>1062</v>
      </c>
      <c r="P1644">
        <v>1499</v>
      </c>
      <c r="Q1644">
        <v>0</v>
      </c>
      <c r="R1644">
        <v>0</v>
      </c>
      <c r="S1644">
        <v>7495</v>
      </c>
      <c r="T1644">
        <v>2185</v>
      </c>
      <c r="U1644">
        <v>29.15</v>
      </c>
      <c r="V1644" t="s">
        <v>21</v>
      </c>
    </row>
    <row r="1645" spans="1:22" x14ac:dyDescent="0.35">
      <c r="A1645" t="s">
        <v>1299</v>
      </c>
      <c r="B1645" t="s">
        <v>106</v>
      </c>
      <c r="C1645" t="s">
        <v>27</v>
      </c>
      <c r="D1645" t="s">
        <v>1298</v>
      </c>
      <c r="E1645" t="s">
        <v>1297</v>
      </c>
      <c r="F1645" s="5">
        <v>45576</v>
      </c>
      <c r="G1645" t="s">
        <v>126</v>
      </c>
      <c r="H1645" t="s">
        <v>1296</v>
      </c>
      <c r="I1645" t="s">
        <v>31</v>
      </c>
      <c r="J1645" t="s">
        <v>76</v>
      </c>
      <c r="K1645" t="s">
        <v>76</v>
      </c>
      <c r="L1645" t="s">
        <v>37</v>
      </c>
      <c r="M1645" t="s">
        <v>20</v>
      </c>
      <c r="N1645">
        <v>1</v>
      </c>
      <c r="O1645">
        <v>561</v>
      </c>
      <c r="P1645">
        <v>799</v>
      </c>
      <c r="Q1645">
        <v>0</v>
      </c>
      <c r="R1645">
        <v>0</v>
      </c>
      <c r="S1645">
        <v>799</v>
      </c>
      <c r="T1645">
        <v>238</v>
      </c>
      <c r="U1645">
        <v>29.79</v>
      </c>
      <c r="V1645" t="s">
        <v>21</v>
      </c>
    </row>
    <row r="1646" spans="1:22" x14ac:dyDescent="0.35">
      <c r="A1646" t="s">
        <v>1295</v>
      </c>
      <c r="B1646" t="s">
        <v>15</v>
      </c>
      <c r="C1646" t="s">
        <v>16</v>
      </c>
      <c r="D1646" t="s">
        <v>1294</v>
      </c>
      <c r="E1646" t="s">
        <v>1293</v>
      </c>
      <c r="F1646" s="5">
        <v>45528</v>
      </c>
      <c r="G1646" t="s">
        <v>126</v>
      </c>
      <c r="H1646" t="s">
        <v>1292</v>
      </c>
      <c r="I1646" t="s">
        <v>28</v>
      </c>
      <c r="J1646" t="s">
        <v>45</v>
      </c>
      <c r="K1646" t="s">
        <v>45</v>
      </c>
      <c r="L1646" t="s">
        <v>25</v>
      </c>
      <c r="M1646" t="s">
        <v>20</v>
      </c>
      <c r="N1646">
        <v>2</v>
      </c>
      <c r="O1646">
        <v>1107</v>
      </c>
      <c r="P1646">
        <v>1499</v>
      </c>
      <c r="Q1646">
        <v>20</v>
      </c>
      <c r="R1646">
        <v>600</v>
      </c>
      <c r="S1646">
        <v>2398</v>
      </c>
      <c r="T1646">
        <v>184</v>
      </c>
      <c r="U1646">
        <v>7.67</v>
      </c>
      <c r="V1646" t="s">
        <v>21</v>
      </c>
    </row>
    <row r="1647" spans="1:22" x14ac:dyDescent="0.35">
      <c r="A1647" t="s">
        <v>1291</v>
      </c>
      <c r="B1647" t="s">
        <v>86</v>
      </c>
      <c r="C1647" t="s">
        <v>27</v>
      </c>
      <c r="D1647" t="s">
        <v>1290</v>
      </c>
      <c r="E1647" t="s">
        <v>1289</v>
      </c>
      <c r="F1647" s="5">
        <v>45521</v>
      </c>
      <c r="G1647" t="s">
        <v>126</v>
      </c>
      <c r="H1647" t="s">
        <v>750</v>
      </c>
      <c r="I1647" t="s">
        <v>35</v>
      </c>
      <c r="J1647" t="s">
        <v>41</v>
      </c>
      <c r="K1647" t="s">
        <v>41</v>
      </c>
      <c r="L1647" t="s">
        <v>37</v>
      </c>
      <c r="M1647" t="s">
        <v>19</v>
      </c>
      <c r="N1647">
        <v>5</v>
      </c>
      <c r="O1647">
        <v>437</v>
      </c>
      <c r="P1647">
        <v>699</v>
      </c>
      <c r="Q1647">
        <v>20</v>
      </c>
      <c r="R1647">
        <v>1000</v>
      </c>
      <c r="S1647">
        <v>2495</v>
      </c>
      <c r="T1647">
        <v>310</v>
      </c>
      <c r="U1647">
        <v>12.42</v>
      </c>
      <c r="V1647" t="s">
        <v>33</v>
      </c>
    </row>
    <row r="1648" spans="1:22" x14ac:dyDescent="0.35">
      <c r="A1648" t="s">
        <v>1288</v>
      </c>
      <c r="B1648" t="s">
        <v>57</v>
      </c>
      <c r="C1648" t="s">
        <v>27</v>
      </c>
      <c r="D1648" t="s">
        <v>1287</v>
      </c>
      <c r="E1648" t="s">
        <v>1286</v>
      </c>
      <c r="F1648" s="5">
        <v>45504</v>
      </c>
      <c r="G1648" t="s">
        <v>126</v>
      </c>
      <c r="H1648" t="s">
        <v>1285</v>
      </c>
      <c r="I1648" t="s">
        <v>17</v>
      </c>
      <c r="J1648" t="s">
        <v>253</v>
      </c>
      <c r="K1648" t="s">
        <v>72</v>
      </c>
      <c r="L1648" t="s">
        <v>25</v>
      </c>
      <c r="M1648" t="s">
        <v>20</v>
      </c>
      <c r="N1648">
        <v>1</v>
      </c>
      <c r="O1648">
        <v>259</v>
      </c>
      <c r="P1648">
        <v>399</v>
      </c>
      <c r="Q1648">
        <v>0</v>
      </c>
      <c r="R1648">
        <v>0</v>
      </c>
      <c r="S1648">
        <v>399</v>
      </c>
      <c r="T1648">
        <v>140</v>
      </c>
      <c r="U1648">
        <v>35.090000000000003</v>
      </c>
      <c r="V1648" t="s">
        <v>21</v>
      </c>
    </row>
    <row r="1649" spans="1:22" x14ac:dyDescent="0.35">
      <c r="A1649" t="s">
        <v>1284</v>
      </c>
      <c r="B1649" t="s">
        <v>74</v>
      </c>
      <c r="C1649" t="s">
        <v>16</v>
      </c>
      <c r="D1649" t="s">
        <v>1283</v>
      </c>
      <c r="E1649" t="s">
        <v>1282</v>
      </c>
      <c r="F1649" s="5">
        <v>45588</v>
      </c>
      <c r="G1649" t="s">
        <v>126</v>
      </c>
      <c r="H1649" t="s">
        <v>1281</v>
      </c>
      <c r="I1649" t="s">
        <v>17</v>
      </c>
      <c r="J1649" t="s">
        <v>253</v>
      </c>
      <c r="K1649" t="s">
        <v>72</v>
      </c>
      <c r="L1649" t="s">
        <v>25</v>
      </c>
      <c r="M1649" t="s">
        <v>19</v>
      </c>
      <c r="N1649">
        <v>3</v>
      </c>
      <c r="O1649">
        <v>278</v>
      </c>
      <c r="P1649">
        <v>399</v>
      </c>
      <c r="Q1649">
        <v>0</v>
      </c>
      <c r="R1649">
        <v>0</v>
      </c>
      <c r="S1649">
        <v>1197</v>
      </c>
      <c r="T1649">
        <v>363</v>
      </c>
      <c r="U1649">
        <v>30.33</v>
      </c>
      <c r="V1649" t="s">
        <v>21</v>
      </c>
    </row>
    <row r="1650" spans="1:22" x14ac:dyDescent="0.35">
      <c r="A1650" t="s">
        <v>1280</v>
      </c>
      <c r="B1650" t="s">
        <v>104</v>
      </c>
      <c r="C1650" t="s">
        <v>27</v>
      </c>
      <c r="D1650" t="s">
        <v>1279</v>
      </c>
      <c r="E1650" t="s">
        <v>1278</v>
      </c>
      <c r="F1650" s="5">
        <v>45513</v>
      </c>
      <c r="G1650" t="s">
        <v>126</v>
      </c>
      <c r="H1650" t="s">
        <v>758</v>
      </c>
      <c r="I1650" t="s">
        <v>35</v>
      </c>
      <c r="J1650" t="s">
        <v>39</v>
      </c>
      <c r="K1650" t="s">
        <v>39</v>
      </c>
      <c r="L1650" t="s">
        <v>19</v>
      </c>
      <c r="M1650" t="s">
        <v>20</v>
      </c>
      <c r="N1650">
        <v>2</v>
      </c>
      <c r="O1650">
        <v>629</v>
      </c>
      <c r="P1650">
        <v>1099</v>
      </c>
      <c r="Q1650">
        <v>5</v>
      </c>
      <c r="R1650">
        <v>200</v>
      </c>
      <c r="S1650">
        <v>1998</v>
      </c>
      <c r="T1650">
        <v>740</v>
      </c>
      <c r="U1650">
        <v>37.04</v>
      </c>
      <c r="V1650" t="s">
        <v>21</v>
      </c>
    </row>
    <row r="1651" spans="1:22" x14ac:dyDescent="0.35">
      <c r="A1651" t="s">
        <v>1277</v>
      </c>
      <c r="B1651" t="s">
        <v>70</v>
      </c>
      <c r="C1651" t="s">
        <v>27</v>
      </c>
      <c r="D1651" t="s">
        <v>1276</v>
      </c>
      <c r="E1651" t="s">
        <v>1275</v>
      </c>
      <c r="F1651" s="5">
        <v>45587</v>
      </c>
      <c r="G1651" t="s">
        <v>126</v>
      </c>
      <c r="H1651" t="s">
        <v>1274</v>
      </c>
      <c r="I1651" t="s">
        <v>31</v>
      </c>
      <c r="J1651" t="s">
        <v>76</v>
      </c>
      <c r="K1651" t="s">
        <v>76</v>
      </c>
      <c r="L1651" t="s">
        <v>19</v>
      </c>
      <c r="M1651" t="s">
        <v>20</v>
      </c>
      <c r="N1651">
        <v>4</v>
      </c>
      <c r="O1651">
        <v>501</v>
      </c>
      <c r="P1651">
        <v>699</v>
      </c>
      <c r="Q1651">
        <v>0</v>
      </c>
      <c r="R1651">
        <v>0</v>
      </c>
      <c r="S1651">
        <v>2796</v>
      </c>
      <c r="T1651">
        <v>792</v>
      </c>
      <c r="U1651">
        <v>28.33</v>
      </c>
      <c r="V1651" t="s">
        <v>21</v>
      </c>
    </row>
    <row r="1652" spans="1:22" x14ac:dyDescent="0.35">
      <c r="A1652" t="s">
        <v>1273</v>
      </c>
      <c r="B1652" t="s">
        <v>91</v>
      </c>
      <c r="C1652" t="s">
        <v>16</v>
      </c>
      <c r="D1652" t="s">
        <v>1272</v>
      </c>
      <c r="E1652" t="s">
        <v>1271</v>
      </c>
      <c r="F1652" s="5">
        <v>45495</v>
      </c>
      <c r="G1652" t="s">
        <v>126</v>
      </c>
      <c r="H1652" t="s">
        <v>415</v>
      </c>
      <c r="I1652" t="s">
        <v>23</v>
      </c>
      <c r="J1652" t="s">
        <v>142</v>
      </c>
      <c r="K1652" t="s">
        <v>43</v>
      </c>
      <c r="L1652" t="s">
        <v>25</v>
      </c>
      <c r="M1652" t="s">
        <v>20</v>
      </c>
      <c r="N1652">
        <v>2</v>
      </c>
      <c r="O1652">
        <v>1996</v>
      </c>
      <c r="P1652">
        <v>3199</v>
      </c>
      <c r="Q1652">
        <v>5</v>
      </c>
      <c r="R1652">
        <v>400</v>
      </c>
      <c r="S1652">
        <v>5998</v>
      </c>
      <c r="T1652">
        <v>2006</v>
      </c>
      <c r="U1652">
        <v>33.44</v>
      </c>
      <c r="V1652" t="s">
        <v>33</v>
      </c>
    </row>
    <row r="1653" spans="1:22" x14ac:dyDescent="0.35">
      <c r="A1653" t="s">
        <v>1270</v>
      </c>
      <c r="B1653" t="s">
        <v>57</v>
      </c>
      <c r="C1653" t="s">
        <v>27</v>
      </c>
      <c r="D1653" t="s">
        <v>1269</v>
      </c>
      <c r="E1653" t="s">
        <v>1268</v>
      </c>
      <c r="F1653" s="5">
        <v>45564</v>
      </c>
      <c r="G1653" t="s">
        <v>126</v>
      </c>
      <c r="H1653" t="s">
        <v>986</v>
      </c>
      <c r="I1653" t="s">
        <v>28</v>
      </c>
      <c r="J1653" t="s">
        <v>201</v>
      </c>
      <c r="K1653" t="s">
        <v>29</v>
      </c>
      <c r="L1653" t="s">
        <v>25</v>
      </c>
      <c r="M1653" t="s">
        <v>19</v>
      </c>
      <c r="N1653">
        <v>1</v>
      </c>
      <c r="O1653">
        <v>543</v>
      </c>
      <c r="P1653">
        <v>799</v>
      </c>
      <c r="Q1653">
        <v>15</v>
      </c>
      <c r="R1653">
        <v>200</v>
      </c>
      <c r="S1653">
        <v>599</v>
      </c>
      <c r="T1653">
        <v>56</v>
      </c>
      <c r="U1653">
        <v>9.35</v>
      </c>
      <c r="V1653" t="s">
        <v>21</v>
      </c>
    </row>
    <row r="1654" spans="1:22" x14ac:dyDescent="0.35">
      <c r="A1654" t="s">
        <v>1267</v>
      </c>
      <c r="B1654" t="s">
        <v>105</v>
      </c>
      <c r="C1654" t="s">
        <v>16</v>
      </c>
      <c r="D1654" t="s">
        <v>1266</v>
      </c>
      <c r="E1654" t="s">
        <v>1265</v>
      </c>
      <c r="F1654" s="5">
        <v>45465</v>
      </c>
      <c r="G1654" t="s">
        <v>126</v>
      </c>
      <c r="H1654" t="s">
        <v>1264</v>
      </c>
      <c r="I1654" t="s">
        <v>31</v>
      </c>
      <c r="J1654" t="s">
        <v>76</v>
      </c>
      <c r="K1654" t="s">
        <v>76</v>
      </c>
      <c r="L1654" t="s">
        <v>25</v>
      </c>
      <c r="M1654" t="s">
        <v>20</v>
      </c>
      <c r="N1654">
        <v>3</v>
      </c>
      <c r="O1654">
        <v>516</v>
      </c>
      <c r="P1654">
        <v>699</v>
      </c>
      <c r="Q1654">
        <v>0</v>
      </c>
      <c r="R1654">
        <v>0</v>
      </c>
      <c r="S1654">
        <v>2097</v>
      </c>
      <c r="T1654">
        <v>549</v>
      </c>
      <c r="U1654">
        <v>26.18</v>
      </c>
      <c r="V1654" t="s">
        <v>21</v>
      </c>
    </row>
    <row r="1655" spans="1:22" x14ac:dyDescent="0.35">
      <c r="A1655" t="s">
        <v>1263</v>
      </c>
      <c r="B1655" t="s">
        <v>105</v>
      </c>
      <c r="C1655" t="s">
        <v>16</v>
      </c>
      <c r="D1655" t="s">
        <v>1262</v>
      </c>
      <c r="E1655" t="s">
        <v>1261</v>
      </c>
      <c r="F1655" s="5">
        <v>45480</v>
      </c>
      <c r="G1655" t="s">
        <v>126</v>
      </c>
      <c r="H1655" t="s">
        <v>1260</v>
      </c>
      <c r="I1655" t="s">
        <v>28</v>
      </c>
      <c r="J1655" t="s">
        <v>45</v>
      </c>
      <c r="K1655" t="s">
        <v>45</v>
      </c>
      <c r="L1655" t="s">
        <v>37</v>
      </c>
      <c r="M1655" t="s">
        <v>19</v>
      </c>
      <c r="N1655">
        <v>4</v>
      </c>
      <c r="O1655">
        <v>561</v>
      </c>
      <c r="P1655">
        <v>1099</v>
      </c>
      <c r="Q1655">
        <v>5</v>
      </c>
      <c r="R1655">
        <v>400</v>
      </c>
      <c r="S1655">
        <v>3996</v>
      </c>
      <c r="T1655">
        <v>1752</v>
      </c>
      <c r="U1655">
        <v>43.84</v>
      </c>
      <c r="V1655" t="s">
        <v>21</v>
      </c>
    </row>
    <row r="1656" spans="1:22" x14ac:dyDescent="0.35">
      <c r="A1656" t="s">
        <v>1259</v>
      </c>
      <c r="B1656" t="s">
        <v>86</v>
      </c>
      <c r="C1656" t="s">
        <v>27</v>
      </c>
      <c r="D1656" t="s">
        <v>1258</v>
      </c>
      <c r="E1656" t="s">
        <v>1257</v>
      </c>
      <c r="F1656" s="5">
        <v>45644</v>
      </c>
      <c r="G1656" t="s">
        <v>126</v>
      </c>
      <c r="H1656" t="s">
        <v>906</v>
      </c>
      <c r="I1656" t="s">
        <v>23</v>
      </c>
      <c r="J1656" t="s">
        <v>164</v>
      </c>
      <c r="K1656" t="s">
        <v>24</v>
      </c>
      <c r="L1656" t="s">
        <v>19</v>
      </c>
      <c r="M1656" t="s">
        <v>20</v>
      </c>
      <c r="N1656">
        <v>2</v>
      </c>
      <c r="O1656">
        <v>456</v>
      </c>
      <c r="P1656">
        <v>899</v>
      </c>
      <c r="Q1656">
        <v>5</v>
      </c>
      <c r="R1656">
        <v>200</v>
      </c>
      <c r="S1656">
        <v>1598</v>
      </c>
      <c r="T1656">
        <v>686</v>
      </c>
      <c r="U1656">
        <v>42.93</v>
      </c>
      <c r="V1656" t="s">
        <v>21</v>
      </c>
    </row>
    <row r="1657" spans="1:22" x14ac:dyDescent="0.35">
      <c r="A1657" t="s">
        <v>1256</v>
      </c>
      <c r="B1657" t="s">
        <v>86</v>
      </c>
      <c r="C1657" t="s">
        <v>27</v>
      </c>
      <c r="D1657" t="s">
        <v>1255</v>
      </c>
      <c r="E1657" t="s">
        <v>1254</v>
      </c>
      <c r="F1657" s="5">
        <v>45597</v>
      </c>
      <c r="G1657" t="s">
        <v>126</v>
      </c>
      <c r="H1657" t="s">
        <v>1220</v>
      </c>
      <c r="I1657" t="s">
        <v>23</v>
      </c>
      <c r="J1657" t="s">
        <v>142</v>
      </c>
      <c r="K1657" t="s">
        <v>43</v>
      </c>
      <c r="L1657" t="s">
        <v>37</v>
      </c>
      <c r="M1657" t="s">
        <v>20</v>
      </c>
      <c r="N1657">
        <v>1</v>
      </c>
      <c r="O1657">
        <v>1973</v>
      </c>
      <c r="P1657">
        <v>2699</v>
      </c>
      <c r="Q1657">
        <v>5</v>
      </c>
      <c r="R1657">
        <v>200</v>
      </c>
      <c r="S1657">
        <v>2499</v>
      </c>
      <c r="T1657">
        <v>526</v>
      </c>
      <c r="U1657">
        <v>21.05</v>
      </c>
      <c r="V1657" t="s">
        <v>21</v>
      </c>
    </row>
    <row r="1658" spans="1:22" x14ac:dyDescent="0.35">
      <c r="A1658" t="s">
        <v>1253</v>
      </c>
      <c r="B1658" t="s">
        <v>40</v>
      </c>
      <c r="C1658" t="s">
        <v>27</v>
      </c>
      <c r="D1658" t="s">
        <v>1252</v>
      </c>
      <c r="E1658" t="s">
        <v>1251</v>
      </c>
      <c r="F1658" s="5">
        <v>45613</v>
      </c>
      <c r="G1658" t="s">
        <v>126</v>
      </c>
      <c r="H1658" t="s">
        <v>1138</v>
      </c>
      <c r="I1658" t="s">
        <v>31</v>
      </c>
      <c r="J1658" t="s">
        <v>32</v>
      </c>
      <c r="K1658" t="s">
        <v>32</v>
      </c>
      <c r="L1658" t="s">
        <v>19</v>
      </c>
      <c r="M1658" t="s">
        <v>20</v>
      </c>
      <c r="N1658">
        <v>1</v>
      </c>
      <c r="O1658">
        <v>540</v>
      </c>
      <c r="P1658">
        <v>999</v>
      </c>
      <c r="Q1658">
        <v>0</v>
      </c>
      <c r="R1658">
        <v>0</v>
      </c>
      <c r="S1658">
        <v>999</v>
      </c>
      <c r="T1658">
        <v>459</v>
      </c>
      <c r="U1658">
        <v>45.95</v>
      </c>
      <c r="V1658" t="s">
        <v>21</v>
      </c>
    </row>
    <row r="1659" spans="1:22" x14ac:dyDescent="0.35">
      <c r="A1659" t="s">
        <v>1250</v>
      </c>
      <c r="B1659" t="s">
        <v>63</v>
      </c>
      <c r="C1659" t="s">
        <v>27</v>
      </c>
      <c r="D1659" t="s">
        <v>1249</v>
      </c>
      <c r="E1659" t="s">
        <v>1248</v>
      </c>
      <c r="F1659" s="5">
        <v>45581</v>
      </c>
      <c r="G1659" t="s">
        <v>126</v>
      </c>
      <c r="H1659" t="s">
        <v>1247</v>
      </c>
      <c r="I1659" t="s">
        <v>31</v>
      </c>
      <c r="J1659" t="s">
        <v>32</v>
      </c>
      <c r="K1659" t="s">
        <v>32</v>
      </c>
      <c r="L1659" t="s">
        <v>25</v>
      </c>
      <c r="M1659" t="s">
        <v>19</v>
      </c>
      <c r="N1659">
        <v>2</v>
      </c>
      <c r="O1659">
        <v>774</v>
      </c>
      <c r="P1659">
        <v>1499</v>
      </c>
      <c r="Q1659">
        <v>0</v>
      </c>
      <c r="R1659">
        <v>0</v>
      </c>
      <c r="S1659">
        <v>2998</v>
      </c>
      <c r="T1659">
        <v>1450</v>
      </c>
      <c r="U1659">
        <v>48.37</v>
      </c>
      <c r="V1659" t="s">
        <v>21</v>
      </c>
    </row>
    <row r="1660" spans="1:22" x14ac:dyDescent="0.35">
      <c r="A1660" t="s">
        <v>1246</v>
      </c>
      <c r="B1660" t="s">
        <v>77</v>
      </c>
      <c r="C1660" t="s">
        <v>27</v>
      </c>
      <c r="D1660" t="s">
        <v>1245</v>
      </c>
      <c r="E1660" t="s">
        <v>1244</v>
      </c>
      <c r="F1660" s="5">
        <v>45475</v>
      </c>
      <c r="G1660" t="s">
        <v>126</v>
      </c>
      <c r="H1660" t="s">
        <v>1243</v>
      </c>
      <c r="I1660" t="s">
        <v>28</v>
      </c>
      <c r="J1660" t="s">
        <v>45</v>
      </c>
      <c r="K1660" t="s">
        <v>45</v>
      </c>
      <c r="L1660" t="s">
        <v>37</v>
      </c>
      <c r="M1660" t="s">
        <v>19</v>
      </c>
      <c r="N1660">
        <v>1</v>
      </c>
      <c r="O1660">
        <v>712</v>
      </c>
      <c r="P1660">
        <v>1099</v>
      </c>
      <c r="Q1660">
        <v>5</v>
      </c>
      <c r="R1660">
        <v>100</v>
      </c>
      <c r="S1660">
        <v>999</v>
      </c>
      <c r="T1660">
        <v>287</v>
      </c>
      <c r="U1660">
        <v>28.73</v>
      </c>
      <c r="V1660" t="s">
        <v>21</v>
      </c>
    </row>
    <row r="1661" spans="1:22" x14ac:dyDescent="0.35">
      <c r="A1661" t="s">
        <v>1242</v>
      </c>
      <c r="B1661" t="s">
        <v>99</v>
      </c>
      <c r="C1661" t="s">
        <v>27</v>
      </c>
      <c r="D1661" t="s">
        <v>1241</v>
      </c>
      <c r="E1661" t="s">
        <v>1240</v>
      </c>
      <c r="F1661" s="5">
        <v>45456</v>
      </c>
      <c r="G1661" t="s">
        <v>126</v>
      </c>
      <c r="H1661" t="s">
        <v>1239</v>
      </c>
      <c r="I1661" t="s">
        <v>23</v>
      </c>
      <c r="J1661" t="s">
        <v>142</v>
      </c>
      <c r="K1661" t="s">
        <v>43</v>
      </c>
      <c r="L1661" t="s">
        <v>25</v>
      </c>
      <c r="M1661" t="s">
        <v>19</v>
      </c>
      <c r="N1661">
        <v>2</v>
      </c>
      <c r="O1661">
        <v>2203</v>
      </c>
      <c r="P1661">
        <v>3599</v>
      </c>
      <c r="Q1661">
        <v>15</v>
      </c>
      <c r="R1661">
        <v>1200</v>
      </c>
      <c r="S1661">
        <v>5998</v>
      </c>
      <c r="T1661">
        <v>1592</v>
      </c>
      <c r="U1661">
        <v>26.54</v>
      </c>
      <c r="V1661" t="s">
        <v>21</v>
      </c>
    </row>
    <row r="1662" spans="1:22" x14ac:dyDescent="0.35">
      <c r="A1662" t="s">
        <v>1238</v>
      </c>
      <c r="B1662" t="s">
        <v>73</v>
      </c>
      <c r="C1662" t="s">
        <v>16</v>
      </c>
      <c r="D1662" t="s">
        <v>1237</v>
      </c>
      <c r="E1662" t="s">
        <v>1236</v>
      </c>
      <c r="F1662" s="5">
        <v>45547</v>
      </c>
      <c r="G1662" t="s">
        <v>126</v>
      </c>
      <c r="H1662" t="s">
        <v>1235</v>
      </c>
      <c r="I1662" t="s">
        <v>31</v>
      </c>
      <c r="J1662" t="s">
        <v>76</v>
      </c>
      <c r="K1662" t="s">
        <v>76</v>
      </c>
      <c r="L1662" t="s">
        <v>19</v>
      </c>
      <c r="M1662" t="s">
        <v>19</v>
      </c>
      <c r="N1662">
        <v>5</v>
      </c>
      <c r="O1662">
        <v>727</v>
      </c>
      <c r="P1662">
        <v>999</v>
      </c>
      <c r="Q1662">
        <v>0</v>
      </c>
      <c r="R1662">
        <v>0</v>
      </c>
      <c r="S1662">
        <v>4995</v>
      </c>
      <c r="T1662">
        <v>1360</v>
      </c>
      <c r="U1662">
        <v>27.23</v>
      </c>
      <c r="V1662" t="s">
        <v>21</v>
      </c>
    </row>
    <row r="1663" spans="1:22" x14ac:dyDescent="0.35">
      <c r="A1663" t="s">
        <v>1234</v>
      </c>
      <c r="B1663" t="s">
        <v>53</v>
      </c>
      <c r="C1663" t="s">
        <v>27</v>
      </c>
      <c r="D1663" t="s">
        <v>1233</v>
      </c>
      <c r="E1663" t="s">
        <v>1232</v>
      </c>
      <c r="F1663" s="5">
        <v>45480</v>
      </c>
      <c r="G1663" t="s">
        <v>126</v>
      </c>
      <c r="H1663" t="s">
        <v>1231</v>
      </c>
      <c r="I1663" t="s">
        <v>35</v>
      </c>
      <c r="J1663" t="s">
        <v>159</v>
      </c>
      <c r="K1663" t="s">
        <v>100</v>
      </c>
      <c r="L1663" t="s">
        <v>25</v>
      </c>
      <c r="M1663" t="s">
        <v>20</v>
      </c>
      <c r="N1663">
        <v>2</v>
      </c>
      <c r="O1663">
        <v>1322</v>
      </c>
      <c r="P1663">
        <v>2199</v>
      </c>
      <c r="Q1663">
        <v>5</v>
      </c>
      <c r="R1663">
        <v>400</v>
      </c>
      <c r="S1663">
        <v>3998</v>
      </c>
      <c r="T1663">
        <v>1354</v>
      </c>
      <c r="U1663">
        <v>33.869999999999997</v>
      </c>
      <c r="V1663" t="s">
        <v>21</v>
      </c>
    </row>
    <row r="1664" spans="1:22" x14ac:dyDescent="0.35">
      <c r="A1664" t="s">
        <v>1230</v>
      </c>
      <c r="B1664" t="s">
        <v>106</v>
      </c>
      <c r="C1664" t="s">
        <v>27</v>
      </c>
      <c r="D1664" t="s">
        <v>1229</v>
      </c>
      <c r="E1664" t="s">
        <v>1228</v>
      </c>
      <c r="F1664" s="5">
        <v>45607</v>
      </c>
      <c r="G1664" t="s">
        <v>126</v>
      </c>
      <c r="H1664" t="s">
        <v>1227</v>
      </c>
      <c r="I1664" t="s">
        <v>31</v>
      </c>
      <c r="J1664" t="s">
        <v>76</v>
      </c>
      <c r="K1664" t="s">
        <v>76</v>
      </c>
      <c r="L1664" t="s">
        <v>37</v>
      </c>
      <c r="M1664" t="s">
        <v>19</v>
      </c>
      <c r="N1664">
        <v>1</v>
      </c>
      <c r="O1664">
        <v>872</v>
      </c>
      <c r="P1664">
        <v>1499</v>
      </c>
      <c r="Q1664">
        <v>0</v>
      </c>
      <c r="R1664">
        <v>0</v>
      </c>
      <c r="S1664">
        <v>1499</v>
      </c>
      <c r="T1664">
        <v>627</v>
      </c>
      <c r="U1664">
        <v>41.83</v>
      </c>
      <c r="V1664" t="s">
        <v>21</v>
      </c>
    </row>
    <row r="1665" spans="1:22" x14ac:dyDescent="0.35">
      <c r="A1665" t="s">
        <v>1226</v>
      </c>
      <c r="B1665" t="s">
        <v>62</v>
      </c>
      <c r="C1665" t="s">
        <v>16</v>
      </c>
      <c r="D1665" t="s">
        <v>1225</v>
      </c>
      <c r="E1665" t="s">
        <v>1224</v>
      </c>
      <c r="F1665" s="5">
        <v>45560</v>
      </c>
      <c r="G1665" t="s">
        <v>126</v>
      </c>
      <c r="H1665" t="s">
        <v>668</v>
      </c>
      <c r="I1665" t="s">
        <v>31</v>
      </c>
      <c r="J1665" t="s">
        <v>32</v>
      </c>
      <c r="K1665" t="s">
        <v>32</v>
      </c>
      <c r="L1665" t="s">
        <v>37</v>
      </c>
      <c r="M1665" t="s">
        <v>19</v>
      </c>
      <c r="N1665">
        <v>4</v>
      </c>
      <c r="O1665">
        <v>605</v>
      </c>
      <c r="P1665">
        <v>1199</v>
      </c>
      <c r="Q1665">
        <v>0</v>
      </c>
      <c r="R1665">
        <v>0</v>
      </c>
      <c r="S1665">
        <v>4796</v>
      </c>
      <c r="T1665">
        <v>2376</v>
      </c>
      <c r="U1665">
        <v>49.54</v>
      </c>
      <c r="V1665" t="s">
        <v>21</v>
      </c>
    </row>
    <row r="1666" spans="1:22" x14ac:dyDescent="0.35">
      <c r="A1666" t="s">
        <v>1223</v>
      </c>
      <c r="B1666" t="s">
        <v>79</v>
      </c>
      <c r="C1666" t="s">
        <v>16</v>
      </c>
      <c r="D1666" t="s">
        <v>1222</v>
      </c>
      <c r="E1666" t="s">
        <v>1221</v>
      </c>
      <c r="F1666" s="5">
        <v>45480</v>
      </c>
      <c r="G1666" t="s">
        <v>126</v>
      </c>
      <c r="H1666" t="s">
        <v>1220</v>
      </c>
      <c r="I1666" t="s">
        <v>17</v>
      </c>
      <c r="J1666" t="s">
        <v>48</v>
      </c>
      <c r="K1666" t="s">
        <v>48</v>
      </c>
      <c r="L1666" t="s">
        <v>37</v>
      </c>
      <c r="M1666" t="s">
        <v>19</v>
      </c>
      <c r="N1666">
        <v>1</v>
      </c>
      <c r="O1666">
        <v>209</v>
      </c>
      <c r="P1666">
        <v>299</v>
      </c>
      <c r="Q1666">
        <v>0</v>
      </c>
      <c r="R1666">
        <v>0</v>
      </c>
      <c r="S1666">
        <v>299</v>
      </c>
      <c r="T1666">
        <v>90</v>
      </c>
      <c r="U1666">
        <v>30.1</v>
      </c>
      <c r="V1666" t="s">
        <v>33</v>
      </c>
    </row>
    <row r="1667" spans="1:22" x14ac:dyDescent="0.35">
      <c r="A1667" t="s">
        <v>1219</v>
      </c>
      <c r="B1667" t="s">
        <v>83</v>
      </c>
      <c r="C1667" t="s">
        <v>27</v>
      </c>
      <c r="D1667" t="s">
        <v>1218</v>
      </c>
      <c r="E1667" t="s">
        <v>1217</v>
      </c>
      <c r="F1667" s="5">
        <v>45563</v>
      </c>
      <c r="G1667" t="s">
        <v>126</v>
      </c>
      <c r="H1667" t="s">
        <v>458</v>
      </c>
      <c r="I1667" t="s">
        <v>35</v>
      </c>
      <c r="J1667" t="s">
        <v>41</v>
      </c>
      <c r="K1667" t="s">
        <v>41</v>
      </c>
      <c r="L1667" t="s">
        <v>19</v>
      </c>
      <c r="M1667" t="s">
        <v>19</v>
      </c>
      <c r="N1667">
        <v>1</v>
      </c>
      <c r="O1667">
        <v>606</v>
      </c>
      <c r="P1667">
        <v>999</v>
      </c>
      <c r="Q1667">
        <v>20</v>
      </c>
      <c r="R1667">
        <v>200</v>
      </c>
      <c r="S1667">
        <v>799</v>
      </c>
      <c r="T1667">
        <v>193</v>
      </c>
      <c r="U1667">
        <v>24.16</v>
      </c>
      <c r="V1667" t="s">
        <v>33</v>
      </c>
    </row>
    <row r="1668" spans="1:22" x14ac:dyDescent="0.35">
      <c r="A1668" t="s">
        <v>1216</v>
      </c>
      <c r="B1668" t="s">
        <v>38</v>
      </c>
      <c r="C1668" t="s">
        <v>27</v>
      </c>
      <c r="D1668" t="s">
        <v>1215</v>
      </c>
      <c r="E1668" t="s">
        <v>1214</v>
      </c>
      <c r="F1668" s="5">
        <v>45462</v>
      </c>
      <c r="G1668" t="s">
        <v>126</v>
      </c>
      <c r="H1668" t="s">
        <v>1213</v>
      </c>
      <c r="I1668" t="s">
        <v>23</v>
      </c>
      <c r="J1668" t="s">
        <v>164</v>
      </c>
      <c r="K1668" t="s">
        <v>24</v>
      </c>
      <c r="L1668" t="s">
        <v>19</v>
      </c>
      <c r="M1668" t="s">
        <v>20</v>
      </c>
      <c r="N1668">
        <v>3</v>
      </c>
      <c r="O1668">
        <v>1521</v>
      </c>
      <c r="P1668">
        <v>2299</v>
      </c>
      <c r="Q1668">
        <v>10</v>
      </c>
      <c r="R1668">
        <v>900</v>
      </c>
      <c r="S1668">
        <v>5997</v>
      </c>
      <c r="T1668">
        <v>1434</v>
      </c>
      <c r="U1668">
        <v>23.91</v>
      </c>
      <c r="V1668" t="s">
        <v>33</v>
      </c>
    </row>
    <row r="1669" spans="1:22" x14ac:dyDescent="0.35">
      <c r="A1669" t="s">
        <v>1212</v>
      </c>
      <c r="B1669" t="s">
        <v>64</v>
      </c>
      <c r="C1669" t="s">
        <v>16</v>
      </c>
      <c r="D1669" t="s">
        <v>1211</v>
      </c>
      <c r="E1669" t="s">
        <v>1210</v>
      </c>
      <c r="F1669" s="5">
        <v>45546</v>
      </c>
      <c r="G1669" t="s">
        <v>126</v>
      </c>
      <c r="H1669" t="s">
        <v>1209</v>
      </c>
      <c r="I1669" t="s">
        <v>23</v>
      </c>
      <c r="J1669" t="s">
        <v>164</v>
      </c>
      <c r="K1669" t="s">
        <v>24</v>
      </c>
      <c r="L1669" t="s">
        <v>25</v>
      </c>
      <c r="M1669" t="s">
        <v>19</v>
      </c>
      <c r="N1669">
        <v>1</v>
      </c>
      <c r="O1669">
        <v>1230</v>
      </c>
      <c r="P1669">
        <v>1699</v>
      </c>
      <c r="Q1669">
        <v>10</v>
      </c>
      <c r="R1669">
        <v>200</v>
      </c>
      <c r="S1669">
        <v>1499</v>
      </c>
      <c r="T1669">
        <v>269</v>
      </c>
      <c r="U1669">
        <v>17.95</v>
      </c>
      <c r="V1669" t="s">
        <v>33</v>
      </c>
    </row>
    <row r="1670" spans="1:22" x14ac:dyDescent="0.35">
      <c r="A1670" t="s">
        <v>1208</v>
      </c>
      <c r="B1670" t="s">
        <v>82</v>
      </c>
      <c r="C1670" t="s">
        <v>27</v>
      </c>
      <c r="D1670" t="s">
        <v>1207</v>
      </c>
      <c r="E1670" t="s">
        <v>1206</v>
      </c>
      <c r="F1670" s="5">
        <v>45641</v>
      </c>
      <c r="G1670" t="s">
        <v>126</v>
      </c>
      <c r="H1670" t="s">
        <v>595</v>
      </c>
      <c r="I1670" t="s">
        <v>17</v>
      </c>
      <c r="J1670" t="s">
        <v>235</v>
      </c>
      <c r="K1670" t="s">
        <v>18</v>
      </c>
      <c r="L1670" t="s">
        <v>19</v>
      </c>
      <c r="M1670" t="s">
        <v>19</v>
      </c>
      <c r="N1670">
        <v>1</v>
      </c>
      <c r="O1670">
        <v>222</v>
      </c>
      <c r="P1670">
        <v>299</v>
      </c>
      <c r="Q1670">
        <v>0</v>
      </c>
      <c r="R1670">
        <v>0</v>
      </c>
      <c r="S1670">
        <v>299</v>
      </c>
      <c r="T1670">
        <v>77</v>
      </c>
      <c r="U1670">
        <v>25.75</v>
      </c>
      <c r="V1670" t="s">
        <v>21</v>
      </c>
    </row>
    <row r="1671" spans="1:22" x14ac:dyDescent="0.35">
      <c r="A1671" t="s">
        <v>1205</v>
      </c>
      <c r="B1671" t="s">
        <v>104</v>
      </c>
      <c r="C1671" t="s">
        <v>27</v>
      </c>
      <c r="D1671" t="s">
        <v>1204</v>
      </c>
      <c r="E1671" t="s">
        <v>1203</v>
      </c>
      <c r="F1671" s="5">
        <v>45653</v>
      </c>
      <c r="G1671" t="s">
        <v>126</v>
      </c>
      <c r="H1671" t="s">
        <v>1202</v>
      </c>
      <c r="I1671" t="s">
        <v>35</v>
      </c>
      <c r="J1671" t="s">
        <v>159</v>
      </c>
      <c r="K1671" t="s">
        <v>100</v>
      </c>
      <c r="L1671" t="s">
        <v>25</v>
      </c>
      <c r="M1671" t="s">
        <v>19</v>
      </c>
      <c r="N1671">
        <v>4</v>
      </c>
      <c r="O1671">
        <v>904</v>
      </c>
      <c r="P1671">
        <v>1799</v>
      </c>
      <c r="Q1671">
        <v>15</v>
      </c>
      <c r="R1671">
        <v>1200</v>
      </c>
      <c r="S1671">
        <v>5996</v>
      </c>
      <c r="T1671">
        <v>2380</v>
      </c>
      <c r="U1671">
        <v>39.69</v>
      </c>
      <c r="V1671" t="s">
        <v>21</v>
      </c>
    </row>
    <row r="1672" spans="1:22" x14ac:dyDescent="0.35">
      <c r="A1672" t="s">
        <v>1201</v>
      </c>
      <c r="B1672" t="s">
        <v>97</v>
      </c>
      <c r="C1672" t="s">
        <v>16</v>
      </c>
      <c r="D1672" t="s">
        <v>1200</v>
      </c>
      <c r="E1672" t="s">
        <v>1199</v>
      </c>
      <c r="F1672" s="5">
        <v>45545</v>
      </c>
      <c r="G1672" t="s">
        <v>126</v>
      </c>
      <c r="H1672" t="s">
        <v>1198</v>
      </c>
      <c r="I1672" t="s">
        <v>23</v>
      </c>
      <c r="J1672" t="s">
        <v>164</v>
      </c>
      <c r="K1672" t="s">
        <v>24</v>
      </c>
      <c r="L1672" t="s">
        <v>19</v>
      </c>
      <c r="M1672" t="s">
        <v>19</v>
      </c>
      <c r="N1672">
        <v>1</v>
      </c>
      <c r="O1672">
        <v>810</v>
      </c>
      <c r="P1672">
        <v>1599</v>
      </c>
      <c r="Q1672">
        <v>5</v>
      </c>
      <c r="R1672">
        <v>100</v>
      </c>
      <c r="S1672">
        <v>1499</v>
      </c>
      <c r="T1672">
        <v>689</v>
      </c>
      <c r="U1672">
        <v>45.96</v>
      </c>
      <c r="V1672" t="s">
        <v>21</v>
      </c>
    </row>
    <row r="1673" spans="1:22" x14ac:dyDescent="0.35">
      <c r="A1673" t="s">
        <v>1197</v>
      </c>
      <c r="B1673" t="s">
        <v>69</v>
      </c>
      <c r="C1673" t="s">
        <v>16</v>
      </c>
      <c r="D1673" t="s">
        <v>1196</v>
      </c>
      <c r="E1673" t="s">
        <v>1195</v>
      </c>
      <c r="F1673" s="5">
        <v>45488</v>
      </c>
      <c r="G1673" t="s">
        <v>126</v>
      </c>
      <c r="H1673" t="s">
        <v>379</v>
      </c>
      <c r="I1673" t="s">
        <v>35</v>
      </c>
      <c r="J1673" t="s">
        <v>159</v>
      </c>
      <c r="K1673" t="s">
        <v>100</v>
      </c>
      <c r="L1673" t="s">
        <v>19</v>
      </c>
      <c r="M1673" t="s">
        <v>19</v>
      </c>
      <c r="N1673">
        <v>1</v>
      </c>
      <c r="O1673">
        <v>1380</v>
      </c>
      <c r="P1673">
        <v>2299</v>
      </c>
      <c r="Q1673">
        <v>10</v>
      </c>
      <c r="R1673">
        <v>300</v>
      </c>
      <c r="S1673">
        <v>1999</v>
      </c>
      <c r="T1673">
        <v>619</v>
      </c>
      <c r="U1673">
        <v>30.97</v>
      </c>
      <c r="V1673" t="s">
        <v>21</v>
      </c>
    </row>
    <row r="1674" spans="1:22" x14ac:dyDescent="0.35">
      <c r="A1674" t="s">
        <v>1194</v>
      </c>
      <c r="B1674" t="s">
        <v>54</v>
      </c>
      <c r="C1674" t="s">
        <v>27</v>
      </c>
      <c r="D1674" t="s">
        <v>1193</v>
      </c>
      <c r="E1674" t="s">
        <v>1192</v>
      </c>
      <c r="F1674" s="5">
        <v>45460</v>
      </c>
      <c r="G1674" t="s">
        <v>126</v>
      </c>
      <c r="H1674" t="s">
        <v>1191</v>
      </c>
      <c r="I1674" t="s">
        <v>17</v>
      </c>
      <c r="J1674" t="s">
        <v>253</v>
      </c>
      <c r="K1674" t="s">
        <v>72</v>
      </c>
      <c r="L1674" t="s">
        <v>37</v>
      </c>
      <c r="M1674" t="s">
        <v>19</v>
      </c>
      <c r="N1674">
        <v>5</v>
      </c>
      <c r="O1674">
        <v>245</v>
      </c>
      <c r="P1674">
        <v>399</v>
      </c>
      <c r="Q1674">
        <v>0</v>
      </c>
      <c r="R1674">
        <v>0</v>
      </c>
      <c r="S1674">
        <v>1995</v>
      </c>
      <c r="T1674">
        <v>770</v>
      </c>
      <c r="U1674">
        <v>38.6</v>
      </c>
      <c r="V1674" t="s">
        <v>21</v>
      </c>
    </row>
    <row r="1675" spans="1:22" x14ac:dyDescent="0.35">
      <c r="A1675" t="s">
        <v>1190</v>
      </c>
      <c r="B1675" t="s">
        <v>61</v>
      </c>
      <c r="C1675" t="s">
        <v>27</v>
      </c>
      <c r="D1675" t="s">
        <v>1189</v>
      </c>
      <c r="E1675" t="s">
        <v>1188</v>
      </c>
      <c r="F1675" s="5">
        <v>45654</v>
      </c>
      <c r="G1675" t="s">
        <v>126</v>
      </c>
      <c r="H1675" t="s">
        <v>913</v>
      </c>
      <c r="I1675" t="s">
        <v>23</v>
      </c>
      <c r="J1675" t="s">
        <v>142</v>
      </c>
      <c r="K1675" t="s">
        <v>43</v>
      </c>
      <c r="L1675" t="s">
        <v>19</v>
      </c>
      <c r="M1675" t="s">
        <v>19</v>
      </c>
      <c r="N1675">
        <v>5</v>
      </c>
      <c r="O1675">
        <v>2666</v>
      </c>
      <c r="P1675">
        <v>3699</v>
      </c>
      <c r="Q1675">
        <v>5</v>
      </c>
      <c r="R1675">
        <v>1000</v>
      </c>
      <c r="S1675">
        <v>17495</v>
      </c>
      <c r="T1675">
        <v>4165</v>
      </c>
      <c r="U1675">
        <v>23.81</v>
      </c>
      <c r="V1675" t="s">
        <v>21</v>
      </c>
    </row>
    <row r="1676" spans="1:22" x14ac:dyDescent="0.35">
      <c r="A1676" t="s">
        <v>1187</v>
      </c>
      <c r="B1676" t="s">
        <v>103</v>
      </c>
      <c r="C1676" t="s">
        <v>16</v>
      </c>
      <c r="D1676" t="s">
        <v>1186</v>
      </c>
      <c r="E1676" t="s">
        <v>1185</v>
      </c>
      <c r="F1676" s="5">
        <v>45465</v>
      </c>
      <c r="G1676" t="s">
        <v>126</v>
      </c>
      <c r="H1676" t="s">
        <v>1184</v>
      </c>
      <c r="I1676" t="s">
        <v>23</v>
      </c>
      <c r="J1676" t="s">
        <v>142</v>
      </c>
      <c r="K1676" t="s">
        <v>43</v>
      </c>
      <c r="L1676" t="s">
        <v>25</v>
      </c>
      <c r="M1676" t="s">
        <v>20</v>
      </c>
      <c r="N1676">
        <v>1</v>
      </c>
      <c r="O1676">
        <v>1393</v>
      </c>
      <c r="P1676">
        <v>2599</v>
      </c>
      <c r="Q1676">
        <v>15</v>
      </c>
      <c r="R1676">
        <v>400</v>
      </c>
      <c r="S1676">
        <v>2199</v>
      </c>
      <c r="T1676">
        <v>806</v>
      </c>
      <c r="U1676">
        <v>36.65</v>
      </c>
      <c r="V1676" t="s">
        <v>21</v>
      </c>
    </row>
    <row r="1677" spans="1:22" x14ac:dyDescent="0.35">
      <c r="A1677" t="s">
        <v>1183</v>
      </c>
      <c r="B1677" t="s">
        <v>65</v>
      </c>
      <c r="C1677" t="s">
        <v>16</v>
      </c>
      <c r="D1677" t="s">
        <v>1182</v>
      </c>
      <c r="E1677" t="s">
        <v>1181</v>
      </c>
      <c r="F1677" s="5">
        <v>45625</v>
      </c>
      <c r="G1677" t="s">
        <v>126</v>
      </c>
      <c r="H1677" t="s">
        <v>1180</v>
      </c>
      <c r="I1677" t="s">
        <v>35</v>
      </c>
      <c r="J1677" t="s">
        <v>39</v>
      </c>
      <c r="K1677" t="s">
        <v>39</v>
      </c>
      <c r="L1677" t="s">
        <v>25</v>
      </c>
      <c r="M1677" t="s">
        <v>19</v>
      </c>
      <c r="N1677">
        <v>3</v>
      </c>
      <c r="O1677">
        <v>589</v>
      </c>
      <c r="P1677">
        <v>799</v>
      </c>
      <c r="Q1677">
        <v>5</v>
      </c>
      <c r="R1677">
        <v>300</v>
      </c>
      <c r="S1677">
        <v>2097</v>
      </c>
      <c r="T1677">
        <v>330</v>
      </c>
      <c r="U1677">
        <v>15.74</v>
      </c>
      <c r="V1677" t="s">
        <v>21</v>
      </c>
    </row>
    <row r="1678" spans="1:22" x14ac:dyDescent="0.35">
      <c r="A1678" t="s">
        <v>1179</v>
      </c>
      <c r="B1678" t="s">
        <v>62</v>
      </c>
      <c r="C1678" t="s">
        <v>16</v>
      </c>
      <c r="D1678" t="s">
        <v>1178</v>
      </c>
      <c r="E1678" t="s">
        <v>1177</v>
      </c>
      <c r="F1678" s="5">
        <v>45591</v>
      </c>
      <c r="G1678" t="s">
        <v>126</v>
      </c>
      <c r="H1678" t="s">
        <v>1176</v>
      </c>
      <c r="I1678" t="s">
        <v>35</v>
      </c>
      <c r="J1678" t="s">
        <v>41</v>
      </c>
      <c r="K1678" t="s">
        <v>41</v>
      </c>
      <c r="L1678" t="s">
        <v>25</v>
      </c>
      <c r="M1678" t="s">
        <v>19</v>
      </c>
      <c r="N1678">
        <v>2</v>
      </c>
      <c r="O1678">
        <v>405</v>
      </c>
      <c r="P1678">
        <v>599</v>
      </c>
      <c r="Q1678">
        <v>10</v>
      </c>
      <c r="R1678">
        <v>200</v>
      </c>
      <c r="S1678">
        <v>998</v>
      </c>
      <c r="T1678">
        <v>188</v>
      </c>
      <c r="U1678">
        <v>18.84</v>
      </c>
      <c r="V1678" t="s">
        <v>21</v>
      </c>
    </row>
    <row r="1679" spans="1:22" x14ac:dyDescent="0.35">
      <c r="A1679" t="s">
        <v>1175</v>
      </c>
      <c r="B1679" t="s">
        <v>101</v>
      </c>
      <c r="C1679" t="s">
        <v>16</v>
      </c>
      <c r="D1679" t="s">
        <v>1174</v>
      </c>
      <c r="E1679" t="s">
        <v>1173</v>
      </c>
      <c r="F1679" s="5">
        <v>45466</v>
      </c>
      <c r="G1679" t="s">
        <v>126</v>
      </c>
      <c r="H1679" t="s">
        <v>306</v>
      </c>
      <c r="I1679" t="s">
        <v>23</v>
      </c>
      <c r="J1679" t="s">
        <v>142</v>
      </c>
      <c r="K1679" t="s">
        <v>43</v>
      </c>
      <c r="L1679" t="s">
        <v>19</v>
      </c>
      <c r="M1679" t="s">
        <v>20</v>
      </c>
      <c r="N1679">
        <v>1</v>
      </c>
      <c r="O1679">
        <v>2696</v>
      </c>
      <c r="P1679">
        <v>3599</v>
      </c>
      <c r="Q1679">
        <v>15</v>
      </c>
      <c r="R1679">
        <v>600</v>
      </c>
      <c r="S1679">
        <v>2999</v>
      </c>
      <c r="T1679">
        <v>303</v>
      </c>
      <c r="U1679">
        <v>10.1</v>
      </c>
      <c r="V1679" t="s">
        <v>21</v>
      </c>
    </row>
    <row r="1680" spans="1:22" x14ac:dyDescent="0.35">
      <c r="A1680" t="s">
        <v>1172</v>
      </c>
      <c r="B1680" t="s">
        <v>75</v>
      </c>
      <c r="C1680" t="s">
        <v>27</v>
      </c>
      <c r="D1680" t="s">
        <v>1171</v>
      </c>
      <c r="E1680" t="s">
        <v>1170</v>
      </c>
      <c r="F1680" s="5">
        <v>45632</v>
      </c>
      <c r="G1680" t="s">
        <v>126</v>
      </c>
      <c r="H1680" t="s">
        <v>1169</v>
      </c>
      <c r="I1680" t="s">
        <v>23</v>
      </c>
      <c r="J1680" t="s">
        <v>142</v>
      </c>
      <c r="K1680" t="s">
        <v>43</v>
      </c>
      <c r="L1680" t="s">
        <v>19</v>
      </c>
      <c r="M1680" t="s">
        <v>19</v>
      </c>
      <c r="N1680">
        <v>1</v>
      </c>
      <c r="O1680">
        <v>1801</v>
      </c>
      <c r="P1680">
        <v>2699</v>
      </c>
      <c r="Q1680">
        <v>5</v>
      </c>
      <c r="R1680">
        <v>200</v>
      </c>
      <c r="S1680">
        <v>2499</v>
      </c>
      <c r="T1680">
        <v>698</v>
      </c>
      <c r="U1680">
        <v>27.93</v>
      </c>
      <c r="V1680" t="s">
        <v>21</v>
      </c>
    </row>
    <row r="1681" spans="1:22" x14ac:dyDescent="0.35">
      <c r="A1681" t="s">
        <v>1168</v>
      </c>
      <c r="B1681" t="s">
        <v>82</v>
      </c>
      <c r="C1681" t="s">
        <v>27</v>
      </c>
      <c r="D1681" t="s">
        <v>1167</v>
      </c>
      <c r="E1681" t="s">
        <v>1166</v>
      </c>
      <c r="F1681" s="5">
        <v>45592</v>
      </c>
      <c r="G1681" t="s">
        <v>126</v>
      </c>
      <c r="H1681" t="s">
        <v>1032</v>
      </c>
      <c r="I1681" t="s">
        <v>17</v>
      </c>
      <c r="J1681" t="s">
        <v>55</v>
      </c>
      <c r="K1681" t="s">
        <v>55</v>
      </c>
      <c r="L1681" t="s">
        <v>25</v>
      </c>
      <c r="M1681" t="s">
        <v>20</v>
      </c>
      <c r="N1681">
        <v>3</v>
      </c>
      <c r="O1681">
        <v>204</v>
      </c>
      <c r="P1681">
        <v>399</v>
      </c>
      <c r="Q1681">
        <v>0</v>
      </c>
      <c r="R1681">
        <v>0</v>
      </c>
      <c r="S1681">
        <v>1197</v>
      </c>
      <c r="T1681">
        <v>585</v>
      </c>
      <c r="U1681">
        <v>48.87</v>
      </c>
      <c r="V1681" t="s">
        <v>21</v>
      </c>
    </row>
    <row r="1682" spans="1:22" x14ac:dyDescent="0.35">
      <c r="A1682" t="s">
        <v>1165</v>
      </c>
      <c r="B1682" t="s">
        <v>105</v>
      </c>
      <c r="C1682" t="s">
        <v>16</v>
      </c>
      <c r="D1682" t="s">
        <v>1164</v>
      </c>
      <c r="E1682" t="s">
        <v>1163</v>
      </c>
      <c r="F1682" s="5">
        <v>45517</v>
      </c>
      <c r="G1682" t="s">
        <v>126</v>
      </c>
      <c r="H1682" t="s">
        <v>1162</v>
      </c>
      <c r="I1682" t="s">
        <v>28</v>
      </c>
      <c r="J1682" t="s">
        <v>201</v>
      </c>
      <c r="K1682" t="s">
        <v>29</v>
      </c>
      <c r="L1682" t="s">
        <v>37</v>
      </c>
      <c r="M1682" t="s">
        <v>19</v>
      </c>
      <c r="N1682">
        <v>1</v>
      </c>
      <c r="O1682">
        <v>280</v>
      </c>
      <c r="P1682">
        <v>499</v>
      </c>
      <c r="Q1682">
        <v>5</v>
      </c>
      <c r="R1682">
        <v>100</v>
      </c>
      <c r="S1682">
        <v>399</v>
      </c>
      <c r="T1682">
        <v>119</v>
      </c>
      <c r="U1682">
        <v>29.82</v>
      </c>
      <c r="V1682" t="s">
        <v>21</v>
      </c>
    </row>
    <row r="1683" spans="1:22" x14ac:dyDescent="0.35">
      <c r="A1683" t="s">
        <v>1161</v>
      </c>
      <c r="B1683" t="s">
        <v>30</v>
      </c>
      <c r="C1683" t="s">
        <v>16</v>
      </c>
      <c r="D1683" t="s">
        <v>1160</v>
      </c>
      <c r="E1683" t="s">
        <v>1159</v>
      </c>
      <c r="F1683" s="5">
        <v>45521</v>
      </c>
      <c r="G1683" t="s">
        <v>126</v>
      </c>
      <c r="H1683" t="s">
        <v>1158</v>
      </c>
      <c r="I1683" t="s">
        <v>23</v>
      </c>
      <c r="J1683" t="s">
        <v>164</v>
      </c>
      <c r="K1683" t="s">
        <v>24</v>
      </c>
      <c r="L1683" t="s">
        <v>37</v>
      </c>
      <c r="M1683" t="s">
        <v>20</v>
      </c>
      <c r="N1683">
        <v>1</v>
      </c>
      <c r="O1683">
        <v>590</v>
      </c>
      <c r="P1683">
        <v>999</v>
      </c>
      <c r="Q1683">
        <v>15</v>
      </c>
      <c r="R1683">
        <v>200</v>
      </c>
      <c r="S1683">
        <v>799</v>
      </c>
      <c r="T1683">
        <v>209</v>
      </c>
      <c r="U1683">
        <v>26.16</v>
      </c>
      <c r="V1683" t="s">
        <v>33</v>
      </c>
    </row>
    <row r="1684" spans="1:22" x14ac:dyDescent="0.35">
      <c r="A1684" t="s">
        <v>1157</v>
      </c>
      <c r="B1684" t="s">
        <v>30</v>
      </c>
      <c r="C1684" t="s">
        <v>16</v>
      </c>
      <c r="D1684" t="s">
        <v>1156</v>
      </c>
      <c r="E1684" t="s">
        <v>1155</v>
      </c>
      <c r="F1684" s="5">
        <v>45602</v>
      </c>
      <c r="G1684" t="s">
        <v>126</v>
      </c>
      <c r="H1684" t="s">
        <v>1154</v>
      </c>
      <c r="I1684" t="s">
        <v>31</v>
      </c>
      <c r="J1684" t="s">
        <v>76</v>
      </c>
      <c r="K1684" t="s">
        <v>76</v>
      </c>
      <c r="L1684" t="s">
        <v>25</v>
      </c>
      <c r="M1684" t="s">
        <v>19</v>
      </c>
      <c r="N1684">
        <v>1</v>
      </c>
      <c r="O1684">
        <v>903</v>
      </c>
      <c r="P1684">
        <v>1499</v>
      </c>
      <c r="Q1684">
        <v>0</v>
      </c>
      <c r="R1684">
        <v>0</v>
      </c>
      <c r="S1684">
        <v>1499</v>
      </c>
      <c r="T1684">
        <v>596</v>
      </c>
      <c r="U1684">
        <v>39.76</v>
      </c>
      <c r="V1684" t="s">
        <v>21</v>
      </c>
    </row>
    <row r="1685" spans="1:22" x14ac:dyDescent="0.35">
      <c r="A1685" t="s">
        <v>1153</v>
      </c>
      <c r="B1685" t="s">
        <v>104</v>
      </c>
      <c r="C1685" t="s">
        <v>27</v>
      </c>
      <c r="D1685" t="s">
        <v>1152</v>
      </c>
      <c r="E1685" t="s">
        <v>1151</v>
      </c>
      <c r="F1685" s="5">
        <v>45646</v>
      </c>
      <c r="G1685" t="s">
        <v>126</v>
      </c>
      <c r="H1685" t="s">
        <v>1150</v>
      </c>
      <c r="I1685" t="s">
        <v>23</v>
      </c>
      <c r="J1685" t="s">
        <v>164</v>
      </c>
      <c r="K1685" t="s">
        <v>24</v>
      </c>
      <c r="L1685" t="s">
        <v>37</v>
      </c>
      <c r="M1685" t="s">
        <v>19</v>
      </c>
      <c r="N1685">
        <v>4</v>
      </c>
      <c r="O1685">
        <v>1044</v>
      </c>
      <c r="P1685">
        <v>1499</v>
      </c>
      <c r="Q1685">
        <v>20</v>
      </c>
      <c r="R1685">
        <v>1200</v>
      </c>
      <c r="S1685">
        <v>4796</v>
      </c>
      <c r="T1685">
        <v>620</v>
      </c>
      <c r="U1685">
        <v>12.93</v>
      </c>
      <c r="V1685" t="s">
        <v>33</v>
      </c>
    </row>
    <row r="1686" spans="1:22" x14ac:dyDescent="0.35">
      <c r="A1686" t="s">
        <v>1149</v>
      </c>
      <c r="B1686" t="s">
        <v>73</v>
      </c>
      <c r="C1686" t="s">
        <v>16</v>
      </c>
      <c r="D1686" t="s">
        <v>1148</v>
      </c>
      <c r="E1686" t="s">
        <v>1147</v>
      </c>
      <c r="F1686" s="5">
        <v>45493</v>
      </c>
      <c r="G1686" t="s">
        <v>126</v>
      </c>
      <c r="H1686" t="s">
        <v>1146</v>
      </c>
      <c r="I1686" t="s">
        <v>23</v>
      </c>
      <c r="J1686" t="s">
        <v>142</v>
      </c>
      <c r="K1686" t="s">
        <v>43</v>
      </c>
      <c r="L1686" t="s">
        <v>25</v>
      </c>
      <c r="M1686" t="s">
        <v>20</v>
      </c>
      <c r="N1686">
        <v>5</v>
      </c>
      <c r="O1686">
        <v>2829</v>
      </c>
      <c r="P1686">
        <v>4299</v>
      </c>
      <c r="Q1686">
        <v>5</v>
      </c>
      <c r="R1686">
        <v>1500</v>
      </c>
      <c r="S1686">
        <v>19995</v>
      </c>
      <c r="T1686">
        <v>5850</v>
      </c>
      <c r="U1686">
        <v>29.26</v>
      </c>
      <c r="V1686" t="s">
        <v>33</v>
      </c>
    </row>
    <row r="1687" spans="1:22" x14ac:dyDescent="0.35">
      <c r="A1687" t="s">
        <v>1145</v>
      </c>
      <c r="B1687" t="s">
        <v>75</v>
      </c>
      <c r="C1687" t="s">
        <v>27</v>
      </c>
      <c r="D1687" t="s">
        <v>1144</v>
      </c>
      <c r="E1687" t="s">
        <v>1143</v>
      </c>
      <c r="F1687" s="5">
        <v>45547</v>
      </c>
      <c r="G1687" t="s">
        <v>126</v>
      </c>
      <c r="H1687" t="s">
        <v>1142</v>
      </c>
      <c r="I1687" t="s">
        <v>17</v>
      </c>
      <c r="J1687" t="s">
        <v>48</v>
      </c>
      <c r="K1687" t="s">
        <v>48</v>
      </c>
      <c r="L1687" t="s">
        <v>19</v>
      </c>
      <c r="M1687" t="s">
        <v>19</v>
      </c>
      <c r="N1687">
        <v>2</v>
      </c>
      <c r="O1687">
        <v>205</v>
      </c>
      <c r="P1687">
        <v>299</v>
      </c>
      <c r="Q1687">
        <v>0</v>
      </c>
      <c r="R1687">
        <v>0</v>
      </c>
      <c r="S1687">
        <v>598</v>
      </c>
      <c r="T1687">
        <v>188</v>
      </c>
      <c r="U1687">
        <v>31.44</v>
      </c>
      <c r="V1687" t="s">
        <v>21</v>
      </c>
    </row>
    <row r="1688" spans="1:22" x14ac:dyDescent="0.35">
      <c r="A1688" t="s">
        <v>1141</v>
      </c>
      <c r="B1688" t="s">
        <v>30</v>
      </c>
      <c r="C1688" t="s">
        <v>16</v>
      </c>
      <c r="D1688" t="s">
        <v>1140</v>
      </c>
      <c r="E1688" t="s">
        <v>1139</v>
      </c>
      <c r="F1688" s="5">
        <v>45503</v>
      </c>
      <c r="G1688" t="s">
        <v>126</v>
      </c>
      <c r="H1688" t="s">
        <v>1138</v>
      </c>
      <c r="I1688" t="s">
        <v>28</v>
      </c>
      <c r="J1688" t="s">
        <v>45</v>
      </c>
      <c r="K1688" t="s">
        <v>45</v>
      </c>
      <c r="L1688" t="s">
        <v>37</v>
      </c>
      <c r="M1688" t="s">
        <v>19</v>
      </c>
      <c r="N1688">
        <v>1</v>
      </c>
      <c r="O1688">
        <v>1036</v>
      </c>
      <c r="P1688">
        <v>1499</v>
      </c>
      <c r="Q1688">
        <v>20</v>
      </c>
      <c r="R1688">
        <v>300</v>
      </c>
      <c r="S1688">
        <v>1199</v>
      </c>
      <c r="T1688">
        <v>163</v>
      </c>
      <c r="U1688">
        <v>13.59</v>
      </c>
      <c r="V1688" t="s">
        <v>21</v>
      </c>
    </row>
    <row r="1689" spans="1:22" x14ac:dyDescent="0.35">
      <c r="A1689" t="s">
        <v>1137</v>
      </c>
      <c r="B1689" t="s">
        <v>71</v>
      </c>
      <c r="C1689" t="s">
        <v>16</v>
      </c>
      <c r="D1689" t="s">
        <v>1136</v>
      </c>
      <c r="E1689" t="s">
        <v>1135</v>
      </c>
      <c r="F1689" s="5">
        <v>45577</v>
      </c>
      <c r="G1689" t="s">
        <v>126</v>
      </c>
      <c r="H1689" t="s">
        <v>210</v>
      </c>
      <c r="I1689" t="s">
        <v>28</v>
      </c>
      <c r="J1689" t="s">
        <v>201</v>
      </c>
      <c r="K1689" t="s">
        <v>29</v>
      </c>
      <c r="L1689" t="s">
        <v>25</v>
      </c>
      <c r="M1689" t="s">
        <v>20</v>
      </c>
      <c r="N1689">
        <v>1</v>
      </c>
      <c r="O1689">
        <v>442</v>
      </c>
      <c r="P1689">
        <v>599</v>
      </c>
      <c r="Q1689">
        <v>10</v>
      </c>
      <c r="R1689">
        <v>100</v>
      </c>
      <c r="S1689">
        <v>499</v>
      </c>
      <c r="T1689">
        <v>57</v>
      </c>
      <c r="U1689">
        <v>11.42</v>
      </c>
      <c r="V1689" t="s">
        <v>21</v>
      </c>
    </row>
    <row r="1690" spans="1:22" x14ac:dyDescent="0.35">
      <c r="A1690" t="s">
        <v>1134</v>
      </c>
      <c r="B1690" t="s">
        <v>99</v>
      </c>
      <c r="C1690" t="s">
        <v>27</v>
      </c>
      <c r="D1690" t="s">
        <v>1133</v>
      </c>
      <c r="E1690" t="s">
        <v>1132</v>
      </c>
      <c r="F1690" s="5">
        <v>45599</v>
      </c>
      <c r="G1690" t="s">
        <v>126</v>
      </c>
      <c r="H1690" t="s">
        <v>1131</v>
      </c>
      <c r="I1690" t="s">
        <v>31</v>
      </c>
      <c r="J1690" t="s">
        <v>32</v>
      </c>
      <c r="K1690" t="s">
        <v>32</v>
      </c>
      <c r="L1690" t="s">
        <v>19</v>
      </c>
      <c r="M1690" t="s">
        <v>20</v>
      </c>
      <c r="N1690">
        <v>5</v>
      </c>
      <c r="O1690">
        <v>717</v>
      </c>
      <c r="P1690">
        <v>1199</v>
      </c>
      <c r="Q1690">
        <v>0</v>
      </c>
      <c r="R1690">
        <v>0</v>
      </c>
      <c r="S1690">
        <v>5995</v>
      </c>
      <c r="T1690">
        <v>2410</v>
      </c>
      <c r="U1690">
        <v>40.200000000000003</v>
      </c>
      <c r="V1690" t="s">
        <v>33</v>
      </c>
    </row>
    <row r="1691" spans="1:22" x14ac:dyDescent="0.35">
      <c r="A1691" t="s">
        <v>1130</v>
      </c>
      <c r="B1691" t="s">
        <v>63</v>
      </c>
      <c r="C1691" t="s">
        <v>27</v>
      </c>
      <c r="D1691" t="s">
        <v>1129</v>
      </c>
      <c r="E1691" t="s">
        <v>1128</v>
      </c>
      <c r="F1691" s="5">
        <v>45565</v>
      </c>
      <c r="G1691" t="s">
        <v>126</v>
      </c>
      <c r="H1691" t="s">
        <v>587</v>
      </c>
      <c r="I1691" t="s">
        <v>35</v>
      </c>
      <c r="J1691" t="s">
        <v>244</v>
      </c>
      <c r="K1691" t="s">
        <v>58</v>
      </c>
      <c r="L1691" t="s">
        <v>37</v>
      </c>
      <c r="M1691" t="s">
        <v>20</v>
      </c>
      <c r="N1691">
        <v>1</v>
      </c>
      <c r="O1691">
        <v>897</v>
      </c>
      <c r="P1691">
        <v>1599</v>
      </c>
      <c r="Q1691">
        <v>5</v>
      </c>
      <c r="R1691">
        <v>100</v>
      </c>
      <c r="S1691">
        <v>1499</v>
      </c>
      <c r="T1691">
        <v>602</v>
      </c>
      <c r="U1691">
        <v>40.159999999999997</v>
      </c>
      <c r="V1691" t="s">
        <v>21</v>
      </c>
    </row>
    <row r="1692" spans="1:22" x14ac:dyDescent="0.35">
      <c r="A1692" t="s">
        <v>1127</v>
      </c>
      <c r="B1692" t="s">
        <v>86</v>
      </c>
      <c r="C1692" t="s">
        <v>27</v>
      </c>
      <c r="D1692" t="s">
        <v>1126</v>
      </c>
      <c r="E1692" t="s">
        <v>1125</v>
      </c>
      <c r="F1692" s="5">
        <v>45641</v>
      </c>
      <c r="G1692" t="s">
        <v>126</v>
      </c>
      <c r="H1692" t="s">
        <v>1124</v>
      </c>
      <c r="I1692" t="s">
        <v>17</v>
      </c>
      <c r="J1692" t="s">
        <v>253</v>
      </c>
      <c r="K1692" t="s">
        <v>72</v>
      </c>
      <c r="L1692" t="s">
        <v>25</v>
      </c>
      <c r="M1692" t="s">
        <v>20</v>
      </c>
      <c r="N1692">
        <v>4</v>
      </c>
      <c r="O1692">
        <v>279</v>
      </c>
      <c r="P1692">
        <v>399</v>
      </c>
      <c r="Q1692">
        <v>0</v>
      </c>
      <c r="R1692">
        <v>0</v>
      </c>
      <c r="S1692">
        <v>1596</v>
      </c>
      <c r="T1692">
        <v>480</v>
      </c>
      <c r="U1692">
        <v>30.08</v>
      </c>
      <c r="V1692" t="s">
        <v>21</v>
      </c>
    </row>
    <row r="1693" spans="1:22" x14ac:dyDescent="0.35">
      <c r="A1693" t="s">
        <v>1123</v>
      </c>
      <c r="B1693" t="s">
        <v>83</v>
      </c>
      <c r="C1693" t="s">
        <v>27</v>
      </c>
      <c r="D1693" t="s">
        <v>1122</v>
      </c>
      <c r="E1693" t="s">
        <v>1121</v>
      </c>
      <c r="F1693" s="5">
        <v>45580</v>
      </c>
      <c r="G1693" t="s">
        <v>126</v>
      </c>
      <c r="H1693" t="s">
        <v>1120</v>
      </c>
      <c r="I1693" t="s">
        <v>31</v>
      </c>
      <c r="J1693" t="s">
        <v>32</v>
      </c>
      <c r="K1693" t="s">
        <v>32</v>
      </c>
      <c r="L1693" t="s">
        <v>25</v>
      </c>
      <c r="M1693" t="s">
        <v>19</v>
      </c>
      <c r="N1693">
        <v>1</v>
      </c>
      <c r="O1693">
        <v>973</v>
      </c>
      <c r="P1693">
        <v>1399</v>
      </c>
      <c r="Q1693">
        <v>0</v>
      </c>
      <c r="R1693">
        <v>0</v>
      </c>
      <c r="S1693">
        <v>1399</v>
      </c>
      <c r="T1693">
        <v>426</v>
      </c>
      <c r="U1693">
        <v>30.45</v>
      </c>
      <c r="V1693" t="s">
        <v>33</v>
      </c>
    </row>
    <row r="1694" spans="1:22" x14ac:dyDescent="0.35">
      <c r="A1694" t="s">
        <v>1119</v>
      </c>
      <c r="B1694" t="s">
        <v>86</v>
      </c>
      <c r="C1694" t="s">
        <v>27</v>
      </c>
      <c r="D1694" t="s">
        <v>1118</v>
      </c>
      <c r="E1694" t="s">
        <v>1117</v>
      </c>
      <c r="F1694" s="5">
        <v>45530</v>
      </c>
      <c r="G1694" t="s">
        <v>126</v>
      </c>
      <c r="H1694" t="s">
        <v>1116</v>
      </c>
      <c r="I1694" t="s">
        <v>17</v>
      </c>
      <c r="J1694" t="s">
        <v>253</v>
      </c>
      <c r="K1694" t="s">
        <v>72</v>
      </c>
      <c r="L1694" t="s">
        <v>25</v>
      </c>
      <c r="M1694" t="s">
        <v>19</v>
      </c>
      <c r="N1694">
        <v>5</v>
      </c>
      <c r="O1694">
        <v>271</v>
      </c>
      <c r="P1694">
        <v>399</v>
      </c>
      <c r="Q1694">
        <v>0</v>
      </c>
      <c r="R1694">
        <v>0</v>
      </c>
      <c r="S1694">
        <v>1995</v>
      </c>
      <c r="T1694">
        <v>640</v>
      </c>
      <c r="U1694">
        <v>32.08</v>
      </c>
      <c r="V1694" t="s">
        <v>21</v>
      </c>
    </row>
    <row r="1695" spans="1:22" x14ac:dyDescent="0.35">
      <c r="A1695" t="s">
        <v>1115</v>
      </c>
      <c r="B1695" t="s">
        <v>61</v>
      </c>
      <c r="C1695" t="s">
        <v>27</v>
      </c>
      <c r="D1695" t="s">
        <v>1114</v>
      </c>
      <c r="E1695" t="s">
        <v>961</v>
      </c>
      <c r="F1695" s="5">
        <v>45479</v>
      </c>
      <c r="G1695" t="s">
        <v>126</v>
      </c>
      <c r="H1695" t="s">
        <v>1113</v>
      </c>
      <c r="I1695" t="s">
        <v>35</v>
      </c>
      <c r="J1695" t="s">
        <v>244</v>
      </c>
      <c r="K1695" t="s">
        <v>58</v>
      </c>
      <c r="L1695" t="s">
        <v>19</v>
      </c>
      <c r="M1695" t="s">
        <v>20</v>
      </c>
      <c r="N1695">
        <v>2</v>
      </c>
      <c r="O1695">
        <v>946</v>
      </c>
      <c r="P1695">
        <v>1699</v>
      </c>
      <c r="Q1695">
        <v>10</v>
      </c>
      <c r="R1695">
        <v>400</v>
      </c>
      <c r="S1695">
        <v>2998</v>
      </c>
      <c r="T1695">
        <v>1106</v>
      </c>
      <c r="U1695">
        <v>36.89</v>
      </c>
      <c r="V1695" t="s">
        <v>21</v>
      </c>
    </row>
    <row r="1696" spans="1:22" x14ac:dyDescent="0.35">
      <c r="A1696" t="s">
        <v>1112</v>
      </c>
      <c r="B1696" t="s">
        <v>69</v>
      </c>
      <c r="C1696" t="s">
        <v>16</v>
      </c>
      <c r="D1696" t="s">
        <v>1111</v>
      </c>
      <c r="E1696" t="s">
        <v>1110</v>
      </c>
      <c r="F1696" s="5">
        <v>45462</v>
      </c>
      <c r="G1696" t="s">
        <v>126</v>
      </c>
      <c r="H1696" t="s">
        <v>1109</v>
      </c>
      <c r="I1696" t="s">
        <v>23</v>
      </c>
      <c r="J1696" t="s">
        <v>142</v>
      </c>
      <c r="K1696" t="s">
        <v>43</v>
      </c>
      <c r="L1696" t="s">
        <v>37</v>
      </c>
      <c r="M1696" t="s">
        <v>19</v>
      </c>
      <c r="N1696">
        <v>4</v>
      </c>
      <c r="O1696">
        <v>2759</v>
      </c>
      <c r="P1696">
        <v>4299</v>
      </c>
      <c r="Q1696">
        <v>5</v>
      </c>
      <c r="R1696">
        <v>1200</v>
      </c>
      <c r="S1696">
        <v>15996</v>
      </c>
      <c r="T1696">
        <v>4960</v>
      </c>
      <c r="U1696">
        <v>31.01</v>
      </c>
      <c r="V1696" t="s">
        <v>21</v>
      </c>
    </row>
    <row r="1697" spans="1:22" x14ac:dyDescent="0.35">
      <c r="A1697" t="s">
        <v>1108</v>
      </c>
      <c r="B1697" t="s">
        <v>51</v>
      </c>
      <c r="C1697" t="s">
        <v>16</v>
      </c>
      <c r="D1697" t="s">
        <v>1107</v>
      </c>
      <c r="E1697" t="s">
        <v>1106</v>
      </c>
      <c r="F1697" s="5">
        <v>45632</v>
      </c>
      <c r="G1697" t="s">
        <v>126</v>
      </c>
      <c r="H1697" t="s">
        <v>1105</v>
      </c>
      <c r="I1697" t="s">
        <v>17</v>
      </c>
      <c r="J1697" t="s">
        <v>48</v>
      </c>
      <c r="K1697" t="s">
        <v>48</v>
      </c>
      <c r="L1697" t="s">
        <v>19</v>
      </c>
      <c r="M1697" t="s">
        <v>20</v>
      </c>
      <c r="N1697">
        <v>2</v>
      </c>
      <c r="O1697">
        <v>314</v>
      </c>
      <c r="P1697">
        <v>499</v>
      </c>
      <c r="Q1697">
        <v>0</v>
      </c>
      <c r="R1697">
        <v>0</v>
      </c>
      <c r="S1697">
        <v>998</v>
      </c>
      <c r="T1697">
        <v>370</v>
      </c>
      <c r="U1697">
        <v>37.07</v>
      </c>
      <c r="V1697" t="s">
        <v>21</v>
      </c>
    </row>
    <row r="1698" spans="1:22" x14ac:dyDescent="0.35">
      <c r="A1698" t="s">
        <v>1104</v>
      </c>
      <c r="B1698" t="s">
        <v>102</v>
      </c>
      <c r="C1698" t="s">
        <v>27</v>
      </c>
      <c r="D1698" t="s">
        <v>1103</v>
      </c>
      <c r="E1698" t="s">
        <v>1102</v>
      </c>
      <c r="F1698" s="5">
        <v>45515</v>
      </c>
      <c r="G1698" t="s">
        <v>126</v>
      </c>
      <c r="H1698" t="s">
        <v>125</v>
      </c>
      <c r="I1698" t="s">
        <v>17</v>
      </c>
      <c r="J1698" t="s">
        <v>235</v>
      </c>
      <c r="K1698" t="s">
        <v>18</v>
      </c>
      <c r="L1698" t="s">
        <v>25</v>
      </c>
      <c r="M1698" t="s">
        <v>20</v>
      </c>
      <c r="N1698">
        <v>1</v>
      </c>
      <c r="O1698">
        <v>322</v>
      </c>
      <c r="P1698">
        <v>499</v>
      </c>
      <c r="Q1698">
        <v>0</v>
      </c>
      <c r="R1698">
        <v>0</v>
      </c>
      <c r="S1698">
        <v>499</v>
      </c>
      <c r="T1698">
        <v>177</v>
      </c>
      <c r="U1698">
        <v>35.47</v>
      </c>
      <c r="V1698" t="s">
        <v>21</v>
      </c>
    </row>
    <row r="1699" spans="1:22" x14ac:dyDescent="0.35">
      <c r="A1699" t="s">
        <v>1101</v>
      </c>
      <c r="B1699" t="s">
        <v>106</v>
      </c>
      <c r="C1699" t="s">
        <v>27</v>
      </c>
      <c r="D1699" t="s">
        <v>1100</v>
      </c>
      <c r="E1699" t="s">
        <v>1099</v>
      </c>
      <c r="F1699" s="5">
        <v>45605</v>
      </c>
      <c r="G1699" t="s">
        <v>126</v>
      </c>
      <c r="H1699" t="s">
        <v>540</v>
      </c>
      <c r="I1699" t="s">
        <v>35</v>
      </c>
      <c r="J1699" t="s">
        <v>244</v>
      </c>
      <c r="K1699" t="s">
        <v>58</v>
      </c>
      <c r="L1699" t="s">
        <v>19</v>
      </c>
      <c r="M1699" t="s">
        <v>19</v>
      </c>
      <c r="N1699">
        <v>5</v>
      </c>
      <c r="O1699">
        <v>1124</v>
      </c>
      <c r="P1699">
        <v>1599</v>
      </c>
      <c r="Q1699">
        <v>5</v>
      </c>
      <c r="R1699">
        <v>500</v>
      </c>
      <c r="S1699">
        <v>7495</v>
      </c>
      <c r="T1699">
        <v>1875</v>
      </c>
      <c r="U1699">
        <v>25.02</v>
      </c>
      <c r="V1699" t="s">
        <v>21</v>
      </c>
    </row>
    <row r="1700" spans="1:22" x14ac:dyDescent="0.35">
      <c r="A1700" t="s">
        <v>1098</v>
      </c>
      <c r="B1700" t="s">
        <v>40</v>
      </c>
      <c r="C1700" t="s">
        <v>27</v>
      </c>
      <c r="D1700" t="s">
        <v>1097</v>
      </c>
      <c r="E1700" t="s">
        <v>1096</v>
      </c>
      <c r="F1700" s="5">
        <v>45539</v>
      </c>
      <c r="G1700" t="s">
        <v>126</v>
      </c>
      <c r="H1700" t="s">
        <v>1095</v>
      </c>
      <c r="I1700" t="s">
        <v>35</v>
      </c>
      <c r="J1700" t="s">
        <v>41</v>
      </c>
      <c r="K1700" t="s">
        <v>41</v>
      </c>
      <c r="L1700" t="s">
        <v>19</v>
      </c>
      <c r="M1700" t="s">
        <v>19</v>
      </c>
      <c r="N1700">
        <v>1</v>
      </c>
      <c r="O1700">
        <v>505</v>
      </c>
      <c r="P1700">
        <v>899</v>
      </c>
      <c r="Q1700">
        <v>10</v>
      </c>
      <c r="R1700">
        <v>100</v>
      </c>
      <c r="S1700">
        <v>799</v>
      </c>
      <c r="T1700">
        <v>294</v>
      </c>
      <c r="U1700">
        <v>36.799999999999997</v>
      </c>
      <c r="V1700" t="s">
        <v>33</v>
      </c>
    </row>
    <row r="1701" spans="1:22" x14ac:dyDescent="0.35">
      <c r="A1701" t="s">
        <v>1094</v>
      </c>
      <c r="B1701" t="s">
        <v>56</v>
      </c>
      <c r="C1701" t="s">
        <v>27</v>
      </c>
      <c r="D1701" t="s">
        <v>1093</v>
      </c>
      <c r="E1701" t="s">
        <v>1092</v>
      </c>
      <c r="F1701" s="5">
        <v>45491</v>
      </c>
      <c r="G1701" t="s">
        <v>126</v>
      </c>
      <c r="H1701" t="s">
        <v>210</v>
      </c>
      <c r="I1701" t="s">
        <v>31</v>
      </c>
      <c r="J1701" t="s">
        <v>32</v>
      </c>
      <c r="K1701" t="s">
        <v>32</v>
      </c>
      <c r="L1701" t="s">
        <v>37</v>
      </c>
      <c r="M1701" t="s">
        <v>19</v>
      </c>
      <c r="N1701">
        <v>1</v>
      </c>
      <c r="O1701">
        <v>830</v>
      </c>
      <c r="P1701">
        <v>1399</v>
      </c>
      <c r="Q1701">
        <v>0</v>
      </c>
      <c r="R1701">
        <v>0</v>
      </c>
      <c r="S1701">
        <v>1399</v>
      </c>
      <c r="T1701">
        <v>569</v>
      </c>
      <c r="U1701">
        <v>40.67</v>
      </c>
      <c r="V1701" t="s">
        <v>21</v>
      </c>
    </row>
    <row r="1702" spans="1:22" x14ac:dyDescent="0.35">
      <c r="A1702" t="s">
        <v>1091</v>
      </c>
      <c r="B1702" t="s">
        <v>52</v>
      </c>
      <c r="C1702" t="s">
        <v>27</v>
      </c>
      <c r="D1702" t="s">
        <v>1090</v>
      </c>
      <c r="E1702" t="s">
        <v>1089</v>
      </c>
      <c r="F1702" s="5">
        <v>45590</v>
      </c>
      <c r="G1702" t="s">
        <v>126</v>
      </c>
      <c r="H1702" t="s">
        <v>1088</v>
      </c>
      <c r="I1702" t="s">
        <v>23</v>
      </c>
      <c r="J1702" t="s">
        <v>164</v>
      </c>
      <c r="K1702" t="s">
        <v>24</v>
      </c>
      <c r="L1702" t="s">
        <v>37</v>
      </c>
      <c r="M1702" t="s">
        <v>20</v>
      </c>
      <c r="N1702">
        <v>5</v>
      </c>
      <c r="O1702">
        <v>670</v>
      </c>
      <c r="P1702">
        <v>899</v>
      </c>
      <c r="Q1702">
        <v>10</v>
      </c>
      <c r="R1702">
        <v>500</v>
      </c>
      <c r="S1702">
        <v>3995</v>
      </c>
      <c r="T1702">
        <v>645</v>
      </c>
      <c r="U1702">
        <v>16.149999999999999</v>
      </c>
      <c r="V1702" t="s">
        <v>33</v>
      </c>
    </row>
    <row r="1703" spans="1:22" x14ac:dyDescent="0.35">
      <c r="A1703" t="s">
        <v>1087</v>
      </c>
      <c r="B1703" t="s">
        <v>101</v>
      </c>
      <c r="C1703" t="s">
        <v>16</v>
      </c>
      <c r="D1703" t="s">
        <v>1086</v>
      </c>
      <c r="E1703" t="s">
        <v>1085</v>
      </c>
      <c r="F1703" s="5">
        <v>45642</v>
      </c>
      <c r="G1703" t="s">
        <v>126</v>
      </c>
      <c r="H1703" t="s">
        <v>1084</v>
      </c>
      <c r="I1703" t="s">
        <v>35</v>
      </c>
      <c r="J1703" t="s">
        <v>39</v>
      </c>
      <c r="K1703" t="s">
        <v>39</v>
      </c>
      <c r="L1703" t="s">
        <v>19</v>
      </c>
      <c r="M1703" t="s">
        <v>19</v>
      </c>
      <c r="N1703">
        <v>2</v>
      </c>
      <c r="O1703">
        <v>959</v>
      </c>
      <c r="P1703">
        <v>1299</v>
      </c>
      <c r="Q1703">
        <v>20</v>
      </c>
      <c r="R1703">
        <v>600</v>
      </c>
      <c r="S1703">
        <v>1998</v>
      </c>
      <c r="T1703">
        <v>80</v>
      </c>
      <c r="U1703">
        <v>4</v>
      </c>
      <c r="V1703" t="s">
        <v>21</v>
      </c>
    </row>
    <row r="1704" spans="1:22" x14ac:dyDescent="0.35">
      <c r="A1704" t="s">
        <v>1083</v>
      </c>
      <c r="B1704" t="s">
        <v>88</v>
      </c>
      <c r="C1704" t="s">
        <v>27</v>
      </c>
      <c r="D1704" t="s">
        <v>1082</v>
      </c>
      <c r="E1704" t="s">
        <v>1081</v>
      </c>
      <c r="F1704" s="5">
        <v>45591</v>
      </c>
      <c r="G1704" t="s">
        <v>126</v>
      </c>
      <c r="H1704" t="s">
        <v>371</v>
      </c>
      <c r="I1704" t="s">
        <v>17</v>
      </c>
      <c r="J1704" t="s">
        <v>55</v>
      </c>
      <c r="K1704" t="s">
        <v>55</v>
      </c>
      <c r="L1704" t="s">
        <v>37</v>
      </c>
      <c r="M1704" t="s">
        <v>19</v>
      </c>
      <c r="N1704">
        <v>1</v>
      </c>
      <c r="O1704">
        <v>594</v>
      </c>
      <c r="P1704">
        <v>799</v>
      </c>
      <c r="Q1704">
        <v>0</v>
      </c>
      <c r="R1704">
        <v>0</v>
      </c>
      <c r="S1704">
        <v>799</v>
      </c>
      <c r="T1704">
        <v>205</v>
      </c>
      <c r="U1704">
        <v>25.66</v>
      </c>
      <c r="V1704" t="s">
        <v>21</v>
      </c>
    </row>
    <row r="1705" spans="1:22" x14ac:dyDescent="0.35">
      <c r="A1705" t="s">
        <v>1080</v>
      </c>
      <c r="B1705" t="s">
        <v>63</v>
      </c>
      <c r="C1705" t="s">
        <v>27</v>
      </c>
      <c r="D1705" t="s">
        <v>1079</v>
      </c>
      <c r="E1705" t="s">
        <v>1078</v>
      </c>
      <c r="F1705" s="5">
        <v>45590</v>
      </c>
      <c r="G1705" t="s">
        <v>126</v>
      </c>
      <c r="H1705" t="s">
        <v>1077</v>
      </c>
      <c r="I1705" t="s">
        <v>17</v>
      </c>
      <c r="J1705" t="s">
        <v>55</v>
      </c>
      <c r="K1705" t="s">
        <v>55</v>
      </c>
      <c r="L1705" t="s">
        <v>19</v>
      </c>
      <c r="M1705" t="s">
        <v>19</v>
      </c>
      <c r="N1705">
        <v>1</v>
      </c>
      <c r="O1705">
        <v>341</v>
      </c>
      <c r="P1705">
        <v>499</v>
      </c>
      <c r="Q1705">
        <v>0</v>
      </c>
      <c r="R1705">
        <v>0</v>
      </c>
      <c r="S1705">
        <v>499</v>
      </c>
      <c r="T1705">
        <v>158</v>
      </c>
      <c r="U1705">
        <v>31.66</v>
      </c>
      <c r="V1705" t="s">
        <v>21</v>
      </c>
    </row>
    <row r="1706" spans="1:22" x14ac:dyDescent="0.35">
      <c r="A1706" t="s">
        <v>1076</v>
      </c>
      <c r="B1706" t="s">
        <v>67</v>
      </c>
      <c r="C1706" t="s">
        <v>27</v>
      </c>
      <c r="D1706" t="s">
        <v>1075</v>
      </c>
      <c r="E1706" t="s">
        <v>1074</v>
      </c>
      <c r="F1706" s="5">
        <v>45467</v>
      </c>
      <c r="G1706" t="s">
        <v>126</v>
      </c>
      <c r="H1706" t="s">
        <v>1073</v>
      </c>
      <c r="I1706" t="s">
        <v>23</v>
      </c>
      <c r="J1706" t="s">
        <v>142</v>
      </c>
      <c r="K1706" t="s">
        <v>43</v>
      </c>
      <c r="L1706" t="s">
        <v>19</v>
      </c>
      <c r="M1706" t="s">
        <v>19</v>
      </c>
      <c r="N1706">
        <v>3</v>
      </c>
      <c r="O1706">
        <v>2044</v>
      </c>
      <c r="P1706">
        <v>2799</v>
      </c>
      <c r="Q1706">
        <v>10</v>
      </c>
      <c r="R1706">
        <v>900</v>
      </c>
      <c r="S1706">
        <v>7497</v>
      </c>
      <c r="T1706">
        <v>1365</v>
      </c>
      <c r="U1706">
        <v>18.21</v>
      </c>
      <c r="V1706" t="s">
        <v>21</v>
      </c>
    </row>
    <row r="1707" spans="1:22" x14ac:dyDescent="0.35">
      <c r="A1707" t="s">
        <v>1072</v>
      </c>
      <c r="B1707" t="s">
        <v>104</v>
      </c>
      <c r="C1707" t="s">
        <v>27</v>
      </c>
      <c r="D1707" t="s">
        <v>1071</v>
      </c>
      <c r="E1707" t="s">
        <v>1070</v>
      </c>
      <c r="F1707" s="5">
        <v>45482</v>
      </c>
      <c r="G1707" t="s">
        <v>126</v>
      </c>
      <c r="H1707" t="s">
        <v>1069</v>
      </c>
      <c r="I1707" t="s">
        <v>31</v>
      </c>
      <c r="J1707" t="s">
        <v>76</v>
      </c>
      <c r="K1707" t="s">
        <v>76</v>
      </c>
      <c r="L1707" t="s">
        <v>19</v>
      </c>
      <c r="M1707" t="s">
        <v>20</v>
      </c>
      <c r="N1707">
        <v>5</v>
      </c>
      <c r="O1707">
        <v>1049</v>
      </c>
      <c r="P1707">
        <v>1499</v>
      </c>
      <c r="Q1707">
        <v>0</v>
      </c>
      <c r="R1707">
        <v>0</v>
      </c>
      <c r="S1707">
        <v>7495</v>
      </c>
      <c r="T1707">
        <v>2250</v>
      </c>
      <c r="U1707">
        <v>30.02</v>
      </c>
      <c r="V1707" t="s">
        <v>33</v>
      </c>
    </row>
    <row r="1708" spans="1:22" x14ac:dyDescent="0.35">
      <c r="A1708" t="s">
        <v>1068</v>
      </c>
      <c r="B1708" t="s">
        <v>78</v>
      </c>
      <c r="C1708" t="s">
        <v>16</v>
      </c>
      <c r="D1708" t="s">
        <v>1067</v>
      </c>
      <c r="E1708" t="s">
        <v>1066</v>
      </c>
      <c r="F1708" s="5">
        <v>45450</v>
      </c>
      <c r="G1708" t="s">
        <v>126</v>
      </c>
      <c r="H1708" t="s">
        <v>1065</v>
      </c>
      <c r="I1708" t="s">
        <v>28</v>
      </c>
      <c r="J1708" t="s">
        <v>45</v>
      </c>
      <c r="K1708" t="s">
        <v>45</v>
      </c>
      <c r="L1708" t="s">
        <v>37</v>
      </c>
      <c r="M1708" t="s">
        <v>19</v>
      </c>
      <c r="N1708">
        <v>2</v>
      </c>
      <c r="O1708">
        <v>550</v>
      </c>
      <c r="P1708">
        <v>899</v>
      </c>
      <c r="Q1708">
        <v>10</v>
      </c>
      <c r="R1708">
        <v>200</v>
      </c>
      <c r="S1708">
        <v>1598</v>
      </c>
      <c r="T1708">
        <v>498</v>
      </c>
      <c r="U1708">
        <v>31.16</v>
      </c>
      <c r="V1708" t="s">
        <v>21</v>
      </c>
    </row>
    <row r="1709" spans="1:22" x14ac:dyDescent="0.35">
      <c r="A1709" t="s">
        <v>1064</v>
      </c>
      <c r="B1709" t="s">
        <v>68</v>
      </c>
      <c r="C1709" t="s">
        <v>16</v>
      </c>
      <c r="D1709" t="s">
        <v>1063</v>
      </c>
      <c r="E1709" t="s">
        <v>1062</v>
      </c>
      <c r="F1709" s="5">
        <v>45580</v>
      </c>
      <c r="G1709" t="s">
        <v>126</v>
      </c>
      <c r="H1709" t="s">
        <v>1061</v>
      </c>
      <c r="I1709" t="s">
        <v>35</v>
      </c>
      <c r="J1709" t="s">
        <v>214</v>
      </c>
      <c r="K1709" t="s">
        <v>50</v>
      </c>
      <c r="L1709" t="s">
        <v>19</v>
      </c>
      <c r="M1709" t="s">
        <v>19</v>
      </c>
      <c r="N1709">
        <v>5</v>
      </c>
      <c r="O1709">
        <v>788</v>
      </c>
      <c r="P1709">
        <v>1099</v>
      </c>
      <c r="Q1709">
        <v>5</v>
      </c>
      <c r="R1709">
        <v>500</v>
      </c>
      <c r="S1709">
        <v>4995</v>
      </c>
      <c r="T1709">
        <v>1055</v>
      </c>
      <c r="U1709">
        <v>21.12</v>
      </c>
      <c r="V1709" t="s">
        <v>21</v>
      </c>
    </row>
    <row r="1710" spans="1:22" x14ac:dyDescent="0.35">
      <c r="A1710" t="s">
        <v>1060</v>
      </c>
      <c r="B1710" t="s">
        <v>51</v>
      </c>
      <c r="C1710" t="s">
        <v>16</v>
      </c>
      <c r="D1710" t="s">
        <v>1059</v>
      </c>
      <c r="E1710" t="s">
        <v>1058</v>
      </c>
      <c r="F1710" s="5">
        <v>45529</v>
      </c>
      <c r="G1710" t="s">
        <v>126</v>
      </c>
      <c r="H1710" t="s">
        <v>1057</v>
      </c>
      <c r="I1710" t="s">
        <v>31</v>
      </c>
      <c r="J1710" t="s">
        <v>32</v>
      </c>
      <c r="K1710" t="s">
        <v>32</v>
      </c>
      <c r="L1710" t="s">
        <v>19</v>
      </c>
      <c r="M1710" t="s">
        <v>20</v>
      </c>
      <c r="N1710">
        <v>2</v>
      </c>
      <c r="O1710">
        <v>584</v>
      </c>
      <c r="P1710">
        <v>899</v>
      </c>
      <c r="Q1710">
        <v>0</v>
      </c>
      <c r="R1710">
        <v>0</v>
      </c>
      <c r="S1710">
        <v>1798</v>
      </c>
      <c r="T1710">
        <v>630</v>
      </c>
      <c r="U1710">
        <v>35.04</v>
      </c>
      <c r="V1710" t="s">
        <v>33</v>
      </c>
    </row>
    <row r="1711" spans="1:22" x14ac:dyDescent="0.35">
      <c r="A1711" t="s">
        <v>1056</v>
      </c>
      <c r="B1711" t="s">
        <v>91</v>
      </c>
      <c r="C1711" t="s">
        <v>16</v>
      </c>
      <c r="D1711" t="s">
        <v>1055</v>
      </c>
      <c r="E1711" t="s">
        <v>1054</v>
      </c>
      <c r="F1711" s="5">
        <v>45602</v>
      </c>
      <c r="G1711" t="s">
        <v>126</v>
      </c>
      <c r="H1711" t="s">
        <v>337</v>
      </c>
      <c r="I1711" t="s">
        <v>23</v>
      </c>
      <c r="J1711" t="s">
        <v>164</v>
      </c>
      <c r="K1711" t="s">
        <v>24</v>
      </c>
      <c r="L1711" t="s">
        <v>37</v>
      </c>
      <c r="M1711" t="s">
        <v>20</v>
      </c>
      <c r="N1711">
        <v>1</v>
      </c>
      <c r="O1711">
        <v>961</v>
      </c>
      <c r="P1711">
        <v>1399</v>
      </c>
      <c r="Q1711">
        <v>10</v>
      </c>
      <c r="R1711">
        <v>200</v>
      </c>
      <c r="S1711">
        <v>1199</v>
      </c>
      <c r="T1711">
        <v>238</v>
      </c>
      <c r="U1711">
        <v>19.850000000000001</v>
      </c>
      <c r="V1711" t="s">
        <v>21</v>
      </c>
    </row>
    <row r="1712" spans="1:22" x14ac:dyDescent="0.35">
      <c r="A1712" t="s">
        <v>1053</v>
      </c>
      <c r="B1712" t="s">
        <v>107</v>
      </c>
      <c r="C1712" t="s">
        <v>27</v>
      </c>
      <c r="D1712" t="s">
        <v>1052</v>
      </c>
      <c r="E1712" t="s">
        <v>1051</v>
      </c>
      <c r="F1712" s="5">
        <v>45640</v>
      </c>
      <c r="G1712" t="s">
        <v>126</v>
      </c>
      <c r="H1712" t="s">
        <v>1050</v>
      </c>
      <c r="I1712" t="s">
        <v>23</v>
      </c>
      <c r="J1712" t="s">
        <v>142</v>
      </c>
      <c r="K1712" t="s">
        <v>43</v>
      </c>
      <c r="L1712" t="s">
        <v>19</v>
      </c>
      <c r="M1712" t="s">
        <v>19</v>
      </c>
      <c r="N1712">
        <v>1</v>
      </c>
      <c r="O1712">
        <v>1316</v>
      </c>
      <c r="P1712">
        <v>2199</v>
      </c>
      <c r="Q1712">
        <v>5</v>
      </c>
      <c r="R1712">
        <v>200</v>
      </c>
      <c r="S1712">
        <v>1999</v>
      </c>
      <c r="T1712">
        <v>683</v>
      </c>
      <c r="U1712">
        <v>34.17</v>
      </c>
      <c r="V1712" t="s">
        <v>33</v>
      </c>
    </row>
    <row r="1713" spans="1:22" x14ac:dyDescent="0.35">
      <c r="A1713" t="s">
        <v>1049</v>
      </c>
      <c r="B1713" t="s">
        <v>91</v>
      </c>
      <c r="C1713" t="s">
        <v>16</v>
      </c>
      <c r="D1713" t="s">
        <v>1048</v>
      </c>
      <c r="E1713" t="s">
        <v>1047</v>
      </c>
      <c r="F1713" s="5">
        <v>45508</v>
      </c>
      <c r="G1713" t="s">
        <v>126</v>
      </c>
      <c r="H1713" t="s">
        <v>294</v>
      </c>
      <c r="I1713" t="s">
        <v>17</v>
      </c>
      <c r="J1713" t="s">
        <v>253</v>
      </c>
      <c r="K1713" t="s">
        <v>72</v>
      </c>
      <c r="L1713" t="s">
        <v>25</v>
      </c>
      <c r="M1713" t="s">
        <v>19</v>
      </c>
      <c r="N1713">
        <v>5</v>
      </c>
      <c r="O1713">
        <v>313</v>
      </c>
      <c r="P1713">
        <v>499</v>
      </c>
      <c r="Q1713">
        <v>0</v>
      </c>
      <c r="R1713">
        <v>0</v>
      </c>
      <c r="S1713">
        <v>2495</v>
      </c>
      <c r="T1713">
        <v>930</v>
      </c>
      <c r="U1713">
        <v>37.270000000000003</v>
      </c>
      <c r="V1713" t="s">
        <v>21</v>
      </c>
    </row>
    <row r="1714" spans="1:22" x14ac:dyDescent="0.35">
      <c r="A1714" t="s">
        <v>1046</v>
      </c>
      <c r="B1714" t="s">
        <v>57</v>
      </c>
      <c r="C1714" t="s">
        <v>27</v>
      </c>
      <c r="D1714" t="s">
        <v>1045</v>
      </c>
      <c r="E1714" t="s">
        <v>1044</v>
      </c>
      <c r="F1714" s="5">
        <v>45644</v>
      </c>
      <c r="G1714" t="s">
        <v>126</v>
      </c>
      <c r="H1714" t="s">
        <v>1043</v>
      </c>
      <c r="I1714" t="s">
        <v>31</v>
      </c>
      <c r="J1714" t="s">
        <v>76</v>
      </c>
      <c r="K1714" t="s">
        <v>76</v>
      </c>
      <c r="L1714" t="s">
        <v>19</v>
      </c>
      <c r="M1714" t="s">
        <v>20</v>
      </c>
      <c r="N1714">
        <v>1</v>
      </c>
      <c r="O1714">
        <v>556</v>
      </c>
      <c r="P1714">
        <v>799</v>
      </c>
      <c r="Q1714">
        <v>0</v>
      </c>
      <c r="R1714">
        <v>0</v>
      </c>
      <c r="S1714">
        <v>799</v>
      </c>
      <c r="T1714">
        <v>243</v>
      </c>
      <c r="U1714">
        <v>30.41</v>
      </c>
      <c r="V1714" t="s">
        <v>21</v>
      </c>
    </row>
    <row r="1715" spans="1:22" x14ac:dyDescent="0.35">
      <c r="A1715" t="s">
        <v>1042</v>
      </c>
      <c r="B1715" t="s">
        <v>91</v>
      </c>
      <c r="C1715" t="s">
        <v>16</v>
      </c>
      <c r="D1715" t="s">
        <v>1041</v>
      </c>
      <c r="E1715" t="s">
        <v>1040</v>
      </c>
      <c r="F1715" s="5">
        <v>45616</v>
      </c>
      <c r="G1715" t="s">
        <v>126</v>
      </c>
      <c r="H1715" t="s">
        <v>536</v>
      </c>
      <c r="I1715" t="s">
        <v>28</v>
      </c>
      <c r="J1715" t="s">
        <v>45</v>
      </c>
      <c r="K1715" t="s">
        <v>45</v>
      </c>
      <c r="L1715" t="s">
        <v>19</v>
      </c>
      <c r="M1715" t="s">
        <v>19</v>
      </c>
      <c r="N1715">
        <v>1</v>
      </c>
      <c r="O1715">
        <v>580</v>
      </c>
      <c r="P1715">
        <v>899</v>
      </c>
      <c r="Q1715">
        <v>10</v>
      </c>
      <c r="R1715">
        <v>100</v>
      </c>
      <c r="S1715">
        <v>799</v>
      </c>
      <c r="T1715">
        <v>219</v>
      </c>
      <c r="U1715">
        <v>27.41</v>
      </c>
      <c r="V1715" t="s">
        <v>21</v>
      </c>
    </row>
    <row r="1716" spans="1:22" x14ac:dyDescent="0.35">
      <c r="A1716" t="s">
        <v>1039</v>
      </c>
      <c r="B1716" t="s">
        <v>49</v>
      </c>
      <c r="C1716" t="s">
        <v>27</v>
      </c>
      <c r="D1716" t="s">
        <v>1038</v>
      </c>
      <c r="E1716" t="s">
        <v>1037</v>
      </c>
      <c r="F1716" s="5">
        <v>45519</v>
      </c>
      <c r="G1716" t="s">
        <v>126</v>
      </c>
      <c r="H1716" t="s">
        <v>1036</v>
      </c>
      <c r="I1716" t="s">
        <v>31</v>
      </c>
      <c r="J1716" t="s">
        <v>32</v>
      </c>
      <c r="K1716" t="s">
        <v>32</v>
      </c>
      <c r="L1716" t="s">
        <v>19</v>
      </c>
      <c r="M1716" t="s">
        <v>20</v>
      </c>
      <c r="N1716">
        <v>1</v>
      </c>
      <c r="O1716">
        <v>764</v>
      </c>
      <c r="P1716">
        <v>1499</v>
      </c>
      <c r="Q1716">
        <v>0</v>
      </c>
      <c r="R1716">
        <v>0</v>
      </c>
      <c r="S1716">
        <v>1499</v>
      </c>
      <c r="T1716">
        <v>735</v>
      </c>
      <c r="U1716">
        <v>49.03</v>
      </c>
      <c r="V1716" t="s">
        <v>33</v>
      </c>
    </row>
    <row r="1717" spans="1:22" x14ac:dyDescent="0.35">
      <c r="A1717" t="s">
        <v>1035</v>
      </c>
      <c r="B1717" t="s">
        <v>53</v>
      </c>
      <c r="C1717" t="s">
        <v>27</v>
      </c>
      <c r="D1717" t="s">
        <v>1034</v>
      </c>
      <c r="E1717" t="s">
        <v>1033</v>
      </c>
      <c r="F1717" s="5">
        <v>45458</v>
      </c>
      <c r="G1717" t="s">
        <v>126</v>
      </c>
      <c r="H1717" t="s">
        <v>1032</v>
      </c>
      <c r="I1717" t="s">
        <v>31</v>
      </c>
      <c r="J1717" t="s">
        <v>76</v>
      </c>
      <c r="K1717" t="s">
        <v>76</v>
      </c>
      <c r="L1717" t="s">
        <v>19</v>
      </c>
      <c r="M1717" t="s">
        <v>20</v>
      </c>
      <c r="N1717">
        <v>3</v>
      </c>
      <c r="O1717">
        <v>958</v>
      </c>
      <c r="P1717">
        <v>1499</v>
      </c>
      <c r="Q1717">
        <v>0</v>
      </c>
      <c r="R1717">
        <v>0</v>
      </c>
      <c r="S1717">
        <v>4497</v>
      </c>
      <c r="T1717">
        <v>1623</v>
      </c>
      <c r="U1717">
        <v>36.090000000000003</v>
      </c>
      <c r="V1717" t="s">
        <v>21</v>
      </c>
    </row>
    <row r="1718" spans="1:22" x14ac:dyDescent="0.35">
      <c r="A1718" t="s">
        <v>1031</v>
      </c>
      <c r="B1718" t="s">
        <v>49</v>
      </c>
      <c r="C1718" t="s">
        <v>27</v>
      </c>
      <c r="D1718" t="s">
        <v>1030</v>
      </c>
      <c r="E1718" t="s">
        <v>1029</v>
      </c>
      <c r="F1718" s="5">
        <v>45579</v>
      </c>
      <c r="G1718" t="s">
        <v>126</v>
      </c>
      <c r="H1718" t="s">
        <v>1028</v>
      </c>
      <c r="I1718" t="s">
        <v>35</v>
      </c>
      <c r="J1718" t="s">
        <v>214</v>
      </c>
      <c r="K1718" t="s">
        <v>87</v>
      </c>
      <c r="L1718" t="s">
        <v>37</v>
      </c>
      <c r="M1718" t="s">
        <v>20</v>
      </c>
      <c r="N1718">
        <v>1</v>
      </c>
      <c r="O1718">
        <v>2612</v>
      </c>
      <c r="P1718">
        <v>3799</v>
      </c>
      <c r="Q1718">
        <v>20</v>
      </c>
      <c r="R1718">
        <v>800</v>
      </c>
      <c r="S1718">
        <v>2999</v>
      </c>
      <c r="T1718">
        <v>387</v>
      </c>
      <c r="U1718">
        <v>12.9</v>
      </c>
      <c r="V1718" t="s">
        <v>33</v>
      </c>
    </row>
    <row r="1719" spans="1:22" x14ac:dyDescent="0.35">
      <c r="A1719" t="s">
        <v>1027</v>
      </c>
      <c r="B1719" t="s">
        <v>86</v>
      </c>
      <c r="C1719" t="s">
        <v>27</v>
      </c>
      <c r="D1719" t="s">
        <v>1026</v>
      </c>
      <c r="E1719" t="s">
        <v>1025</v>
      </c>
      <c r="F1719" s="5">
        <v>45600</v>
      </c>
      <c r="G1719" t="s">
        <v>126</v>
      </c>
      <c r="H1719" t="s">
        <v>1024</v>
      </c>
      <c r="I1719" t="s">
        <v>28</v>
      </c>
      <c r="J1719" t="s">
        <v>201</v>
      </c>
      <c r="K1719" t="s">
        <v>29</v>
      </c>
      <c r="L1719" t="s">
        <v>19</v>
      </c>
      <c r="M1719" t="s">
        <v>20</v>
      </c>
      <c r="N1719">
        <v>2</v>
      </c>
      <c r="O1719">
        <v>286</v>
      </c>
      <c r="P1719">
        <v>499</v>
      </c>
      <c r="Q1719">
        <v>15</v>
      </c>
      <c r="R1719">
        <v>200</v>
      </c>
      <c r="S1719">
        <v>798</v>
      </c>
      <c r="T1719">
        <v>226</v>
      </c>
      <c r="U1719">
        <v>28.32</v>
      </c>
      <c r="V1719" t="s">
        <v>21</v>
      </c>
    </row>
    <row r="1720" spans="1:22" x14ac:dyDescent="0.35">
      <c r="A1720" t="s">
        <v>1023</v>
      </c>
      <c r="B1720" t="s">
        <v>22</v>
      </c>
      <c r="C1720" t="s">
        <v>16</v>
      </c>
      <c r="D1720" t="s">
        <v>1022</v>
      </c>
      <c r="E1720" t="s">
        <v>1021</v>
      </c>
      <c r="F1720" s="5">
        <v>45562</v>
      </c>
      <c r="G1720" t="s">
        <v>126</v>
      </c>
      <c r="H1720" t="s">
        <v>1020</v>
      </c>
      <c r="I1720" t="s">
        <v>17</v>
      </c>
      <c r="J1720" t="s">
        <v>235</v>
      </c>
      <c r="K1720" t="s">
        <v>18</v>
      </c>
      <c r="L1720" t="s">
        <v>25</v>
      </c>
      <c r="M1720" t="s">
        <v>19</v>
      </c>
      <c r="N1720">
        <v>1</v>
      </c>
      <c r="O1720">
        <v>298</v>
      </c>
      <c r="P1720">
        <v>499</v>
      </c>
      <c r="Q1720">
        <v>0</v>
      </c>
      <c r="R1720">
        <v>0</v>
      </c>
      <c r="S1720">
        <v>499</v>
      </c>
      <c r="T1720">
        <v>201</v>
      </c>
      <c r="U1720">
        <v>40.28</v>
      </c>
      <c r="V1720" t="s">
        <v>21</v>
      </c>
    </row>
    <row r="1721" spans="1:22" x14ac:dyDescent="0.35">
      <c r="A1721" t="s">
        <v>1019</v>
      </c>
      <c r="B1721" t="s">
        <v>79</v>
      </c>
      <c r="C1721" t="s">
        <v>16</v>
      </c>
      <c r="D1721" t="s">
        <v>1018</v>
      </c>
      <c r="E1721" t="s">
        <v>1017</v>
      </c>
      <c r="F1721" s="5">
        <v>45506</v>
      </c>
      <c r="G1721" t="s">
        <v>126</v>
      </c>
      <c r="H1721" t="s">
        <v>353</v>
      </c>
      <c r="I1721" t="s">
        <v>35</v>
      </c>
      <c r="J1721" t="s">
        <v>214</v>
      </c>
      <c r="K1721" t="s">
        <v>87</v>
      </c>
      <c r="L1721" t="s">
        <v>37</v>
      </c>
      <c r="M1721" t="s">
        <v>20</v>
      </c>
      <c r="N1721">
        <v>3</v>
      </c>
      <c r="O1721">
        <v>1781</v>
      </c>
      <c r="P1721">
        <v>2699</v>
      </c>
      <c r="Q1721">
        <v>5</v>
      </c>
      <c r="R1721">
        <v>600</v>
      </c>
      <c r="S1721">
        <v>7497</v>
      </c>
      <c r="T1721">
        <v>2154</v>
      </c>
      <c r="U1721">
        <v>28.73</v>
      </c>
      <c r="V1721" t="s">
        <v>21</v>
      </c>
    </row>
    <row r="1722" spans="1:22" x14ac:dyDescent="0.35">
      <c r="A1722" t="s">
        <v>1016</v>
      </c>
      <c r="B1722" t="s">
        <v>94</v>
      </c>
      <c r="C1722" t="s">
        <v>16</v>
      </c>
      <c r="D1722" t="s">
        <v>1015</v>
      </c>
      <c r="E1722" t="s">
        <v>1014</v>
      </c>
      <c r="F1722" s="5">
        <v>45458</v>
      </c>
      <c r="G1722" t="s">
        <v>126</v>
      </c>
      <c r="H1722" t="s">
        <v>1013</v>
      </c>
      <c r="I1722" t="s">
        <v>31</v>
      </c>
      <c r="J1722" t="s">
        <v>76</v>
      </c>
      <c r="K1722" t="s">
        <v>76</v>
      </c>
      <c r="L1722" t="s">
        <v>19</v>
      </c>
      <c r="M1722" t="s">
        <v>19</v>
      </c>
      <c r="N1722">
        <v>1</v>
      </c>
      <c r="O1722">
        <v>562</v>
      </c>
      <c r="P1722">
        <v>799</v>
      </c>
      <c r="Q1722">
        <v>0</v>
      </c>
      <c r="R1722">
        <v>0</v>
      </c>
      <c r="S1722">
        <v>799</v>
      </c>
      <c r="T1722">
        <v>237</v>
      </c>
      <c r="U1722">
        <v>29.66</v>
      </c>
      <c r="V1722" t="s">
        <v>21</v>
      </c>
    </row>
    <row r="1723" spans="1:22" x14ac:dyDescent="0.35">
      <c r="A1723" t="s">
        <v>1012</v>
      </c>
      <c r="B1723" t="s">
        <v>79</v>
      </c>
      <c r="C1723" t="s">
        <v>16</v>
      </c>
      <c r="D1723" t="s">
        <v>1011</v>
      </c>
      <c r="E1723" t="s">
        <v>1010</v>
      </c>
      <c r="F1723" s="5">
        <v>45617</v>
      </c>
      <c r="G1723" t="s">
        <v>126</v>
      </c>
      <c r="H1723" t="s">
        <v>928</v>
      </c>
      <c r="I1723" t="s">
        <v>23</v>
      </c>
      <c r="J1723" t="s">
        <v>142</v>
      </c>
      <c r="K1723" t="s">
        <v>43</v>
      </c>
      <c r="L1723" t="s">
        <v>37</v>
      </c>
      <c r="M1723" t="s">
        <v>20</v>
      </c>
      <c r="N1723">
        <v>3</v>
      </c>
      <c r="O1723">
        <v>2483</v>
      </c>
      <c r="P1723">
        <v>4399</v>
      </c>
      <c r="Q1723">
        <v>20</v>
      </c>
      <c r="R1723">
        <v>2700</v>
      </c>
      <c r="S1723">
        <v>10497</v>
      </c>
      <c r="T1723">
        <v>3048</v>
      </c>
      <c r="U1723">
        <v>29.04</v>
      </c>
      <c r="V1723" t="s">
        <v>33</v>
      </c>
    </row>
    <row r="1724" spans="1:22" x14ac:dyDescent="0.35">
      <c r="A1724" t="s">
        <v>1009</v>
      </c>
      <c r="B1724" t="s">
        <v>15</v>
      </c>
      <c r="C1724" t="s">
        <v>16</v>
      </c>
      <c r="D1724" t="s">
        <v>1008</v>
      </c>
      <c r="E1724" t="s">
        <v>1007</v>
      </c>
      <c r="F1724" s="5">
        <v>45636</v>
      </c>
      <c r="G1724" t="s">
        <v>126</v>
      </c>
      <c r="H1724" t="s">
        <v>1006</v>
      </c>
      <c r="I1724" t="s">
        <v>23</v>
      </c>
      <c r="J1724" t="s">
        <v>164</v>
      </c>
      <c r="K1724" t="s">
        <v>24</v>
      </c>
      <c r="L1724" t="s">
        <v>37</v>
      </c>
      <c r="M1724" t="s">
        <v>20</v>
      </c>
      <c r="N1724">
        <v>1</v>
      </c>
      <c r="O1724">
        <v>1057</v>
      </c>
      <c r="P1724">
        <v>1599</v>
      </c>
      <c r="Q1724">
        <v>5</v>
      </c>
      <c r="R1724">
        <v>100</v>
      </c>
      <c r="S1724">
        <v>1499</v>
      </c>
      <c r="T1724">
        <v>442</v>
      </c>
      <c r="U1724">
        <v>29.49</v>
      </c>
      <c r="V1724" t="s">
        <v>21</v>
      </c>
    </row>
    <row r="1725" spans="1:22" x14ac:dyDescent="0.35">
      <c r="A1725" t="s">
        <v>1005</v>
      </c>
      <c r="B1725" t="s">
        <v>47</v>
      </c>
      <c r="C1725" t="s">
        <v>16</v>
      </c>
      <c r="D1725" t="s">
        <v>1004</v>
      </c>
      <c r="E1725" t="s">
        <v>1003</v>
      </c>
      <c r="F1725" s="5">
        <v>45625</v>
      </c>
      <c r="G1725" t="s">
        <v>126</v>
      </c>
      <c r="H1725" t="s">
        <v>1002</v>
      </c>
      <c r="I1725" t="s">
        <v>28</v>
      </c>
      <c r="J1725" t="s">
        <v>201</v>
      </c>
      <c r="K1725" t="s">
        <v>29</v>
      </c>
      <c r="L1725" t="s">
        <v>19</v>
      </c>
      <c r="M1725" t="s">
        <v>19</v>
      </c>
      <c r="N1725">
        <v>2</v>
      </c>
      <c r="O1725">
        <v>422</v>
      </c>
      <c r="P1725">
        <v>799</v>
      </c>
      <c r="Q1725">
        <v>15</v>
      </c>
      <c r="R1725">
        <v>400</v>
      </c>
      <c r="S1725">
        <v>1198</v>
      </c>
      <c r="T1725">
        <v>354</v>
      </c>
      <c r="U1725">
        <v>29.55</v>
      </c>
      <c r="V1725" t="s">
        <v>21</v>
      </c>
    </row>
    <row r="1726" spans="1:22" x14ac:dyDescent="0.35">
      <c r="A1726" t="s">
        <v>1001</v>
      </c>
      <c r="B1726" t="s">
        <v>49</v>
      </c>
      <c r="C1726" t="s">
        <v>27</v>
      </c>
      <c r="D1726" t="s">
        <v>1000</v>
      </c>
      <c r="E1726" t="s">
        <v>999</v>
      </c>
      <c r="F1726" s="5">
        <v>45628</v>
      </c>
      <c r="G1726" t="s">
        <v>126</v>
      </c>
      <c r="H1726" t="s">
        <v>998</v>
      </c>
      <c r="I1726" t="s">
        <v>23</v>
      </c>
      <c r="J1726" t="s">
        <v>142</v>
      </c>
      <c r="K1726" t="s">
        <v>43</v>
      </c>
      <c r="L1726" t="s">
        <v>19</v>
      </c>
      <c r="M1726" t="s">
        <v>20</v>
      </c>
      <c r="N1726">
        <v>1</v>
      </c>
      <c r="O1726">
        <v>1898</v>
      </c>
      <c r="P1726">
        <v>3399</v>
      </c>
      <c r="Q1726">
        <v>10</v>
      </c>
      <c r="R1726">
        <v>400</v>
      </c>
      <c r="S1726">
        <v>2999</v>
      </c>
      <c r="T1726">
        <v>1101</v>
      </c>
      <c r="U1726">
        <v>36.71</v>
      </c>
      <c r="V1726" t="s">
        <v>33</v>
      </c>
    </row>
    <row r="1727" spans="1:22" x14ac:dyDescent="0.35">
      <c r="A1727" t="s">
        <v>997</v>
      </c>
      <c r="B1727" t="s">
        <v>68</v>
      </c>
      <c r="C1727" t="s">
        <v>16</v>
      </c>
      <c r="D1727" t="s">
        <v>996</v>
      </c>
      <c r="E1727" t="s">
        <v>995</v>
      </c>
      <c r="F1727" s="5">
        <v>45556</v>
      </c>
      <c r="G1727" t="s">
        <v>126</v>
      </c>
      <c r="H1727" t="s">
        <v>994</v>
      </c>
      <c r="I1727" t="s">
        <v>17</v>
      </c>
      <c r="J1727" t="s">
        <v>55</v>
      </c>
      <c r="K1727" t="s">
        <v>55</v>
      </c>
      <c r="L1727" t="s">
        <v>25</v>
      </c>
      <c r="M1727" t="s">
        <v>19</v>
      </c>
      <c r="N1727">
        <v>2</v>
      </c>
      <c r="O1727">
        <v>403</v>
      </c>
      <c r="P1727">
        <v>799</v>
      </c>
      <c r="Q1727">
        <v>0</v>
      </c>
      <c r="R1727">
        <v>0</v>
      </c>
      <c r="S1727">
        <v>1598</v>
      </c>
      <c r="T1727">
        <v>792</v>
      </c>
      <c r="U1727">
        <v>49.56</v>
      </c>
      <c r="V1727" t="s">
        <v>21</v>
      </c>
    </row>
    <row r="1728" spans="1:22" x14ac:dyDescent="0.35">
      <c r="A1728" t="s">
        <v>993</v>
      </c>
      <c r="B1728" t="s">
        <v>64</v>
      </c>
      <c r="C1728" t="s">
        <v>16</v>
      </c>
      <c r="D1728" t="s">
        <v>992</v>
      </c>
      <c r="E1728" t="s">
        <v>991</v>
      </c>
      <c r="F1728" s="5">
        <v>45643</v>
      </c>
      <c r="G1728" t="s">
        <v>126</v>
      </c>
      <c r="H1728" t="s">
        <v>990</v>
      </c>
      <c r="I1728" t="s">
        <v>31</v>
      </c>
      <c r="J1728" t="s">
        <v>76</v>
      </c>
      <c r="K1728" t="s">
        <v>76</v>
      </c>
      <c r="L1728" t="s">
        <v>19</v>
      </c>
      <c r="M1728" t="s">
        <v>20</v>
      </c>
      <c r="N1728">
        <v>3</v>
      </c>
      <c r="O1728">
        <v>660</v>
      </c>
      <c r="P1728">
        <v>999</v>
      </c>
      <c r="Q1728">
        <v>0</v>
      </c>
      <c r="R1728">
        <v>0</v>
      </c>
      <c r="S1728">
        <v>2997</v>
      </c>
      <c r="T1728">
        <v>1017</v>
      </c>
      <c r="U1728">
        <v>33.93</v>
      </c>
      <c r="V1728" t="s">
        <v>21</v>
      </c>
    </row>
    <row r="1729" spans="1:22" x14ac:dyDescent="0.35">
      <c r="A1729" t="s">
        <v>989</v>
      </c>
      <c r="B1729" t="s">
        <v>52</v>
      </c>
      <c r="C1729" t="s">
        <v>27</v>
      </c>
      <c r="D1729" t="s">
        <v>988</v>
      </c>
      <c r="E1729" t="s">
        <v>987</v>
      </c>
      <c r="F1729" s="5">
        <v>45470</v>
      </c>
      <c r="G1729" t="s">
        <v>126</v>
      </c>
      <c r="H1729" t="s">
        <v>986</v>
      </c>
      <c r="I1729" t="s">
        <v>23</v>
      </c>
      <c r="J1729" t="s">
        <v>164</v>
      </c>
      <c r="K1729" t="s">
        <v>24</v>
      </c>
      <c r="L1729" t="s">
        <v>37</v>
      </c>
      <c r="M1729" t="s">
        <v>19</v>
      </c>
      <c r="N1729">
        <v>2</v>
      </c>
      <c r="O1729">
        <v>911</v>
      </c>
      <c r="P1729">
        <v>1299</v>
      </c>
      <c r="Q1729">
        <v>5</v>
      </c>
      <c r="R1729">
        <v>200</v>
      </c>
      <c r="S1729">
        <v>2398</v>
      </c>
      <c r="T1729">
        <v>576</v>
      </c>
      <c r="U1729">
        <v>24.02</v>
      </c>
      <c r="V1729" t="s">
        <v>21</v>
      </c>
    </row>
    <row r="1730" spans="1:22" x14ac:dyDescent="0.35">
      <c r="A1730" t="s">
        <v>985</v>
      </c>
      <c r="B1730" t="s">
        <v>86</v>
      </c>
      <c r="C1730" t="s">
        <v>27</v>
      </c>
      <c r="D1730" t="s">
        <v>984</v>
      </c>
      <c r="E1730" t="s">
        <v>983</v>
      </c>
      <c r="F1730" s="5">
        <v>45627</v>
      </c>
      <c r="G1730" t="s">
        <v>126</v>
      </c>
      <c r="H1730" t="s">
        <v>982</v>
      </c>
      <c r="I1730" t="s">
        <v>31</v>
      </c>
      <c r="J1730" t="s">
        <v>76</v>
      </c>
      <c r="K1730" t="s">
        <v>76</v>
      </c>
      <c r="L1730" t="s">
        <v>25</v>
      </c>
      <c r="M1730" t="s">
        <v>19</v>
      </c>
      <c r="N1730">
        <v>5</v>
      </c>
      <c r="O1730">
        <v>407</v>
      </c>
      <c r="P1730">
        <v>699</v>
      </c>
      <c r="Q1730">
        <v>0</v>
      </c>
      <c r="R1730">
        <v>0</v>
      </c>
      <c r="S1730">
        <v>3495</v>
      </c>
      <c r="T1730">
        <v>1460</v>
      </c>
      <c r="U1730">
        <v>41.77</v>
      </c>
      <c r="V1730" t="s">
        <v>21</v>
      </c>
    </row>
    <row r="1731" spans="1:22" x14ac:dyDescent="0.35">
      <c r="A1731" t="s">
        <v>981</v>
      </c>
      <c r="B1731" t="s">
        <v>90</v>
      </c>
      <c r="C1731" t="s">
        <v>27</v>
      </c>
      <c r="D1731" t="s">
        <v>980</v>
      </c>
      <c r="E1731" t="s">
        <v>979</v>
      </c>
      <c r="F1731" s="5">
        <v>45552</v>
      </c>
      <c r="G1731" t="s">
        <v>126</v>
      </c>
      <c r="H1731" t="s">
        <v>952</v>
      </c>
      <c r="I1731" t="s">
        <v>28</v>
      </c>
      <c r="J1731" t="s">
        <v>45</v>
      </c>
      <c r="K1731" t="s">
        <v>45</v>
      </c>
      <c r="L1731" t="s">
        <v>25</v>
      </c>
      <c r="M1731" t="s">
        <v>19</v>
      </c>
      <c r="N1731">
        <v>1</v>
      </c>
      <c r="O1731">
        <v>408</v>
      </c>
      <c r="P1731">
        <v>699</v>
      </c>
      <c r="Q1731">
        <v>10</v>
      </c>
      <c r="R1731">
        <v>100</v>
      </c>
      <c r="S1731">
        <v>599</v>
      </c>
      <c r="T1731">
        <v>191</v>
      </c>
      <c r="U1731">
        <v>31.89</v>
      </c>
      <c r="V1731" t="s">
        <v>21</v>
      </c>
    </row>
    <row r="1732" spans="1:22" x14ac:dyDescent="0.35">
      <c r="A1732" t="s">
        <v>978</v>
      </c>
      <c r="B1732" t="s">
        <v>61</v>
      </c>
      <c r="C1732" t="s">
        <v>27</v>
      </c>
      <c r="D1732" t="s">
        <v>977</v>
      </c>
      <c r="E1732" t="s">
        <v>976</v>
      </c>
      <c r="F1732" s="5">
        <v>45573</v>
      </c>
      <c r="G1732" t="s">
        <v>126</v>
      </c>
      <c r="H1732" t="s">
        <v>818</v>
      </c>
      <c r="I1732" t="s">
        <v>28</v>
      </c>
      <c r="J1732" t="s">
        <v>201</v>
      </c>
      <c r="K1732" t="s">
        <v>29</v>
      </c>
      <c r="L1732" t="s">
        <v>37</v>
      </c>
      <c r="M1732" t="s">
        <v>19</v>
      </c>
      <c r="N1732">
        <v>1</v>
      </c>
      <c r="O1732">
        <v>458</v>
      </c>
      <c r="P1732">
        <v>699</v>
      </c>
      <c r="Q1732">
        <v>5</v>
      </c>
      <c r="R1732">
        <v>100</v>
      </c>
      <c r="S1732">
        <v>599</v>
      </c>
      <c r="T1732">
        <v>141</v>
      </c>
      <c r="U1732">
        <v>23.54</v>
      </c>
      <c r="V1732" t="s">
        <v>21</v>
      </c>
    </row>
    <row r="1733" spans="1:22" x14ac:dyDescent="0.35">
      <c r="A1733" t="s">
        <v>975</v>
      </c>
      <c r="B1733" t="s">
        <v>15</v>
      </c>
      <c r="C1733" t="s">
        <v>16</v>
      </c>
      <c r="D1733" t="s">
        <v>974</v>
      </c>
      <c r="E1733" t="s">
        <v>973</v>
      </c>
      <c r="F1733" s="5">
        <v>45490</v>
      </c>
      <c r="G1733" t="s">
        <v>126</v>
      </c>
      <c r="H1733" t="s">
        <v>972</v>
      </c>
      <c r="I1733" t="s">
        <v>31</v>
      </c>
      <c r="J1733" t="s">
        <v>76</v>
      </c>
      <c r="K1733" t="s">
        <v>76</v>
      </c>
      <c r="L1733" t="s">
        <v>37</v>
      </c>
      <c r="M1733" t="s">
        <v>19</v>
      </c>
      <c r="N1733">
        <v>1</v>
      </c>
      <c r="O1733">
        <v>985</v>
      </c>
      <c r="P1733">
        <v>1499</v>
      </c>
      <c r="Q1733">
        <v>0</v>
      </c>
      <c r="R1733">
        <v>0</v>
      </c>
      <c r="S1733">
        <v>1499</v>
      </c>
      <c r="T1733">
        <v>514</v>
      </c>
      <c r="U1733">
        <v>34.29</v>
      </c>
      <c r="V1733" t="s">
        <v>21</v>
      </c>
    </row>
    <row r="1734" spans="1:22" x14ac:dyDescent="0.35">
      <c r="A1734" t="s">
        <v>971</v>
      </c>
      <c r="B1734" t="s">
        <v>106</v>
      </c>
      <c r="C1734" t="s">
        <v>27</v>
      </c>
      <c r="D1734" t="s">
        <v>970</v>
      </c>
      <c r="E1734" t="s">
        <v>969</v>
      </c>
      <c r="F1734" s="5">
        <v>45642</v>
      </c>
      <c r="G1734" t="s">
        <v>126</v>
      </c>
      <c r="H1734" t="s">
        <v>968</v>
      </c>
      <c r="I1734" t="s">
        <v>17</v>
      </c>
      <c r="J1734" t="s">
        <v>48</v>
      </c>
      <c r="K1734" t="s">
        <v>48</v>
      </c>
      <c r="L1734" t="s">
        <v>37</v>
      </c>
      <c r="M1734" t="s">
        <v>20</v>
      </c>
      <c r="N1734">
        <v>1</v>
      </c>
      <c r="O1734">
        <v>175</v>
      </c>
      <c r="P1734">
        <v>299</v>
      </c>
      <c r="Q1734">
        <v>0</v>
      </c>
      <c r="R1734">
        <v>0</v>
      </c>
      <c r="S1734">
        <v>299</v>
      </c>
      <c r="T1734">
        <v>124</v>
      </c>
      <c r="U1734">
        <v>41.47</v>
      </c>
      <c r="V1734" t="s">
        <v>21</v>
      </c>
    </row>
    <row r="1735" spans="1:22" x14ac:dyDescent="0.35">
      <c r="A1735" t="s">
        <v>967</v>
      </c>
      <c r="B1735" t="s">
        <v>34</v>
      </c>
      <c r="C1735" t="s">
        <v>27</v>
      </c>
      <c r="D1735" t="s">
        <v>966</v>
      </c>
      <c r="E1735" t="s">
        <v>965</v>
      </c>
      <c r="F1735" s="5">
        <v>45480</v>
      </c>
      <c r="G1735" t="s">
        <v>126</v>
      </c>
      <c r="H1735" t="s">
        <v>964</v>
      </c>
      <c r="I1735" t="s">
        <v>23</v>
      </c>
      <c r="J1735" t="s">
        <v>164</v>
      </c>
      <c r="K1735" t="s">
        <v>24</v>
      </c>
      <c r="L1735" t="s">
        <v>37</v>
      </c>
      <c r="M1735" t="s">
        <v>20</v>
      </c>
      <c r="N1735">
        <v>2</v>
      </c>
      <c r="O1735">
        <v>688</v>
      </c>
      <c r="P1735">
        <v>1299</v>
      </c>
      <c r="Q1735">
        <v>5</v>
      </c>
      <c r="R1735">
        <v>200</v>
      </c>
      <c r="S1735">
        <v>2398</v>
      </c>
      <c r="T1735">
        <v>1022</v>
      </c>
      <c r="U1735">
        <v>42.62</v>
      </c>
      <c r="V1735" t="s">
        <v>21</v>
      </c>
    </row>
    <row r="1736" spans="1:22" x14ac:dyDescent="0.35">
      <c r="A1736" t="s">
        <v>963</v>
      </c>
      <c r="B1736" t="s">
        <v>89</v>
      </c>
      <c r="C1736" t="s">
        <v>16</v>
      </c>
      <c r="D1736" t="s">
        <v>962</v>
      </c>
      <c r="E1736" t="s">
        <v>961</v>
      </c>
      <c r="F1736" s="5">
        <v>45606</v>
      </c>
      <c r="G1736" t="s">
        <v>126</v>
      </c>
      <c r="H1736" t="s">
        <v>960</v>
      </c>
      <c r="I1736" t="s">
        <v>23</v>
      </c>
      <c r="J1736" t="s">
        <v>142</v>
      </c>
      <c r="K1736" t="s">
        <v>43</v>
      </c>
      <c r="L1736" t="s">
        <v>25</v>
      </c>
      <c r="M1736" t="s">
        <v>20</v>
      </c>
      <c r="N1736">
        <v>4</v>
      </c>
      <c r="O1736">
        <v>1403</v>
      </c>
      <c r="P1736">
        <v>2599</v>
      </c>
      <c r="Q1736">
        <v>15</v>
      </c>
      <c r="R1736">
        <v>1600</v>
      </c>
      <c r="S1736">
        <v>8796</v>
      </c>
      <c r="T1736">
        <v>3184</v>
      </c>
      <c r="U1736">
        <v>36.200000000000003</v>
      </c>
      <c r="V1736" t="s">
        <v>21</v>
      </c>
    </row>
    <row r="1737" spans="1:22" x14ac:dyDescent="0.35">
      <c r="A1737" t="s">
        <v>959</v>
      </c>
      <c r="B1737" t="s">
        <v>49</v>
      </c>
      <c r="C1737" t="s">
        <v>27</v>
      </c>
      <c r="D1737" t="s">
        <v>958</v>
      </c>
      <c r="E1737" t="s">
        <v>957</v>
      </c>
      <c r="F1737" s="5">
        <v>45469</v>
      </c>
      <c r="G1737" t="s">
        <v>126</v>
      </c>
      <c r="H1737" t="s">
        <v>956</v>
      </c>
      <c r="I1737" t="s">
        <v>17</v>
      </c>
      <c r="J1737" t="s">
        <v>235</v>
      </c>
      <c r="K1737" t="s">
        <v>18</v>
      </c>
      <c r="L1737" t="s">
        <v>37</v>
      </c>
      <c r="M1737" t="s">
        <v>19</v>
      </c>
      <c r="N1737">
        <v>2</v>
      </c>
      <c r="O1737">
        <v>334</v>
      </c>
      <c r="P1737">
        <v>599</v>
      </c>
      <c r="Q1737">
        <v>0</v>
      </c>
      <c r="R1737">
        <v>0</v>
      </c>
      <c r="S1737">
        <v>1198</v>
      </c>
      <c r="T1737">
        <v>530</v>
      </c>
      <c r="U1737">
        <v>44.24</v>
      </c>
      <c r="V1737" t="s">
        <v>21</v>
      </c>
    </row>
    <row r="1738" spans="1:22" x14ac:dyDescent="0.35">
      <c r="A1738" t="s">
        <v>955</v>
      </c>
      <c r="B1738" t="s">
        <v>102</v>
      </c>
      <c r="C1738" t="s">
        <v>27</v>
      </c>
      <c r="D1738" t="s">
        <v>954</v>
      </c>
      <c r="E1738" t="s">
        <v>953</v>
      </c>
      <c r="F1738" s="5">
        <v>45468</v>
      </c>
      <c r="G1738" t="s">
        <v>126</v>
      </c>
      <c r="H1738" t="s">
        <v>952</v>
      </c>
      <c r="I1738" t="s">
        <v>23</v>
      </c>
      <c r="J1738" t="s">
        <v>142</v>
      </c>
      <c r="K1738" t="s">
        <v>43</v>
      </c>
      <c r="L1738" t="s">
        <v>37</v>
      </c>
      <c r="M1738" t="s">
        <v>20</v>
      </c>
      <c r="N1738">
        <v>2</v>
      </c>
      <c r="O1738">
        <v>1372</v>
      </c>
      <c r="P1738">
        <v>2499</v>
      </c>
      <c r="Q1738">
        <v>20</v>
      </c>
      <c r="R1738">
        <v>1000</v>
      </c>
      <c r="S1738">
        <v>3998</v>
      </c>
      <c r="T1738">
        <v>1254</v>
      </c>
      <c r="U1738">
        <v>31.37</v>
      </c>
      <c r="V1738" t="s">
        <v>33</v>
      </c>
    </row>
    <row r="1739" spans="1:22" x14ac:dyDescent="0.35">
      <c r="A1739" t="s">
        <v>951</v>
      </c>
      <c r="B1739" t="s">
        <v>60</v>
      </c>
      <c r="C1739" t="s">
        <v>27</v>
      </c>
      <c r="D1739" t="s">
        <v>950</v>
      </c>
      <c r="E1739" t="s">
        <v>949</v>
      </c>
      <c r="F1739" s="5">
        <v>45578</v>
      </c>
      <c r="G1739" t="s">
        <v>126</v>
      </c>
      <c r="H1739" t="s">
        <v>948</v>
      </c>
      <c r="I1739" t="s">
        <v>23</v>
      </c>
      <c r="J1739" t="s">
        <v>142</v>
      </c>
      <c r="K1739" t="s">
        <v>43</v>
      </c>
      <c r="L1739" t="s">
        <v>25</v>
      </c>
      <c r="M1739" t="s">
        <v>20</v>
      </c>
      <c r="N1739">
        <v>1</v>
      </c>
      <c r="O1739">
        <v>2882</v>
      </c>
      <c r="P1739">
        <v>4799</v>
      </c>
      <c r="Q1739">
        <v>15</v>
      </c>
      <c r="R1739">
        <v>800</v>
      </c>
      <c r="S1739">
        <v>3999</v>
      </c>
      <c r="T1739">
        <v>1117</v>
      </c>
      <c r="U1739">
        <v>27.93</v>
      </c>
      <c r="V1739" t="s">
        <v>21</v>
      </c>
    </row>
    <row r="1740" spans="1:22" x14ac:dyDescent="0.35">
      <c r="A1740" t="s">
        <v>947</v>
      </c>
      <c r="B1740" t="s">
        <v>54</v>
      </c>
      <c r="C1740" t="s">
        <v>27</v>
      </c>
      <c r="D1740" t="s">
        <v>946</v>
      </c>
      <c r="E1740" t="s">
        <v>945</v>
      </c>
      <c r="F1740" s="5">
        <v>45547</v>
      </c>
      <c r="G1740" t="s">
        <v>126</v>
      </c>
      <c r="H1740" t="s">
        <v>944</v>
      </c>
      <c r="I1740" t="s">
        <v>28</v>
      </c>
      <c r="J1740" t="s">
        <v>201</v>
      </c>
      <c r="K1740" t="s">
        <v>29</v>
      </c>
      <c r="L1740" t="s">
        <v>25</v>
      </c>
      <c r="M1740" t="s">
        <v>20</v>
      </c>
      <c r="N1740">
        <v>1</v>
      </c>
      <c r="O1740">
        <v>254</v>
      </c>
      <c r="P1740">
        <v>499</v>
      </c>
      <c r="Q1740">
        <v>10</v>
      </c>
      <c r="R1740">
        <v>100</v>
      </c>
      <c r="S1740">
        <v>399</v>
      </c>
      <c r="T1740">
        <v>145</v>
      </c>
      <c r="U1740">
        <v>36.340000000000003</v>
      </c>
      <c r="V1740" t="s">
        <v>33</v>
      </c>
    </row>
    <row r="1741" spans="1:22" x14ac:dyDescent="0.35">
      <c r="A1741" t="s">
        <v>943</v>
      </c>
      <c r="B1741" t="s">
        <v>73</v>
      </c>
      <c r="C1741" t="s">
        <v>16</v>
      </c>
      <c r="D1741" t="s">
        <v>942</v>
      </c>
      <c r="E1741" t="s">
        <v>941</v>
      </c>
      <c r="F1741" s="5">
        <v>45653</v>
      </c>
      <c r="G1741" t="s">
        <v>126</v>
      </c>
      <c r="H1741" t="s">
        <v>940</v>
      </c>
      <c r="I1741" t="s">
        <v>28</v>
      </c>
      <c r="J1741" t="s">
        <v>45</v>
      </c>
      <c r="K1741" t="s">
        <v>45</v>
      </c>
      <c r="L1741" t="s">
        <v>25</v>
      </c>
      <c r="M1741" t="s">
        <v>20</v>
      </c>
      <c r="N1741">
        <v>4</v>
      </c>
      <c r="O1741">
        <v>733</v>
      </c>
      <c r="P1741">
        <v>999</v>
      </c>
      <c r="Q1741">
        <v>20</v>
      </c>
      <c r="R1741">
        <v>800</v>
      </c>
      <c r="S1741">
        <v>3196</v>
      </c>
      <c r="T1741">
        <v>264</v>
      </c>
      <c r="U1741">
        <v>8.26</v>
      </c>
      <c r="V1741" t="s">
        <v>21</v>
      </c>
    </row>
    <row r="1742" spans="1:22" x14ac:dyDescent="0.35">
      <c r="A1742" t="s">
        <v>939</v>
      </c>
      <c r="B1742" t="s">
        <v>46</v>
      </c>
      <c r="C1742" t="s">
        <v>16</v>
      </c>
      <c r="D1742" t="s">
        <v>938</v>
      </c>
      <c r="E1742" t="s">
        <v>937</v>
      </c>
      <c r="F1742" s="5">
        <v>45535</v>
      </c>
      <c r="G1742" t="s">
        <v>126</v>
      </c>
      <c r="H1742" t="s">
        <v>936</v>
      </c>
      <c r="I1742" t="s">
        <v>28</v>
      </c>
      <c r="J1742" t="s">
        <v>45</v>
      </c>
      <c r="K1742" t="s">
        <v>45</v>
      </c>
      <c r="L1742" t="s">
        <v>37</v>
      </c>
      <c r="M1742" t="s">
        <v>19</v>
      </c>
      <c r="N1742">
        <v>3</v>
      </c>
      <c r="O1742">
        <v>659</v>
      </c>
      <c r="P1742">
        <v>999</v>
      </c>
      <c r="Q1742">
        <v>20</v>
      </c>
      <c r="R1742">
        <v>600</v>
      </c>
      <c r="S1742">
        <v>2397</v>
      </c>
      <c r="T1742">
        <v>420</v>
      </c>
      <c r="U1742">
        <v>17.52</v>
      </c>
      <c r="V1742" t="s">
        <v>21</v>
      </c>
    </row>
    <row r="1743" spans="1:22" x14ac:dyDescent="0.35">
      <c r="A1743" t="s">
        <v>935</v>
      </c>
      <c r="B1743" t="s">
        <v>79</v>
      </c>
      <c r="C1743" t="s">
        <v>16</v>
      </c>
      <c r="D1743" t="s">
        <v>934</v>
      </c>
      <c r="E1743" t="s">
        <v>933</v>
      </c>
      <c r="F1743" s="5">
        <v>45482</v>
      </c>
      <c r="G1743" t="s">
        <v>126</v>
      </c>
      <c r="H1743" t="s">
        <v>932</v>
      </c>
      <c r="I1743" t="s">
        <v>31</v>
      </c>
      <c r="J1743" t="s">
        <v>32</v>
      </c>
      <c r="K1743" t="s">
        <v>32</v>
      </c>
      <c r="L1743" t="s">
        <v>19</v>
      </c>
      <c r="M1743" t="s">
        <v>19</v>
      </c>
      <c r="N1743">
        <v>2</v>
      </c>
      <c r="O1743">
        <v>996</v>
      </c>
      <c r="P1743">
        <v>1399</v>
      </c>
      <c r="Q1743">
        <v>0</v>
      </c>
      <c r="R1743">
        <v>0</v>
      </c>
      <c r="S1743">
        <v>2798</v>
      </c>
      <c r="T1743">
        <v>806</v>
      </c>
      <c r="U1743">
        <v>28.81</v>
      </c>
      <c r="V1743" t="s">
        <v>21</v>
      </c>
    </row>
    <row r="1744" spans="1:22" x14ac:dyDescent="0.35">
      <c r="A1744" t="s">
        <v>931</v>
      </c>
      <c r="B1744" t="s">
        <v>63</v>
      </c>
      <c r="C1744" t="s">
        <v>27</v>
      </c>
      <c r="D1744" t="s">
        <v>930</v>
      </c>
      <c r="E1744" t="s">
        <v>929</v>
      </c>
      <c r="F1744" s="5">
        <v>45646</v>
      </c>
      <c r="G1744" t="s">
        <v>126</v>
      </c>
      <c r="H1744" t="s">
        <v>928</v>
      </c>
      <c r="I1744" t="s">
        <v>31</v>
      </c>
      <c r="J1744" t="s">
        <v>76</v>
      </c>
      <c r="K1744" t="s">
        <v>76</v>
      </c>
      <c r="L1744" t="s">
        <v>25</v>
      </c>
      <c r="M1744" t="s">
        <v>19</v>
      </c>
      <c r="N1744">
        <v>1</v>
      </c>
      <c r="O1744">
        <v>445</v>
      </c>
      <c r="P1744">
        <v>699</v>
      </c>
      <c r="Q1744">
        <v>0</v>
      </c>
      <c r="R1744">
        <v>0</v>
      </c>
      <c r="S1744">
        <v>699</v>
      </c>
      <c r="T1744">
        <v>254</v>
      </c>
      <c r="U1744">
        <v>36.340000000000003</v>
      </c>
      <c r="V1744" t="s">
        <v>33</v>
      </c>
    </row>
    <row r="1745" spans="1:22" x14ac:dyDescent="0.35">
      <c r="A1745" t="s">
        <v>927</v>
      </c>
      <c r="B1745" t="s">
        <v>30</v>
      </c>
      <c r="C1745" t="s">
        <v>16</v>
      </c>
      <c r="D1745" t="s">
        <v>926</v>
      </c>
      <c r="E1745" t="s">
        <v>925</v>
      </c>
      <c r="F1745" s="5">
        <v>45652</v>
      </c>
      <c r="G1745" t="s">
        <v>126</v>
      </c>
      <c r="H1745" t="s">
        <v>286</v>
      </c>
      <c r="I1745" t="s">
        <v>23</v>
      </c>
      <c r="J1745" t="s">
        <v>164</v>
      </c>
      <c r="K1745" t="s">
        <v>24</v>
      </c>
      <c r="L1745" t="s">
        <v>25</v>
      </c>
      <c r="M1745" t="s">
        <v>20</v>
      </c>
      <c r="N1745">
        <v>1</v>
      </c>
      <c r="O1745">
        <v>513</v>
      </c>
      <c r="P1745">
        <v>999</v>
      </c>
      <c r="Q1745">
        <v>20</v>
      </c>
      <c r="R1745">
        <v>200</v>
      </c>
      <c r="S1745">
        <v>799</v>
      </c>
      <c r="T1745">
        <v>286</v>
      </c>
      <c r="U1745">
        <v>35.79</v>
      </c>
      <c r="V1745" t="s">
        <v>33</v>
      </c>
    </row>
    <row r="1746" spans="1:22" x14ac:dyDescent="0.35">
      <c r="A1746" t="s">
        <v>924</v>
      </c>
      <c r="B1746" t="s">
        <v>83</v>
      </c>
      <c r="C1746" t="s">
        <v>27</v>
      </c>
      <c r="D1746" t="s">
        <v>923</v>
      </c>
      <c r="E1746" t="s">
        <v>922</v>
      </c>
      <c r="F1746" s="5">
        <v>45474</v>
      </c>
      <c r="G1746" t="s">
        <v>126</v>
      </c>
      <c r="H1746" t="s">
        <v>921</v>
      </c>
      <c r="I1746" t="s">
        <v>35</v>
      </c>
      <c r="J1746" t="s">
        <v>214</v>
      </c>
      <c r="K1746" t="s">
        <v>50</v>
      </c>
      <c r="L1746" t="s">
        <v>37</v>
      </c>
      <c r="M1746" t="s">
        <v>19</v>
      </c>
      <c r="N1746">
        <v>2</v>
      </c>
      <c r="O1746">
        <v>738</v>
      </c>
      <c r="P1746">
        <v>999</v>
      </c>
      <c r="Q1746">
        <v>15</v>
      </c>
      <c r="R1746">
        <v>400</v>
      </c>
      <c r="S1746">
        <v>1598</v>
      </c>
      <c r="T1746">
        <v>122</v>
      </c>
      <c r="U1746">
        <v>7.63</v>
      </c>
      <c r="V1746" t="s">
        <v>21</v>
      </c>
    </row>
    <row r="1747" spans="1:22" x14ac:dyDescent="0.35">
      <c r="A1747" t="s">
        <v>920</v>
      </c>
      <c r="B1747" t="s">
        <v>88</v>
      </c>
      <c r="C1747" t="s">
        <v>27</v>
      </c>
      <c r="D1747" t="s">
        <v>919</v>
      </c>
      <c r="E1747" t="s">
        <v>918</v>
      </c>
      <c r="F1747" s="5">
        <v>45522</v>
      </c>
      <c r="G1747" t="s">
        <v>126</v>
      </c>
      <c r="H1747" t="s">
        <v>917</v>
      </c>
      <c r="I1747" t="s">
        <v>35</v>
      </c>
      <c r="J1747" t="s">
        <v>244</v>
      </c>
      <c r="K1747" t="s">
        <v>58</v>
      </c>
      <c r="L1747" t="s">
        <v>25</v>
      </c>
      <c r="M1747" t="s">
        <v>19</v>
      </c>
      <c r="N1747">
        <v>5</v>
      </c>
      <c r="O1747">
        <v>1353</v>
      </c>
      <c r="P1747">
        <v>2199</v>
      </c>
      <c r="Q1747">
        <v>5</v>
      </c>
      <c r="R1747">
        <v>1000</v>
      </c>
      <c r="S1747">
        <v>9995</v>
      </c>
      <c r="T1747">
        <v>3230</v>
      </c>
      <c r="U1747">
        <v>32.32</v>
      </c>
      <c r="V1747" t="s">
        <v>33</v>
      </c>
    </row>
    <row r="1748" spans="1:22" x14ac:dyDescent="0.35">
      <c r="A1748" t="s">
        <v>916</v>
      </c>
      <c r="B1748" t="s">
        <v>101</v>
      </c>
      <c r="C1748" t="s">
        <v>16</v>
      </c>
      <c r="D1748" t="s">
        <v>915</v>
      </c>
      <c r="E1748" t="s">
        <v>914</v>
      </c>
      <c r="F1748" s="5">
        <v>45646</v>
      </c>
      <c r="G1748" t="s">
        <v>126</v>
      </c>
      <c r="H1748" t="s">
        <v>913</v>
      </c>
      <c r="I1748" t="s">
        <v>17</v>
      </c>
      <c r="J1748" t="s">
        <v>235</v>
      </c>
      <c r="K1748" t="s">
        <v>18</v>
      </c>
      <c r="L1748" t="s">
        <v>37</v>
      </c>
      <c r="M1748" t="s">
        <v>19</v>
      </c>
      <c r="N1748">
        <v>2</v>
      </c>
      <c r="O1748">
        <v>272</v>
      </c>
      <c r="P1748">
        <v>399</v>
      </c>
      <c r="Q1748">
        <v>0</v>
      </c>
      <c r="R1748">
        <v>0</v>
      </c>
      <c r="S1748">
        <v>798</v>
      </c>
      <c r="T1748">
        <v>254</v>
      </c>
      <c r="U1748">
        <v>31.83</v>
      </c>
      <c r="V1748" t="s">
        <v>21</v>
      </c>
    </row>
    <row r="1749" spans="1:22" x14ac:dyDescent="0.35">
      <c r="A1749" t="s">
        <v>912</v>
      </c>
      <c r="B1749" t="s">
        <v>102</v>
      </c>
      <c r="C1749" t="s">
        <v>27</v>
      </c>
      <c r="D1749" t="s">
        <v>911</v>
      </c>
      <c r="E1749" t="s">
        <v>910</v>
      </c>
      <c r="F1749" s="5">
        <v>45477</v>
      </c>
      <c r="G1749" t="s">
        <v>126</v>
      </c>
      <c r="H1749" t="s">
        <v>909</v>
      </c>
      <c r="I1749" t="s">
        <v>35</v>
      </c>
      <c r="J1749" t="s">
        <v>244</v>
      </c>
      <c r="K1749" t="s">
        <v>58</v>
      </c>
      <c r="L1749" t="s">
        <v>37</v>
      </c>
      <c r="M1749" t="s">
        <v>20</v>
      </c>
      <c r="N1749">
        <v>2</v>
      </c>
      <c r="O1749">
        <v>1816</v>
      </c>
      <c r="P1749">
        <v>2499</v>
      </c>
      <c r="Q1749">
        <v>20</v>
      </c>
      <c r="R1749">
        <v>1000</v>
      </c>
      <c r="S1749">
        <v>3998</v>
      </c>
      <c r="T1749">
        <v>366</v>
      </c>
      <c r="U1749">
        <v>9.15</v>
      </c>
      <c r="V1749" t="s">
        <v>21</v>
      </c>
    </row>
    <row r="1750" spans="1:22" x14ac:dyDescent="0.35">
      <c r="A1750" t="s">
        <v>908</v>
      </c>
      <c r="B1750" t="s">
        <v>59</v>
      </c>
      <c r="C1750" t="s">
        <v>27</v>
      </c>
      <c r="D1750" t="s">
        <v>907</v>
      </c>
      <c r="E1750" t="s">
        <v>743</v>
      </c>
      <c r="F1750" s="5">
        <v>45590</v>
      </c>
      <c r="G1750" t="s">
        <v>126</v>
      </c>
      <c r="H1750" t="s">
        <v>906</v>
      </c>
      <c r="I1750" t="s">
        <v>31</v>
      </c>
      <c r="J1750" t="s">
        <v>32</v>
      </c>
      <c r="K1750" t="s">
        <v>32</v>
      </c>
      <c r="L1750" t="s">
        <v>25</v>
      </c>
      <c r="M1750" t="s">
        <v>19</v>
      </c>
      <c r="N1750">
        <v>1</v>
      </c>
      <c r="O1750">
        <v>776</v>
      </c>
      <c r="P1750">
        <v>1199</v>
      </c>
      <c r="Q1750">
        <v>0</v>
      </c>
      <c r="R1750">
        <v>0</v>
      </c>
      <c r="S1750">
        <v>1199</v>
      </c>
      <c r="T1750">
        <v>423</v>
      </c>
      <c r="U1750">
        <v>35.28</v>
      </c>
      <c r="V1750" t="s">
        <v>33</v>
      </c>
    </row>
    <row r="1751" spans="1:22" x14ac:dyDescent="0.35">
      <c r="A1751" t="s">
        <v>905</v>
      </c>
      <c r="B1751" t="s">
        <v>105</v>
      </c>
      <c r="C1751" t="s">
        <v>16</v>
      </c>
      <c r="D1751" t="s">
        <v>904</v>
      </c>
      <c r="E1751" t="s">
        <v>903</v>
      </c>
      <c r="F1751" s="5">
        <v>45531</v>
      </c>
      <c r="G1751" t="s">
        <v>126</v>
      </c>
      <c r="H1751" t="s">
        <v>902</v>
      </c>
      <c r="I1751" t="s">
        <v>31</v>
      </c>
      <c r="J1751" t="s">
        <v>32</v>
      </c>
      <c r="K1751" t="s">
        <v>32</v>
      </c>
      <c r="L1751" t="s">
        <v>25</v>
      </c>
      <c r="M1751" t="s">
        <v>19</v>
      </c>
      <c r="N1751">
        <v>2</v>
      </c>
      <c r="O1751">
        <v>575</v>
      </c>
      <c r="P1751">
        <v>899</v>
      </c>
      <c r="Q1751">
        <v>0</v>
      </c>
      <c r="R1751">
        <v>0</v>
      </c>
      <c r="S1751">
        <v>1798</v>
      </c>
      <c r="T1751">
        <v>648</v>
      </c>
      <c r="U1751">
        <v>36.04</v>
      </c>
      <c r="V1751" t="s">
        <v>21</v>
      </c>
    </row>
    <row r="1752" spans="1:22" x14ac:dyDescent="0.35">
      <c r="A1752" t="s">
        <v>901</v>
      </c>
      <c r="B1752" t="s">
        <v>105</v>
      </c>
      <c r="C1752" t="s">
        <v>16</v>
      </c>
      <c r="D1752" t="s">
        <v>900</v>
      </c>
      <c r="E1752" t="s">
        <v>899</v>
      </c>
      <c r="F1752" s="5">
        <v>45510</v>
      </c>
      <c r="G1752" t="s">
        <v>126</v>
      </c>
      <c r="H1752" t="s">
        <v>898</v>
      </c>
      <c r="I1752" t="s">
        <v>35</v>
      </c>
      <c r="J1752" t="s">
        <v>39</v>
      </c>
      <c r="K1752" t="s">
        <v>39</v>
      </c>
      <c r="L1752" t="s">
        <v>19</v>
      </c>
      <c r="M1752" t="s">
        <v>20</v>
      </c>
      <c r="N1752">
        <v>1</v>
      </c>
      <c r="O1752">
        <v>714</v>
      </c>
      <c r="P1752">
        <v>1199</v>
      </c>
      <c r="Q1752">
        <v>15</v>
      </c>
      <c r="R1752">
        <v>200</v>
      </c>
      <c r="S1752">
        <v>999</v>
      </c>
      <c r="T1752">
        <v>285</v>
      </c>
      <c r="U1752">
        <v>28.53</v>
      </c>
      <c r="V1752" t="s">
        <v>21</v>
      </c>
    </row>
    <row r="1753" spans="1:22" x14ac:dyDescent="0.35">
      <c r="A1753" t="s">
        <v>897</v>
      </c>
      <c r="B1753" t="s">
        <v>107</v>
      </c>
      <c r="C1753" t="s">
        <v>27</v>
      </c>
      <c r="D1753" t="s">
        <v>896</v>
      </c>
      <c r="E1753" t="s">
        <v>895</v>
      </c>
      <c r="F1753" s="5">
        <v>45474</v>
      </c>
      <c r="G1753" t="s">
        <v>126</v>
      </c>
      <c r="H1753" t="s">
        <v>458</v>
      </c>
      <c r="I1753" t="s">
        <v>23</v>
      </c>
      <c r="J1753" t="s">
        <v>164</v>
      </c>
      <c r="K1753" t="s">
        <v>24</v>
      </c>
      <c r="L1753" t="s">
        <v>25</v>
      </c>
      <c r="M1753" t="s">
        <v>19</v>
      </c>
      <c r="N1753">
        <v>1</v>
      </c>
      <c r="O1753">
        <v>870</v>
      </c>
      <c r="P1753">
        <v>1199</v>
      </c>
      <c r="Q1753">
        <v>15</v>
      </c>
      <c r="R1753">
        <v>200</v>
      </c>
      <c r="S1753">
        <v>999</v>
      </c>
      <c r="T1753">
        <v>129</v>
      </c>
      <c r="U1753">
        <v>12.91</v>
      </c>
      <c r="V1753" t="s">
        <v>21</v>
      </c>
    </row>
    <row r="1754" spans="1:22" x14ac:dyDescent="0.35">
      <c r="A1754" t="s">
        <v>894</v>
      </c>
      <c r="B1754" t="s">
        <v>46</v>
      </c>
      <c r="C1754" t="s">
        <v>16</v>
      </c>
      <c r="D1754" t="s">
        <v>893</v>
      </c>
      <c r="E1754" t="s">
        <v>892</v>
      </c>
      <c r="F1754" s="5">
        <v>45556</v>
      </c>
      <c r="G1754" t="s">
        <v>126</v>
      </c>
      <c r="H1754" t="s">
        <v>891</v>
      </c>
      <c r="I1754" t="s">
        <v>28</v>
      </c>
      <c r="J1754" t="s">
        <v>201</v>
      </c>
      <c r="K1754" t="s">
        <v>29</v>
      </c>
      <c r="L1754" t="s">
        <v>19</v>
      </c>
      <c r="M1754" t="s">
        <v>19</v>
      </c>
      <c r="N1754">
        <v>1</v>
      </c>
      <c r="O1754">
        <v>507</v>
      </c>
      <c r="P1754">
        <v>699</v>
      </c>
      <c r="Q1754">
        <v>20</v>
      </c>
      <c r="R1754">
        <v>200</v>
      </c>
      <c r="S1754">
        <v>499</v>
      </c>
      <c r="T1754">
        <v>-8</v>
      </c>
      <c r="U1754">
        <v>-1.6</v>
      </c>
      <c r="V1754" t="s">
        <v>33</v>
      </c>
    </row>
    <row r="1755" spans="1:22" x14ac:dyDescent="0.35">
      <c r="A1755" t="s">
        <v>890</v>
      </c>
      <c r="B1755" t="s">
        <v>66</v>
      </c>
      <c r="C1755" t="s">
        <v>27</v>
      </c>
      <c r="D1755" t="s">
        <v>889</v>
      </c>
      <c r="E1755" t="s">
        <v>888</v>
      </c>
      <c r="F1755" s="5">
        <v>45622</v>
      </c>
      <c r="G1755" t="s">
        <v>126</v>
      </c>
      <c r="H1755" t="s">
        <v>887</v>
      </c>
      <c r="I1755" t="s">
        <v>23</v>
      </c>
      <c r="J1755" t="s">
        <v>142</v>
      </c>
      <c r="K1755" t="s">
        <v>43</v>
      </c>
      <c r="L1755" t="s">
        <v>19</v>
      </c>
      <c r="M1755" t="s">
        <v>19</v>
      </c>
      <c r="N1755">
        <v>4</v>
      </c>
      <c r="O1755">
        <v>2097</v>
      </c>
      <c r="P1755">
        <v>3399</v>
      </c>
      <c r="Q1755">
        <v>10</v>
      </c>
      <c r="R1755">
        <v>1600</v>
      </c>
      <c r="S1755">
        <v>11996</v>
      </c>
      <c r="T1755">
        <v>3608</v>
      </c>
      <c r="U1755">
        <v>30.08</v>
      </c>
      <c r="V1755" t="s">
        <v>33</v>
      </c>
    </row>
    <row r="1756" spans="1:22" x14ac:dyDescent="0.35">
      <c r="A1756" t="s">
        <v>886</v>
      </c>
      <c r="B1756" t="s">
        <v>60</v>
      </c>
      <c r="C1756" t="s">
        <v>27</v>
      </c>
      <c r="D1756" t="s">
        <v>885</v>
      </c>
      <c r="E1756" t="s">
        <v>884</v>
      </c>
      <c r="F1756" s="5">
        <v>45650</v>
      </c>
      <c r="G1756" t="s">
        <v>126</v>
      </c>
      <c r="H1756" t="s">
        <v>883</v>
      </c>
      <c r="I1756" t="s">
        <v>23</v>
      </c>
      <c r="J1756" t="s">
        <v>142</v>
      </c>
      <c r="K1756" t="s">
        <v>43</v>
      </c>
      <c r="L1756" t="s">
        <v>19</v>
      </c>
      <c r="M1756" t="s">
        <v>19</v>
      </c>
      <c r="N1756">
        <v>5</v>
      </c>
      <c r="O1756">
        <v>1845</v>
      </c>
      <c r="P1756">
        <v>3199</v>
      </c>
      <c r="Q1756">
        <v>20</v>
      </c>
      <c r="R1756">
        <v>3500</v>
      </c>
      <c r="S1756">
        <v>12495</v>
      </c>
      <c r="T1756">
        <v>3270</v>
      </c>
      <c r="U1756">
        <v>26.17</v>
      </c>
      <c r="V1756" t="s">
        <v>21</v>
      </c>
    </row>
    <row r="1757" spans="1:22" x14ac:dyDescent="0.35">
      <c r="A1757" t="s">
        <v>882</v>
      </c>
      <c r="B1757" t="s">
        <v>88</v>
      </c>
      <c r="C1757" t="s">
        <v>27</v>
      </c>
      <c r="D1757" t="s">
        <v>881</v>
      </c>
      <c r="E1757" t="s">
        <v>880</v>
      </c>
      <c r="F1757" s="5">
        <v>45571</v>
      </c>
      <c r="G1757" t="s">
        <v>126</v>
      </c>
      <c r="H1757" t="s">
        <v>879</v>
      </c>
      <c r="I1757" t="s">
        <v>35</v>
      </c>
      <c r="J1757" t="s">
        <v>159</v>
      </c>
      <c r="K1757" t="s">
        <v>36</v>
      </c>
      <c r="L1757" t="s">
        <v>19</v>
      </c>
      <c r="M1757" t="s">
        <v>19</v>
      </c>
      <c r="N1757">
        <v>2</v>
      </c>
      <c r="O1757">
        <v>251</v>
      </c>
      <c r="P1757">
        <v>399</v>
      </c>
      <c r="Q1757">
        <v>15</v>
      </c>
      <c r="R1757">
        <v>200</v>
      </c>
      <c r="S1757">
        <v>598</v>
      </c>
      <c r="T1757">
        <v>96</v>
      </c>
      <c r="U1757">
        <v>16.05</v>
      </c>
      <c r="V1757" t="s">
        <v>21</v>
      </c>
    </row>
    <row r="1758" spans="1:22" x14ac:dyDescent="0.35">
      <c r="A1758" t="s">
        <v>878</v>
      </c>
      <c r="B1758" t="s">
        <v>88</v>
      </c>
      <c r="C1758" t="s">
        <v>27</v>
      </c>
      <c r="D1758" t="s">
        <v>877</v>
      </c>
      <c r="E1758" t="s">
        <v>876</v>
      </c>
      <c r="F1758" s="5">
        <v>45610</v>
      </c>
      <c r="G1758" t="s">
        <v>126</v>
      </c>
      <c r="H1758" t="s">
        <v>371</v>
      </c>
      <c r="I1758" t="s">
        <v>28</v>
      </c>
      <c r="J1758" t="s">
        <v>45</v>
      </c>
      <c r="K1758" t="s">
        <v>45</v>
      </c>
      <c r="L1758" t="s">
        <v>25</v>
      </c>
      <c r="M1758" t="s">
        <v>20</v>
      </c>
      <c r="N1758">
        <v>2</v>
      </c>
      <c r="O1758">
        <v>1338</v>
      </c>
      <c r="P1758">
        <v>2199</v>
      </c>
      <c r="Q1758">
        <v>15</v>
      </c>
      <c r="R1758">
        <v>800</v>
      </c>
      <c r="S1758">
        <v>3598</v>
      </c>
      <c r="T1758">
        <v>922</v>
      </c>
      <c r="U1758">
        <v>25.63</v>
      </c>
      <c r="V1758" t="s">
        <v>21</v>
      </c>
    </row>
    <row r="1759" spans="1:22" x14ac:dyDescent="0.35">
      <c r="A1759" t="s">
        <v>875</v>
      </c>
      <c r="B1759" t="s">
        <v>95</v>
      </c>
      <c r="C1759" t="s">
        <v>27</v>
      </c>
      <c r="D1759" t="s">
        <v>874</v>
      </c>
      <c r="E1759" t="s">
        <v>873</v>
      </c>
      <c r="F1759" s="5">
        <v>45588</v>
      </c>
      <c r="G1759" t="s">
        <v>126</v>
      </c>
      <c r="H1759" t="s">
        <v>872</v>
      </c>
      <c r="I1759" t="s">
        <v>35</v>
      </c>
      <c r="J1759" t="s">
        <v>39</v>
      </c>
      <c r="K1759" t="s">
        <v>39</v>
      </c>
      <c r="L1759" t="s">
        <v>37</v>
      </c>
      <c r="M1759" t="s">
        <v>20</v>
      </c>
      <c r="N1759">
        <v>1</v>
      </c>
      <c r="O1759">
        <v>939</v>
      </c>
      <c r="P1759">
        <v>1299</v>
      </c>
      <c r="Q1759">
        <v>20</v>
      </c>
      <c r="R1759">
        <v>300</v>
      </c>
      <c r="S1759">
        <v>999</v>
      </c>
      <c r="T1759">
        <v>60</v>
      </c>
      <c r="U1759">
        <v>6.01</v>
      </c>
      <c r="V1759" t="s">
        <v>21</v>
      </c>
    </row>
    <row r="1760" spans="1:22" x14ac:dyDescent="0.35">
      <c r="A1760" t="s">
        <v>871</v>
      </c>
      <c r="B1760" t="s">
        <v>52</v>
      </c>
      <c r="C1760" t="s">
        <v>27</v>
      </c>
      <c r="D1760" t="s">
        <v>870</v>
      </c>
      <c r="E1760" t="s">
        <v>869</v>
      </c>
      <c r="F1760" s="5">
        <v>45521</v>
      </c>
      <c r="G1760" t="s">
        <v>126</v>
      </c>
      <c r="H1760" t="s">
        <v>868</v>
      </c>
      <c r="I1760" t="s">
        <v>31</v>
      </c>
      <c r="J1760" t="s">
        <v>32</v>
      </c>
      <c r="K1760" t="s">
        <v>32</v>
      </c>
      <c r="L1760" t="s">
        <v>25</v>
      </c>
      <c r="M1760" t="s">
        <v>19</v>
      </c>
      <c r="N1760">
        <v>1</v>
      </c>
      <c r="O1760">
        <v>508</v>
      </c>
      <c r="P1760">
        <v>899</v>
      </c>
      <c r="Q1760">
        <v>0</v>
      </c>
      <c r="R1760">
        <v>0</v>
      </c>
      <c r="S1760">
        <v>899</v>
      </c>
      <c r="T1760">
        <v>391</v>
      </c>
      <c r="U1760">
        <v>43.49</v>
      </c>
      <c r="V1760" t="s">
        <v>21</v>
      </c>
    </row>
    <row r="1761" spans="1:22" x14ac:dyDescent="0.35">
      <c r="A1761" t="s">
        <v>867</v>
      </c>
      <c r="B1761" t="s">
        <v>73</v>
      </c>
      <c r="C1761" t="s">
        <v>16</v>
      </c>
      <c r="D1761" t="s">
        <v>866</v>
      </c>
      <c r="E1761" t="s">
        <v>865</v>
      </c>
      <c r="F1761" s="5">
        <v>45547</v>
      </c>
      <c r="G1761" t="s">
        <v>126</v>
      </c>
      <c r="H1761" t="s">
        <v>864</v>
      </c>
      <c r="I1761" t="s">
        <v>35</v>
      </c>
      <c r="J1761" t="s">
        <v>159</v>
      </c>
      <c r="K1761" t="s">
        <v>36</v>
      </c>
      <c r="L1761" t="s">
        <v>19</v>
      </c>
      <c r="M1761" t="s">
        <v>19</v>
      </c>
      <c r="N1761">
        <v>5</v>
      </c>
      <c r="O1761">
        <v>351</v>
      </c>
      <c r="P1761">
        <v>499</v>
      </c>
      <c r="Q1761">
        <v>15</v>
      </c>
      <c r="R1761">
        <v>500</v>
      </c>
      <c r="S1761">
        <v>1995</v>
      </c>
      <c r="T1761">
        <v>240</v>
      </c>
      <c r="U1761">
        <v>12.03</v>
      </c>
      <c r="V1761" t="s">
        <v>21</v>
      </c>
    </row>
    <row r="1762" spans="1:22" x14ac:dyDescent="0.35">
      <c r="A1762" t="s">
        <v>863</v>
      </c>
      <c r="B1762" t="s">
        <v>57</v>
      </c>
      <c r="C1762" t="s">
        <v>27</v>
      </c>
      <c r="D1762" t="s">
        <v>862</v>
      </c>
      <c r="E1762" t="s">
        <v>861</v>
      </c>
      <c r="F1762" s="5">
        <v>45484</v>
      </c>
      <c r="G1762" t="s">
        <v>126</v>
      </c>
      <c r="H1762" t="s">
        <v>860</v>
      </c>
      <c r="I1762" t="s">
        <v>31</v>
      </c>
      <c r="J1762" t="s">
        <v>76</v>
      </c>
      <c r="K1762" t="s">
        <v>76</v>
      </c>
      <c r="L1762" t="s">
        <v>37</v>
      </c>
      <c r="M1762" t="s">
        <v>19</v>
      </c>
      <c r="N1762">
        <v>3</v>
      </c>
      <c r="O1762">
        <v>616</v>
      </c>
      <c r="P1762">
        <v>999</v>
      </c>
      <c r="Q1762">
        <v>0</v>
      </c>
      <c r="R1762">
        <v>0</v>
      </c>
      <c r="S1762">
        <v>2997</v>
      </c>
      <c r="T1762">
        <v>1149</v>
      </c>
      <c r="U1762">
        <v>38.340000000000003</v>
      </c>
      <c r="V1762" t="s">
        <v>21</v>
      </c>
    </row>
    <row r="1763" spans="1:22" x14ac:dyDescent="0.35">
      <c r="A1763" t="s">
        <v>859</v>
      </c>
      <c r="B1763" t="s">
        <v>91</v>
      </c>
      <c r="C1763" t="s">
        <v>16</v>
      </c>
      <c r="D1763" t="s">
        <v>858</v>
      </c>
      <c r="E1763" t="s">
        <v>857</v>
      </c>
      <c r="F1763" s="5">
        <v>45479</v>
      </c>
      <c r="G1763" t="s">
        <v>126</v>
      </c>
      <c r="H1763" t="s">
        <v>856</v>
      </c>
      <c r="I1763" t="s">
        <v>23</v>
      </c>
      <c r="J1763" t="s">
        <v>164</v>
      </c>
      <c r="K1763" t="s">
        <v>24</v>
      </c>
      <c r="L1763" t="s">
        <v>25</v>
      </c>
      <c r="M1763" t="s">
        <v>19</v>
      </c>
      <c r="N1763">
        <v>1</v>
      </c>
      <c r="O1763">
        <v>1085</v>
      </c>
      <c r="P1763">
        <v>1899</v>
      </c>
      <c r="Q1763">
        <v>20</v>
      </c>
      <c r="R1763">
        <v>400</v>
      </c>
      <c r="S1763">
        <v>1499</v>
      </c>
      <c r="T1763">
        <v>414</v>
      </c>
      <c r="U1763">
        <v>27.62</v>
      </c>
      <c r="V1763" t="s">
        <v>33</v>
      </c>
    </row>
    <row r="1764" spans="1:22" x14ac:dyDescent="0.35">
      <c r="A1764" t="s">
        <v>855</v>
      </c>
      <c r="B1764" t="s">
        <v>73</v>
      </c>
      <c r="C1764" t="s">
        <v>16</v>
      </c>
      <c r="D1764" t="s">
        <v>854</v>
      </c>
      <c r="E1764" t="s">
        <v>853</v>
      </c>
      <c r="F1764" s="5">
        <v>45605</v>
      </c>
      <c r="G1764" t="s">
        <v>126</v>
      </c>
      <c r="H1764" t="s">
        <v>852</v>
      </c>
      <c r="I1764" t="s">
        <v>35</v>
      </c>
      <c r="J1764" t="s">
        <v>214</v>
      </c>
      <c r="K1764" t="s">
        <v>50</v>
      </c>
      <c r="L1764" t="s">
        <v>25</v>
      </c>
      <c r="M1764" t="s">
        <v>20</v>
      </c>
      <c r="N1764">
        <v>2</v>
      </c>
      <c r="O1764">
        <v>567</v>
      </c>
      <c r="P1764">
        <v>899</v>
      </c>
      <c r="Q1764">
        <v>10</v>
      </c>
      <c r="R1764">
        <v>200</v>
      </c>
      <c r="S1764">
        <v>1598</v>
      </c>
      <c r="T1764">
        <v>464</v>
      </c>
      <c r="U1764">
        <v>29.04</v>
      </c>
      <c r="V1764" t="s">
        <v>21</v>
      </c>
    </row>
    <row r="1765" spans="1:22" x14ac:dyDescent="0.35">
      <c r="A1765" t="s">
        <v>851</v>
      </c>
      <c r="B1765" t="s">
        <v>34</v>
      </c>
      <c r="C1765" t="s">
        <v>27</v>
      </c>
      <c r="D1765" t="s">
        <v>850</v>
      </c>
      <c r="E1765" t="s">
        <v>849</v>
      </c>
      <c r="F1765" s="5">
        <v>45507</v>
      </c>
      <c r="G1765" t="s">
        <v>126</v>
      </c>
      <c r="H1765" t="s">
        <v>781</v>
      </c>
      <c r="I1765" t="s">
        <v>31</v>
      </c>
      <c r="J1765" t="s">
        <v>76</v>
      </c>
      <c r="K1765" t="s">
        <v>76</v>
      </c>
      <c r="L1765" t="s">
        <v>19</v>
      </c>
      <c r="M1765" t="s">
        <v>19</v>
      </c>
      <c r="N1765">
        <v>1</v>
      </c>
      <c r="O1765">
        <v>1018</v>
      </c>
      <c r="P1765">
        <v>1499</v>
      </c>
      <c r="Q1765">
        <v>0</v>
      </c>
      <c r="R1765">
        <v>0</v>
      </c>
      <c r="S1765">
        <v>1499</v>
      </c>
      <c r="T1765">
        <v>481</v>
      </c>
      <c r="U1765">
        <v>32.090000000000003</v>
      </c>
      <c r="V1765" t="s">
        <v>21</v>
      </c>
    </row>
    <row r="1766" spans="1:22" x14ac:dyDescent="0.35">
      <c r="A1766" t="s">
        <v>848</v>
      </c>
      <c r="B1766" t="s">
        <v>44</v>
      </c>
      <c r="C1766" t="s">
        <v>16</v>
      </c>
      <c r="D1766" t="s">
        <v>847</v>
      </c>
      <c r="E1766" t="s">
        <v>846</v>
      </c>
      <c r="F1766" s="5">
        <v>45616</v>
      </c>
      <c r="G1766" t="s">
        <v>126</v>
      </c>
      <c r="H1766" t="s">
        <v>845</v>
      </c>
      <c r="I1766" t="s">
        <v>31</v>
      </c>
      <c r="J1766" t="s">
        <v>76</v>
      </c>
      <c r="K1766" t="s">
        <v>76</v>
      </c>
      <c r="L1766" t="s">
        <v>37</v>
      </c>
      <c r="M1766" t="s">
        <v>19</v>
      </c>
      <c r="N1766">
        <v>3</v>
      </c>
      <c r="O1766">
        <v>409</v>
      </c>
      <c r="P1766">
        <v>699</v>
      </c>
      <c r="Q1766">
        <v>0</v>
      </c>
      <c r="R1766">
        <v>0</v>
      </c>
      <c r="S1766">
        <v>2097</v>
      </c>
      <c r="T1766">
        <v>870</v>
      </c>
      <c r="U1766">
        <v>41.49</v>
      </c>
      <c r="V1766" t="s">
        <v>21</v>
      </c>
    </row>
    <row r="1767" spans="1:22" x14ac:dyDescent="0.35">
      <c r="A1767" t="s">
        <v>844</v>
      </c>
      <c r="B1767" t="s">
        <v>73</v>
      </c>
      <c r="C1767" t="s">
        <v>16</v>
      </c>
      <c r="D1767" t="s">
        <v>843</v>
      </c>
      <c r="E1767" t="s">
        <v>842</v>
      </c>
      <c r="F1767" s="5">
        <v>45588</v>
      </c>
      <c r="G1767" t="s">
        <v>126</v>
      </c>
      <c r="H1767" t="s">
        <v>841</v>
      </c>
      <c r="I1767" t="s">
        <v>23</v>
      </c>
      <c r="J1767" t="s">
        <v>142</v>
      </c>
      <c r="K1767" t="s">
        <v>43</v>
      </c>
      <c r="L1767" t="s">
        <v>25</v>
      </c>
      <c r="M1767" t="s">
        <v>20</v>
      </c>
      <c r="N1767">
        <v>4</v>
      </c>
      <c r="O1767">
        <v>3014</v>
      </c>
      <c r="P1767">
        <v>4799</v>
      </c>
      <c r="Q1767">
        <v>15</v>
      </c>
      <c r="R1767">
        <v>3200</v>
      </c>
      <c r="S1767">
        <v>15996</v>
      </c>
      <c r="T1767">
        <v>3940</v>
      </c>
      <c r="U1767">
        <v>24.63</v>
      </c>
      <c r="V1767" t="s">
        <v>21</v>
      </c>
    </row>
    <row r="1768" spans="1:22" x14ac:dyDescent="0.35">
      <c r="A1768" t="s">
        <v>840</v>
      </c>
      <c r="B1768" t="s">
        <v>85</v>
      </c>
      <c r="C1768" t="s">
        <v>27</v>
      </c>
      <c r="D1768" t="s">
        <v>839</v>
      </c>
      <c r="E1768" t="s">
        <v>838</v>
      </c>
      <c r="F1768" s="5">
        <v>45502</v>
      </c>
      <c r="G1768" t="s">
        <v>126</v>
      </c>
      <c r="H1768" t="s">
        <v>837</v>
      </c>
      <c r="I1768" t="s">
        <v>35</v>
      </c>
      <c r="J1768" t="s">
        <v>214</v>
      </c>
      <c r="K1768" t="s">
        <v>50</v>
      </c>
      <c r="L1768" t="s">
        <v>19</v>
      </c>
      <c r="M1768" t="s">
        <v>19</v>
      </c>
      <c r="N1768">
        <v>1</v>
      </c>
      <c r="O1768">
        <v>453</v>
      </c>
      <c r="P1768">
        <v>899</v>
      </c>
      <c r="Q1768">
        <v>5</v>
      </c>
      <c r="R1768">
        <v>100</v>
      </c>
      <c r="S1768">
        <v>799</v>
      </c>
      <c r="T1768">
        <v>346</v>
      </c>
      <c r="U1768">
        <v>43.3</v>
      </c>
      <c r="V1768" t="s">
        <v>21</v>
      </c>
    </row>
    <row r="1769" spans="1:22" x14ac:dyDescent="0.35">
      <c r="A1769" t="s">
        <v>836</v>
      </c>
      <c r="B1769" t="s">
        <v>67</v>
      </c>
      <c r="C1769" t="s">
        <v>27</v>
      </c>
      <c r="D1769" t="s">
        <v>835</v>
      </c>
      <c r="E1769" t="s">
        <v>834</v>
      </c>
      <c r="F1769" s="5">
        <v>45587</v>
      </c>
      <c r="G1769" t="s">
        <v>126</v>
      </c>
      <c r="H1769" t="s">
        <v>833</v>
      </c>
      <c r="I1769" t="s">
        <v>31</v>
      </c>
      <c r="J1769" t="s">
        <v>76</v>
      </c>
      <c r="K1769" t="s">
        <v>76</v>
      </c>
      <c r="L1769" t="s">
        <v>37</v>
      </c>
      <c r="M1769" t="s">
        <v>19</v>
      </c>
      <c r="N1769">
        <v>5</v>
      </c>
      <c r="O1769">
        <v>799</v>
      </c>
      <c r="P1769">
        <v>1199</v>
      </c>
      <c r="Q1769">
        <v>0</v>
      </c>
      <c r="R1769">
        <v>0</v>
      </c>
      <c r="S1769">
        <v>5995</v>
      </c>
      <c r="T1769">
        <v>2000</v>
      </c>
      <c r="U1769">
        <v>33.36</v>
      </c>
      <c r="V1769" t="s">
        <v>21</v>
      </c>
    </row>
    <row r="1770" spans="1:22" x14ac:dyDescent="0.35">
      <c r="A1770" t="s">
        <v>832</v>
      </c>
      <c r="B1770" t="s">
        <v>65</v>
      </c>
      <c r="C1770" t="s">
        <v>16</v>
      </c>
      <c r="D1770" t="s">
        <v>831</v>
      </c>
      <c r="E1770" t="s">
        <v>669</v>
      </c>
      <c r="F1770" s="5">
        <v>45558</v>
      </c>
      <c r="G1770" t="s">
        <v>126</v>
      </c>
      <c r="H1770" t="s">
        <v>830</v>
      </c>
      <c r="I1770" t="s">
        <v>23</v>
      </c>
      <c r="J1770" t="s">
        <v>164</v>
      </c>
      <c r="K1770" t="s">
        <v>24</v>
      </c>
      <c r="L1770" t="s">
        <v>25</v>
      </c>
      <c r="M1770" t="s">
        <v>19</v>
      </c>
      <c r="N1770">
        <v>2</v>
      </c>
      <c r="O1770">
        <v>1029</v>
      </c>
      <c r="P1770">
        <v>1699</v>
      </c>
      <c r="Q1770">
        <v>10</v>
      </c>
      <c r="R1770">
        <v>400</v>
      </c>
      <c r="S1770">
        <v>2998</v>
      </c>
      <c r="T1770">
        <v>940</v>
      </c>
      <c r="U1770">
        <v>31.35</v>
      </c>
      <c r="V1770" t="s">
        <v>21</v>
      </c>
    </row>
    <row r="1771" spans="1:22" x14ac:dyDescent="0.35">
      <c r="A1771" t="s">
        <v>829</v>
      </c>
      <c r="B1771" t="s">
        <v>52</v>
      </c>
      <c r="C1771" t="s">
        <v>27</v>
      </c>
      <c r="D1771" t="s">
        <v>828</v>
      </c>
      <c r="E1771" t="s">
        <v>827</v>
      </c>
      <c r="F1771" s="5">
        <v>45539</v>
      </c>
      <c r="G1771" t="s">
        <v>126</v>
      </c>
      <c r="H1771" t="s">
        <v>826</v>
      </c>
      <c r="I1771" t="s">
        <v>17</v>
      </c>
      <c r="J1771" t="s">
        <v>48</v>
      </c>
      <c r="K1771" t="s">
        <v>48</v>
      </c>
      <c r="L1771" t="s">
        <v>25</v>
      </c>
      <c r="M1771" t="s">
        <v>19</v>
      </c>
      <c r="N1771">
        <v>1</v>
      </c>
      <c r="O1771">
        <v>195</v>
      </c>
      <c r="P1771">
        <v>299</v>
      </c>
      <c r="Q1771">
        <v>0</v>
      </c>
      <c r="R1771">
        <v>0</v>
      </c>
      <c r="S1771">
        <v>299</v>
      </c>
      <c r="T1771">
        <v>104</v>
      </c>
      <c r="U1771">
        <v>34.78</v>
      </c>
      <c r="V1771" t="s">
        <v>33</v>
      </c>
    </row>
    <row r="1772" spans="1:22" x14ac:dyDescent="0.35">
      <c r="A1772" t="s">
        <v>825</v>
      </c>
      <c r="B1772" t="s">
        <v>105</v>
      </c>
      <c r="C1772" t="s">
        <v>16</v>
      </c>
      <c r="D1772" t="s">
        <v>824</v>
      </c>
      <c r="E1772" t="s">
        <v>823</v>
      </c>
      <c r="F1772" s="5">
        <v>45526</v>
      </c>
      <c r="G1772" t="s">
        <v>126</v>
      </c>
      <c r="H1772" t="s">
        <v>822</v>
      </c>
      <c r="I1772" t="s">
        <v>28</v>
      </c>
      <c r="J1772" t="s">
        <v>45</v>
      </c>
      <c r="K1772" t="s">
        <v>45</v>
      </c>
      <c r="L1772" t="s">
        <v>37</v>
      </c>
      <c r="M1772" t="s">
        <v>20</v>
      </c>
      <c r="N1772">
        <v>3</v>
      </c>
      <c r="O1772">
        <v>461</v>
      </c>
      <c r="P1772">
        <v>699</v>
      </c>
      <c r="Q1772">
        <v>5</v>
      </c>
      <c r="R1772">
        <v>300</v>
      </c>
      <c r="S1772">
        <v>1797</v>
      </c>
      <c r="T1772">
        <v>414</v>
      </c>
      <c r="U1772">
        <v>23.04</v>
      </c>
      <c r="V1772" t="s">
        <v>21</v>
      </c>
    </row>
    <row r="1773" spans="1:22" x14ac:dyDescent="0.35">
      <c r="A1773" t="s">
        <v>821</v>
      </c>
      <c r="B1773" t="s">
        <v>90</v>
      </c>
      <c r="C1773" t="s">
        <v>27</v>
      </c>
      <c r="D1773" t="s">
        <v>820</v>
      </c>
      <c r="E1773" t="s">
        <v>819</v>
      </c>
      <c r="F1773" s="5">
        <v>45501</v>
      </c>
      <c r="G1773" t="s">
        <v>126</v>
      </c>
      <c r="H1773" t="s">
        <v>818</v>
      </c>
      <c r="I1773" t="s">
        <v>35</v>
      </c>
      <c r="J1773" t="s">
        <v>159</v>
      </c>
      <c r="K1773" t="s">
        <v>36</v>
      </c>
      <c r="L1773" t="s">
        <v>19</v>
      </c>
      <c r="M1773" t="s">
        <v>20</v>
      </c>
      <c r="N1773">
        <v>1</v>
      </c>
      <c r="O1773">
        <v>303</v>
      </c>
      <c r="P1773">
        <v>599</v>
      </c>
      <c r="Q1773">
        <v>5</v>
      </c>
      <c r="R1773">
        <v>100</v>
      </c>
      <c r="S1773">
        <v>499</v>
      </c>
      <c r="T1773">
        <v>196</v>
      </c>
      <c r="U1773">
        <v>39.28</v>
      </c>
      <c r="V1773" t="s">
        <v>21</v>
      </c>
    </row>
    <row r="1774" spans="1:22" x14ac:dyDescent="0.35">
      <c r="A1774" t="s">
        <v>817</v>
      </c>
      <c r="B1774" t="s">
        <v>96</v>
      </c>
      <c r="C1774" t="s">
        <v>16</v>
      </c>
      <c r="D1774" t="s">
        <v>816</v>
      </c>
      <c r="E1774" t="s">
        <v>815</v>
      </c>
      <c r="F1774" s="5">
        <v>45626</v>
      </c>
      <c r="G1774" t="s">
        <v>126</v>
      </c>
      <c r="H1774" t="s">
        <v>814</v>
      </c>
      <c r="I1774" t="s">
        <v>31</v>
      </c>
      <c r="J1774" t="s">
        <v>76</v>
      </c>
      <c r="K1774" t="s">
        <v>76</v>
      </c>
      <c r="L1774" t="s">
        <v>25</v>
      </c>
      <c r="M1774" t="s">
        <v>20</v>
      </c>
      <c r="N1774">
        <v>5</v>
      </c>
      <c r="O1774">
        <v>753</v>
      </c>
      <c r="P1774">
        <v>1199</v>
      </c>
      <c r="Q1774">
        <v>0</v>
      </c>
      <c r="R1774">
        <v>0</v>
      </c>
      <c r="S1774">
        <v>5995</v>
      </c>
      <c r="T1774">
        <v>2230</v>
      </c>
      <c r="U1774">
        <v>37.200000000000003</v>
      </c>
      <c r="V1774" t="s">
        <v>21</v>
      </c>
    </row>
    <row r="1775" spans="1:22" x14ac:dyDescent="0.35">
      <c r="A1775" t="s">
        <v>813</v>
      </c>
      <c r="B1775" t="s">
        <v>67</v>
      </c>
      <c r="C1775" t="s">
        <v>27</v>
      </c>
      <c r="D1775" t="s">
        <v>812</v>
      </c>
      <c r="E1775" t="s">
        <v>811</v>
      </c>
      <c r="F1775" s="5">
        <v>45577</v>
      </c>
      <c r="G1775" t="s">
        <v>126</v>
      </c>
      <c r="H1775" t="s">
        <v>810</v>
      </c>
      <c r="I1775" t="s">
        <v>23</v>
      </c>
      <c r="J1775" t="s">
        <v>142</v>
      </c>
      <c r="K1775" t="s">
        <v>43</v>
      </c>
      <c r="L1775" t="s">
        <v>19</v>
      </c>
      <c r="M1775" t="s">
        <v>20</v>
      </c>
      <c r="N1775">
        <v>4</v>
      </c>
      <c r="O1775">
        <v>1219</v>
      </c>
      <c r="P1775">
        <v>1999</v>
      </c>
      <c r="Q1775">
        <v>5</v>
      </c>
      <c r="R1775">
        <v>400</v>
      </c>
      <c r="S1775">
        <v>7596</v>
      </c>
      <c r="T1775">
        <v>2720</v>
      </c>
      <c r="U1775">
        <v>35.81</v>
      </c>
      <c r="V1775" t="s">
        <v>21</v>
      </c>
    </row>
    <row r="1776" spans="1:22" x14ac:dyDescent="0.35">
      <c r="A1776" t="s">
        <v>809</v>
      </c>
      <c r="B1776" t="s">
        <v>67</v>
      </c>
      <c r="C1776" t="s">
        <v>27</v>
      </c>
      <c r="D1776" t="s">
        <v>808</v>
      </c>
      <c r="E1776" t="s">
        <v>807</v>
      </c>
      <c r="F1776" s="5">
        <v>45642</v>
      </c>
      <c r="G1776" t="s">
        <v>126</v>
      </c>
      <c r="H1776" t="s">
        <v>806</v>
      </c>
      <c r="I1776" t="s">
        <v>17</v>
      </c>
      <c r="J1776" t="s">
        <v>48</v>
      </c>
      <c r="K1776" t="s">
        <v>48</v>
      </c>
      <c r="L1776" t="s">
        <v>37</v>
      </c>
      <c r="M1776" t="s">
        <v>20</v>
      </c>
      <c r="N1776">
        <v>1</v>
      </c>
      <c r="O1776">
        <v>306</v>
      </c>
      <c r="P1776">
        <v>599</v>
      </c>
      <c r="Q1776">
        <v>0</v>
      </c>
      <c r="R1776">
        <v>0</v>
      </c>
      <c r="S1776">
        <v>599</v>
      </c>
      <c r="T1776">
        <v>293</v>
      </c>
      <c r="U1776">
        <v>48.91</v>
      </c>
      <c r="V1776" t="s">
        <v>21</v>
      </c>
    </row>
    <row r="1777" spans="1:22" x14ac:dyDescent="0.35">
      <c r="A1777" t="s">
        <v>805</v>
      </c>
      <c r="B1777" t="s">
        <v>79</v>
      </c>
      <c r="C1777" t="s">
        <v>16</v>
      </c>
      <c r="D1777" t="s">
        <v>804</v>
      </c>
      <c r="E1777" t="s">
        <v>803</v>
      </c>
      <c r="F1777" s="5">
        <v>45646</v>
      </c>
      <c r="G1777" t="s">
        <v>126</v>
      </c>
      <c r="H1777" t="s">
        <v>802</v>
      </c>
      <c r="I1777" t="s">
        <v>23</v>
      </c>
      <c r="J1777" t="s">
        <v>142</v>
      </c>
      <c r="K1777" t="s">
        <v>43</v>
      </c>
      <c r="L1777" t="s">
        <v>37</v>
      </c>
      <c r="M1777" t="s">
        <v>20</v>
      </c>
      <c r="N1777">
        <v>1</v>
      </c>
      <c r="O1777">
        <v>1668</v>
      </c>
      <c r="P1777">
        <v>2299</v>
      </c>
      <c r="Q1777">
        <v>10</v>
      </c>
      <c r="R1777">
        <v>300</v>
      </c>
      <c r="S1777">
        <v>1999</v>
      </c>
      <c r="T1777">
        <v>331</v>
      </c>
      <c r="U1777">
        <v>16.559999999999999</v>
      </c>
      <c r="V1777" t="s">
        <v>21</v>
      </c>
    </row>
    <row r="1778" spans="1:22" x14ac:dyDescent="0.35">
      <c r="A1778" t="s">
        <v>801</v>
      </c>
      <c r="B1778" t="s">
        <v>26</v>
      </c>
      <c r="C1778" t="s">
        <v>27</v>
      </c>
      <c r="D1778" t="s">
        <v>800</v>
      </c>
      <c r="E1778" t="s">
        <v>799</v>
      </c>
      <c r="F1778" s="5">
        <v>45584</v>
      </c>
      <c r="G1778" t="s">
        <v>126</v>
      </c>
      <c r="H1778" t="s">
        <v>371</v>
      </c>
      <c r="I1778" t="s">
        <v>23</v>
      </c>
      <c r="J1778" t="s">
        <v>142</v>
      </c>
      <c r="K1778" t="s">
        <v>43</v>
      </c>
      <c r="L1778" t="s">
        <v>25</v>
      </c>
      <c r="M1778" t="s">
        <v>19</v>
      </c>
      <c r="N1778">
        <v>3</v>
      </c>
      <c r="O1778">
        <v>2109</v>
      </c>
      <c r="P1778">
        <v>3799</v>
      </c>
      <c r="Q1778">
        <v>20</v>
      </c>
      <c r="R1778">
        <v>2400</v>
      </c>
      <c r="S1778">
        <v>8997</v>
      </c>
      <c r="T1778">
        <v>2670</v>
      </c>
      <c r="U1778">
        <v>29.68</v>
      </c>
      <c r="V1778" t="s">
        <v>33</v>
      </c>
    </row>
    <row r="1779" spans="1:22" x14ac:dyDescent="0.35">
      <c r="A1779" t="s">
        <v>798</v>
      </c>
      <c r="B1779" t="s">
        <v>82</v>
      </c>
      <c r="C1779" t="s">
        <v>27</v>
      </c>
      <c r="D1779" t="s">
        <v>797</v>
      </c>
      <c r="E1779" t="s">
        <v>796</v>
      </c>
      <c r="F1779" s="5">
        <v>45627</v>
      </c>
      <c r="G1779" t="s">
        <v>126</v>
      </c>
      <c r="H1779" t="s">
        <v>795</v>
      </c>
      <c r="I1779" t="s">
        <v>28</v>
      </c>
      <c r="J1779" t="s">
        <v>45</v>
      </c>
      <c r="K1779" t="s">
        <v>45</v>
      </c>
      <c r="L1779" t="s">
        <v>25</v>
      </c>
      <c r="M1779" t="s">
        <v>19</v>
      </c>
      <c r="N1779">
        <v>1</v>
      </c>
      <c r="O1779">
        <v>1380</v>
      </c>
      <c r="P1779">
        <v>1899</v>
      </c>
      <c r="Q1779">
        <v>5</v>
      </c>
      <c r="R1779">
        <v>100</v>
      </c>
      <c r="S1779">
        <v>1799</v>
      </c>
      <c r="T1779">
        <v>419</v>
      </c>
      <c r="U1779">
        <v>23.29</v>
      </c>
      <c r="V1779" t="s">
        <v>33</v>
      </c>
    </row>
    <row r="1780" spans="1:22" x14ac:dyDescent="0.35">
      <c r="A1780" t="s">
        <v>794</v>
      </c>
      <c r="B1780" t="s">
        <v>38</v>
      </c>
      <c r="C1780" t="s">
        <v>27</v>
      </c>
      <c r="D1780" t="s">
        <v>793</v>
      </c>
      <c r="E1780" t="s">
        <v>792</v>
      </c>
      <c r="F1780" s="5">
        <v>45507</v>
      </c>
      <c r="G1780" t="s">
        <v>126</v>
      </c>
      <c r="H1780" t="s">
        <v>791</v>
      </c>
      <c r="I1780" t="s">
        <v>31</v>
      </c>
      <c r="J1780" t="s">
        <v>76</v>
      </c>
      <c r="K1780" t="s">
        <v>76</v>
      </c>
      <c r="L1780" t="s">
        <v>37</v>
      </c>
      <c r="M1780" t="s">
        <v>19</v>
      </c>
      <c r="N1780">
        <v>3</v>
      </c>
      <c r="O1780">
        <v>577</v>
      </c>
      <c r="P1780">
        <v>999</v>
      </c>
      <c r="Q1780">
        <v>0</v>
      </c>
      <c r="R1780">
        <v>0</v>
      </c>
      <c r="S1780">
        <v>2997</v>
      </c>
      <c r="T1780">
        <v>1266</v>
      </c>
      <c r="U1780">
        <v>42.24</v>
      </c>
      <c r="V1780" t="s">
        <v>21</v>
      </c>
    </row>
    <row r="1781" spans="1:22" x14ac:dyDescent="0.35">
      <c r="A1781" t="s">
        <v>790</v>
      </c>
      <c r="B1781" t="s">
        <v>81</v>
      </c>
      <c r="C1781" t="s">
        <v>27</v>
      </c>
      <c r="D1781" t="s">
        <v>789</v>
      </c>
      <c r="E1781" t="s">
        <v>788</v>
      </c>
      <c r="F1781" s="5">
        <v>45654</v>
      </c>
      <c r="G1781" t="s">
        <v>126</v>
      </c>
      <c r="H1781" t="s">
        <v>240</v>
      </c>
      <c r="I1781" t="s">
        <v>28</v>
      </c>
      <c r="J1781" t="s">
        <v>201</v>
      </c>
      <c r="K1781" t="s">
        <v>29</v>
      </c>
      <c r="L1781" t="s">
        <v>37</v>
      </c>
      <c r="M1781" t="s">
        <v>20</v>
      </c>
      <c r="N1781">
        <v>2</v>
      </c>
      <c r="O1781">
        <v>590</v>
      </c>
      <c r="P1781">
        <v>799</v>
      </c>
      <c r="Q1781">
        <v>20</v>
      </c>
      <c r="R1781">
        <v>400</v>
      </c>
      <c r="S1781">
        <v>1198</v>
      </c>
      <c r="T1781">
        <v>18</v>
      </c>
      <c r="U1781">
        <v>1.5</v>
      </c>
      <c r="V1781" t="s">
        <v>33</v>
      </c>
    </row>
    <row r="1782" spans="1:22" x14ac:dyDescent="0.35">
      <c r="A1782" t="s">
        <v>787</v>
      </c>
      <c r="B1782" t="s">
        <v>54</v>
      </c>
      <c r="C1782" t="s">
        <v>27</v>
      </c>
      <c r="D1782" t="s">
        <v>786</v>
      </c>
      <c r="E1782" t="s">
        <v>785</v>
      </c>
      <c r="F1782" s="5">
        <v>45499</v>
      </c>
      <c r="G1782" t="s">
        <v>126</v>
      </c>
      <c r="H1782" t="s">
        <v>784</v>
      </c>
      <c r="I1782" t="s">
        <v>23</v>
      </c>
      <c r="J1782" t="s">
        <v>164</v>
      </c>
      <c r="K1782" t="s">
        <v>24</v>
      </c>
      <c r="L1782" t="s">
        <v>37</v>
      </c>
      <c r="M1782" t="s">
        <v>20</v>
      </c>
      <c r="N1782">
        <v>2</v>
      </c>
      <c r="O1782">
        <v>1527</v>
      </c>
      <c r="P1782">
        <v>2199</v>
      </c>
      <c r="Q1782">
        <v>5</v>
      </c>
      <c r="R1782">
        <v>400</v>
      </c>
      <c r="S1782">
        <v>3998</v>
      </c>
      <c r="T1782">
        <v>944</v>
      </c>
      <c r="U1782">
        <v>23.61</v>
      </c>
      <c r="V1782" t="s">
        <v>21</v>
      </c>
    </row>
    <row r="1783" spans="1:22" x14ac:dyDescent="0.35">
      <c r="A1783" t="s">
        <v>783</v>
      </c>
      <c r="B1783" t="s">
        <v>63</v>
      </c>
      <c r="C1783" t="s">
        <v>27</v>
      </c>
      <c r="D1783" t="s">
        <v>782</v>
      </c>
      <c r="E1783" t="s">
        <v>220</v>
      </c>
      <c r="F1783" s="5">
        <v>45563</v>
      </c>
      <c r="G1783" t="s">
        <v>126</v>
      </c>
      <c r="H1783" t="s">
        <v>781</v>
      </c>
      <c r="I1783" t="s">
        <v>23</v>
      </c>
      <c r="J1783" t="s">
        <v>142</v>
      </c>
      <c r="K1783" t="s">
        <v>43</v>
      </c>
      <c r="L1783" t="s">
        <v>37</v>
      </c>
      <c r="M1783" t="s">
        <v>20</v>
      </c>
      <c r="N1783">
        <v>1</v>
      </c>
      <c r="O1783">
        <v>1344</v>
      </c>
      <c r="P1783">
        <v>2399</v>
      </c>
      <c r="Q1783">
        <v>20</v>
      </c>
      <c r="R1783">
        <v>500</v>
      </c>
      <c r="S1783">
        <v>1899</v>
      </c>
      <c r="T1783">
        <v>555</v>
      </c>
      <c r="U1783">
        <v>29.23</v>
      </c>
      <c r="V1783" t="s">
        <v>21</v>
      </c>
    </row>
    <row r="1784" spans="1:22" x14ac:dyDescent="0.35">
      <c r="A1784" t="s">
        <v>780</v>
      </c>
      <c r="B1784" t="s">
        <v>62</v>
      </c>
      <c r="C1784" t="s">
        <v>16</v>
      </c>
      <c r="D1784" t="s">
        <v>779</v>
      </c>
      <c r="E1784" t="s">
        <v>778</v>
      </c>
      <c r="F1784" s="5">
        <v>45447</v>
      </c>
      <c r="G1784" t="s">
        <v>126</v>
      </c>
      <c r="H1784" t="s">
        <v>777</v>
      </c>
      <c r="I1784" t="s">
        <v>28</v>
      </c>
      <c r="J1784" t="s">
        <v>201</v>
      </c>
      <c r="K1784" t="s">
        <v>29</v>
      </c>
      <c r="L1784" t="s">
        <v>37</v>
      </c>
      <c r="M1784" t="s">
        <v>20</v>
      </c>
      <c r="N1784">
        <v>2</v>
      </c>
      <c r="O1784">
        <v>328</v>
      </c>
      <c r="P1784">
        <v>599</v>
      </c>
      <c r="Q1784">
        <v>5</v>
      </c>
      <c r="R1784">
        <v>200</v>
      </c>
      <c r="S1784">
        <v>998</v>
      </c>
      <c r="T1784">
        <v>342</v>
      </c>
      <c r="U1784">
        <v>34.270000000000003</v>
      </c>
      <c r="V1784" t="s">
        <v>21</v>
      </c>
    </row>
    <row r="1785" spans="1:22" x14ac:dyDescent="0.35">
      <c r="A1785" t="s">
        <v>776</v>
      </c>
      <c r="B1785" t="s">
        <v>46</v>
      </c>
      <c r="C1785" t="s">
        <v>16</v>
      </c>
      <c r="D1785" t="s">
        <v>775</v>
      </c>
      <c r="E1785" t="s">
        <v>774</v>
      </c>
      <c r="F1785" s="5">
        <v>45515</v>
      </c>
      <c r="G1785" t="s">
        <v>126</v>
      </c>
      <c r="H1785" t="s">
        <v>773</v>
      </c>
      <c r="I1785" t="s">
        <v>17</v>
      </c>
      <c r="J1785" t="s">
        <v>48</v>
      </c>
      <c r="K1785" t="s">
        <v>48</v>
      </c>
      <c r="L1785" t="s">
        <v>19</v>
      </c>
      <c r="M1785" t="s">
        <v>20</v>
      </c>
      <c r="N1785">
        <v>2</v>
      </c>
      <c r="O1785">
        <v>272</v>
      </c>
      <c r="P1785">
        <v>399</v>
      </c>
      <c r="Q1785">
        <v>0</v>
      </c>
      <c r="R1785">
        <v>0</v>
      </c>
      <c r="S1785">
        <v>798</v>
      </c>
      <c r="T1785">
        <v>254</v>
      </c>
      <c r="U1785">
        <v>31.83</v>
      </c>
      <c r="V1785" t="s">
        <v>21</v>
      </c>
    </row>
    <row r="1786" spans="1:22" x14ac:dyDescent="0.35">
      <c r="A1786" t="s">
        <v>772</v>
      </c>
      <c r="B1786" t="s">
        <v>57</v>
      </c>
      <c r="C1786" t="s">
        <v>27</v>
      </c>
      <c r="D1786" t="s">
        <v>771</v>
      </c>
      <c r="E1786" t="s">
        <v>770</v>
      </c>
      <c r="F1786" s="5">
        <v>45554</v>
      </c>
      <c r="G1786" t="s">
        <v>126</v>
      </c>
      <c r="H1786" t="s">
        <v>718</v>
      </c>
      <c r="I1786" t="s">
        <v>35</v>
      </c>
      <c r="J1786" t="s">
        <v>244</v>
      </c>
      <c r="K1786" t="s">
        <v>58</v>
      </c>
      <c r="L1786" t="s">
        <v>37</v>
      </c>
      <c r="M1786" t="s">
        <v>20</v>
      </c>
      <c r="N1786">
        <v>1</v>
      </c>
      <c r="O1786">
        <v>812</v>
      </c>
      <c r="P1786">
        <v>1199</v>
      </c>
      <c r="Q1786">
        <v>15</v>
      </c>
      <c r="R1786">
        <v>200</v>
      </c>
      <c r="S1786">
        <v>999</v>
      </c>
      <c r="T1786">
        <v>187</v>
      </c>
      <c r="U1786">
        <v>18.72</v>
      </c>
      <c r="V1786" t="s">
        <v>21</v>
      </c>
    </row>
    <row r="1787" spans="1:22" x14ac:dyDescent="0.35">
      <c r="A1787" t="s">
        <v>769</v>
      </c>
      <c r="B1787" t="s">
        <v>104</v>
      </c>
      <c r="C1787" t="s">
        <v>27</v>
      </c>
      <c r="D1787" t="s">
        <v>768</v>
      </c>
      <c r="E1787" t="s">
        <v>767</v>
      </c>
      <c r="F1787" s="5">
        <v>45635</v>
      </c>
      <c r="G1787" t="s">
        <v>126</v>
      </c>
      <c r="H1787" t="s">
        <v>766</v>
      </c>
      <c r="I1787" t="s">
        <v>28</v>
      </c>
      <c r="J1787" t="s">
        <v>201</v>
      </c>
      <c r="K1787" t="s">
        <v>29</v>
      </c>
      <c r="L1787" t="s">
        <v>25</v>
      </c>
      <c r="M1787" t="s">
        <v>20</v>
      </c>
      <c r="N1787">
        <v>1</v>
      </c>
      <c r="O1787">
        <v>445</v>
      </c>
      <c r="P1787">
        <v>599</v>
      </c>
      <c r="Q1787">
        <v>10</v>
      </c>
      <c r="R1787">
        <v>100</v>
      </c>
      <c r="S1787">
        <v>499</v>
      </c>
      <c r="T1787">
        <v>54</v>
      </c>
      <c r="U1787">
        <v>10.82</v>
      </c>
      <c r="V1787" t="s">
        <v>21</v>
      </c>
    </row>
    <row r="1788" spans="1:22" x14ac:dyDescent="0.35">
      <c r="A1788" t="s">
        <v>765</v>
      </c>
      <c r="B1788" t="s">
        <v>79</v>
      </c>
      <c r="C1788" t="s">
        <v>16</v>
      </c>
      <c r="D1788" t="s">
        <v>764</v>
      </c>
      <c r="E1788" t="s">
        <v>763</v>
      </c>
      <c r="F1788" s="5">
        <v>45596</v>
      </c>
      <c r="G1788" t="s">
        <v>126</v>
      </c>
      <c r="H1788" t="s">
        <v>762</v>
      </c>
      <c r="I1788" t="s">
        <v>35</v>
      </c>
      <c r="J1788" t="s">
        <v>39</v>
      </c>
      <c r="K1788" t="s">
        <v>39</v>
      </c>
      <c r="L1788" t="s">
        <v>25</v>
      </c>
      <c r="M1788" t="s">
        <v>19</v>
      </c>
      <c r="N1788">
        <v>3</v>
      </c>
      <c r="O1788">
        <v>774</v>
      </c>
      <c r="P1788">
        <v>1199</v>
      </c>
      <c r="Q1788">
        <v>15</v>
      </c>
      <c r="R1788">
        <v>600</v>
      </c>
      <c r="S1788">
        <v>2997</v>
      </c>
      <c r="T1788">
        <v>675</v>
      </c>
      <c r="U1788">
        <v>22.52</v>
      </c>
      <c r="V1788" t="s">
        <v>21</v>
      </c>
    </row>
    <row r="1789" spans="1:22" x14ac:dyDescent="0.35">
      <c r="A1789" t="s">
        <v>761</v>
      </c>
      <c r="B1789" t="s">
        <v>98</v>
      </c>
      <c r="C1789" t="s">
        <v>16</v>
      </c>
      <c r="D1789" t="s">
        <v>760</v>
      </c>
      <c r="E1789" t="s">
        <v>759</v>
      </c>
      <c r="F1789" s="5">
        <v>45604</v>
      </c>
      <c r="G1789" t="s">
        <v>126</v>
      </c>
      <c r="H1789" t="s">
        <v>758</v>
      </c>
      <c r="I1789" t="s">
        <v>28</v>
      </c>
      <c r="J1789" t="s">
        <v>201</v>
      </c>
      <c r="K1789" t="s">
        <v>29</v>
      </c>
      <c r="L1789" t="s">
        <v>37</v>
      </c>
      <c r="M1789" t="s">
        <v>20</v>
      </c>
      <c r="N1789">
        <v>2</v>
      </c>
      <c r="O1789">
        <v>327</v>
      </c>
      <c r="P1789">
        <v>599</v>
      </c>
      <c r="Q1789">
        <v>10</v>
      </c>
      <c r="R1789">
        <v>200</v>
      </c>
      <c r="S1789">
        <v>998</v>
      </c>
      <c r="T1789">
        <v>344</v>
      </c>
      <c r="U1789">
        <v>34.47</v>
      </c>
      <c r="V1789" t="s">
        <v>33</v>
      </c>
    </row>
    <row r="1790" spans="1:22" x14ac:dyDescent="0.35">
      <c r="A1790" t="s">
        <v>757</v>
      </c>
      <c r="B1790" t="s">
        <v>77</v>
      </c>
      <c r="C1790" t="s">
        <v>27</v>
      </c>
      <c r="D1790" t="s">
        <v>756</v>
      </c>
      <c r="E1790" t="s">
        <v>755</v>
      </c>
      <c r="F1790" s="5">
        <v>45586</v>
      </c>
      <c r="G1790" t="s">
        <v>126</v>
      </c>
      <c r="H1790" t="s">
        <v>754</v>
      </c>
      <c r="I1790" t="s">
        <v>17</v>
      </c>
      <c r="J1790" t="s">
        <v>48</v>
      </c>
      <c r="K1790" t="s">
        <v>48</v>
      </c>
      <c r="L1790" t="s">
        <v>37</v>
      </c>
      <c r="M1790" t="s">
        <v>20</v>
      </c>
      <c r="N1790">
        <v>2</v>
      </c>
      <c r="O1790">
        <v>382</v>
      </c>
      <c r="P1790">
        <v>599</v>
      </c>
      <c r="Q1790">
        <v>0</v>
      </c>
      <c r="R1790">
        <v>0</v>
      </c>
      <c r="S1790">
        <v>1198</v>
      </c>
      <c r="T1790">
        <v>434</v>
      </c>
      <c r="U1790">
        <v>36.229999999999997</v>
      </c>
      <c r="V1790" t="s">
        <v>33</v>
      </c>
    </row>
    <row r="1791" spans="1:22" x14ac:dyDescent="0.35">
      <c r="A1791" t="s">
        <v>753</v>
      </c>
      <c r="B1791" t="s">
        <v>105</v>
      </c>
      <c r="C1791" t="s">
        <v>16</v>
      </c>
      <c r="D1791" t="s">
        <v>752</v>
      </c>
      <c r="E1791" t="s">
        <v>751</v>
      </c>
      <c r="F1791" s="5">
        <v>45463</v>
      </c>
      <c r="G1791" t="s">
        <v>126</v>
      </c>
      <c r="H1791" t="s">
        <v>750</v>
      </c>
      <c r="I1791" t="s">
        <v>31</v>
      </c>
      <c r="J1791" t="s">
        <v>76</v>
      </c>
      <c r="K1791" t="s">
        <v>76</v>
      </c>
      <c r="L1791" t="s">
        <v>25</v>
      </c>
      <c r="M1791" t="s">
        <v>19</v>
      </c>
      <c r="N1791">
        <v>1</v>
      </c>
      <c r="O1791">
        <v>354</v>
      </c>
      <c r="P1791">
        <v>699</v>
      </c>
      <c r="Q1791">
        <v>0</v>
      </c>
      <c r="R1791">
        <v>0</v>
      </c>
      <c r="S1791">
        <v>699</v>
      </c>
      <c r="T1791">
        <v>345</v>
      </c>
      <c r="U1791">
        <v>49.36</v>
      </c>
      <c r="V1791" t="s">
        <v>33</v>
      </c>
    </row>
    <row r="1792" spans="1:22" x14ac:dyDescent="0.35">
      <c r="A1792" t="s">
        <v>749</v>
      </c>
      <c r="B1792" t="s">
        <v>42</v>
      </c>
      <c r="C1792" t="s">
        <v>27</v>
      </c>
      <c r="D1792" t="s">
        <v>748</v>
      </c>
      <c r="E1792" t="s">
        <v>747</v>
      </c>
      <c r="F1792" s="5">
        <v>45633</v>
      </c>
      <c r="G1792" t="s">
        <v>126</v>
      </c>
      <c r="H1792" t="s">
        <v>746</v>
      </c>
      <c r="I1792" t="s">
        <v>17</v>
      </c>
      <c r="J1792" t="s">
        <v>48</v>
      </c>
      <c r="K1792" t="s">
        <v>48</v>
      </c>
      <c r="L1792" t="s">
        <v>37</v>
      </c>
      <c r="M1792" t="s">
        <v>20</v>
      </c>
      <c r="N1792">
        <v>1</v>
      </c>
      <c r="O1792">
        <v>280</v>
      </c>
      <c r="P1792">
        <v>399</v>
      </c>
      <c r="Q1792">
        <v>0</v>
      </c>
      <c r="R1792">
        <v>0</v>
      </c>
      <c r="S1792">
        <v>399</v>
      </c>
      <c r="T1792">
        <v>119</v>
      </c>
      <c r="U1792">
        <v>29.82</v>
      </c>
      <c r="V1792" t="s">
        <v>33</v>
      </c>
    </row>
    <row r="1793" spans="1:22" x14ac:dyDescent="0.35">
      <c r="A1793" t="s">
        <v>745</v>
      </c>
      <c r="B1793" t="s">
        <v>60</v>
      </c>
      <c r="C1793" t="s">
        <v>27</v>
      </c>
      <c r="D1793" t="s">
        <v>744</v>
      </c>
      <c r="E1793" t="s">
        <v>743</v>
      </c>
      <c r="F1793" s="5">
        <v>45456</v>
      </c>
      <c r="G1793" t="s">
        <v>126</v>
      </c>
      <c r="H1793" t="s">
        <v>742</v>
      </c>
      <c r="I1793" t="s">
        <v>28</v>
      </c>
      <c r="J1793" t="s">
        <v>45</v>
      </c>
      <c r="K1793" t="s">
        <v>45</v>
      </c>
      <c r="L1793" t="s">
        <v>19</v>
      </c>
      <c r="M1793" t="s">
        <v>19</v>
      </c>
      <c r="N1793">
        <v>3</v>
      </c>
      <c r="O1793">
        <v>1081</v>
      </c>
      <c r="P1793">
        <v>1899</v>
      </c>
      <c r="Q1793">
        <v>5</v>
      </c>
      <c r="R1793">
        <v>300</v>
      </c>
      <c r="S1793">
        <v>5397</v>
      </c>
      <c r="T1793">
        <v>2154</v>
      </c>
      <c r="U1793">
        <v>39.909999999999997</v>
      </c>
      <c r="V1793" t="s">
        <v>21</v>
      </c>
    </row>
    <row r="1794" spans="1:22" x14ac:dyDescent="0.35">
      <c r="A1794" t="s">
        <v>741</v>
      </c>
      <c r="B1794" t="s">
        <v>106</v>
      </c>
      <c r="C1794" t="s">
        <v>27</v>
      </c>
      <c r="D1794" t="s">
        <v>740</v>
      </c>
      <c r="E1794" t="s">
        <v>739</v>
      </c>
      <c r="F1794" s="5">
        <v>45640</v>
      </c>
      <c r="G1794" t="s">
        <v>126</v>
      </c>
      <c r="H1794" t="s">
        <v>738</v>
      </c>
      <c r="I1794" t="s">
        <v>35</v>
      </c>
      <c r="J1794" t="s">
        <v>214</v>
      </c>
      <c r="K1794" t="s">
        <v>50</v>
      </c>
      <c r="L1794" t="s">
        <v>25</v>
      </c>
      <c r="M1794" t="s">
        <v>20</v>
      </c>
      <c r="N1794">
        <v>2</v>
      </c>
      <c r="O1794">
        <v>676</v>
      </c>
      <c r="P1794">
        <v>999</v>
      </c>
      <c r="Q1794">
        <v>15</v>
      </c>
      <c r="R1794">
        <v>400</v>
      </c>
      <c r="S1794">
        <v>1598</v>
      </c>
      <c r="T1794">
        <v>246</v>
      </c>
      <c r="U1794">
        <v>15.39</v>
      </c>
      <c r="V1794" t="s">
        <v>33</v>
      </c>
    </row>
    <row r="1795" spans="1:22" x14ac:dyDescent="0.35">
      <c r="A1795" t="s">
        <v>737</v>
      </c>
      <c r="B1795" t="s">
        <v>109</v>
      </c>
      <c r="C1795" t="s">
        <v>16</v>
      </c>
      <c r="D1795" t="s">
        <v>736</v>
      </c>
      <c r="E1795" t="s">
        <v>735</v>
      </c>
      <c r="F1795" s="5">
        <v>45636</v>
      </c>
      <c r="G1795" t="s">
        <v>126</v>
      </c>
      <c r="H1795" t="s">
        <v>734</v>
      </c>
      <c r="I1795" t="s">
        <v>23</v>
      </c>
      <c r="J1795" t="s">
        <v>164</v>
      </c>
      <c r="K1795" t="s">
        <v>24</v>
      </c>
      <c r="L1795" t="s">
        <v>19</v>
      </c>
      <c r="M1795" t="s">
        <v>20</v>
      </c>
      <c r="N1795">
        <v>5</v>
      </c>
      <c r="O1795">
        <v>1139</v>
      </c>
      <c r="P1795">
        <v>1799</v>
      </c>
      <c r="Q1795">
        <v>15</v>
      </c>
      <c r="R1795">
        <v>1500</v>
      </c>
      <c r="S1795">
        <v>7495</v>
      </c>
      <c r="T1795">
        <v>1800</v>
      </c>
      <c r="U1795">
        <v>24.02</v>
      </c>
      <c r="V1795" t="s">
        <v>33</v>
      </c>
    </row>
    <row r="1796" spans="1:22" x14ac:dyDescent="0.35">
      <c r="A1796" t="s">
        <v>733</v>
      </c>
      <c r="B1796" t="s">
        <v>54</v>
      </c>
      <c r="C1796" t="s">
        <v>27</v>
      </c>
      <c r="D1796" t="s">
        <v>732</v>
      </c>
      <c r="E1796" t="s">
        <v>731</v>
      </c>
      <c r="F1796" s="5">
        <v>45531</v>
      </c>
      <c r="G1796" t="s">
        <v>126</v>
      </c>
      <c r="H1796" t="s">
        <v>730</v>
      </c>
      <c r="I1796" t="s">
        <v>28</v>
      </c>
      <c r="J1796" t="s">
        <v>45</v>
      </c>
      <c r="K1796" t="s">
        <v>45</v>
      </c>
      <c r="L1796" t="s">
        <v>37</v>
      </c>
      <c r="M1796" t="s">
        <v>20</v>
      </c>
      <c r="N1796">
        <v>1</v>
      </c>
      <c r="O1796">
        <v>1201</v>
      </c>
      <c r="P1796">
        <v>1899</v>
      </c>
      <c r="Q1796">
        <v>5</v>
      </c>
      <c r="R1796">
        <v>100</v>
      </c>
      <c r="S1796">
        <v>1799</v>
      </c>
      <c r="T1796">
        <v>598</v>
      </c>
      <c r="U1796">
        <v>33.24</v>
      </c>
      <c r="V1796" t="s">
        <v>21</v>
      </c>
    </row>
    <row r="1797" spans="1:22" x14ac:dyDescent="0.35">
      <c r="A1797" t="s">
        <v>729</v>
      </c>
      <c r="B1797" t="s">
        <v>107</v>
      </c>
      <c r="C1797" t="s">
        <v>27</v>
      </c>
      <c r="D1797" t="s">
        <v>728</v>
      </c>
      <c r="E1797" t="s">
        <v>727</v>
      </c>
      <c r="F1797" s="5">
        <v>45501</v>
      </c>
      <c r="G1797" t="s">
        <v>126</v>
      </c>
      <c r="H1797" t="s">
        <v>726</v>
      </c>
      <c r="I1797" t="s">
        <v>31</v>
      </c>
      <c r="J1797" t="s">
        <v>76</v>
      </c>
      <c r="K1797" t="s">
        <v>76</v>
      </c>
      <c r="L1797" t="s">
        <v>37</v>
      </c>
      <c r="M1797" t="s">
        <v>20</v>
      </c>
      <c r="N1797">
        <v>1</v>
      </c>
      <c r="O1797">
        <v>1008</v>
      </c>
      <c r="P1797">
        <v>1499</v>
      </c>
      <c r="Q1797">
        <v>0</v>
      </c>
      <c r="R1797">
        <v>0</v>
      </c>
      <c r="S1797">
        <v>1499</v>
      </c>
      <c r="T1797">
        <v>491</v>
      </c>
      <c r="U1797">
        <v>32.76</v>
      </c>
      <c r="V1797" t="s">
        <v>21</v>
      </c>
    </row>
    <row r="1798" spans="1:22" x14ac:dyDescent="0.35">
      <c r="A1798" t="s">
        <v>725</v>
      </c>
      <c r="B1798" t="s">
        <v>47</v>
      </c>
      <c r="C1798" t="s">
        <v>16</v>
      </c>
      <c r="D1798" t="s">
        <v>724</v>
      </c>
      <c r="E1798" t="s">
        <v>723</v>
      </c>
      <c r="F1798" s="5">
        <v>45452</v>
      </c>
      <c r="G1798" t="s">
        <v>126</v>
      </c>
      <c r="H1798" t="s">
        <v>722</v>
      </c>
      <c r="I1798" t="s">
        <v>31</v>
      </c>
      <c r="J1798" t="s">
        <v>32</v>
      </c>
      <c r="K1798" t="s">
        <v>32</v>
      </c>
      <c r="L1798" t="s">
        <v>37</v>
      </c>
      <c r="M1798" t="s">
        <v>19</v>
      </c>
      <c r="N1798">
        <v>1</v>
      </c>
      <c r="O1798">
        <v>757</v>
      </c>
      <c r="P1798">
        <v>1499</v>
      </c>
      <c r="Q1798">
        <v>0</v>
      </c>
      <c r="R1798">
        <v>0</v>
      </c>
      <c r="S1798">
        <v>1499</v>
      </c>
      <c r="T1798">
        <v>742</v>
      </c>
      <c r="U1798">
        <v>49.5</v>
      </c>
      <c r="V1798" t="s">
        <v>21</v>
      </c>
    </row>
    <row r="1799" spans="1:22" x14ac:dyDescent="0.35">
      <c r="A1799" t="s">
        <v>721</v>
      </c>
      <c r="B1799" t="s">
        <v>52</v>
      </c>
      <c r="C1799" t="s">
        <v>27</v>
      </c>
      <c r="D1799" t="s">
        <v>720</v>
      </c>
      <c r="E1799" t="s">
        <v>719</v>
      </c>
      <c r="F1799" s="5">
        <v>45622</v>
      </c>
      <c r="G1799" t="s">
        <v>126</v>
      </c>
      <c r="H1799" t="s">
        <v>718</v>
      </c>
      <c r="I1799" t="s">
        <v>23</v>
      </c>
      <c r="J1799" t="s">
        <v>142</v>
      </c>
      <c r="K1799" t="s">
        <v>43</v>
      </c>
      <c r="L1799" t="s">
        <v>19</v>
      </c>
      <c r="M1799" t="s">
        <v>19</v>
      </c>
      <c r="N1799">
        <v>1</v>
      </c>
      <c r="O1799">
        <v>1802</v>
      </c>
      <c r="P1799">
        <v>3199</v>
      </c>
      <c r="Q1799">
        <v>5</v>
      </c>
      <c r="R1799">
        <v>200</v>
      </c>
      <c r="S1799">
        <v>2999</v>
      </c>
      <c r="T1799">
        <v>1197</v>
      </c>
      <c r="U1799">
        <v>39.909999999999997</v>
      </c>
      <c r="V1799" t="s">
        <v>33</v>
      </c>
    </row>
    <row r="1800" spans="1:22" x14ac:dyDescent="0.35">
      <c r="A1800" t="s">
        <v>717</v>
      </c>
      <c r="B1800" t="s">
        <v>66</v>
      </c>
      <c r="C1800" t="s">
        <v>27</v>
      </c>
      <c r="D1800" t="s">
        <v>716</v>
      </c>
      <c r="E1800" t="s">
        <v>715</v>
      </c>
      <c r="F1800" s="5">
        <v>45571</v>
      </c>
      <c r="G1800" t="s">
        <v>126</v>
      </c>
      <c r="H1800" t="s">
        <v>563</v>
      </c>
      <c r="I1800" t="s">
        <v>23</v>
      </c>
      <c r="J1800" t="s">
        <v>164</v>
      </c>
      <c r="K1800" t="s">
        <v>24</v>
      </c>
      <c r="L1800" t="s">
        <v>37</v>
      </c>
      <c r="M1800" t="s">
        <v>20</v>
      </c>
      <c r="N1800">
        <v>4</v>
      </c>
      <c r="O1800">
        <v>1466</v>
      </c>
      <c r="P1800">
        <v>2299</v>
      </c>
      <c r="Q1800">
        <v>10</v>
      </c>
      <c r="R1800">
        <v>1200</v>
      </c>
      <c r="S1800">
        <v>7996</v>
      </c>
      <c r="T1800">
        <v>2132</v>
      </c>
      <c r="U1800">
        <v>26.66</v>
      </c>
      <c r="V1800" t="s">
        <v>33</v>
      </c>
    </row>
    <row r="1801" spans="1:22" x14ac:dyDescent="0.35">
      <c r="A1801" t="s">
        <v>714</v>
      </c>
      <c r="B1801" t="s">
        <v>66</v>
      </c>
      <c r="C1801" t="s">
        <v>27</v>
      </c>
      <c r="D1801" t="s">
        <v>713</v>
      </c>
      <c r="E1801" t="s">
        <v>712</v>
      </c>
      <c r="F1801" s="5">
        <v>45620</v>
      </c>
      <c r="G1801" t="s">
        <v>126</v>
      </c>
      <c r="H1801" t="s">
        <v>711</v>
      </c>
      <c r="I1801" t="s">
        <v>28</v>
      </c>
      <c r="J1801" t="s">
        <v>45</v>
      </c>
      <c r="K1801" t="s">
        <v>45</v>
      </c>
      <c r="L1801" t="s">
        <v>25</v>
      </c>
      <c r="M1801" t="s">
        <v>19</v>
      </c>
      <c r="N1801">
        <v>5</v>
      </c>
      <c r="O1801">
        <v>1578</v>
      </c>
      <c r="P1801">
        <v>2299</v>
      </c>
      <c r="Q1801">
        <v>20</v>
      </c>
      <c r="R1801">
        <v>2500</v>
      </c>
      <c r="S1801">
        <v>8995</v>
      </c>
      <c r="T1801">
        <v>1105</v>
      </c>
      <c r="U1801">
        <v>12.28</v>
      </c>
      <c r="V1801" t="s">
        <v>21</v>
      </c>
    </row>
    <row r="1802" spans="1:22" x14ac:dyDescent="0.35">
      <c r="A1802" t="s">
        <v>710</v>
      </c>
      <c r="B1802" t="s">
        <v>84</v>
      </c>
      <c r="C1802" t="s">
        <v>27</v>
      </c>
      <c r="D1802" t="s">
        <v>709</v>
      </c>
      <c r="E1802" t="s">
        <v>708</v>
      </c>
      <c r="F1802" s="5">
        <v>45577</v>
      </c>
      <c r="G1802" t="s">
        <v>126</v>
      </c>
      <c r="H1802" t="s">
        <v>707</v>
      </c>
      <c r="I1802" t="s">
        <v>17</v>
      </c>
      <c r="J1802" t="s">
        <v>253</v>
      </c>
      <c r="K1802" t="s">
        <v>72</v>
      </c>
      <c r="L1802" t="s">
        <v>19</v>
      </c>
      <c r="M1802" t="s">
        <v>19</v>
      </c>
      <c r="N1802">
        <v>1</v>
      </c>
      <c r="O1802">
        <v>201</v>
      </c>
      <c r="P1802">
        <v>399</v>
      </c>
      <c r="Q1802">
        <v>0</v>
      </c>
      <c r="R1802">
        <v>0</v>
      </c>
      <c r="S1802">
        <v>399</v>
      </c>
      <c r="T1802">
        <v>198</v>
      </c>
      <c r="U1802">
        <v>49.62</v>
      </c>
      <c r="V1802" t="s">
        <v>21</v>
      </c>
    </row>
    <row r="1803" spans="1:22" x14ac:dyDescent="0.35">
      <c r="A1803" t="s">
        <v>706</v>
      </c>
      <c r="B1803" t="s">
        <v>66</v>
      </c>
      <c r="C1803" t="s">
        <v>27</v>
      </c>
      <c r="D1803" t="s">
        <v>705</v>
      </c>
      <c r="E1803" t="s">
        <v>704</v>
      </c>
      <c r="F1803" s="5">
        <v>45616</v>
      </c>
      <c r="G1803" t="s">
        <v>126</v>
      </c>
      <c r="H1803" t="s">
        <v>703</v>
      </c>
      <c r="I1803" t="s">
        <v>28</v>
      </c>
      <c r="J1803" t="s">
        <v>201</v>
      </c>
      <c r="K1803" t="s">
        <v>29</v>
      </c>
      <c r="L1803" t="s">
        <v>37</v>
      </c>
      <c r="M1803" t="s">
        <v>20</v>
      </c>
      <c r="N1803">
        <v>1</v>
      </c>
      <c r="O1803">
        <v>308</v>
      </c>
      <c r="P1803">
        <v>499</v>
      </c>
      <c r="Q1803">
        <v>10</v>
      </c>
      <c r="R1803">
        <v>100</v>
      </c>
      <c r="S1803">
        <v>399</v>
      </c>
      <c r="T1803">
        <v>91</v>
      </c>
      <c r="U1803">
        <v>22.81</v>
      </c>
      <c r="V1803" t="s">
        <v>21</v>
      </c>
    </row>
    <row r="1804" spans="1:22" x14ac:dyDescent="0.35">
      <c r="A1804" t="s">
        <v>702</v>
      </c>
      <c r="B1804" t="s">
        <v>66</v>
      </c>
      <c r="C1804" t="s">
        <v>27</v>
      </c>
      <c r="D1804" t="s">
        <v>701</v>
      </c>
      <c r="E1804" t="s">
        <v>700</v>
      </c>
      <c r="F1804" s="5">
        <v>45468</v>
      </c>
      <c r="G1804" t="s">
        <v>126</v>
      </c>
      <c r="H1804" t="s">
        <v>699</v>
      </c>
      <c r="I1804" t="s">
        <v>35</v>
      </c>
      <c r="J1804" t="s">
        <v>214</v>
      </c>
      <c r="K1804" t="s">
        <v>50</v>
      </c>
      <c r="L1804" t="s">
        <v>25</v>
      </c>
      <c r="M1804" t="s">
        <v>19</v>
      </c>
      <c r="N1804">
        <v>2</v>
      </c>
      <c r="O1804">
        <v>566</v>
      </c>
      <c r="P1804">
        <v>999</v>
      </c>
      <c r="Q1804">
        <v>20</v>
      </c>
      <c r="R1804">
        <v>400</v>
      </c>
      <c r="S1804">
        <v>1598</v>
      </c>
      <c r="T1804">
        <v>466</v>
      </c>
      <c r="U1804">
        <v>29.16</v>
      </c>
      <c r="V1804" t="s">
        <v>21</v>
      </c>
    </row>
    <row r="1805" spans="1:22" x14ac:dyDescent="0.35">
      <c r="A1805" t="s">
        <v>698</v>
      </c>
      <c r="B1805" t="s">
        <v>22</v>
      </c>
      <c r="C1805" t="s">
        <v>16</v>
      </c>
      <c r="D1805" t="s">
        <v>697</v>
      </c>
      <c r="E1805" t="s">
        <v>696</v>
      </c>
      <c r="F1805" s="5">
        <v>45528</v>
      </c>
      <c r="G1805" t="s">
        <v>126</v>
      </c>
      <c r="H1805" t="s">
        <v>695</v>
      </c>
      <c r="I1805" t="s">
        <v>35</v>
      </c>
      <c r="J1805" t="s">
        <v>244</v>
      </c>
      <c r="K1805" t="s">
        <v>58</v>
      </c>
      <c r="L1805" t="s">
        <v>37</v>
      </c>
      <c r="M1805" t="s">
        <v>19</v>
      </c>
      <c r="N1805">
        <v>1</v>
      </c>
      <c r="O1805">
        <v>864</v>
      </c>
      <c r="P1805">
        <v>1599</v>
      </c>
      <c r="Q1805">
        <v>5</v>
      </c>
      <c r="R1805">
        <v>100</v>
      </c>
      <c r="S1805">
        <v>1499</v>
      </c>
      <c r="T1805">
        <v>635</v>
      </c>
      <c r="U1805">
        <v>42.36</v>
      </c>
      <c r="V1805" t="s">
        <v>21</v>
      </c>
    </row>
    <row r="1806" spans="1:22" x14ac:dyDescent="0.35">
      <c r="A1806" t="s">
        <v>694</v>
      </c>
      <c r="B1806" t="s">
        <v>88</v>
      </c>
      <c r="C1806" t="s">
        <v>27</v>
      </c>
      <c r="D1806" t="s">
        <v>693</v>
      </c>
      <c r="E1806" t="s">
        <v>692</v>
      </c>
      <c r="F1806" s="5">
        <v>45455</v>
      </c>
      <c r="G1806" t="s">
        <v>126</v>
      </c>
      <c r="H1806" t="s">
        <v>691</v>
      </c>
      <c r="I1806" t="s">
        <v>17</v>
      </c>
      <c r="J1806" t="s">
        <v>253</v>
      </c>
      <c r="K1806" t="s">
        <v>72</v>
      </c>
      <c r="L1806" t="s">
        <v>25</v>
      </c>
      <c r="M1806" t="s">
        <v>20</v>
      </c>
      <c r="N1806">
        <v>1</v>
      </c>
      <c r="O1806">
        <v>287</v>
      </c>
      <c r="P1806">
        <v>499</v>
      </c>
      <c r="Q1806">
        <v>0</v>
      </c>
      <c r="R1806">
        <v>0</v>
      </c>
      <c r="S1806">
        <v>499</v>
      </c>
      <c r="T1806">
        <v>212</v>
      </c>
      <c r="U1806">
        <v>42.48</v>
      </c>
      <c r="V1806" t="s">
        <v>33</v>
      </c>
    </row>
    <row r="1807" spans="1:22" x14ac:dyDescent="0.35">
      <c r="A1807" t="s">
        <v>690</v>
      </c>
      <c r="B1807" t="s">
        <v>93</v>
      </c>
      <c r="C1807" t="s">
        <v>16</v>
      </c>
      <c r="D1807" t="s">
        <v>689</v>
      </c>
      <c r="E1807" t="s">
        <v>688</v>
      </c>
      <c r="F1807" s="5">
        <v>45598</v>
      </c>
      <c r="G1807" t="s">
        <v>126</v>
      </c>
      <c r="H1807" t="s">
        <v>189</v>
      </c>
      <c r="I1807" t="s">
        <v>17</v>
      </c>
      <c r="J1807" t="s">
        <v>235</v>
      </c>
      <c r="K1807" t="s">
        <v>18</v>
      </c>
      <c r="L1807" t="s">
        <v>37</v>
      </c>
      <c r="M1807" t="s">
        <v>20</v>
      </c>
      <c r="N1807">
        <v>1</v>
      </c>
      <c r="O1807">
        <v>277</v>
      </c>
      <c r="P1807">
        <v>399</v>
      </c>
      <c r="Q1807">
        <v>0</v>
      </c>
      <c r="R1807">
        <v>0</v>
      </c>
      <c r="S1807">
        <v>399</v>
      </c>
      <c r="T1807">
        <v>122</v>
      </c>
      <c r="U1807">
        <v>30.58</v>
      </c>
      <c r="V1807" t="s">
        <v>21</v>
      </c>
    </row>
    <row r="1808" spans="1:22" x14ac:dyDescent="0.35">
      <c r="A1808" t="s">
        <v>687</v>
      </c>
      <c r="B1808" t="s">
        <v>22</v>
      </c>
      <c r="C1808" t="s">
        <v>16</v>
      </c>
      <c r="D1808" t="s">
        <v>686</v>
      </c>
      <c r="E1808" t="s">
        <v>685</v>
      </c>
      <c r="F1808" s="5">
        <v>45534</v>
      </c>
      <c r="G1808" t="s">
        <v>126</v>
      </c>
      <c r="H1808" t="s">
        <v>684</v>
      </c>
      <c r="I1808" t="s">
        <v>31</v>
      </c>
      <c r="J1808" t="s">
        <v>32</v>
      </c>
      <c r="K1808" t="s">
        <v>32</v>
      </c>
      <c r="L1808" t="s">
        <v>37</v>
      </c>
      <c r="M1808" t="s">
        <v>19</v>
      </c>
      <c r="N1808">
        <v>2</v>
      </c>
      <c r="O1808">
        <v>519</v>
      </c>
      <c r="P1808">
        <v>999</v>
      </c>
      <c r="Q1808">
        <v>0</v>
      </c>
      <c r="R1808">
        <v>0</v>
      </c>
      <c r="S1808">
        <v>1998</v>
      </c>
      <c r="T1808">
        <v>960</v>
      </c>
      <c r="U1808">
        <v>48.05</v>
      </c>
      <c r="V1808" t="s">
        <v>21</v>
      </c>
    </row>
    <row r="1809" spans="1:22" x14ac:dyDescent="0.35">
      <c r="A1809" t="s">
        <v>683</v>
      </c>
      <c r="B1809" t="s">
        <v>54</v>
      </c>
      <c r="C1809" t="s">
        <v>27</v>
      </c>
      <c r="D1809" t="s">
        <v>682</v>
      </c>
      <c r="E1809" t="s">
        <v>681</v>
      </c>
      <c r="F1809" s="5">
        <v>45480</v>
      </c>
      <c r="G1809" t="s">
        <v>126</v>
      </c>
      <c r="H1809" t="s">
        <v>680</v>
      </c>
      <c r="I1809" t="s">
        <v>35</v>
      </c>
      <c r="J1809" t="s">
        <v>39</v>
      </c>
      <c r="K1809" t="s">
        <v>39</v>
      </c>
      <c r="L1809" t="s">
        <v>25</v>
      </c>
      <c r="M1809" t="s">
        <v>19</v>
      </c>
      <c r="N1809">
        <v>2</v>
      </c>
      <c r="O1809">
        <v>598</v>
      </c>
      <c r="P1809">
        <v>799</v>
      </c>
      <c r="Q1809">
        <v>5</v>
      </c>
      <c r="R1809">
        <v>200</v>
      </c>
      <c r="S1809">
        <v>1398</v>
      </c>
      <c r="T1809">
        <v>202</v>
      </c>
      <c r="U1809">
        <v>14.45</v>
      </c>
      <c r="V1809" t="s">
        <v>21</v>
      </c>
    </row>
    <row r="1810" spans="1:22" x14ac:dyDescent="0.35">
      <c r="A1810" t="s">
        <v>679</v>
      </c>
      <c r="B1810" t="s">
        <v>47</v>
      </c>
      <c r="C1810" t="s">
        <v>16</v>
      </c>
      <c r="D1810" t="s">
        <v>678</v>
      </c>
      <c r="E1810" t="s">
        <v>677</v>
      </c>
      <c r="F1810" s="5">
        <v>45628</v>
      </c>
      <c r="G1810" t="s">
        <v>126</v>
      </c>
      <c r="H1810" t="s">
        <v>676</v>
      </c>
      <c r="I1810" t="s">
        <v>23</v>
      </c>
      <c r="J1810" t="s">
        <v>164</v>
      </c>
      <c r="K1810" t="s">
        <v>24</v>
      </c>
      <c r="L1810" t="s">
        <v>37</v>
      </c>
      <c r="M1810" t="s">
        <v>19</v>
      </c>
      <c r="N1810">
        <v>3</v>
      </c>
      <c r="O1810">
        <v>795</v>
      </c>
      <c r="P1810">
        <v>1199</v>
      </c>
      <c r="Q1810">
        <v>15</v>
      </c>
      <c r="R1810">
        <v>600</v>
      </c>
      <c r="S1810">
        <v>2997</v>
      </c>
      <c r="T1810">
        <v>612</v>
      </c>
      <c r="U1810">
        <v>20.420000000000002</v>
      </c>
      <c r="V1810" t="s">
        <v>21</v>
      </c>
    </row>
    <row r="1811" spans="1:22" x14ac:dyDescent="0.35">
      <c r="A1811" t="s">
        <v>675</v>
      </c>
      <c r="B1811" t="s">
        <v>96</v>
      </c>
      <c r="C1811" t="s">
        <v>16</v>
      </c>
      <c r="D1811" t="s">
        <v>674</v>
      </c>
      <c r="E1811" t="s">
        <v>673</v>
      </c>
      <c r="F1811" s="5">
        <v>45619</v>
      </c>
      <c r="G1811" t="s">
        <v>126</v>
      </c>
      <c r="H1811" t="s">
        <v>672</v>
      </c>
      <c r="I1811" t="s">
        <v>17</v>
      </c>
      <c r="J1811" t="s">
        <v>48</v>
      </c>
      <c r="K1811" t="s">
        <v>48</v>
      </c>
      <c r="L1811" t="s">
        <v>37</v>
      </c>
      <c r="M1811" t="s">
        <v>20</v>
      </c>
      <c r="N1811">
        <v>2</v>
      </c>
      <c r="O1811">
        <v>319</v>
      </c>
      <c r="P1811">
        <v>599</v>
      </c>
      <c r="Q1811">
        <v>0</v>
      </c>
      <c r="R1811">
        <v>0</v>
      </c>
      <c r="S1811">
        <v>1198</v>
      </c>
      <c r="T1811">
        <v>560</v>
      </c>
      <c r="U1811">
        <v>46.74</v>
      </c>
      <c r="V1811" t="s">
        <v>21</v>
      </c>
    </row>
    <row r="1812" spans="1:22" x14ac:dyDescent="0.35">
      <c r="A1812" t="s">
        <v>671</v>
      </c>
      <c r="B1812" t="s">
        <v>44</v>
      </c>
      <c r="C1812" t="s">
        <v>16</v>
      </c>
      <c r="D1812" t="s">
        <v>670</v>
      </c>
      <c r="E1812" t="s">
        <v>669</v>
      </c>
      <c r="F1812" s="5">
        <v>45469</v>
      </c>
      <c r="G1812" t="s">
        <v>126</v>
      </c>
      <c r="H1812" t="s">
        <v>668</v>
      </c>
      <c r="I1812" t="s">
        <v>35</v>
      </c>
      <c r="J1812" t="s">
        <v>244</v>
      </c>
      <c r="K1812" t="s">
        <v>58</v>
      </c>
      <c r="L1812" t="s">
        <v>37</v>
      </c>
      <c r="M1812" t="s">
        <v>20</v>
      </c>
      <c r="N1812">
        <v>1</v>
      </c>
      <c r="O1812">
        <v>1731</v>
      </c>
      <c r="P1812">
        <v>2499</v>
      </c>
      <c r="Q1812">
        <v>20</v>
      </c>
      <c r="R1812">
        <v>500</v>
      </c>
      <c r="S1812">
        <v>1999</v>
      </c>
      <c r="T1812">
        <v>268</v>
      </c>
      <c r="U1812">
        <v>13.41</v>
      </c>
      <c r="V1812" t="s">
        <v>21</v>
      </c>
    </row>
    <row r="1813" spans="1:22" x14ac:dyDescent="0.35">
      <c r="A1813" t="s">
        <v>667</v>
      </c>
      <c r="B1813" t="s">
        <v>53</v>
      </c>
      <c r="C1813" t="s">
        <v>27</v>
      </c>
      <c r="D1813" t="s">
        <v>666</v>
      </c>
      <c r="E1813" t="s">
        <v>665</v>
      </c>
      <c r="F1813" s="5">
        <v>45502</v>
      </c>
      <c r="G1813" t="s">
        <v>126</v>
      </c>
      <c r="H1813" t="s">
        <v>664</v>
      </c>
      <c r="I1813" t="s">
        <v>23</v>
      </c>
      <c r="J1813" t="s">
        <v>142</v>
      </c>
      <c r="K1813" t="s">
        <v>43</v>
      </c>
      <c r="L1813" t="s">
        <v>37</v>
      </c>
      <c r="M1813" t="s">
        <v>19</v>
      </c>
      <c r="N1813">
        <v>4</v>
      </c>
      <c r="O1813">
        <v>3149</v>
      </c>
      <c r="P1813">
        <v>4299</v>
      </c>
      <c r="Q1813">
        <v>5</v>
      </c>
      <c r="R1813">
        <v>1200</v>
      </c>
      <c r="S1813">
        <v>15996</v>
      </c>
      <c r="T1813">
        <v>3400</v>
      </c>
      <c r="U1813">
        <v>21.26</v>
      </c>
      <c r="V1813" t="s">
        <v>21</v>
      </c>
    </row>
    <row r="1814" spans="1:22" x14ac:dyDescent="0.35">
      <c r="A1814" t="s">
        <v>663</v>
      </c>
      <c r="B1814" t="s">
        <v>57</v>
      </c>
      <c r="C1814" t="s">
        <v>27</v>
      </c>
      <c r="D1814" t="s">
        <v>662</v>
      </c>
      <c r="E1814" t="s">
        <v>661</v>
      </c>
      <c r="F1814" s="5">
        <v>45533</v>
      </c>
      <c r="G1814" t="s">
        <v>126</v>
      </c>
      <c r="H1814" t="s">
        <v>660</v>
      </c>
      <c r="I1814" t="s">
        <v>35</v>
      </c>
      <c r="J1814" t="s">
        <v>214</v>
      </c>
      <c r="K1814" t="s">
        <v>50</v>
      </c>
      <c r="L1814" t="s">
        <v>19</v>
      </c>
      <c r="M1814" t="s">
        <v>19</v>
      </c>
      <c r="N1814">
        <v>3</v>
      </c>
      <c r="O1814">
        <v>935</v>
      </c>
      <c r="P1814">
        <v>1799</v>
      </c>
      <c r="Q1814">
        <v>15</v>
      </c>
      <c r="R1814">
        <v>900</v>
      </c>
      <c r="S1814">
        <v>4497</v>
      </c>
      <c r="T1814">
        <v>1692</v>
      </c>
      <c r="U1814">
        <v>37.630000000000003</v>
      </c>
      <c r="V1814" t="s">
        <v>21</v>
      </c>
    </row>
    <row r="1815" spans="1:22" x14ac:dyDescent="0.35">
      <c r="A1815" t="s">
        <v>659</v>
      </c>
      <c r="B1815" t="s">
        <v>59</v>
      </c>
      <c r="C1815" t="s">
        <v>27</v>
      </c>
      <c r="D1815" t="s">
        <v>658</v>
      </c>
      <c r="E1815" t="s">
        <v>657</v>
      </c>
      <c r="F1815" s="5">
        <v>45523</v>
      </c>
      <c r="G1815" t="s">
        <v>126</v>
      </c>
      <c r="H1815" t="s">
        <v>656</v>
      </c>
      <c r="I1815" t="s">
        <v>28</v>
      </c>
      <c r="J1815" t="s">
        <v>45</v>
      </c>
      <c r="K1815" t="s">
        <v>45</v>
      </c>
      <c r="L1815" t="s">
        <v>25</v>
      </c>
      <c r="M1815" t="s">
        <v>20</v>
      </c>
      <c r="N1815">
        <v>1</v>
      </c>
      <c r="O1815">
        <v>871</v>
      </c>
      <c r="P1815">
        <v>1399</v>
      </c>
      <c r="Q1815">
        <v>10</v>
      </c>
      <c r="R1815">
        <v>200</v>
      </c>
      <c r="S1815">
        <v>1199</v>
      </c>
      <c r="T1815">
        <v>328</v>
      </c>
      <c r="U1815">
        <v>27.36</v>
      </c>
      <c r="V1815" t="s">
        <v>21</v>
      </c>
    </row>
    <row r="1816" spans="1:22" x14ac:dyDescent="0.35">
      <c r="A1816" t="s">
        <v>655</v>
      </c>
      <c r="B1816" t="s">
        <v>34</v>
      </c>
      <c r="C1816" t="s">
        <v>27</v>
      </c>
      <c r="D1816" t="s">
        <v>654</v>
      </c>
      <c r="E1816" t="s">
        <v>653</v>
      </c>
      <c r="F1816" s="5">
        <v>45540</v>
      </c>
      <c r="G1816" t="s">
        <v>126</v>
      </c>
      <c r="H1816" t="s">
        <v>652</v>
      </c>
      <c r="I1816" t="s">
        <v>28</v>
      </c>
      <c r="J1816" t="s">
        <v>201</v>
      </c>
      <c r="K1816" t="s">
        <v>29</v>
      </c>
      <c r="L1816" t="s">
        <v>25</v>
      </c>
      <c r="M1816" t="s">
        <v>20</v>
      </c>
      <c r="N1816">
        <v>1</v>
      </c>
      <c r="O1816">
        <v>291</v>
      </c>
      <c r="P1816">
        <v>499</v>
      </c>
      <c r="Q1816">
        <v>20</v>
      </c>
      <c r="R1816">
        <v>100</v>
      </c>
      <c r="S1816">
        <v>399</v>
      </c>
      <c r="T1816">
        <v>108</v>
      </c>
      <c r="U1816">
        <v>27.07</v>
      </c>
      <c r="V1816" t="s">
        <v>21</v>
      </c>
    </row>
    <row r="1817" spans="1:22" x14ac:dyDescent="0.35">
      <c r="A1817" t="s">
        <v>651</v>
      </c>
      <c r="B1817" t="s">
        <v>88</v>
      </c>
      <c r="C1817" t="s">
        <v>27</v>
      </c>
      <c r="D1817" t="s">
        <v>650</v>
      </c>
      <c r="E1817" t="s">
        <v>649</v>
      </c>
      <c r="F1817" s="5">
        <v>45569</v>
      </c>
      <c r="G1817" t="s">
        <v>126</v>
      </c>
      <c r="H1817" t="s">
        <v>648</v>
      </c>
      <c r="I1817" t="s">
        <v>23</v>
      </c>
      <c r="J1817" t="s">
        <v>142</v>
      </c>
      <c r="K1817" t="s">
        <v>43</v>
      </c>
      <c r="L1817" t="s">
        <v>25</v>
      </c>
      <c r="M1817" t="s">
        <v>19</v>
      </c>
      <c r="N1817">
        <v>2</v>
      </c>
      <c r="O1817">
        <v>1125</v>
      </c>
      <c r="P1817">
        <v>2199</v>
      </c>
      <c r="Q1817">
        <v>10</v>
      </c>
      <c r="R1817">
        <v>600</v>
      </c>
      <c r="S1817">
        <v>3798</v>
      </c>
      <c r="T1817">
        <v>1548</v>
      </c>
      <c r="U1817">
        <v>40.76</v>
      </c>
      <c r="V1817" t="s">
        <v>33</v>
      </c>
    </row>
    <row r="1818" spans="1:22" x14ac:dyDescent="0.35">
      <c r="A1818" t="s">
        <v>647</v>
      </c>
      <c r="B1818" t="s">
        <v>81</v>
      </c>
      <c r="C1818" t="s">
        <v>27</v>
      </c>
      <c r="D1818" t="s">
        <v>646</v>
      </c>
      <c r="E1818" t="s">
        <v>645</v>
      </c>
      <c r="F1818" s="5">
        <v>45472</v>
      </c>
      <c r="G1818" t="s">
        <v>126</v>
      </c>
      <c r="H1818" t="s">
        <v>321</v>
      </c>
      <c r="I1818" t="s">
        <v>31</v>
      </c>
      <c r="J1818" t="s">
        <v>76</v>
      </c>
      <c r="K1818" t="s">
        <v>76</v>
      </c>
      <c r="L1818" t="s">
        <v>25</v>
      </c>
      <c r="M1818" t="s">
        <v>19</v>
      </c>
      <c r="N1818">
        <v>3</v>
      </c>
      <c r="O1818">
        <v>398</v>
      </c>
      <c r="P1818">
        <v>699</v>
      </c>
      <c r="Q1818">
        <v>0</v>
      </c>
      <c r="R1818">
        <v>0</v>
      </c>
      <c r="S1818">
        <v>2097</v>
      </c>
      <c r="T1818">
        <v>903</v>
      </c>
      <c r="U1818">
        <v>43.06</v>
      </c>
      <c r="V1818" t="s">
        <v>21</v>
      </c>
    </row>
    <row r="1819" spans="1:22" x14ac:dyDescent="0.35">
      <c r="A1819" t="s">
        <v>644</v>
      </c>
      <c r="B1819" t="s">
        <v>44</v>
      </c>
      <c r="C1819" t="s">
        <v>16</v>
      </c>
      <c r="D1819" t="s">
        <v>643</v>
      </c>
      <c r="E1819" t="s">
        <v>642</v>
      </c>
      <c r="F1819" s="5">
        <v>45585</v>
      </c>
      <c r="G1819" t="s">
        <v>126</v>
      </c>
      <c r="H1819" t="s">
        <v>641</v>
      </c>
      <c r="I1819" t="s">
        <v>17</v>
      </c>
      <c r="J1819" t="s">
        <v>253</v>
      </c>
      <c r="K1819" t="s">
        <v>72</v>
      </c>
      <c r="L1819" t="s">
        <v>37</v>
      </c>
      <c r="M1819" t="s">
        <v>19</v>
      </c>
      <c r="N1819">
        <v>4</v>
      </c>
      <c r="O1819">
        <v>239</v>
      </c>
      <c r="P1819">
        <v>399</v>
      </c>
      <c r="Q1819">
        <v>0</v>
      </c>
      <c r="R1819">
        <v>0</v>
      </c>
      <c r="S1819">
        <v>1596</v>
      </c>
      <c r="T1819">
        <v>640</v>
      </c>
      <c r="U1819">
        <v>40.1</v>
      </c>
      <c r="V1819" t="s">
        <v>21</v>
      </c>
    </row>
    <row r="1820" spans="1:22" x14ac:dyDescent="0.35">
      <c r="A1820" t="s">
        <v>640</v>
      </c>
      <c r="B1820" t="s">
        <v>88</v>
      </c>
      <c r="C1820" t="s">
        <v>27</v>
      </c>
      <c r="D1820" t="s">
        <v>639</v>
      </c>
      <c r="E1820" t="s">
        <v>638</v>
      </c>
      <c r="F1820" s="5">
        <v>45577</v>
      </c>
      <c r="G1820" t="s">
        <v>126</v>
      </c>
      <c r="H1820" t="s">
        <v>637</v>
      </c>
      <c r="I1820" t="s">
        <v>17</v>
      </c>
      <c r="J1820" t="s">
        <v>253</v>
      </c>
      <c r="K1820" t="s">
        <v>72</v>
      </c>
      <c r="L1820" t="s">
        <v>25</v>
      </c>
      <c r="M1820" t="s">
        <v>20</v>
      </c>
      <c r="N1820">
        <v>2</v>
      </c>
      <c r="O1820">
        <v>347</v>
      </c>
      <c r="P1820">
        <v>499</v>
      </c>
      <c r="Q1820">
        <v>0</v>
      </c>
      <c r="R1820">
        <v>0</v>
      </c>
      <c r="S1820">
        <v>998</v>
      </c>
      <c r="T1820">
        <v>304</v>
      </c>
      <c r="U1820">
        <v>30.46</v>
      </c>
      <c r="V1820" t="s">
        <v>21</v>
      </c>
    </row>
    <row r="1821" spans="1:22" x14ac:dyDescent="0.35">
      <c r="A1821" t="s">
        <v>636</v>
      </c>
      <c r="B1821" t="s">
        <v>22</v>
      </c>
      <c r="C1821" t="s">
        <v>16</v>
      </c>
      <c r="D1821" t="s">
        <v>635</v>
      </c>
      <c r="E1821" t="s">
        <v>634</v>
      </c>
      <c r="F1821" s="5">
        <v>45623</v>
      </c>
      <c r="G1821" t="s">
        <v>126</v>
      </c>
      <c r="H1821" t="s">
        <v>143</v>
      </c>
      <c r="I1821" t="s">
        <v>28</v>
      </c>
      <c r="J1821" t="s">
        <v>45</v>
      </c>
      <c r="K1821" t="s">
        <v>45</v>
      </c>
      <c r="L1821" t="s">
        <v>19</v>
      </c>
      <c r="M1821" t="s">
        <v>19</v>
      </c>
      <c r="N1821">
        <v>2</v>
      </c>
      <c r="O1821">
        <v>1248</v>
      </c>
      <c r="P1821">
        <v>1999</v>
      </c>
      <c r="Q1821">
        <v>10</v>
      </c>
      <c r="R1821">
        <v>400</v>
      </c>
      <c r="S1821">
        <v>3598</v>
      </c>
      <c r="T1821">
        <v>1102</v>
      </c>
      <c r="U1821">
        <v>30.63</v>
      </c>
      <c r="V1821" t="s">
        <v>21</v>
      </c>
    </row>
    <row r="1822" spans="1:22" x14ac:dyDescent="0.35">
      <c r="A1822" t="s">
        <v>633</v>
      </c>
      <c r="B1822" t="s">
        <v>109</v>
      </c>
      <c r="C1822" t="s">
        <v>16</v>
      </c>
      <c r="D1822" t="s">
        <v>632</v>
      </c>
      <c r="E1822" t="s">
        <v>631</v>
      </c>
      <c r="F1822" s="5">
        <v>45524</v>
      </c>
      <c r="G1822" t="s">
        <v>126</v>
      </c>
      <c r="H1822" t="s">
        <v>353</v>
      </c>
      <c r="I1822" t="s">
        <v>31</v>
      </c>
      <c r="J1822" t="s">
        <v>32</v>
      </c>
      <c r="K1822" t="s">
        <v>32</v>
      </c>
      <c r="L1822" t="s">
        <v>25</v>
      </c>
      <c r="M1822" t="s">
        <v>20</v>
      </c>
      <c r="N1822">
        <v>2</v>
      </c>
      <c r="O1822">
        <v>854</v>
      </c>
      <c r="P1822">
        <v>1499</v>
      </c>
      <c r="Q1822">
        <v>0</v>
      </c>
      <c r="R1822">
        <v>0</v>
      </c>
      <c r="S1822">
        <v>2998</v>
      </c>
      <c r="T1822">
        <v>1290</v>
      </c>
      <c r="U1822">
        <v>43.03</v>
      </c>
      <c r="V1822" t="s">
        <v>21</v>
      </c>
    </row>
    <row r="1823" spans="1:22" x14ac:dyDescent="0.35">
      <c r="A1823" t="s">
        <v>630</v>
      </c>
      <c r="B1823" t="s">
        <v>68</v>
      </c>
      <c r="C1823" t="s">
        <v>16</v>
      </c>
      <c r="D1823" t="s">
        <v>629</v>
      </c>
      <c r="E1823" t="s">
        <v>628</v>
      </c>
      <c r="F1823" s="5">
        <v>45612</v>
      </c>
      <c r="G1823" t="s">
        <v>126</v>
      </c>
      <c r="H1823" t="s">
        <v>627</v>
      </c>
      <c r="I1823" t="s">
        <v>35</v>
      </c>
      <c r="J1823" t="s">
        <v>214</v>
      </c>
      <c r="K1823" t="s">
        <v>87</v>
      </c>
      <c r="L1823" t="s">
        <v>25</v>
      </c>
      <c r="M1823" t="s">
        <v>20</v>
      </c>
      <c r="N1823">
        <v>1</v>
      </c>
      <c r="O1823">
        <v>2124</v>
      </c>
      <c r="P1823">
        <v>3199</v>
      </c>
      <c r="Q1823">
        <v>20</v>
      </c>
      <c r="R1823">
        <v>700</v>
      </c>
      <c r="S1823">
        <v>2499</v>
      </c>
      <c r="T1823">
        <v>375</v>
      </c>
      <c r="U1823">
        <v>15.01</v>
      </c>
      <c r="V1823" t="s">
        <v>33</v>
      </c>
    </row>
    <row r="1824" spans="1:22" x14ac:dyDescent="0.35">
      <c r="A1824" t="s">
        <v>626</v>
      </c>
      <c r="B1824" t="s">
        <v>26</v>
      </c>
      <c r="C1824" t="s">
        <v>27</v>
      </c>
      <c r="D1824" t="s">
        <v>625</v>
      </c>
      <c r="E1824" t="s">
        <v>624</v>
      </c>
      <c r="F1824" s="5">
        <v>45491</v>
      </c>
      <c r="G1824" t="s">
        <v>126</v>
      </c>
      <c r="H1824" t="s">
        <v>623</v>
      </c>
      <c r="I1824" t="s">
        <v>35</v>
      </c>
      <c r="J1824" t="s">
        <v>159</v>
      </c>
      <c r="K1824" t="s">
        <v>100</v>
      </c>
      <c r="L1824" t="s">
        <v>19</v>
      </c>
      <c r="M1824" t="s">
        <v>20</v>
      </c>
      <c r="N1824">
        <v>2</v>
      </c>
      <c r="O1824">
        <v>1249</v>
      </c>
      <c r="P1824">
        <v>2399</v>
      </c>
      <c r="Q1824">
        <v>15</v>
      </c>
      <c r="R1824">
        <v>800</v>
      </c>
      <c r="S1824">
        <v>3998</v>
      </c>
      <c r="T1824">
        <v>1500</v>
      </c>
      <c r="U1824">
        <v>37.520000000000003</v>
      </c>
      <c r="V1824" t="s">
        <v>33</v>
      </c>
    </row>
    <row r="1825" spans="1:22" x14ac:dyDescent="0.35">
      <c r="A1825" t="s">
        <v>622</v>
      </c>
      <c r="B1825" t="s">
        <v>107</v>
      </c>
      <c r="C1825" t="s">
        <v>27</v>
      </c>
      <c r="D1825" t="s">
        <v>621</v>
      </c>
      <c r="E1825" t="s">
        <v>620</v>
      </c>
      <c r="F1825" s="5">
        <v>45477</v>
      </c>
      <c r="G1825" t="s">
        <v>126</v>
      </c>
      <c r="H1825" t="s">
        <v>619</v>
      </c>
      <c r="I1825" t="s">
        <v>35</v>
      </c>
      <c r="J1825" t="s">
        <v>159</v>
      </c>
      <c r="K1825" t="s">
        <v>100</v>
      </c>
      <c r="L1825" t="s">
        <v>37</v>
      </c>
      <c r="M1825" t="s">
        <v>19</v>
      </c>
      <c r="N1825">
        <v>1</v>
      </c>
      <c r="O1825">
        <v>659</v>
      </c>
      <c r="P1825">
        <v>1199</v>
      </c>
      <c r="Q1825">
        <v>15</v>
      </c>
      <c r="R1825">
        <v>200</v>
      </c>
      <c r="S1825">
        <v>999</v>
      </c>
      <c r="T1825">
        <v>340</v>
      </c>
      <c r="U1825">
        <v>34.03</v>
      </c>
      <c r="V1825" t="s">
        <v>21</v>
      </c>
    </row>
    <row r="1826" spans="1:22" x14ac:dyDescent="0.35">
      <c r="A1826" t="s">
        <v>618</v>
      </c>
      <c r="B1826" t="s">
        <v>79</v>
      </c>
      <c r="C1826" t="s">
        <v>16</v>
      </c>
      <c r="D1826" t="s">
        <v>617</v>
      </c>
      <c r="E1826" t="s">
        <v>616</v>
      </c>
      <c r="F1826" s="5">
        <v>45535</v>
      </c>
      <c r="G1826" t="s">
        <v>126</v>
      </c>
      <c r="H1826" t="s">
        <v>615</v>
      </c>
      <c r="I1826" t="s">
        <v>17</v>
      </c>
      <c r="J1826" t="s">
        <v>48</v>
      </c>
      <c r="K1826" t="s">
        <v>48</v>
      </c>
      <c r="L1826" t="s">
        <v>19</v>
      </c>
      <c r="M1826" t="s">
        <v>19</v>
      </c>
      <c r="N1826">
        <v>1</v>
      </c>
      <c r="O1826">
        <v>389</v>
      </c>
      <c r="P1826">
        <v>599</v>
      </c>
      <c r="Q1826">
        <v>0</v>
      </c>
      <c r="R1826">
        <v>0</v>
      </c>
      <c r="S1826">
        <v>599</v>
      </c>
      <c r="T1826">
        <v>210</v>
      </c>
      <c r="U1826">
        <v>35.06</v>
      </c>
      <c r="V1826" t="s">
        <v>33</v>
      </c>
    </row>
    <row r="1827" spans="1:22" x14ac:dyDescent="0.35">
      <c r="A1827" t="s">
        <v>614</v>
      </c>
      <c r="B1827" t="s">
        <v>90</v>
      </c>
      <c r="C1827" t="s">
        <v>27</v>
      </c>
      <c r="D1827" t="s">
        <v>613</v>
      </c>
      <c r="E1827" t="s">
        <v>612</v>
      </c>
      <c r="F1827" s="5">
        <v>45451</v>
      </c>
      <c r="G1827" t="s">
        <v>126</v>
      </c>
      <c r="H1827" t="s">
        <v>611</v>
      </c>
      <c r="I1827" t="s">
        <v>31</v>
      </c>
      <c r="J1827" t="s">
        <v>32</v>
      </c>
      <c r="K1827" t="s">
        <v>32</v>
      </c>
      <c r="L1827" t="s">
        <v>25</v>
      </c>
      <c r="M1827" t="s">
        <v>19</v>
      </c>
      <c r="N1827">
        <v>3</v>
      </c>
      <c r="O1827">
        <v>502</v>
      </c>
      <c r="P1827">
        <v>999</v>
      </c>
      <c r="Q1827">
        <v>0</v>
      </c>
      <c r="R1827">
        <v>0</v>
      </c>
      <c r="S1827">
        <v>2997</v>
      </c>
      <c r="T1827">
        <v>1491</v>
      </c>
      <c r="U1827">
        <v>49.75</v>
      </c>
      <c r="V1827" t="s">
        <v>21</v>
      </c>
    </row>
    <row r="1828" spans="1:22" x14ac:dyDescent="0.35">
      <c r="A1828" t="s">
        <v>610</v>
      </c>
      <c r="B1828" t="s">
        <v>71</v>
      </c>
      <c r="C1828" t="s">
        <v>16</v>
      </c>
      <c r="D1828" t="s">
        <v>609</v>
      </c>
      <c r="E1828" t="s">
        <v>608</v>
      </c>
      <c r="F1828" s="5">
        <v>45463</v>
      </c>
      <c r="G1828" t="s">
        <v>126</v>
      </c>
      <c r="H1828" t="s">
        <v>607</v>
      </c>
      <c r="I1828" t="s">
        <v>23</v>
      </c>
      <c r="J1828" t="s">
        <v>142</v>
      </c>
      <c r="K1828" t="s">
        <v>43</v>
      </c>
      <c r="L1828" t="s">
        <v>19</v>
      </c>
      <c r="M1828" t="s">
        <v>19</v>
      </c>
      <c r="N1828">
        <v>1</v>
      </c>
      <c r="O1828">
        <v>2355</v>
      </c>
      <c r="P1828">
        <v>4199</v>
      </c>
      <c r="Q1828">
        <v>15</v>
      </c>
      <c r="R1828">
        <v>700</v>
      </c>
      <c r="S1828">
        <v>3499</v>
      </c>
      <c r="T1828">
        <v>1144</v>
      </c>
      <c r="U1828">
        <v>32.700000000000003</v>
      </c>
      <c r="V1828" t="s">
        <v>21</v>
      </c>
    </row>
    <row r="1829" spans="1:22" x14ac:dyDescent="0.35">
      <c r="A1829" t="s">
        <v>606</v>
      </c>
      <c r="B1829" t="s">
        <v>90</v>
      </c>
      <c r="C1829" t="s">
        <v>27</v>
      </c>
      <c r="D1829" t="s">
        <v>605</v>
      </c>
      <c r="E1829" t="s">
        <v>604</v>
      </c>
      <c r="F1829" s="5">
        <v>45614</v>
      </c>
      <c r="G1829" t="s">
        <v>126</v>
      </c>
      <c r="H1829" t="s">
        <v>603</v>
      </c>
      <c r="I1829" t="s">
        <v>31</v>
      </c>
      <c r="J1829" t="s">
        <v>32</v>
      </c>
      <c r="K1829" t="s">
        <v>32</v>
      </c>
      <c r="L1829" t="s">
        <v>19</v>
      </c>
      <c r="M1829" t="s">
        <v>20</v>
      </c>
      <c r="N1829">
        <v>1</v>
      </c>
      <c r="O1829">
        <v>502</v>
      </c>
      <c r="P1829">
        <v>899</v>
      </c>
      <c r="Q1829">
        <v>0</v>
      </c>
      <c r="R1829">
        <v>0</v>
      </c>
      <c r="S1829">
        <v>899</v>
      </c>
      <c r="T1829">
        <v>397</v>
      </c>
      <c r="U1829">
        <v>44.16</v>
      </c>
      <c r="V1829" t="s">
        <v>21</v>
      </c>
    </row>
    <row r="1830" spans="1:22" x14ac:dyDescent="0.35">
      <c r="A1830" t="s">
        <v>602</v>
      </c>
      <c r="B1830" t="s">
        <v>59</v>
      </c>
      <c r="C1830" t="s">
        <v>27</v>
      </c>
      <c r="D1830" t="s">
        <v>601</v>
      </c>
      <c r="E1830" t="s">
        <v>600</v>
      </c>
      <c r="F1830" s="5">
        <v>45480</v>
      </c>
      <c r="G1830" t="s">
        <v>126</v>
      </c>
      <c r="H1830" t="s">
        <v>599</v>
      </c>
      <c r="I1830" t="s">
        <v>31</v>
      </c>
      <c r="J1830" t="s">
        <v>32</v>
      </c>
      <c r="K1830" t="s">
        <v>32</v>
      </c>
      <c r="L1830" t="s">
        <v>19</v>
      </c>
      <c r="M1830" t="s">
        <v>19</v>
      </c>
      <c r="N1830">
        <v>2</v>
      </c>
      <c r="O1830">
        <v>1003</v>
      </c>
      <c r="P1830">
        <v>1399</v>
      </c>
      <c r="Q1830">
        <v>0</v>
      </c>
      <c r="R1830">
        <v>0</v>
      </c>
      <c r="S1830">
        <v>2798</v>
      </c>
      <c r="T1830">
        <v>792</v>
      </c>
      <c r="U1830">
        <v>28.31</v>
      </c>
      <c r="V1830" t="s">
        <v>21</v>
      </c>
    </row>
    <row r="1831" spans="1:22" x14ac:dyDescent="0.35">
      <c r="A1831" t="s">
        <v>598</v>
      </c>
      <c r="B1831" t="s">
        <v>86</v>
      </c>
      <c r="C1831" t="s">
        <v>27</v>
      </c>
      <c r="D1831" t="s">
        <v>597</v>
      </c>
      <c r="E1831" t="s">
        <v>596</v>
      </c>
      <c r="F1831" s="5">
        <v>45564</v>
      </c>
      <c r="G1831" t="s">
        <v>126</v>
      </c>
      <c r="H1831" t="s">
        <v>595</v>
      </c>
      <c r="I1831" t="s">
        <v>28</v>
      </c>
      <c r="J1831" t="s">
        <v>201</v>
      </c>
      <c r="K1831" t="s">
        <v>29</v>
      </c>
      <c r="L1831" t="s">
        <v>25</v>
      </c>
      <c r="M1831" t="s">
        <v>19</v>
      </c>
      <c r="N1831">
        <v>1</v>
      </c>
      <c r="O1831">
        <v>499</v>
      </c>
      <c r="P1831">
        <v>699</v>
      </c>
      <c r="Q1831">
        <v>10</v>
      </c>
      <c r="R1831">
        <v>100</v>
      </c>
      <c r="S1831">
        <v>599</v>
      </c>
      <c r="T1831">
        <v>100</v>
      </c>
      <c r="U1831">
        <v>16.690000000000001</v>
      </c>
      <c r="V1831" t="s">
        <v>21</v>
      </c>
    </row>
    <row r="1832" spans="1:22" x14ac:dyDescent="0.35">
      <c r="A1832" t="s">
        <v>594</v>
      </c>
      <c r="B1832" t="s">
        <v>46</v>
      </c>
      <c r="C1832" t="s">
        <v>16</v>
      </c>
      <c r="D1832" t="s">
        <v>593</v>
      </c>
      <c r="E1832" t="s">
        <v>592</v>
      </c>
      <c r="F1832" s="5">
        <v>45465</v>
      </c>
      <c r="G1832" t="s">
        <v>126</v>
      </c>
      <c r="H1832" t="s">
        <v>591</v>
      </c>
      <c r="I1832" t="s">
        <v>35</v>
      </c>
      <c r="J1832" t="s">
        <v>41</v>
      </c>
      <c r="K1832" t="s">
        <v>41</v>
      </c>
      <c r="L1832" t="s">
        <v>37</v>
      </c>
      <c r="M1832" t="s">
        <v>19</v>
      </c>
      <c r="N1832">
        <v>1</v>
      </c>
      <c r="O1832">
        <v>303</v>
      </c>
      <c r="P1832">
        <v>599</v>
      </c>
      <c r="Q1832">
        <v>10</v>
      </c>
      <c r="R1832">
        <v>100</v>
      </c>
      <c r="S1832">
        <v>499</v>
      </c>
      <c r="T1832">
        <v>196</v>
      </c>
      <c r="U1832">
        <v>39.28</v>
      </c>
      <c r="V1832" t="s">
        <v>21</v>
      </c>
    </row>
    <row r="1833" spans="1:22" x14ac:dyDescent="0.35">
      <c r="A1833" t="s">
        <v>590</v>
      </c>
      <c r="B1833" t="s">
        <v>95</v>
      </c>
      <c r="C1833" t="s">
        <v>27</v>
      </c>
      <c r="D1833" t="s">
        <v>589</v>
      </c>
      <c r="E1833" t="s">
        <v>588</v>
      </c>
      <c r="F1833" s="5">
        <v>45513</v>
      </c>
      <c r="G1833" t="s">
        <v>126</v>
      </c>
      <c r="H1833" t="s">
        <v>587</v>
      </c>
      <c r="I1833" t="s">
        <v>23</v>
      </c>
      <c r="J1833" t="s">
        <v>142</v>
      </c>
      <c r="K1833" t="s">
        <v>43</v>
      </c>
      <c r="L1833" t="s">
        <v>37</v>
      </c>
      <c r="M1833" t="s">
        <v>20</v>
      </c>
      <c r="N1833">
        <v>1</v>
      </c>
      <c r="O1833">
        <v>3610</v>
      </c>
      <c r="P1833">
        <v>4999</v>
      </c>
      <c r="Q1833">
        <v>20</v>
      </c>
      <c r="R1833">
        <v>1000</v>
      </c>
      <c r="S1833">
        <v>3999</v>
      </c>
      <c r="T1833">
        <v>389</v>
      </c>
      <c r="U1833">
        <v>9.73</v>
      </c>
      <c r="V1833" t="s">
        <v>21</v>
      </c>
    </row>
    <row r="1834" spans="1:22" x14ac:dyDescent="0.35">
      <c r="A1834" t="s">
        <v>586</v>
      </c>
      <c r="B1834" t="s">
        <v>105</v>
      </c>
      <c r="C1834" t="s">
        <v>16</v>
      </c>
      <c r="D1834" t="s">
        <v>585</v>
      </c>
      <c r="E1834" t="s">
        <v>584</v>
      </c>
      <c r="F1834" s="5">
        <v>45606</v>
      </c>
      <c r="G1834" t="s">
        <v>126</v>
      </c>
      <c r="H1834" t="s">
        <v>583</v>
      </c>
      <c r="I1834" t="s">
        <v>35</v>
      </c>
      <c r="J1834" t="s">
        <v>159</v>
      </c>
      <c r="K1834" t="s">
        <v>100</v>
      </c>
      <c r="L1834" t="s">
        <v>37</v>
      </c>
      <c r="M1834" t="s">
        <v>19</v>
      </c>
      <c r="N1834">
        <v>5</v>
      </c>
      <c r="O1834">
        <v>1216</v>
      </c>
      <c r="P1834">
        <v>1699</v>
      </c>
      <c r="Q1834">
        <v>10</v>
      </c>
      <c r="R1834">
        <v>1000</v>
      </c>
      <c r="S1834">
        <v>7495</v>
      </c>
      <c r="T1834">
        <v>1415</v>
      </c>
      <c r="U1834">
        <v>18.88</v>
      </c>
      <c r="V1834" t="s">
        <v>21</v>
      </c>
    </row>
    <row r="1835" spans="1:22" x14ac:dyDescent="0.35">
      <c r="A1835" t="s">
        <v>582</v>
      </c>
      <c r="B1835" t="s">
        <v>84</v>
      </c>
      <c r="C1835" t="s">
        <v>27</v>
      </c>
      <c r="D1835" t="s">
        <v>581</v>
      </c>
      <c r="E1835" t="s">
        <v>580</v>
      </c>
      <c r="F1835" s="5">
        <v>45607</v>
      </c>
      <c r="G1835" t="s">
        <v>126</v>
      </c>
      <c r="H1835" t="s">
        <v>579</v>
      </c>
      <c r="I1835" t="s">
        <v>28</v>
      </c>
      <c r="J1835" t="s">
        <v>45</v>
      </c>
      <c r="K1835" t="s">
        <v>45</v>
      </c>
      <c r="L1835" t="s">
        <v>37</v>
      </c>
      <c r="M1835" t="s">
        <v>19</v>
      </c>
      <c r="N1835">
        <v>1</v>
      </c>
      <c r="O1835">
        <v>882</v>
      </c>
      <c r="P1835">
        <v>1499</v>
      </c>
      <c r="Q1835">
        <v>20</v>
      </c>
      <c r="R1835">
        <v>300</v>
      </c>
      <c r="S1835">
        <v>1199</v>
      </c>
      <c r="T1835">
        <v>317</v>
      </c>
      <c r="U1835">
        <v>26.44</v>
      </c>
      <c r="V1835" t="s">
        <v>33</v>
      </c>
    </row>
    <row r="1836" spans="1:22" x14ac:dyDescent="0.35">
      <c r="A1836" t="s">
        <v>578</v>
      </c>
      <c r="B1836" t="s">
        <v>67</v>
      </c>
      <c r="C1836" t="s">
        <v>27</v>
      </c>
      <c r="D1836" t="s">
        <v>577</v>
      </c>
      <c r="E1836" t="s">
        <v>576</v>
      </c>
      <c r="F1836" s="5">
        <v>45624</v>
      </c>
      <c r="G1836" t="s">
        <v>126</v>
      </c>
      <c r="H1836" t="s">
        <v>575</v>
      </c>
      <c r="I1836" t="s">
        <v>17</v>
      </c>
      <c r="J1836" t="s">
        <v>48</v>
      </c>
      <c r="K1836" t="s">
        <v>48</v>
      </c>
      <c r="L1836" t="s">
        <v>19</v>
      </c>
      <c r="M1836" t="s">
        <v>20</v>
      </c>
      <c r="N1836">
        <v>1</v>
      </c>
      <c r="O1836">
        <v>251</v>
      </c>
      <c r="P1836">
        <v>499</v>
      </c>
      <c r="Q1836">
        <v>0</v>
      </c>
      <c r="R1836">
        <v>0</v>
      </c>
      <c r="S1836">
        <v>499</v>
      </c>
      <c r="T1836">
        <v>248</v>
      </c>
      <c r="U1836">
        <v>49.7</v>
      </c>
      <c r="V1836" t="s">
        <v>21</v>
      </c>
    </row>
    <row r="1837" spans="1:22" x14ac:dyDescent="0.35">
      <c r="A1837" t="s">
        <v>574</v>
      </c>
      <c r="B1837" t="s">
        <v>91</v>
      </c>
      <c r="C1837" t="s">
        <v>16</v>
      </c>
      <c r="D1837" t="s">
        <v>573</v>
      </c>
      <c r="E1837" t="s">
        <v>572</v>
      </c>
      <c r="F1837" s="5">
        <v>45530</v>
      </c>
      <c r="G1837" t="s">
        <v>126</v>
      </c>
      <c r="H1837" t="s">
        <v>571</v>
      </c>
      <c r="I1837" t="s">
        <v>17</v>
      </c>
      <c r="J1837" t="s">
        <v>253</v>
      </c>
      <c r="K1837" t="s">
        <v>72</v>
      </c>
      <c r="L1837" t="s">
        <v>19</v>
      </c>
      <c r="M1837" t="s">
        <v>20</v>
      </c>
      <c r="N1837">
        <v>1</v>
      </c>
      <c r="O1837">
        <v>311</v>
      </c>
      <c r="P1837">
        <v>499</v>
      </c>
      <c r="Q1837">
        <v>0</v>
      </c>
      <c r="R1837">
        <v>0</v>
      </c>
      <c r="S1837">
        <v>499</v>
      </c>
      <c r="T1837">
        <v>188</v>
      </c>
      <c r="U1837">
        <v>37.68</v>
      </c>
      <c r="V1837" t="s">
        <v>33</v>
      </c>
    </row>
    <row r="1838" spans="1:22" x14ac:dyDescent="0.35">
      <c r="A1838" t="s">
        <v>570</v>
      </c>
      <c r="B1838" t="s">
        <v>38</v>
      </c>
      <c r="C1838" t="s">
        <v>27</v>
      </c>
      <c r="D1838" t="s">
        <v>569</v>
      </c>
      <c r="E1838" t="s">
        <v>568</v>
      </c>
      <c r="F1838" s="5">
        <v>45479</v>
      </c>
      <c r="G1838" t="s">
        <v>126</v>
      </c>
      <c r="H1838" t="s">
        <v>567</v>
      </c>
      <c r="I1838" t="s">
        <v>17</v>
      </c>
      <c r="J1838" t="s">
        <v>55</v>
      </c>
      <c r="K1838" t="s">
        <v>55</v>
      </c>
      <c r="L1838" t="s">
        <v>19</v>
      </c>
      <c r="M1838" t="s">
        <v>19</v>
      </c>
      <c r="N1838">
        <v>1</v>
      </c>
      <c r="O1838">
        <v>187</v>
      </c>
      <c r="P1838">
        <v>299</v>
      </c>
      <c r="Q1838">
        <v>0</v>
      </c>
      <c r="R1838">
        <v>0</v>
      </c>
      <c r="S1838">
        <v>299</v>
      </c>
      <c r="T1838">
        <v>112</v>
      </c>
      <c r="U1838">
        <v>37.46</v>
      </c>
      <c r="V1838" t="s">
        <v>21</v>
      </c>
    </row>
    <row r="1839" spans="1:22" x14ac:dyDescent="0.35">
      <c r="A1839" t="s">
        <v>566</v>
      </c>
      <c r="B1839" t="s">
        <v>85</v>
      </c>
      <c r="C1839" t="s">
        <v>27</v>
      </c>
      <c r="D1839" t="s">
        <v>565</v>
      </c>
      <c r="E1839" t="s">
        <v>564</v>
      </c>
      <c r="F1839" s="5">
        <v>45513</v>
      </c>
      <c r="G1839" t="s">
        <v>126</v>
      </c>
      <c r="H1839" t="s">
        <v>563</v>
      </c>
      <c r="I1839" t="s">
        <v>35</v>
      </c>
      <c r="J1839" t="s">
        <v>159</v>
      </c>
      <c r="K1839" t="s">
        <v>100</v>
      </c>
      <c r="L1839" t="s">
        <v>37</v>
      </c>
      <c r="M1839" t="s">
        <v>20</v>
      </c>
      <c r="N1839">
        <v>1</v>
      </c>
      <c r="O1839">
        <v>813</v>
      </c>
      <c r="P1839">
        <v>1199</v>
      </c>
      <c r="Q1839">
        <v>10</v>
      </c>
      <c r="R1839">
        <v>200</v>
      </c>
      <c r="S1839">
        <v>999</v>
      </c>
      <c r="T1839">
        <v>186</v>
      </c>
      <c r="U1839">
        <v>18.62</v>
      </c>
      <c r="V1839" t="s">
        <v>33</v>
      </c>
    </row>
    <row r="1840" spans="1:22" x14ac:dyDescent="0.35">
      <c r="A1840" t="s">
        <v>562</v>
      </c>
      <c r="B1840" t="s">
        <v>69</v>
      </c>
      <c r="C1840" t="s">
        <v>16</v>
      </c>
      <c r="D1840" t="s">
        <v>561</v>
      </c>
      <c r="E1840" t="s">
        <v>560</v>
      </c>
      <c r="F1840" s="5">
        <v>45492</v>
      </c>
      <c r="G1840" t="s">
        <v>126</v>
      </c>
      <c r="H1840" t="s">
        <v>411</v>
      </c>
      <c r="I1840" t="s">
        <v>28</v>
      </c>
      <c r="J1840" t="s">
        <v>45</v>
      </c>
      <c r="K1840" t="s">
        <v>45</v>
      </c>
      <c r="L1840" t="s">
        <v>19</v>
      </c>
      <c r="M1840" t="s">
        <v>19</v>
      </c>
      <c r="N1840">
        <v>1</v>
      </c>
      <c r="O1840">
        <v>587</v>
      </c>
      <c r="P1840">
        <v>999</v>
      </c>
      <c r="Q1840">
        <v>20</v>
      </c>
      <c r="R1840">
        <v>200</v>
      </c>
      <c r="S1840">
        <v>799</v>
      </c>
      <c r="T1840">
        <v>212</v>
      </c>
      <c r="U1840">
        <v>26.53</v>
      </c>
      <c r="V1840" t="s">
        <v>21</v>
      </c>
    </row>
    <row r="1841" spans="1:22" x14ac:dyDescent="0.35">
      <c r="A1841" t="s">
        <v>559</v>
      </c>
      <c r="B1841" t="s">
        <v>106</v>
      </c>
      <c r="C1841" t="s">
        <v>27</v>
      </c>
      <c r="D1841" t="s">
        <v>558</v>
      </c>
      <c r="E1841" t="s">
        <v>557</v>
      </c>
      <c r="F1841" s="5">
        <v>45573</v>
      </c>
      <c r="G1841" t="s">
        <v>126</v>
      </c>
      <c r="H1841" t="s">
        <v>556</v>
      </c>
      <c r="I1841" t="s">
        <v>28</v>
      </c>
      <c r="J1841" t="s">
        <v>45</v>
      </c>
      <c r="K1841" t="s">
        <v>45</v>
      </c>
      <c r="L1841" t="s">
        <v>37</v>
      </c>
      <c r="M1841" t="s">
        <v>19</v>
      </c>
      <c r="N1841">
        <v>1</v>
      </c>
      <c r="O1841">
        <v>1331</v>
      </c>
      <c r="P1841">
        <v>1899</v>
      </c>
      <c r="Q1841">
        <v>5</v>
      </c>
      <c r="R1841">
        <v>100</v>
      </c>
      <c r="S1841">
        <v>1799</v>
      </c>
      <c r="T1841">
        <v>468</v>
      </c>
      <c r="U1841">
        <v>26.01</v>
      </c>
      <c r="V1841" t="s">
        <v>21</v>
      </c>
    </row>
    <row r="1842" spans="1:22" x14ac:dyDescent="0.35">
      <c r="A1842" t="s">
        <v>555</v>
      </c>
      <c r="B1842" t="s">
        <v>69</v>
      </c>
      <c r="C1842" t="s">
        <v>16</v>
      </c>
      <c r="D1842" t="s">
        <v>554</v>
      </c>
      <c r="E1842" t="s">
        <v>553</v>
      </c>
      <c r="F1842" s="5">
        <v>45592</v>
      </c>
      <c r="G1842" t="s">
        <v>126</v>
      </c>
      <c r="H1842" t="s">
        <v>552</v>
      </c>
      <c r="I1842" t="s">
        <v>28</v>
      </c>
      <c r="J1842" t="s">
        <v>45</v>
      </c>
      <c r="K1842" t="s">
        <v>45</v>
      </c>
      <c r="L1842" t="s">
        <v>37</v>
      </c>
      <c r="M1842" t="s">
        <v>19</v>
      </c>
      <c r="N1842">
        <v>1</v>
      </c>
      <c r="O1842">
        <v>1403</v>
      </c>
      <c r="P1842">
        <v>1999</v>
      </c>
      <c r="Q1842">
        <v>10</v>
      </c>
      <c r="R1842">
        <v>200</v>
      </c>
      <c r="S1842">
        <v>1799</v>
      </c>
      <c r="T1842">
        <v>396</v>
      </c>
      <c r="U1842">
        <v>22.01</v>
      </c>
      <c r="V1842" t="s">
        <v>21</v>
      </c>
    </row>
    <row r="1843" spans="1:22" x14ac:dyDescent="0.35">
      <c r="A1843" t="s">
        <v>551</v>
      </c>
      <c r="B1843" t="s">
        <v>38</v>
      </c>
      <c r="C1843" t="s">
        <v>27</v>
      </c>
      <c r="D1843" t="s">
        <v>550</v>
      </c>
      <c r="E1843" t="s">
        <v>549</v>
      </c>
      <c r="F1843" s="5">
        <v>45622</v>
      </c>
      <c r="G1843" t="s">
        <v>126</v>
      </c>
      <c r="H1843" t="s">
        <v>548</v>
      </c>
      <c r="I1843" t="s">
        <v>35</v>
      </c>
      <c r="J1843" t="s">
        <v>214</v>
      </c>
      <c r="K1843" t="s">
        <v>87</v>
      </c>
      <c r="L1843" t="s">
        <v>19</v>
      </c>
      <c r="M1843" t="s">
        <v>19</v>
      </c>
      <c r="N1843">
        <v>1</v>
      </c>
      <c r="O1843">
        <v>1843</v>
      </c>
      <c r="P1843">
        <v>3199</v>
      </c>
      <c r="Q1843">
        <v>20</v>
      </c>
      <c r="R1843">
        <v>700</v>
      </c>
      <c r="S1843">
        <v>2499</v>
      </c>
      <c r="T1843">
        <v>656</v>
      </c>
      <c r="U1843">
        <v>26.25</v>
      </c>
      <c r="V1843" t="s">
        <v>21</v>
      </c>
    </row>
    <row r="1844" spans="1:22" x14ac:dyDescent="0.35">
      <c r="A1844" t="s">
        <v>547</v>
      </c>
      <c r="B1844" t="s">
        <v>70</v>
      </c>
      <c r="C1844" t="s">
        <v>27</v>
      </c>
      <c r="D1844" t="s">
        <v>546</v>
      </c>
      <c r="E1844" t="s">
        <v>545</v>
      </c>
      <c r="F1844" s="5">
        <v>45582</v>
      </c>
      <c r="G1844" t="s">
        <v>126</v>
      </c>
      <c r="H1844" t="s">
        <v>544</v>
      </c>
      <c r="I1844" t="s">
        <v>28</v>
      </c>
      <c r="J1844" t="s">
        <v>201</v>
      </c>
      <c r="K1844" t="s">
        <v>29</v>
      </c>
      <c r="L1844" t="s">
        <v>25</v>
      </c>
      <c r="M1844" t="s">
        <v>20</v>
      </c>
      <c r="N1844">
        <v>1</v>
      </c>
      <c r="O1844">
        <v>437</v>
      </c>
      <c r="P1844">
        <v>799</v>
      </c>
      <c r="Q1844">
        <v>20</v>
      </c>
      <c r="R1844">
        <v>200</v>
      </c>
      <c r="S1844">
        <v>599</v>
      </c>
      <c r="T1844">
        <v>162</v>
      </c>
      <c r="U1844">
        <v>27.05</v>
      </c>
      <c r="V1844" t="s">
        <v>33</v>
      </c>
    </row>
    <row r="1845" spans="1:22" x14ac:dyDescent="0.35">
      <c r="A1845" t="s">
        <v>543</v>
      </c>
      <c r="B1845" t="s">
        <v>93</v>
      </c>
      <c r="C1845" t="s">
        <v>16</v>
      </c>
      <c r="D1845" t="s">
        <v>542</v>
      </c>
      <c r="E1845" t="s">
        <v>541</v>
      </c>
      <c r="F1845" s="5">
        <v>45557</v>
      </c>
      <c r="G1845" t="s">
        <v>126</v>
      </c>
      <c r="H1845" t="s">
        <v>540</v>
      </c>
      <c r="I1845" t="s">
        <v>17</v>
      </c>
      <c r="J1845" t="s">
        <v>55</v>
      </c>
      <c r="K1845" t="s">
        <v>55</v>
      </c>
      <c r="L1845" t="s">
        <v>37</v>
      </c>
      <c r="M1845" t="s">
        <v>20</v>
      </c>
      <c r="N1845">
        <v>2</v>
      </c>
      <c r="O1845">
        <v>289</v>
      </c>
      <c r="P1845">
        <v>399</v>
      </c>
      <c r="Q1845">
        <v>0</v>
      </c>
      <c r="R1845">
        <v>0</v>
      </c>
      <c r="S1845">
        <v>798</v>
      </c>
      <c r="T1845">
        <v>220</v>
      </c>
      <c r="U1845">
        <v>27.57</v>
      </c>
      <c r="V1845" t="s">
        <v>21</v>
      </c>
    </row>
    <row r="1846" spans="1:22" x14ac:dyDescent="0.35">
      <c r="A1846" t="s">
        <v>539</v>
      </c>
      <c r="B1846" t="s">
        <v>44</v>
      </c>
      <c r="C1846" t="s">
        <v>16</v>
      </c>
      <c r="D1846" t="s">
        <v>538</v>
      </c>
      <c r="E1846" t="s">
        <v>537</v>
      </c>
      <c r="F1846" s="5">
        <v>45486</v>
      </c>
      <c r="G1846" t="s">
        <v>126</v>
      </c>
      <c r="H1846" t="s">
        <v>536</v>
      </c>
      <c r="I1846" t="s">
        <v>35</v>
      </c>
      <c r="J1846" t="s">
        <v>244</v>
      </c>
      <c r="K1846" t="s">
        <v>58</v>
      </c>
      <c r="L1846" t="s">
        <v>25</v>
      </c>
      <c r="M1846" t="s">
        <v>20</v>
      </c>
      <c r="N1846">
        <v>1</v>
      </c>
      <c r="O1846">
        <v>946</v>
      </c>
      <c r="P1846">
        <v>1599</v>
      </c>
      <c r="Q1846">
        <v>5</v>
      </c>
      <c r="R1846">
        <v>100</v>
      </c>
      <c r="S1846">
        <v>1499</v>
      </c>
      <c r="T1846">
        <v>553</v>
      </c>
      <c r="U1846">
        <v>36.89</v>
      </c>
      <c r="V1846" t="s">
        <v>21</v>
      </c>
    </row>
    <row r="1847" spans="1:22" x14ac:dyDescent="0.35">
      <c r="A1847" t="s">
        <v>535</v>
      </c>
      <c r="B1847" t="s">
        <v>108</v>
      </c>
      <c r="C1847" t="s">
        <v>27</v>
      </c>
      <c r="D1847" t="s">
        <v>534</v>
      </c>
      <c r="E1847" t="s">
        <v>533</v>
      </c>
      <c r="F1847" s="5">
        <v>45494</v>
      </c>
      <c r="G1847" t="s">
        <v>126</v>
      </c>
      <c r="H1847" t="s">
        <v>532</v>
      </c>
      <c r="I1847" t="s">
        <v>23</v>
      </c>
      <c r="J1847" t="s">
        <v>142</v>
      </c>
      <c r="K1847" t="s">
        <v>43</v>
      </c>
      <c r="L1847" t="s">
        <v>19</v>
      </c>
      <c r="M1847" t="s">
        <v>20</v>
      </c>
      <c r="N1847">
        <v>2</v>
      </c>
      <c r="O1847">
        <v>1534</v>
      </c>
      <c r="P1847">
        <v>2199</v>
      </c>
      <c r="Q1847">
        <v>10</v>
      </c>
      <c r="R1847">
        <v>600</v>
      </c>
      <c r="S1847">
        <v>3798</v>
      </c>
      <c r="T1847">
        <v>730</v>
      </c>
      <c r="U1847">
        <v>19.22</v>
      </c>
      <c r="V1847" t="s">
        <v>33</v>
      </c>
    </row>
    <row r="1848" spans="1:22" x14ac:dyDescent="0.35">
      <c r="A1848" t="s">
        <v>531</v>
      </c>
      <c r="B1848" t="s">
        <v>30</v>
      </c>
      <c r="C1848" t="s">
        <v>16</v>
      </c>
      <c r="D1848" t="s">
        <v>530</v>
      </c>
      <c r="E1848" t="s">
        <v>529</v>
      </c>
      <c r="F1848" s="5">
        <v>45480</v>
      </c>
      <c r="G1848" t="s">
        <v>126</v>
      </c>
      <c r="H1848" t="s">
        <v>528</v>
      </c>
      <c r="I1848" t="s">
        <v>23</v>
      </c>
      <c r="J1848" t="s">
        <v>142</v>
      </c>
      <c r="K1848" t="s">
        <v>43</v>
      </c>
      <c r="L1848" t="s">
        <v>25</v>
      </c>
      <c r="M1848" t="s">
        <v>20</v>
      </c>
      <c r="N1848">
        <v>2</v>
      </c>
      <c r="O1848">
        <v>1933</v>
      </c>
      <c r="P1848">
        <v>3599</v>
      </c>
      <c r="Q1848">
        <v>15</v>
      </c>
      <c r="R1848">
        <v>1200</v>
      </c>
      <c r="S1848">
        <v>5998</v>
      </c>
      <c r="T1848">
        <v>2132</v>
      </c>
      <c r="U1848">
        <v>35.549999999999997</v>
      </c>
      <c r="V1848" t="s">
        <v>33</v>
      </c>
    </row>
    <row r="1849" spans="1:22" x14ac:dyDescent="0.35">
      <c r="A1849" t="s">
        <v>527</v>
      </c>
      <c r="B1849" t="s">
        <v>38</v>
      </c>
      <c r="C1849" t="s">
        <v>27</v>
      </c>
      <c r="D1849" t="s">
        <v>526</v>
      </c>
      <c r="E1849" t="s">
        <v>525</v>
      </c>
      <c r="F1849" s="5">
        <v>45633</v>
      </c>
      <c r="G1849" t="s">
        <v>126</v>
      </c>
      <c r="H1849" t="s">
        <v>524</v>
      </c>
      <c r="I1849" t="s">
        <v>17</v>
      </c>
      <c r="J1849" t="s">
        <v>253</v>
      </c>
      <c r="K1849" t="s">
        <v>72</v>
      </c>
      <c r="L1849" t="s">
        <v>37</v>
      </c>
      <c r="M1849" t="s">
        <v>19</v>
      </c>
      <c r="N1849">
        <v>2</v>
      </c>
      <c r="O1849">
        <v>235</v>
      </c>
      <c r="P1849">
        <v>399</v>
      </c>
      <c r="Q1849">
        <v>0</v>
      </c>
      <c r="R1849">
        <v>0</v>
      </c>
      <c r="S1849">
        <v>798</v>
      </c>
      <c r="T1849">
        <v>328</v>
      </c>
      <c r="U1849">
        <v>41.1</v>
      </c>
      <c r="V1849" t="s">
        <v>21</v>
      </c>
    </row>
    <row r="1850" spans="1:22" x14ac:dyDescent="0.35">
      <c r="A1850" t="s">
        <v>523</v>
      </c>
      <c r="B1850" t="s">
        <v>102</v>
      </c>
      <c r="C1850" t="s">
        <v>27</v>
      </c>
      <c r="D1850" t="s">
        <v>522</v>
      </c>
      <c r="E1850" t="s">
        <v>521</v>
      </c>
      <c r="F1850" s="5">
        <v>45618</v>
      </c>
      <c r="G1850" t="s">
        <v>126</v>
      </c>
      <c r="H1850" t="s">
        <v>520</v>
      </c>
      <c r="I1850" t="s">
        <v>35</v>
      </c>
      <c r="J1850" t="s">
        <v>39</v>
      </c>
      <c r="K1850" t="s">
        <v>39</v>
      </c>
      <c r="L1850" t="s">
        <v>19</v>
      </c>
      <c r="M1850" t="s">
        <v>19</v>
      </c>
      <c r="N1850">
        <v>1</v>
      </c>
      <c r="O1850">
        <v>801</v>
      </c>
      <c r="P1850">
        <v>1199</v>
      </c>
      <c r="Q1850">
        <v>10</v>
      </c>
      <c r="R1850">
        <v>200</v>
      </c>
      <c r="S1850">
        <v>999</v>
      </c>
      <c r="T1850">
        <v>198</v>
      </c>
      <c r="U1850">
        <v>19.82</v>
      </c>
      <c r="V1850" t="s">
        <v>21</v>
      </c>
    </row>
    <row r="1851" spans="1:22" x14ac:dyDescent="0.35">
      <c r="A1851" t="s">
        <v>519</v>
      </c>
      <c r="B1851" t="s">
        <v>47</v>
      </c>
      <c r="C1851" t="s">
        <v>16</v>
      </c>
      <c r="D1851" t="s">
        <v>518</v>
      </c>
      <c r="E1851" t="s">
        <v>517</v>
      </c>
      <c r="F1851" s="5">
        <v>45655</v>
      </c>
      <c r="G1851" t="s">
        <v>126</v>
      </c>
      <c r="H1851" t="s">
        <v>516</v>
      </c>
      <c r="I1851" t="s">
        <v>28</v>
      </c>
      <c r="J1851" t="s">
        <v>201</v>
      </c>
      <c r="K1851" t="s">
        <v>29</v>
      </c>
      <c r="L1851" t="s">
        <v>37</v>
      </c>
      <c r="M1851" t="s">
        <v>20</v>
      </c>
      <c r="N1851">
        <v>3</v>
      </c>
      <c r="O1851">
        <v>410</v>
      </c>
      <c r="P1851">
        <v>799</v>
      </c>
      <c r="Q1851">
        <v>20</v>
      </c>
      <c r="R1851">
        <v>600</v>
      </c>
      <c r="S1851">
        <v>1797</v>
      </c>
      <c r="T1851">
        <v>567</v>
      </c>
      <c r="U1851">
        <v>31.55</v>
      </c>
      <c r="V1851" t="s">
        <v>21</v>
      </c>
    </row>
    <row r="1852" spans="1:22" x14ac:dyDescent="0.35">
      <c r="A1852" t="s">
        <v>515</v>
      </c>
      <c r="B1852" t="s">
        <v>102</v>
      </c>
      <c r="C1852" t="s">
        <v>27</v>
      </c>
      <c r="D1852" t="s">
        <v>514</v>
      </c>
      <c r="E1852" t="s">
        <v>513</v>
      </c>
      <c r="F1852" s="5">
        <v>45614</v>
      </c>
      <c r="G1852" t="s">
        <v>126</v>
      </c>
      <c r="H1852" t="s">
        <v>512</v>
      </c>
      <c r="I1852" t="s">
        <v>28</v>
      </c>
      <c r="J1852" t="s">
        <v>201</v>
      </c>
      <c r="K1852" t="s">
        <v>29</v>
      </c>
      <c r="L1852" t="s">
        <v>25</v>
      </c>
      <c r="M1852" t="s">
        <v>20</v>
      </c>
      <c r="N1852">
        <v>1</v>
      </c>
      <c r="O1852">
        <v>302</v>
      </c>
      <c r="P1852">
        <v>499</v>
      </c>
      <c r="Q1852">
        <v>5</v>
      </c>
      <c r="R1852">
        <v>50</v>
      </c>
      <c r="S1852">
        <v>449</v>
      </c>
      <c r="T1852">
        <v>147</v>
      </c>
      <c r="U1852">
        <v>32.74</v>
      </c>
      <c r="V1852" t="s">
        <v>21</v>
      </c>
    </row>
    <row r="1853" spans="1:22" x14ac:dyDescent="0.35">
      <c r="A1853" t="s">
        <v>511</v>
      </c>
      <c r="B1853" t="s">
        <v>95</v>
      </c>
      <c r="C1853" t="s">
        <v>27</v>
      </c>
      <c r="D1853" t="s">
        <v>510</v>
      </c>
      <c r="E1853" t="s">
        <v>509</v>
      </c>
      <c r="F1853" s="5">
        <v>45646</v>
      </c>
      <c r="G1853" t="s">
        <v>126</v>
      </c>
      <c r="H1853" t="s">
        <v>508</v>
      </c>
      <c r="I1853" t="s">
        <v>35</v>
      </c>
      <c r="J1853" t="s">
        <v>41</v>
      </c>
      <c r="K1853" t="s">
        <v>41</v>
      </c>
      <c r="L1853" t="s">
        <v>37</v>
      </c>
      <c r="M1853" t="s">
        <v>19</v>
      </c>
      <c r="N1853">
        <v>5</v>
      </c>
      <c r="O1853">
        <v>596</v>
      </c>
      <c r="P1853">
        <v>899</v>
      </c>
      <c r="Q1853">
        <v>10</v>
      </c>
      <c r="R1853">
        <v>500</v>
      </c>
      <c r="S1853">
        <v>3995</v>
      </c>
      <c r="T1853">
        <v>1015</v>
      </c>
      <c r="U1853">
        <v>25.41</v>
      </c>
      <c r="V1853" t="s">
        <v>21</v>
      </c>
    </row>
    <row r="1854" spans="1:22" x14ac:dyDescent="0.35">
      <c r="A1854" t="s">
        <v>507</v>
      </c>
      <c r="B1854" t="s">
        <v>92</v>
      </c>
      <c r="C1854" t="s">
        <v>27</v>
      </c>
      <c r="D1854" t="s">
        <v>506</v>
      </c>
      <c r="E1854" t="s">
        <v>505</v>
      </c>
      <c r="F1854" s="5">
        <v>45480</v>
      </c>
      <c r="G1854" t="s">
        <v>126</v>
      </c>
      <c r="H1854" t="s">
        <v>504</v>
      </c>
      <c r="I1854" t="s">
        <v>23</v>
      </c>
      <c r="J1854" t="s">
        <v>142</v>
      </c>
      <c r="K1854" t="s">
        <v>43</v>
      </c>
      <c r="L1854" t="s">
        <v>19</v>
      </c>
      <c r="M1854" t="s">
        <v>19</v>
      </c>
      <c r="N1854">
        <v>5</v>
      </c>
      <c r="O1854">
        <v>3077</v>
      </c>
      <c r="P1854">
        <v>4799</v>
      </c>
      <c r="Q1854">
        <v>15</v>
      </c>
      <c r="R1854">
        <v>4000</v>
      </c>
      <c r="S1854">
        <v>19995</v>
      </c>
      <c r="T1854">
        <v>4610</v>
      </c>
      <c r="U1854">
        <v>23.06</v>
      </c>
      <c r="V1854" t="s">
        <v>21</v>
      </c>
    </row>
    <row r="1855" spans="1:22" x14ac:dyDescent="0.35">
      <c r="A1855" t="s">
        <v>503</v>
      </c>
      <c r="B1855" t="s">
        <v>51</v>
      </c>
      <c r="C1855" t="s">
        <v>16</v>
      </c>
      <c r="D1855" t="s">
        <v>502</v>
      </c>
      <c r="E1855" t="s">
        <v>501</v>
      </c>
      <c r="F1855" s="5">
        <v>45608</v>
      </c>
      <c r="G1855" t="s">
        <v>126</v>
      </c>
      <c r="H1855" t="s">
        <v>500</v>
      </c>
      <c r="I1855" t="s">
        <v>17</v>
      </c>
      <c r="J1855" t="s">
        <v>235</v>
      </c>
      <c r="K1855" t="s">
        <v>18</v>
      </c>
      <c r="L1855" t="s">
        <v>19</v>
      </c>
      <c r="M1855" t="s">
        <v>20</v>
      </c>
      <c r="N1855">
        <v>2</v>
      </c>
      <c r="O1855">
        <v>363</v>
      </c>
      <c r="P1855">
        <v>499</v>
      </c>
      <c r="Q1855">
        <v>0</v>
      </c>
      <c r="R1855">
        <v>0</v>
      </c>
      <c r="S1855">
        <v>998</v>
      </c>
      <c r="T1855">
        <v>272</v>
      </c>
      <c r="U1855">
        <v>27.25</v>
      </c>
      <c r="V1855" t="s">
        <v>21</v>
      </c>
    </row>
    <row r="1856" spans="1:22" x14ac:dyDescent="0.35">
      <c r="A1856" t="s">
        <v>499</v>
      </c>
      <c r="B1856" t="s">
        <v>57</v>
      </c>
      <c r="C1856" t="s">
        <v>27</v>
      </c>
      <c r="D1856" t="s">
        <v>498</v>
      </c>
      <c r="E1856" t="s">
        <v>497</v>
      </c>
      <c r="F1856" s="5">
        <v>45555</v>
      </c>
      <c r="G1856" t="s">
        <v>126</v>
      </c>
      <c r="H1856" t="s">
        <v>193</v>
      </c>
      <c r="I1856" t="s">
        <v>35</v>
      </c>
      <c r="J1856" t="s">
        <v>159</v>
      </c>
      <c r="K1856" t="s">
        <v>36</v>
      </c>
      <c r="L1856" t="s">
        <v>37</v>
      </c>
      <c r="M1856" t="s">
        <v>19</v>
      </c>
      <c r="N1856">
        <v>2</v>
      </c>
      <c r="O1856">
        <v>322</v>
      </c>
      <c r="P1856">
        <v>499</v>
      </c>
      <c r="Q1856">
        <v>5</v>
      </c>
      <c r="R1856">
        <v>200</v>
      </c>
      <c r="S1856">
        <v>798</v>
      </c>
      <c r="T1856">
        <v>154</v>
      </c>
      <c r="U1856">
        <v>19.3</v>
      </c>
      <c r="V1856" t="s">
        <v>21</v>
      </c>
    </row>
    <row r="1857" spans="1:22" x14ac:dyDescent="0.35">
      <c r="A1857" t="s">
        <v>496</v>
      </c>
      <c r="B1857" t="s">
        <v>99</v>
      </c>
      <c r="C1857" t="s">
        <v>27</v>
      </c>
      <c r="D1857" t="s">
        <v>495</v>
      </c>
      <c r="E1857" t="s">
        <v>494</v>
      </c>
      <c r="F1857" s="5">
        <v>45652</v>
      </c>
      <c r="G1857" t="s">
        <v>126</v>
      </c>
      <c r="H1857" t="s">
        <v>493</v>
      </c>
      <c r="I1857" t="s">
        <v>35</v>
      </c>
      <c r="J1857" t="s">
        <v>159</v>
      </c>
      <c r="K1857" t="s">
        <v>100</v>
      </c>
      <c r="L1857" t="s">
        <v>25</v>
      </c>
      <c r="M1857" t="s">
        <v>20</v>
      </c>
      <c r="N1857">
        <v>1</v>
      </c>
      <c r="O1857">
        <v>739</v>
      </c>
      <c r="P1857">
        <v>1199</v>
      </c>
      <c r="Q1857">
        <v>10</v>
      </c>
      <c r="R1857">
        <v>200</v>
      </c>
      <c r="S1857">
        <v>999</v>
      </c>
      <c r="T1857">
        <v>260</v>
      </c>
      <c r="U1857">
        <v>26.03</v>
      </c>
      <c r="V1857" t="s">
        <v>21</v>
      </c>
    </row>
    <row r="1858" spans="1:22" x14ac:dyDescent="0.35">
      <c r="A1858" t="s">
        <v>492</v>
      </c>
      <c r="B1858" t="s">
        <v>56</v>
      </c>
      <c r="C1858" t="s">
        <v>27</v>
      </c>
      <c r="D1858" t="s">
        <v>491</v>
      </c>
      <c r="E1858" t="s">
        <v>490</v>
      </c>
      <c r="F1858" s="5">
        <v>45605</v>
      </c>
      <c r="G1858" t="s">
        <v>126</v>
      </c>
      <c r="H1858" t="s">
        <v>489</v>
      </c>
      <c r="I1858" t="s">
        <v>31</v>
      </c>
      <c r="J1858" t="s">
        <v>76</v>
      </c>
      <c r="K1858" t="s">
        <v>76</v>
      </c>
      <c r="L1858" t="s">
        <v>19</v>
      </c>
      <c r="M1858" t="s">
        <v>20</v>
      </c>
      <c r="N1858">
        <v>4</v>
      </c>
      <c r="O1858">
        <v>507</v>
      </c>
      <c r="P1858">
        <v>699</v>
      </c>
      <c r="Q1858">
        <v>0</v>
      </c>
      <c r="R1858">
        <v>0</v>
      </c>
      <c r="S1858">
        <v>2796</v>
      </c>
      <c r="T1858">
        <v>768</v>
      </c>
      <c r="U1858">
        <v>27.47</v>
      </c>
      <c r="V1858" t="s">
        <v>21</v>
      </c>
    </row>
    <row r="1859" spans="1:22" x14ac:dyDescent="0.35">
      <c r="A1859" t="s">
        <v>488</v>
      </c>
      <c r="B1859" t="s">
        <v>107</v>
      </c>
      <c r="C1859" t="s">
        <v>27</v>
      </c>
      <c r="D1859" t="s">
        <v>487</v>
      </c>
      <c r="E1859" t="s">
        <v>486</v>
      </c>
      <c r="F1859" s="5">
        <v>45635</v>
      </c>
      <c r="G1859" t="s">
        <v>126</v>
      </c>
      <c r="H1859" t="s">
        <v>485</v>
      </c>
      <c r="I1859" t="s">
        <v>28</v>
      </c>
      <c r="J1859" t="s">
        <v>201</v>
      </c>
      <c r="K1859" t="s">
        <v>29</v>
      </c>
      <c r="L1859" t="s">
        <v>25</v>
      </c>
      <c r="M1859" t="s">
        <v>19</v>
      </c>
      <c r="N1859">
        <v>1</v>
      </c>
      <c r="O1859">
        <v>387</v>
      </c>
      <c r="P1859">
        <v>599</v>
      </c>
      <c r="Q1859">
        <v>5</v>
      </c>
      <c r="R1859">
        <v>100</v>
      </c>
      <c r="S1859">
        <v>499</v>
      </c>
      <c r="T1859">
        <v>112</v>
      </c>
      <c r="U1859">
        <v>22.44</v>
      </c>
      <c r="V1859" t="s">
        <v>33</v>
      </c>
    </row>
    <row r="1860" spans="1:22" x14ac:dyDescent="0.35">
      <c r="A1860" t="s">
        <v>484</v>
      </c>
      <c r="B1860" t="s">
        <v>44</v>
      </c>
      <c r="C1860" t="s">
        <v>16</v>
      </c>
      <c r="D1860" t="s">
        <v>483</v>
      </c>
      <c r="E1860" t="s">
        <v>482</v>
      </c>
      <c r="F1860" s="5">
        <v>45488</v>
      </c>
      <c r="G1860" t="s">
        <v>126</v>
      </c>
      <c r="H1860" t="s">
        <v>481</v>
      </c>
      <c r="I1860" t="s">
        <v>35</v>
      </c>
      <c r="J1860" t="s">
        <v>159</v>
      </c>
      <c r="K1860" t="s">
        <v>100</v>
      </c>
      <c r="L1860" t="s">
        <v>25</v>
      </c>
      <c r="M1860" t="s">
        <v>19</v>
      </c>
      <c r="N1860">
        <v>3</v>
      </c>
      <c r="O1860">
        <v>1215</v>
      </c>
      <c r="P1860">
        <v>2299</v>
      </c>
      <c r="Q1860">
        <v>10</v>
      </c>
      <c r="R1860">
        <v>900</v>
      </c>
      <c r="S1860">
        <v>5997</v>
      </c>
      <c r="T1860">
        <v>2352</v>
      </c>
      <c r="U1860">
        <v>39.22</v>
      </c>
      <c r="V1860" t="s">
        <v>21</v>
      </c>
    </row>
    <row r="1861" spans="1:22" x14ac:dyDescent="0.35">
      <c r="A1861" t="s">
        <v>480</v>
      </c>
      <c r="B1861" t="s">
        <v>66</v>
      </c>
      <c r="C1861" t="s">
        <v>27</v>
      </c>
      <c r="D1861" t="s">
        <v>479</v>
      </c>
      <c r="E1861" t="s">
        <v>478</v>
      </c>
      <c r="F1861" s="5">
        <v>45470</v>
      </c>
      <c r="G1861" t="s">
        <v>126</v>
      </c>
      <c r="H1861" t="s">
        <v>477</v>
      </c>
      <c r="I1861" t="s">
        <v>17</v>
      </c>
      <c r="J1861" t="s">
        <v>235</v>
      </c>
      <c r="K1861" t="s">
        <v>18</v>
      </c>
      <c r="L1861" t="s">
        <v>25</v>
      </c>
      <c r="M1861" t="s">
        <v>20</v>
      </c>
      <c r="N1861">
        <v>1</v>
      </c>
      <c r="O1861">
        <v>346</v>
      </c>
      <c r="P1861">
        <v>499</v>
      </c>
      <c r="Q1861">
        <v>0</v>
      </c>
      <c r="R1861">
        <v>0</v>
      </c>
      <c r="S1861">
        <v>499</v>
      </c>
      <c r="T1861">
        <v>153</v>
      </c>
      <c r="U1861">
        <v>30.66</v>
      </c>
      <c r="V1861" t="s">
        <v>21</v>
      </c>
    </row>
    <row r="1862" spans="1:22" x14ac:dyDescent="0.35">
      <c r="A1862" t="s">
        <v>476</v>
      </c>
      <c r="B1862" t="s">
        <v>65</v>
      </c>
      <c r="C1862" t="s">
        <v>16</v>
      </c>
      <c r="D1862" t="s">
        <v>475</v>
      </c>
      <c r="E1862" t="s">
        <v>474</v>
      </c>
      <c r="F1862" s="5">
        <v>45612</v>
      </c>
      <c r="G1862" t="s">
        <v>126</v>
      </c>
      <c r="H1862" t="s">
        <v>473</v>
      </c>
      <c r="I1862" t="s">
        <v>23</v>
      </c>
      <c r="J1862" t="s">
        <v>142</v>
      </c>
      <c r="K1862" t="s">
        <v>43</v>
      </c>
      <c r="L1862" t="s">
        <v>19</v>
      </c>
      <c r="M1862" t="s">
        <v>19</v>
      </c>
      <c r="N1862">
        <v>1</v>
      </c>
      <c r="O1862">
        <v>3096</v>
      </c>
      <c r="P1862">
        <v>4799</v>
      </c>
      <c r="Q1862">
        <v>15</v>
      </c>
      <c r="R1862">
        <v>800</v>
      </c>
      <c r="S1862">
        <v>3999</v>
      </c>
      <c r="T1862">
        <v>903</v>
      </c>
      <c r="U1862">
        <v>22.58</v>
      </c>
      <c r="V1862" t="s">
        <v>21</v>
      </c>
    </row>
    <row r="1863" spans="1:22" x14ac:dyDescent="0.35">
      <c r="A1863" t="s">
        <v>472</v>
      </c>
      <c r="B1863" t="s">
        <v>74</v>
      </c>
      <c r="C1863" t="s">
        <v>16</v>
      </c>
      <c r="D1863" t="s">
        <v>471</v>
      </c>
      <c r="E1863" t="s">
        <v>470</v>
      </c>
      <c r="F1863" s="5">
        <v>45534</v>
      </c>
      <c r="G1863" t="s">
        <v>126</v>
      </c>
      <c r="H1863" t="s">
        <v>278</v>
      </c>
      <c r="I1863" t="s">
        <v>35</v>
      </c>
      <c r="J1863" t="s">
        <v>39</v>
      </c>
      <c r="K1863" t="s">
        <v>39</v>
      </c>
      <c r="L1863" t="s">
        <v>37</v>
      </c>
      <c r="M1863" t="s">
        <v>20</v>
      </c>
      <c r="N1863">
        <v>1</v>
      </c>
      <c r="O1863">
        <v>761</v>
      </c>
      <c r="P1863">
        <v>1299</v>
      </c>
      <c r="Q1863">
        <v>20</v>
      </c>
      <c r="R1863">
        <v>300</v>
      </c>
      <c r="S1863">
        <v>999</v>
      </c>
      <c r="T1863">
        <v>238</v>
      </c>
      <c r="U1863">
        <v>23.82</v>
      </c>
      <c r="V1863" t="s">
        <v>33</v>
      </c>
    </row>
    <row r="1864" spans="1:22" x14ac:dyDescent="0.35">
      <c r="A1864" t="s">
        <v>469</v>
      </c>
      <c r="B1864" t="s">
        <v>92</v>
      </c>
      <c r="C1864" t="s">
        <v>27</v>
      </c>
      <c r="D1864" t="s">
        <v>468</v>
      </c>
      <c r="E1864" t="s">
        <v>467</v>
      </c>
      <c r="F1864" s="5">
        <v>45556</v>
      </c>
      <c r="G1864" t="s">
        <v>126</v>
      </c>
      <c r="H1864" t="s">
        <v>466</v>
      </c>
      <c r="I1864" t="s">
        <v>17</v>
      </c>
      <c r="J1864" t="s">
        <v>235</v>
      </c>
      <c r="K1864" t="s">
        <v>18</v>
      </c>
      <c r="L1864" t="s">
        <v>37</v>
      </c>
      <c r="M1864" t="s">
        <v>19</v>
      </c>
      <c r="N1864">
        <v>1</v>
      </c>
      <c r="O1864">
        <v>234</v>
      </c>
      <c r="P1864">
        <v>399</v>
      </c>
      <c r="Q1864">
        <v>0</v>
      </c>
      <c r="R1864">
        <v>0</v>
      </c>
      <c r="S1864">
        <v>399</v>
      </c>
      <c r="T1864">
        <v>165</v>
      </c>
      <c r="U1864">
        <v>41.35</v>
      </c>
      <c r="V1864" t="s">
        <v>21</v>
      </c>
    </row>
    <row r="1865" spans="1:22" x14ac:dyDescent="0.35">
      <c r="A1865" t="s">
        <v>465</v>
      </c>
      <c r="B1865" t="s">
        <v>103</v>
      </c>
      <c r="C1865" t="s">
        <v>16</v>
      </c>
      <c r="D1865" t="s">
        <v>464</v>
      </c>
      <c r="E1865" t="s">
        <v>463</v>
      </c>
      <c r="F1865" s="5">
        <v>45451</v>
      </c>
      <c r="G1865" t="s">
        <v>126</v>
      </c>
      <c r="H1865" t="s">
        <v>462</v>
      </c>
      <c r="I1865" t="s">
        <v>28</v>
      </c>
      <c r="J1865" t="s">
        <v>201</v>
      </c>
      <c r="K1865" t="s">
        <v>29</v>
      </c>
      <c r="L1865" t="s">
        <v>19</v>
      </c>
      <c r="M1865" t="s">
        <v>20</v>
      </c>
      <c r="N1865">
        <v>3</v>
      </c>
      <c r="O1865">
        <v>495</v>
      </c>
      <c r="P1865">
        <v>699</v>
      </c>
      <c r="Q1865">
        <v>20</v>
      </c>
      <c r="R1865">
        <v>600</v>
      </c>
      <c r="S1865">
        <v>1497</v>
      </c>
      <c r="T1865">
        <v>12</v>
      </c>
      <c r="U1865">
        <v>0.8</v>
      </c>
      <c r="V1865" t="s">
        <v>33</v>
      </c>
    </row>
    <row r="1866" spans="1:22" x14ac:dyDescent="0.35">
      <c r="A1866" t="s">
        <v>461</v>
      </c>
      <c r="B1866" t="s">
        <v>64</v>
      </c>
      <c r="C1866" t="s">
        <v>16</v>
      </c>
      <c r="D1866" t="s">
        <v>460</v>
      </c>
      <c r="E1866" t="s">
        <v>459</v>
      </c>
      <c r="F1866" s="5">
        <v>45650</v>
      </c>
      <c r="G1866" t="s">
        <v>126</v>
      </c>
      <c r="H1866" t="s">
        <v>458</v>
      </c>
      <c r="I1866" t="s">
        <v>28</v>
      </c>
      <c r="J1866" t="s">
        <v>201</v>
      </c>
      <c r="K1866" t="s">
        <v>29</v>
      </c>
      <c r="L1866" t="s">
        <v>19</v>
      </c>
      <c r="M1866" t="s">
        <v>19</v>
      </c>
      <c r="N1866">
        <v>2</v>
      </c>
      <c r="O1866">
        <v>419</v>
      </c>
      <c r="P1866">
        <v>699</v>
      </c>
      <c r="Q1866">
        <v>20</v>
      </c>
      <c r="R1866">
        <v>400</v>
      </c>
      <c r="S1866">
        <v>998</v>
      </c>
      <c r="T1866">
        <v>160</v>
      </c>
      <c r="U1866">
        <v>16.03</v>
      </c>
      <c r="V1866" t="s">
        <v>21</v>
      </c>
    </row>
    <row r="1867" spans="1:22" x14ac:dyDescent="0.35">
      <c r="A1867" t="s">
        <v>457</v>
      </c>
      <c r="B1867" t="s">
        <v>109</v>
      </c>
      <c r="C1867" t="s">
        <v>16</v>
      </c>
      <c r="D1867" t="s">
        <v>456</v>
      </c>
      <c r="E1867" t="s">
        <v>455</v>
      </c>
      <c r="F1867" s="5">
        <v>45446</v>
      </c>
      <c r="G1867" t="s">
        <v>126</v>
      </c>
      <c r="H1867" t="s">
        <v>454</v>
      </c>
      <c r="I1867" t="s">
        <v>28</v>
      </c>
      <c r="J1867" t="s">
        <v>45</v>
      </c>
      <c r="K1867" t="s">
        <v>45</v>
      </c>
      <c r="L1867" t="s">
        <v>37</v>
      </c>
      <c r="M1867" t="s">
        <v>20</v>
      </c>
      <c r="N1867">
        <v>1</v>
      </c>
      <c r="O1867">
        <v>589</v>
      </c>
      <c r="P1867">
        <v>1099</v>
      </c>
      <c r="Q1867">
        <v>5</v>
      </c>
      <c r="R1867">
        <v>100</v>
      </c>
      <c r="S1867">
        <v>999</v>
      </c>
      <c r="T1867">
        <v>410</v>
      </c>
      <c r="U1867">
        <v>41.04</v>
      </c>
      <c r="V1867" t="s">
        <v>33</v>
      </c>
    </row>
    <row r="1868" spans="1:22" x14ac:dyDescent="0.35">
      <c r="A1868" t="s">
        <v>453</v>
      </c>
      <c r="B1868" t="s">
        <v>47</v>
      </c>
      <c r="C1868" t="s">
        <v>16</v>
      </c>
      <c r="D1868" t="s">
        <v>452</v>
      </c>
      <c r="E1868" t="s">
        <v>451</v>
      </c>
      <c r="F1868" s="5">
        <v>45535</v>
      </c>
      <c r="G1868" t="s">
        <v>126</v>
      </c>
      <c r="H1868" t="s">
        <v>450</v>
      </c>
      <c r="I1868" t="s">
        <v>28</v>
      </c>
      <c r="J1868" t="s">
        <v>45</v>
      </c>
      <c r="K1868" t="s">
        <v>45</v>
      </c>
      <c r="L1868" t="s">
        <v>25</v>
      </c>
      <c r="M1868" t="s">
        <v>20</v>
      </c>
      <c r="N1868">
        <v>4</v>
      </c>
      <c r="O1868">
        <v>1561</v>
      </c>
      <c r="P1868">
        <v>2299</v>
      </c>
      <c r="Q1868">
        <v>20</v>
      </c>
      <c r="R1868">
        <v>2000</v>
      </c>
      <c r="S1868">
        <v>7196</v>
      </c>
      <c r="T1868">
        <v>952</v>
      </c>
      <c r="U1868">
        <v>13.23</v>
      </c>
      <c r="V1868" t="s">
        <v>21</v>
      </c>
    </row>
    <row r="1869" spans="1:22" x14ac:dyDescent="0.35">
      <c r="A1869" t="s">
        <v>449</v>
      </c>
      <c r="B1869" t="s">
        <v>71</v>
      </c>
      <c r="C1869" t="s">
        <v>16</v>
      </c>
      <c r="D1869" t="s">
        <v>448</v>
      </c>
      <c r="E1869" t="s">
        <v>447</v>
      </c>
      <c r="F1869" s="5">
        <v>45555</v>
      </c>
      <c r="G1869" t="s">
        <v>126</v>
      </c>
      <c r="H1869" t="s">
        <v>446</v>
      </c>
      <c r="I1869" t="s">
        <v>35</v>
      </c>
      <c r="J1869" t="s">
        <v>159</v>
      </c>
      <c r="K1869" t="s">
        <v>36</v>
      </c>
      <c r="L1869" t="s">
        <v>37</v>
      </c>
      <c r="M1869" t="s">
        <v>19</v>
      </c>
      <c r="N1869">
        <v>3</v>
      </c>
      <c r="O1869">
        <v>367</v>
      </c>
      <c r="P1869">
        <v>499</v>
      </c>
      <c r="Q1869">
        <v>10</v>
      </c>
      <c r="R1869">
        <v>300</v>
      </c>
      <c r="S1869">
        <v>1197</v>
      </c>
      <c r="T1869">
        <v>96</v>
      </c>
      <c r="U1869">
        <v>8.02</v>
      </c>
      <c r="V1869" t="s">
        <v>21</v>
      </c>
    </row>
    <row r="1870" spans="1:22" x14ac:dyDescent="0.35">
      <c r="A1870" t="s">
        <v>445</v>
      </c>
      <c r="B1870" t="s">
        <v>108</v>
      </c>
      <c r="C1870" t="s">
        <v>27</v>
      </c>
      <c r="D1870" t="s">
        <v>444</v>
      </c>
      <c r="E1870" t="s">
        <v>443</v>
      </c>
      <c r="F1870" s="5">
        <v>45538</v>
      </c>
      <c r="G1870" t="s">
        <v>126</v>
      </c>
      <c r="H1870" t="s">
        <v>442</v>
      </c>
      <c r="I1870" t="s">
        <v>28</v>
      </c>
      <c r="J1870" t="s">
        <v>45</v>
      </c>
      <c r="K1870" t="s">
        <v>45</v>
      </c>
      <c r="L1870" t="s">
        <v>25</v>
      </c>
      <c r="M1870" t="s">
        <v>20</v>
      </c>
      <c r="N1870">
        <v>1</v>
      </c>
      <c r="O1870">
        <v>1106</v>
      </c>
      <c r="P1870">
        <v>1899</v>
      </c>
      <c r="Q1870">
        <v>5</v>
      </c>
      <c r="R1870">
        <v>100</v>
      </c>
      <c r="S1870">
        <v>1799</v>
      </c>
      <c r="T1870">
        <v>693</v>
      </c>
      <c r="U1870">
        <v>38.520000000000003</v>
      </c>
      <c r="V1870" t="s">
        <v>21</v>
      </c>
    </row>
    <row r="1871" spans="1:22" x14ac:dyDescent="0.35">
      <c r="A1871" t="s">
        <v>441</v>
      </c>
      <c r="B1871" t="s">
        <v>65</v>
      </c>
      <c r="C1871" t="s">
        <v>16</v>
      </c>
      <c r="D1871" t="s">
        <v>440</v>
      </c>
      <c r="E1871" t="s">
        <v>439</v>
      </c>
      <c r="F1871" s="5">
        <v>45476</v>
      </c>
      <c r="G1871" t="s">
        <v>126</v>
      </c>
      <c r="H1871" t="s">
        <v>438</v>
      </c>
      <c r="I1871" t="s">
        <v>23</v>
      </c>
      <c r="J1871" t="s">
        <v>142</v>
      </c>
      <c r="K1871" t="s">
        <v>43</v>
      </c>
      <c r="L1871" t="s">
        <v>25</v>
      </c>
      <c r="M1871" t="s">
        <v>19</v>
      </c>
      <c r="N1871">
        <v>1</v>
      </c>
      <c r="O1871">
        <v>1725</v>
      </c>
      <c r="P1871">
        <v>2499</v>
      </c>
      <c r="Q1871">
        <v>10</v>
      </c>
      <c r="R1871">
        <v>300</v>
      </c>
      <c r="S1871">
        <v>2199</v>
      </c>
      <c r="T1871">
        <v>474</v>
      </c>
      <c r="U1871">
        <v>21.56</v>
      </c>
      <c r="V1871" t="s">
        <v>33</v>
      </c>
    </row>
    <row r="1872" spans="1:22" x14ac:dyDescent="0.35">
      <c r="A1872" t="s">
        <v>437</v>
      </c>
      <c r="B1872" t="s">
        <v>80</v>
      </c>
      <c r="C1872" t="s">
        <v>27</v>
      </c>
      <c r="D1872" t="s">
        <v>436</v>
      </c>
      <c r="E1872" t="s">
        <v>435</v>
      </c>
      <c r="F1872" s="5">
        <v>45512</v>
      </c>
      <c r="G1872" t="s">
        <v>126</v>
      </c>
      <c r="H1872" t="s">
        <v>298</v>
      </c>
      <c r="I1872" t="s">
        <v>35</v>
      </c>
      <c r="J1872" t="s">
        <v>244</v>
      </c>
      <c r="K1872" t="s">
        <v>58</v>
      </c>
      <c r="L1872" t="s">
        <v>37</v>
      </c>
      <c r="M1872" t="s">
        <v>19</v>
      </c>
      <c r="N1872">
        <v>5</v>
      </c>
      <c r="O1872">
        <v>1222</v>
      </c>
      <c r="P1872">
        <v>2199</v>
      </c>
      <c r="Q1872">
        <v>5</v>
      </c>
      <c r="R1872">
        <v>1000</v>
      </c>
      <c r="S1872">
        <v>9995</v>
      </c>
      <c r="T1872">
        <v>3885</v>
      </c>
      <c r="U1872">
        <v>38.869999999999997</v>
      </c>
      <c r="V1872" t="s">
        <v>33</v>
      </c>
    </row>
    <row r="1873" spans="1:22" x14ac:dyDescent="0.35">
      <c r="A1873" t="s">
        <v>434</v>
      </c>
      <c r="B1873" t="s">
        <v>71</v>
      </c>
      <c r="C1873" t="s">
        <v>16</v>
      </c>
      <c r="D1873" t="s">
        <v>433</v>
      </c>
      <c r="E1873" t="s">
        <v>432</v>
      </c>
      <c r="F1873" s="5">
        <v>45599</v>
      </c>
      <c r="G1873" t="s">
        <v>126</v>
      </c>
      <c r="H1873" t="s">
        <v>431</v>
      </c>
      <c r="I1873" t="s">
        <v>28</v>
      </c>
      <c r="J1873" t="s">
        <v>45</v>
      </c>
      <c r="K1873" t="s">
        <v>45</v>
      </c>
      <c r="L1873" t="s">
        <v>19</v>
      </c>
      <c r="M1873" t="s">
        <v>19</v>
      </c>
      <c r="N1873">
        <v>1</v>
      </c>
      <c r="O1873">
        <v>572</v>
      </c>
      <c r="P1873">
        <v>999</v>
      </c>
      <c r="Q1873">
        <v>15</v>
      </c>
      <c r="R1873">
        <v>200</v>
      </c>
      <c r="S1873">
        <v>799</v>
      </c>
      <c r="T1873">
        <v>227</v>
      </c>
      <c r="U1873">
        <v>28.41</v>
      </c>
      <c r="V1873" t="s">
        <v>21</v>
      </c>
    </row>
    <row r="1874" spans="1:22" x14ac:dyDescent="0.35">
      <c r="A1874" t="s">
        <v>430</v>
      </c>
      <c r="B1874" t="s">
        <v>103</v>
      </c>
      <c r="C1874" t="s">
        <v>16</v>
      </c>
      <c r="D1874" t="s">
        <v>429</v>
      </c>
      <c r="E1874" t="s">
        <v>428</v>
      </c>
      <c r="F1874" s="5">
        <v>45489</v>
      </c>
      <c r="G1874" t="s">
        <v>126</v>
      </c>
      <c r="H1874" t="s">
        <v>427</v>
      </c>
      <c r="I1874" t="s">
        <v>35</v>
      </c>
      <c r="J1874" t="s">
        <v>214</v>
      </c>
      <c r="K1874" t="s">
        <v>87</v>
      </c>
      <c r="L1874" t="s">
        <v>25</v>
      </c>
      <c r="M1874" t="s">
        <v>19</v>
      </c>
      <c r="N1874">
        <v>1</v>
      </c>
      <c r="O1874">
        <v>2125</v>
      </c>
      <c r="P1874">
        <v>2999</v>
      </c>
      <c r="Q1874">
        <v>15</v>
      </c>
      <c r="R1874">
        <v>500</v>
      </c>
      <c r="S1874">
        <v>2499</v>
      </c>
      <c r="T1874">
        <v>374</v>
      </c>
      <c r="U1874">
        <v>14.97</v>
      </c>
      <c r="V1874" t="s">
        <v>21</v>
      </c>
    </row>
    <row r="1875" spans="1:22" x14ac:dyDescent="0.35">
      <c r="A1875" t="s">
        <v>426</v>
      </c>
      <c r="B1875" t="s">
        <v>40</v>
      </c>
      <c r="C1875" t="s">
        <v>27</v>
      </c>
      <c r="D1875" t="s">
        <v>425</v>
      </c>
      <c r="E1875" t="s">
        <v>424</v>
      </c>
      <c r="F1875" s="5">
        <v>45649</v>
      </c>
      <c r="G1875" t="s">
        <v>126</v>
      </c>
      <c r="H1875" t="s">
        <v>423</v>
      </c>
      <c r="I1875" t="s">
        <v>17</v>
      </c>
      <c r="J1875" t="s">
        <v>235</v>
      </c>
      <c r="K1875" t="s">
        <v>18</v>
      </c>
      <c r="L1875" t="s">
        <v>19</v>
      </c>
      <c r="M1875" t="s">
        <v>20</v>
      </c>
      <c r="N1875">
        <v>4</v>
      </c>
      <c r="O1875">
        <v>372</v>
      </c>
      <c r="P1875">
        <v>599</v>
      </c>
      <c r="Q1875">
        <v>0</v>
      </c>
      <c r="R1875">
        <v>0</v>
      </c>
      <c r="S1875">
        <v>2396</v>
      </c>
      <c r="T1875">
        <v>908</v>
      </c>
      <c r="U1875">
        <v>37.9</v>
      </c>
      <c r="V1875" t="s">
        <v>21</v>
      </c>
    </row>
    <row r="1876" spans="1:22" x14ac:dyDescent="0.35">
      <c r="A1876" t="s">
        <v>422</v>
      </c>
      <c r="B1876" t="s">
        <v>102</v>
      </c>
      <c r="C1876" t="s">
        <v>27</v>
      </c>
      <c r="D1876" t="s">
        <v>421</v>
      </c>
      <c r="E1876" t="s">
        <v>420</v>
      </c>
      <c r="F1876" s="5">
        <v>45461</v>
      </c>
      <c r="G1876" t="s">
        <v>126</v>
      </c>
      <c r="H1876" t="s">
        <v>419</v>
      </c>
      <c r="I1876" t="s">
        <v>23</v>
      </c>
      <c r="J1876" t="s">
        <v>142</v>
      </c>
      <c r="K1876" t="s">
        <v>43</v>
      </c>
      <c r="L1876" t="s">
        <v>37</v>
      </c>
      <c r="M1876" t="s">
        <v>20</v>
      </c>
      <c r="N1876">
        <v>1</v>
      </c>
      <c r="O1876">
        <v>1987</v>
      </c>
      <c r="P1876">
        <v>3199</v>
      </c>
      <c r="Q1876">
        <v>5</v>
      </c>
      <c r="R1876">
        <v>200</v>
      </c>
      <c r="S1876">
        <v>2999</v>
      </c>
      <c r="T1876">
        <v>1012</v>
      </c>
      <c r="U1876">
        <v>33.74</v>
      </c>
      <c r="V1876" t="s">
        <v>21</v>
      </c>
    </row>
    <row r="1877" spans="1:22" x14ac:dyDescent="0.35">
      <c r="A1877" t="s">
        <v>418</v>
      </c>
      <c r="B1877" t="s">
        <v>65</v>
      </c>
      <c r="C1877" t="s">
        <v>16</v>
      </c>
      <c r="D1877" t="s">
        <v>417</v>
      </c>
      <c r="E1877" t="s">
        <v>416</v>
      </c>
      <c r="F1877" s="5">
        <v>45489</v>
      </c>
      <c r="G1877" t="s">
        <v>126</v>
      </c>
      <c r="H1877" t="s">
        <v>415</v>
      </c>
      <c r="I1877" t="s">
        <v>23</v>
      </c>
      <c r="J1877" t="s">
        <v>142</v>
      </c>
      <c r="K1877" t="s">
        <v>43</v>
      </c>
      <c r="L1877" t="s">
        <v>25</v>
      </c>
      <c r="M1877" t="s">
        <v>20</v>
      </c>
      <c r="N1877">
        <v>2</v>
      </c>
      <c r="O1877">
        <v>1882</v>
      </c>
      <c r="P1877">
        <v>2999</v>
      </c>
      <c r="Q1877">
        <v>15</v>
      </c>
      <c r="R1877">
        <v>1000</v>
      </c>
      <c r="S1877">
        <v>4998</v>
      </c>
      <c r="T1877">
        <v>1234</v>
      </c>
      <c r="U1877">
        <v>24.69</v>
      </c>
      <c r="V1877" t="s">
        <v>21</v>
      </c>
    </row>
    <row r="1878" spans="1:22" x14ac:dyDescent="0.35">
      <c r="A1878" t="s">
        <v>414</v>
      </c>
      <c r="B1878" t="s">
        <v>79</v>
      </c>
      <c r="C1878" t="s">
        <v>16</v>
      </c>
      <c r="D1878" t="s">
        <v>413</v>
      </c>
      <c r="E1878" t="s">
        <v>412</v>
      </c>
      <c r="F1878" s="5">
        <v>45572</v>
      </c>
      <c r="G1878" t="s">
        <v>126</v>
      </c>
      <c r="H1878" t="s">
        <v>411</v>
      </c>
      <c r="I1878" t="s">
        <v>17</v>
      </c>
      <c r="J1878" t="s">
        <v>55</v>
      </c>
      <c r="K1878" t="s">
        <v>55</v>
      </c>
      <c r="L1878" t="s">
        <v>37</v>
      </c>
      <c r="M1878" t="s">
        <v>19</v>
      </c>
      <c r="N1878">
        <v>1</v>
      </c>
      <c r="O1878">
        <v>244</v>
      </c>
      <c r="P1878">
        <v>399</v>
      </c>
      <c r="Q1878">
        <v>0</v>
      </c>
      <c r="R1878">
        <v>0</v>
      </c>
      <c r="S1878">
        <v>399</v>
      </c>
      <c r="T1878">
        <v>155</v>
      </c>
      <c r="U1878">
        <v>38.85</v>
      </c>
      <c r="V1878" t="s">
        <v>21</v>
      </c>
    </row>
    <row r="1879" spans="1:22" x14ac:dyDescent="0.35">
      <c r="A1879" t="s">
        <v>410</v>
      </c>
      <c r="B1879" t="s">
        <v>63</v>
      </c>
      <c r="C1879" t="s">
        <v>27</v>
      </c>
      <c r="D1879" t="s">
        <v>409</v>
      </c>
      <c r="E1879" t="s">
        <v>408</v>
      </c>
      <c r="F1879" s="5">
        <v>45491</v>
      </c>
      <c r="G1879" t="s">
        <v>126</v>
      </c>
      <c r="H1879" t="s">
        <v>407</v>
      </c>
      <c r="I1879" t="s">
        <v>28</v>
      </c>
      <c r="J1879" t="s">
        <v>201</v>
      </c>
      <c r="K1879" t="s">
        <v>29</v>
      </c>
      <c r="L1879" t="s">
        <v>25</v>
      </c>
      <c r="M1879" t="s">
        <v>20</v>
      </c>
      <c r="N1879">
        <v>1</v>
      </c>
      <c r="O1879">
        <v>301</v>
      </c>
      <c r="P1879">
        <v>499</v>
      </c>
      <c r="Q1879">
        <v>20</v>
      </c>
      <c r="R1879">
        <v>100</v>
      </c>
      <c r="S1879">
        <v>399</v>
      </c>
      <c r="T1879">
        <v>98</v>
      </c>
      <c r="U1879">
        <v>24.56</v>
      </c>
      <c r="V1879" t="s">
        <v>21</v>
      </c>
    </row>
    <row r="1880" spans="1:22" x14ac:dyDescent="0.35">
      <c r="A1880" t="s">
        <v>406</v>
      </c>
      <c r="B1880" t="s">
        <v>69</v>
      </c>
      <c r="C1880" t="s">
        <v>16</v>
      </c>
      <c r="D1880" t="s">
        <v>405</v>
      </c>
      <c r="E1880" t="s">
        <v>404</v>
      </c>
      <c r="F1880" s="5">
        <v>45624</v>
      </c>
      <c r="G1880" t="s">
        <v>126</v>
      </c>
      <c r="H1880" t="s">
        <v>403</v>
      </c>
      <c r="I1880" t="s">
        <v>31</v>
      </c>
      <c r="J1880" t="s">
        <v>76</v>
      </c>
      <c r="K1880" t="s">
        <v>76</v>
      </c>
      <c r="L1880" t="s">
        <v>25</v>
      </c>
      <c r="M1880" t="s">
        <v>19</v>
      </c>
      <c r="N1880">
        <v>2</v>
      </c>
      <c r="O1880">
        <v>1005</v>
      </c>
      <c r="P1880">
        <v>1499</v>
      </c>
      <c r="Q1880">
        <v>0</v>
      </c>
      <c r="R1880">
        <v>0</v>
      </c>
      <c r="S1880">
        <v>2998</v>
      </c>
      <c r="T1880">
        <v>988</v>
      </c>
      <c r="U1880">
        <v>32.96</v>
      </c>
      <c r="V1880" t="s">
        <v>21</v>
      </c>
    </row>
    <row r="1881" spans="1:22" x14ac:dyDescent="0.35">
      <c r="A1881" t="s">
        <v>402</v>
      </c>
      <c r="B1881" t="s">
        <v>59</v>
      </c>
      <c r="C1881" t="s">
        <v>27</v>
      </c>
      <c r="D1881" t="s">
        <v>401</v>
      </c>
      <c r="E1881" t="s">
        <v>400</v>
      </c>
      <c r="F1881" s="5">
        <v>45591</v>
      </c>
      <c r="G1881" t="s">
        <v>126</v>
      </c>
      <c r="H1881" t="s">
        <v>399</v>
      </c>
      <c r="I1881" t="s">
        <v>31</v>
      </c>
      <c r="J1881" t="s">
        <v>32</v>
      </c>
      <c r="K1881" t="s">
        <v>32</v>
      </c>
      <c r="L1881" t="s">
        <v>19</v>
      </c>
      <c r="M1881" t="s">
        <v>20</v>
      </c>
      <c r="N1881">
        <v>3</v>
      </c>
      <c r="O1881">
        <v>643</v>
      </c>
      <c r="P1881">
        <v>1199</v>
      </c>
      <c r="Q1881">
        <v>0</v>
      </c>
      <c r="R1881">
        <v>0</v>
      </c>
      <c r="S1881">
        <v>3597</v>
      </c>
      <c r="T1881">
        <v>1668</v>
      </c>
      <c r="U1881">
        <v>46.37</v>
      </c>
      <c r="V1881" t="s">
        <v>21</v>
      </c>
    </row>
    <row r="1882" spans="1:22" x14ac:dyDescent="0.35">
      <c r="A1882" t="s">
        <v>398</v>
      </c>
      <c r="B1882" t="s">
        <v>54</v>
      </c>
      <c r="C1882" t="s">
        <v>27</v>
      </c>
      <c r="D1882" t="s">
        <v>397</v>
      </c>
      <c r="E1882" t="s">
        <v>396</v>
      </c>
      <c r="F1882" s="5">
        <v>45645</v>
      </c>
      <c r="G1882" t="s">
        <v>126</v>
      </c>
      <c r="H1882" t="s">
        <v>395</v>
      </c>
      <c r="I1882" t="s">
        <v>31</v>
      </c>
      <c r="J1882" t="s">
        <v>32</v>
      </c>
      <c r="K1882" t="s">
        <v>32</v>
      </c>
      <c r="L1882" t="s">
        <v>37</v>
      </c>
      <c r="M1882" t="s">
        <v>19</v>
      </c>
      <c r="N1882">
        <v>1</v>
      </c>
      <c r="O1882">
        <v>650</v>
      </c>
      <c r="P1882">
        <v>899</v>
      </c>
      <c r="Q1882">
        <v>0</v>
      </c>
      <c r="R1882">
        <v>0</v>
      </c>
      <c r="S1882">
        <v>899</v>
      </c>
      <c r="T1882">
        <v>249</v>
      </c>
      <c r="U1882">
        <v>27.7</v>
      </c>
      <c r="V1882" t="s">
        <v>21</v>
      </c>
    </row>
    <row r="1883" spans="1:22" x14ac:dyDescent="0.35">
      <c r="A1883" t="s">
        <v>394</v>
      </c>
      <c r="B1883" t="s">
        <v>106</v>
      </c>
      <c r="C1883" t="s">
        <v>27</v>
      </c>
      <c r="D1883" t="s">
        <v>393</v>
      </c>
      <c r="E1883" t="s">
        <v>392</v>
      </c>
      <c r="F1883" s="5">
        <v>45501</v>
      </c>
      <c r="G1883" t="s">
        <v>126</v>
      </c>
      <c r="H1883" t="s">
        <v>391</v>
      </c>
      <c r="I1883" t="s">
        <v>35</v>
      </c>
      <c r="J1883" t="s">
        <v>244</v>
      </c>
      <c r="K1883" t="s">
        <v>58</v>
      </c>
      <c r="L1883" t="s">
        <v>37</v>
      </c>
      <c r="M1883" t="s">
        <v>20</v>
      </c>
      <c r="N1883">
        <v>1</v>
      </c>
      <c r="O1883">
        <v>1028</v>
      </c>
      <c r="P1883">
        <v>1899</v>
      </c>
      <c r="Q1883">
        <v>20</v>
      </c>
      <c r="R1883">
        <v>400</v>
      </c>
      <c r="S1883">
        <v>1499</v>
      </c>
      <c r="T1883">
        <v>471</v>
      </c>
      <c r="U1883">
        <v>31.42</v>
      </c>
      <c r="V1883" t="s">
        <v>21</v>
      </c>
    </row>
    <row r="1884" spans="1:22" x14ac:dyDescent="0.35">
      <c r="A1884" t="s">
        <v>390</v>
      </c>
      <c r="B1884" t="s">
        <v>40</v>
      </c>
      <c r="C1884" t="s">
        <v>27</v>
      </c>
      <c r="D1884" t="s">
        <v>389</v>
      </c>
      <c r="E1884" t="s">
        <v>388</v>
      </c>
      <c r="F1884" s="5">
        <v>45462</v>
      </c>
      <c r="G1884" t="s">
        <v>126</v>
      </c>
      <c r="H1884" t="s">
        <v>387</v>
      </c>
      <c r="I1884" t="s">
        <v>35</v>
      </c>
      <c r="J1884" t="s">
        <v>39</v>
      </c>
      <c r="K1884" t="s">
        <v>39</v>
      </c>
      <c r="L1884" t="s">
        <v>25</v>
      </c>
      <c r="M1884" t="s">
        <v>19</v>
      </c>
      <c r="N1884">
        <v>2</v>
      </c>
      <c r="O1884">
        <v>852</v>
      </c>
      <c r="P1884">
        <v>1199</v>
      </c>
      <c r="Q1884">
        <v>15</v>
      </c>
      <c r="R1884">
        <v>400</v>
      </c>
      <c r="S1884">
        <v>1998</v>
      </c>
      <c r="T1884">
        <v>294</v>
      </c>
      <c r="U1884">
        <v>14.71</v>
      </c>
      <c r="V1884" t="s">
        <v>21</v>
      </c>
    </row>
    <row r="1885" spans="1:22" x14ac:dyDescent="0.35">
      <c r="A1885" t="s">
        <v>386</v>
      </c>
      <c r="B1885" t="s">
        <v>34</v>
      </c>
      <c r="C1885" t="s">
        <v>27</v>
      </c>
      <c r="D1885" t="s">
        <v>385</v>
      </c>
      <c r="E1885" t="s">
        <v>384</v>
      </c>
      <c r="F1885" s="5">
        <v>45545</v>
      </c>
      <c r="G1885" t="s">
        <v>126</v>
      </c>
      <c r="H1885" t="s">
        <v>383</v>
      </c>
      <c r="I1885" t="s">
        <v>23</v>
      </c>
      <c r="J1885" t="s">
        <v>164</v>
      </c>
      <c r="K1885" t="s">
        <v>24</v>
      </c>
      <c r="L1885" t="s">
        <v>37</v>
      </c>
      <c r="M1885" t="s">
        <v>19</v>
      </c>
      <c r="N1885">
        <v>1</v>
      </c>
      <c r="O1885">
        <v>917</v>
      </c>
      <c r="P1885">
        <v>1299</v>
      </c>
      <c r="Q1885">
        <v>20</v>
      </c>
      <c r="R1885">
        <v>300</v>
      </c>
      <c r="S1885">
        <v>999</v>
      </c>
      <c r="T1885">
        <v>82</v>
      </c>
      <c r="U1885">
        <v>8.2100000000000009</v>
      </c>
      <c r="V1885" t="s">
        <v>21</v>
      </c>
    </row>
    <row r="1886" spans="1:22" x14ac:dyDescent="0.35">
      <c r="A1886" t="s">
        <v>382</v>
      </c>
      <c r="B1886" t="s">
        <v>104</v>
      </c>
      <c r="C1886" t="s">
        <v>27</v>
      </c>
      <c r="D1886" t="s">
        <v>381</v>
      </c>
      <c r="E1886" t="s">
        <v>380</v>
      </c>
      <c r="F1886" s="5">
        <v>45448</v>
      </c>
      <c r="G1886" t="s">
        <v>126</v>
      </c>
      <c r="H1886" t="s">
        <v>379</v>
      </c>
      <c r="I1886" t="s">
        <v>35</v>
      </c>
      <c r="J1886" t="s">
        <v>244</v>
      </c>
      <c r="K1886" t="s">
        <v>58</v>
      </c>
      <c r="L1886" t="s">
        <v>19</v>
      </c>
      <c r="M1886" t="s">
        <v>20</v>
      </c>
      <c r="N1886">
        <v>1</v>
      </c>
      <c r="O1886">
        <v>569</v>
      </c>
      <c r="P1886">
        <v>1099</v>
      </c>
      <c r="Q1886">
        <v>5</v>
      </c>
      <c r="R1886">
        <v>100</v>
      </c>
      <c r="S1886">
        <v>999</v>
      </c>
      <c r="T1886">
        <v>430</v>
      </c>
      <c r="U1886">
        <v>43.04</v>
      </c>
      <c r="V1886" t="s">
        <v>21</v>
      </c>
    </row>
    <row r="1887" spans="1:22" x14ac:dyDescent="0.35">
      <c r="A1887" t="s">
        <v>378</v>
      </c>
      <c r="B1887" t="s">
        <v>52</v>
      </c>
      <c r="C1887" t="s">
        <v>27</v>
      </c>
      <c r="D1887" t="s">
        <v>377</v>
      </c>
      <c r="E1887" t="s">
        <v>376</v>
      </c>
      <c r="F1887" s="5">
        <v>45455</v>
      </c>
      <c r="G1887" t="s">
        <v>126</v>
      </c>
      <c r="H1887" t="s">
        <v>375</v>
      </c>
      <c r="I1887" t="s">
        <v>28</v>
      </c>
      <c r="J1887" t="s">
        <v>45</v>
      </c>
      <c r="K1887" t="s">
        <v>45</v>
      </c>
      <c r="L1887" t="s">
        <v>25</v>
      </c>
      <c r="M1887" t="s">
        <v>19</v>
      </c>
      <c r="N1887">
        <v>2</v>
      </c>
      <c r="O1887">
        <v>1095</v>
      </c>
      <c r="P1887">
        <v>1499</v>
      </c>
      <c r="Q1887">
        <v>15</v>
      </c>
      <c r="R1887">
        <v>600</v>
      </c>
      <c r="S1887">
        <v>2398</v>
      </c>
      <c r="T1887">
        <v>208</v>
      </c>
      <c r="U1887">
        <v>8.67</v>
      </c>
      <c r="V1887" t="s">
        <v>21</v>
      </c>
    </row>
    <row r="1888" spans="1:22" x14ac:dyDescent="0.35">
      <c r="A1888" t="s">
        <v>374</v>
      </c>
      <c r="B1888" t="s">
        <v>85</v>
      </c>
      <c r="C1888" t="s">
        <v>27</v>
      </c>
      <c r="D1888" t="s">
        <v>373</v>
      </c>
      <c r="E1888" t="s">
        <v>372</v>
      </c>
      <c r="F1888" s="5">
        <v>45562</v>
      </c>
      <c r="G1888" t="s">
        <v>126</v>
      </c>
      <c r="H1888" t="s">
        <v>371</v>
      </c>
      <c r="I1888" t="s">
        <v>28</v>
      </c>
      <c r="J1888" t="s">
        <v>201</v>
      </c>
      <c r="K1888" t="s">
        <v>29</v>
      </c>
      <c r="L1888" t="s">
        <v>19</v>
      </c>
      <c r="M1888" t="s">
        <v>19</v>
      </c>
      <c r="N1888">
        <v>2</v>
      </c>
      <c r="O1888">
        <v>401</v>
      </c>
      <c r="P1888">
        <v>599</v>
      </c>
      <c r="Q1888">
        <v>5</v>
      </c>
      <c r="R1888">
        <v>200</v>
      </c>
      <c r="S1888">
        <v>998</v>
      </c>
      <c r="T1888">
        <v>196</v>
      </c>
      <c r="U1888">
        <v>19.64</v>
      </c>
      <c r="V1888" t="s">
        <v>21</v>
      </c>
    </row>
    <row r="1889" spans="1:22" x14ac:dyDescent="0.35">
      <c r="A1889" t="s">
        <v>370</v>
      </c>
      <c r="B1889" t="s">
        <v>62</v>
      </c>
      <c r="C1889" t="s">
        <v>16</v>
      </c>
      <c r="D1889" t="s">
        <v>369</v>
      </c>
      <c r="E1889" t="s">
        <v>368</v>
      </c>
      <c r="F1889" s="5">
        <v>45542</v>
      </c>
      <c r="G1889" t="s">
        <v>126</v>
      </c>
      <c r="H1889" t="s">
        <v>325</v>
      </c>
      <c r="I1889" t="s">
        <v>35</v>
      </c>
      <c r="J1889" t="s">
        <v>39</v>
      </c>
      <c r="K1889" t="s">
        <v>39</v>
      </c>
      <c r="L1889" t="s">
        <v>25</v>
      </c>
      <c r="M1889" t="s">
        <v>19</v>
      </c>
      <c r="N1889">
        <v>1</v>
      </c>
      <c r="O1889">
        <v>628</v>
      </c>
      <c r="P1889">
        <v>1199</v>
      </c>
      <c r="Q1889">
        <v>15</v>
      </c>
      <c r="R1889">
        <v>200</v>
      </c>
      <c r="S1889">
        <v>999</v>
      </c>
      <c r="T1889">
        <v>371</v>
      </c>
      <c r="U1889">
        <v>37.14</v>
      </c>
      <c r="V1889" t="s">
        <v>21</v>
      </c>
    </row>
    <row r="1890" spans="1:22" x14ac:dyDescent="0.35">
      <c r="A1890" t="s">
        <v>367</v>
      </c>
      <c r="B1890" t="s">
        <v>99</v>
      </c>
      <c r="C1890" t="s">
        <v>27</v>
      </c>
      <c r="D1890" t="s">
        <v>366</v>
      </c>
      <c r="E1890" t="s">
        <v>365</v>
      </c>
      <c r="F1890" s="5">
        <v>45616</v>
      </c>
      <c r="G1890" t="s">
        <v>126</v>
      </c>
      <c r="H1890" t="s">
        <v>364</v>
      </c>
      <c r="I1890" t="s">
        <v>35</v>
      </c>
      <c r="J1890" t="s">
        <v>214</v>
      </c>
      <c r="K1890" t="s">
        <v>50</v>
      </c>
      <c r="L1890" t="s">
        <v>25</v>
      </c>
      <c r="M1890" t="s">
        <v>20</v>
      </c>
      <c r="N1890">
        <v>4</v>
      </c>
      <c r="O1890">
        <v>962</v>
      </c>
      <c r="P1890">
        <v>1299</v>
      </c>
      <c r="Q1890">
        <v>20</v>
      </c>
      <c r="R1890">
        <v>1200</v>
      </c>
      <c r="S1890">
        <v>3996</v>
      </c>
      <c r="T1890">
        <v>148</v>
      </c>
      <c r="U1890">
        <v>3.7</v>
      </c>
      <c r="V1890" t="s">
        <v>21</v>
      </c>
    </row>
    <row r="1891" spans="1:22" x14ac:dyDescent="0.35">
      <c r="A1891" t="s">
        <v>363</v>
      </c>
      <c r="B1891" t="s">
        <v>64</v>
      </c>
      <c r="C1891" t="s">
        <v>16</v>
      </c>
      <c r="D1891" t="s">
        <v>362</v>
      </c>
      <c r="E1891" t="s">
        <v>361</v>
      </c>
      <c r="F1891" s="5">
        <v>45612</v>
      </c>
      <c r="G1891" t="s">
        <v>126</v>
      </c>
      <c r="H1891" t="s">
        <v>360</v>
      </c>
      <c r="I1891" t="s">
        <v>28</v>
      </c>
      <c r="J1891" t="s">
        <v>201</v>
      </c>
      <c r="K1891" t="s">
        <v>29</v>
      </c>
      <c r="L1891" t="s">
        <v>19</v>
      </c>
      <c r="M1891" t="s">
        <v>19</v>
      </c>
      <c r="N1891">
        <v>4</v>
      </c>
      <c r="O1891">
        <v>443</v>
      </c>
      <c r="P1891">
        <v>599</v>
      </c>
      <c r="Q1891">
        <v>10</v>
      </c>
      <c r="R1891">
        <v>400</v>
      </c>
      <c r="S1891">
        <v>1996</v>
      </c>
      <c r="T1891">
        <v>224</v>
      </c>
      <c r="U1891">
        <v>11.22</v>
      </c>
      <c r="V1891" t="s">
        <v>33</v>
      </c>
    </row>
    <row r="1892" spans="1:22" x14ac:dyDescent="0.35">
      <c r="A1892" t="s">
        <v>359</v>
      </c>
      <c r="B1892" t="s">
        <v>77</v>
      </c>
      <c r="C1892" t="s">
        <v>27</v>
      </c>
      <c r="D1892" t="s">
        <v>358</v>
      </c>
      <c r="E1892" t="s">
        <v>357</v>
      </c>
      <c r="F1892" s="5">
        <v>45460</v>
      </c>
      <c r="G1892" t="s">
        <v>126</v>
      </c>
      <c r="H1892" t="s">
        <v>356</v>
      </c>
      <c r="I1892" t="s">
        <v>28</v>
      </c>
      <c r="J1892" t="s">
        <v>45</v>
      </c>
      <c r="K1892" t="s">
        <v>45</v>
      </c>
      <c r="L1892" t="s">
        <v>25</v>
      </c>
      <c r="M1892" t="s">
        <v>20</v>
      </c>
      <c r="N1892">
        <v>1</v>
      </c>
      <c r="O1892">
        <v>433</v>
      </c>
      <c r="P1892">
        <v>699</v>
      </c>
      <c r="Q1892">
        <v>10</v>
      </c>
      <c r="R1892">
        <v>100</v>
      </c>
      <c r="S1892">
        <v>599</v>
      </c>
      <c r="T1892">
        <v>166</v>
      </c>
      <c r="U1892">
        <v>27.71</v>
      </c>
      <c r="V1892" t="s">
        <v>21</v>
      </c>
    </row>
    <row r="1893" spans="1:22" x14ac:dyDescent="0.35">
      <c r="A1893" t="s">
        <v>355</v>
      </c>
      <c r="B1893" t="s">
        <v>40</v>
      </c>
      <c r="C1893" t="s">
        <v>27</v>
      </c>
      <c r="D1893" t="s">
        <v>354</v>
      </c>
      <c r="E1893" t="s">
        <v>303</v>
      </c>
      <c r="F1893" s="5">
        <v>45487</v>
      </c>
      <c r="G1893" t="s">
        <v>126</v>
      </c>
      <c r="H1893" t="s">
        <v>353</v>
      </c>
      <c r="I1893" t="s">
        <v>35</v>
      </c>
      <c r="J1893" t="s">
        <v>41</v>
      </c>
      <c r="K1893" t="s">
        <v>41</v>
      </c>
      <c r="L1893" t="s">
        <v>37</v>
      </c>
      <c r="M1893" t="s">
        <v>19</v>
      </c>
      <c r="N1893">
        <v>1</v>
      </c>
      <c r="O1893">
        <v>698</v>
      </c>
      <c r="P1893">
        <v>1099</v>
      </c>
      <c r="Q1893">
        <v>5</v>
      </c>
      <c r="R1893">
        <v>100</v>
      </c>
      <c r="S1893">
        <v>999</v>
      </c>
      <c r="T1893">
        <v>301</v>
      </c>
      <c r="U1893">
        <v>30.13</v>
      </c>
      <c r="V1893" t="s">
        <v>21</v>
      </c>
    </row>
    <row r="1894" spans="1:22" x14ac:dyDescent="0.35">
      <c r="A1894" t="s">
        <v>352</v>
      </c>
      <c r="B1894" t="s">
        <v>107</v>
      </c>
      <c r="C1894" t="s">
        <v>27</v>
      </c>
      <c r="D1894" t="s">
        <v>351</v>
      </c>
      <c r="E1894" t="s">
        <v>350</v>
      </c>
      <c r="F1894" s="5">
        <v>45550</v>
      </c>
      <c r="G1894" t="s">
        <v>126</v>
      </c>
      <c r="H1894" t="s">
        <v>349</v>
      </c>
      <c r="I1894" t="s">
        <v>35</v>
      </c>
      <c r="J1894" t="s">
        <v>244</v>
      </c>
      <c r="K1894" t="s">
        <v>58</v>
      </c>
      <c r="L1894" t="s">
        <v>25</v>
      </c>
      <c r="M1894" t="s">
        <v>19</v>
      </c>
      <c r="N1894">
        <v>2</v>
      </c>
      <c r="O1894">
        <v>1336</v>
      </c>
      <c r="P1894">
        <v>2399</v>
      </c>
      <c r="Q1894">
        <v>15</v>
      </c>
      <c r="R1894">
        <v>800</v>
      </c>
      <c r="S1894">
        <v>3998</v>
      </c>
      <c r="T1894">
        <v>1326</v>
      </c>
      <c r="U1894">
        <v>33.17</v>
      </c>
      <c r="V1894" t="s">
        <v>21</v>
      </c>
    </row>
    <row r="1895" spans="1:22" x14ac:dyDescent="0.35">
      <c r="A1895" t="s">
        <v>348</v>
      </c>
      <c r="B1895" t="s">
        <v>38</v>
      </c>
      <c r="C1895" t="s">
        <v>27</v>
      </c>
      <c r="D1895" t="s">
        <v>347</v>
      </c>
      <c r="E1895" t="s">
        <v>346</v>
      </c>
      <c r="F1895" s="5">
        <v>45512</v>
      </c>
      <c r="G1895" t="s">
        <v>126</v>
      </c>
      <c r="H1895" t="s">
        <v>345</v>
      </c>
      <c r="I1895" t="s">
        <v>23</v>
      </c>
      <c r="J1895" t="s">
        <v>142</v>
      </c>
      <c r="K1895" t="s">
        <v>43</v>
      </c>
      <c r="L1895" t="s">
        <v>37</v>
      </c>
      <c r="M1895" t="s">
        <v>19</v>
      </c>
      <c r="N1895">
        <v>1</v>
      </c>
      <c r="O1895">
        <v>2393</v>
      </c>
      <c r="P1895">
        <v>3199</v>
      </c>
      <c r="Q1895">
        <v>5</v>
      </c>
      <c r="R1895">
        <v>200</v>
      </c>
      <c r="S1895">
        <v>2999</v>
      </c>
      <c r="T1895">
        <v>606</v>
      </c>
      <c r="U1895">
        <v>20.21</v>
      </c>
      <c r="V1895" t="s">
        <v>21</v>
      </c>
    </row>
    <row r="1896" spans="1:22" x14ac:dyDescent="0.35">
      <c r="A1896" t="s">
        <v>344</v>
      </c>
      <c r="B1896" t="s">
        <v>74</v>
      </c>
      <c r="C1896" t="s">
        <v>16</v>
      </c>
      <c r="D1896" t="s">
        <v>343</v>
      </c>
      <c r="E1896" t="s">
        <v>342</v>
      </c>
      <c r="F1896" s="5">
        <v>45467</v>
      </c>
      <c r="G1896" t="s">
        <v>126</v>
      </c>
      <c r="H1896" t="s">
        <v>341</v>
      </c>
      <c r="I1896" t="s">
        <v>17</v>
      </c>
      <c r="J1896" t="s">
        <v>48</v>
      </c>
      <c r="K1896" t="s">
        <v>48</v>
      </c>
      <c r="L1896" t="s">
        <v>37</v>
      </c>
      <c r="M1896" t="s">
        <v>20</v>
      </c>
      <c r="N1896">
        <v>5</v>
      </c>
      <c r="O1896">
        <v>208</v>
      </c>
      <c r="P1896">
        <v>299</v>
      </c>
      <c r="Q1896">
        <v>0</v>
      </c>
      <c r="R1896">
        <v>0</v>
      </c>
      <c r="S1896">
        <v>1495</v>
      </c>
      <c r="T1896">
        <v>455</v>
      </c>
      <c r="U1896">
        <v>30.43</v>
      </c>
      <c r="V1896" t="s">
        <v>33</v>
      </c>
    </row>
    <row r="1897" spans="1:22" x14ac:dyDescent="0.35">
      <c r="A1897" t="s">
        <v>340</v>
      </c>
      <c r="B1897" t="s">
        <v>98</v>
      </c>
      <c r="C1897" t="s">
        <v>16</v>
      </c>
      <c r="D1897" t="s">
        <v>339</v>
      </c>
      <c r="E1897" t="s">
        <v>338</v>
      </c>
      <c r="F1897" s="5">
        <v>45649</v>
      </c>
      <c r="G1897" t="s">
        <v>126</v>
      </c>
      <c r="H1897" t="s">
        <v>337</v>
      </c>
      <c r="I1897" t="s">
        <v>17</v>
      </c>
      <c r="J1897" t="s">
        <v>253</v>
      </c>
      <c r="K1897" t="s">
        <v>72</v>
      </c>
      <c r="L1897" t="s">
        <v>37</v>
      </c>
      <c r="M1897" t="s">
        <v>20</v>
      </c>
      <c r="N1897">
        <v>1</v>
      </c>
      <c r="O1897">
        <v>206</v>
      </c>
      <c r="P1897">
        <v>399</v>
      </c>
      <c r="Q1897">
        <v>0</v>
      </c>
      <c r="R1897">
        <v>0</v>
      </c>
      <c r="S1897">
        <v>399</v>
      </c>
      <c r="T1897">
        <v>193</v>
      </c>
      <c r="U1897">
        <v>48.37</v>
      </c>
      <c r="V1897" t="s">
        <v>21</v>
      </c>
    </row>
    <row r="1898" spans="1:22" x14ac:dyDescent="0.35">
      <c r="A1898" t="s">
        <v>336</v>
      </c>
      <c r="B1898" t="s">
        <v>108</v>
      </c>
      <c r="C1898" t="s">
        <v>27</v>
      </c>
      <c r="D1898" t="s">
        <v>335</v>
      </c>
      <c r="E1898" t="s">
        <v>334</v>
      </c>
      <c r="F1898" s="5">
        <v>45518</v>
      </c>
      <c r="G1898" t="s">
        <v>126</v>
      </c>
      <c r="H1898" t="s">
        <v>333</v>
      </c>
      <c r="I1898" t="s">
        <v>17</v>
      </c>
      <c r="J1898" t="s">
        <v>235</v>
      </c>
      <c r="K1898" t="s">
        <v>18</v>
      </c>
      <c r="L1898" t="s">
        <v>37</v>
      </c>
      <c r="M1898" t="s">
        <v>20</v>
      </c>
      <c r="N1898">
        <v>5</v>
      </c>
      <c r="O1898">
        <v>196</v>
      </c>
      <c r="P1898">
        <v>299</v>
      </c>
      <c r="Q1898">
        <v>0</v>
      </c>
      <c r="R1898">
        <v>0</v>
      </c>
      <c r="S1898">
        <v>1495</v>
      </c>
      <c r="T1898">
        <v>515</v>
      </c>
      <c r="U1898">
        <v>34.450000000000003</v>
      </c>
      <c r="V1898" t="s">
        <v>33</v>
      </c>
    </row>
    <row r="1899" spans="1:22" x14ac:dyDescent="0.35">
      <c r="A1899" t="s">
        <v>332</v>
      </c>
      <c r="B1899" t="s">
        <v>107</v>
      </c>
      <c r="C1899" t="s">
        <v>27</v>
      </c>
      <c r="D1899" t="s">
        <v>331</v>
      </c>
      <c r="E1899" t="s">
        <v>330</v>
      </c>
      <c r="F1899" s="5">
        <v>45527</v>
      </c>
      <c r="G1899" t="s">
        <v>126</v>
      </c>
      <c r="H1899" t="s">
        <v>329</v>
      </c>
      <c r="I1899" t="s">
        <v>23</v>
      </c>
      <c r="J1899" t="s">
        <v>142</v>
      </c>
      <c r="K1899" t="s">
        <v>43</v>
      </c>
      <c r="L1899" t="s">
        <v>19</v>
      </c>
      <c r="M1899" t="s">
        <v>20</v>
      </c>
      <c r="N1899">
        <v>1</v>
      </c>
      <c r="O1899">
        <v>2787</v>
      </c>
      <c r="P1899">
        <v>4799</v>
      </c>
      <c r="Q1899">
        <v>15</v>
      </c>
      <c r="R1899">
        <v>800</v>
      </c>
      <c r="S1899">
        <v>3999</v>
      </c>
      <c r="T1899">
        <v>1212</v>
      </c>
      <c r="U1899">
        <v>30.31</v>
      </c>
      <c r="V1899" t="s">
        <v>21</v>
      </c>
    </row>
    <row r="1900" spans="1:22" x14ac:dyDescent="0.35">
      <c r="A1900" t="s">
        <v>328</v>
      </c>
      <c r="B1900" t="s">
        <v>86</v>
      </c>
      <c r="C1900" t="s">
        <v>27</v>
      </c>
      <c r="D1900" t="s">
        <v>327</v>
      </c>
      <c r="E1900" t="s">
        <v>326</v>
      </c>
      <c r="F1900" s="5">
        <v>45586</v>
      </c>
      <c r="G1900" t="s">
        <v>126</v>
      </c>
      <c r="H1900" t="s">
        <v>325</v>
      </c>
      <c r="I1900" t="s">
        <v>31</v>
      </c>
      <c r="J1900" t="s">
        <v>32</v>
      </c>
      <c r="K1900" t="s">
        <v>32</v>
      </c>
      <c r="L1900" t="s">
        <v>25</v>
      </c>
      <c r="M1900" t="s">
        <v>19</v>
      </c>
      <c r="N1900">
        <v>4</v>
      </c>
      <c r="O1900">
        <v>722</v>
      </c>
      <c r="P1900">
        <v>999</v>
      </c>
      <c r="Q1900">
        <v>0</v>
      </c>
      <c r="R1900">
        <v>0</v>
      </c>
      <c r="S1900">
        <v>3996</v>
      </c>
      <c r="T1900">
        <v>1108</v>
      </c>
      <c r="U1900">
        <v>27.73</v>
      </c>
      <c r="V1900" t="s">
        <v>21</v>
      </c>
    </row>
    <row r="1901" spans="1:22" x14ac:dyDescent="0.35">
      <c r="A1901" t="s">
        <v>324</v>
      </c>
      <c r="B1901" t="s">
        <v>99</v>
      </c>
      <c r="C1901" t="s">
        <v>27</v>
      </c>
      <c r="D1901" t="s">
        <v>323</v>
      </c>
      <c r="E1901" t="s">
        <v>322</v>
      </c>
      <c r="F1901" s="5">
        <v>45586</v>
      </c>
      <c r="G1901" t="s">
        <v>126</v>
      </c>
      <c r="H1901" t="s">
        <v>321</v>
      </c>
      <c r="I1901" t="s">
        <v>31</v>
      </c>
      <c r="J1901" t="s">
        <v>32</v>
      </c>
      <c r="K1901" t="s">
        <v>32</v>
      </c>
      <c r="L1901" t="s">
        <v>37</v>
      </c>
      <c r="M1901" t="s">
        <v>20</v>
      </c>
      <c r="N1901">
        <v>3</v>
      </c>
      <c r="O1901">
        <v>603</v>
      </c>
      <c r="P1901">
        <v>899</v>
      </c>
      <c r="Q1901">
        <v>0</v>
      </c>
      <c r="R1901">
        <v>0</v>
      </c>
      <c r="S1901">
        <v>2697</v>
      </c>
      <c r="T1901">
        <v>888</v>
      </c>
      <c r="U1901">
        <v>32.93</v>
      </c>
      <c r="V1901" t="s">
        <v>21</v>
      </c>
    </row>
    <row r="1902" spans="1:22" x14ac:dyDescent="0.35">
      <c r="A1902" t="s">
        <v>320</v>
      </c>
      <c r="B1902" t="s">
        <v>97</v>
      </c>
      <c r="C1902" t="s">
        <v>16</v>
      </c>
      <c r="D1902" t="s">
        <v>319</v>
      </c>
      <c r="E1902" t="s">
        <v>318</v>
      </c>
      <c r="F1902" s="5">
        <v>45626</v>
      </c>
      <c r="G1902" t="s">
        <v>126</v>
      </c>
      <c r="H1902" t="s">
        <v>317</v>
      </c>
      <c r="I1902" t="s">
        <v>28</v>
      </c>
      <c r="J1902" t="s">
        <v>201</v>
      </c>
      <c r="K1902" t="s">
        <v>29</v>
      </c>
      <c r="L1902" t="s">
        <v>25</v>
      </c>
      <c r="M1902" t="s">
        <v>20</v>
      </c>
      <c r="N1902">
        <v>1</v>
      </c>
      <c r="O1902">
        <v>337</v>
      </c>
      <c r="P1902">
        <v>499</v>
      </c>
      <c r="Q1902">
        <v>10</v>
      </c>
      <c r="R1902">
        <v>100</v>
      </c>
      <c r="S1902">
        <v>399</v>
      </c>
      <c r="T1902">
        <v>62</v>
      </c>
      <c r="U1902">
        <v>15.54</v>
      </c>
      <c r="V1902" t="s">
        <v>21</v>
      </c>
    </row>
    <row r="1903" spans="1:22" x14ac:dyDescent="0.35">
      <c r="A1903" t="s">
        <v>316</v>
      </c>
      <c r="B1903" t="s">
        <v>97</v>
      </c>
      <c r="C1903" t="s">
        <v>16</v>
      </c>
      <c r="D1903" t="s">
        <v>315</v>
      </c>
      <c r="E1903" t="s">
        <v>314</v>
      </c>
      <c r="F1903" s="5">
        <v>45528</v>
      </c>
      <c r="G1903" t="s">
        <v>126</v>
      </c>
      <c r="H1903" t="s">
        <v>298</v>
      </c>
      <c r="I1903" t="s">
        <v>35</v>
      </c>
      <c r="J1903" t="s">
        <v>41</v>
      </c>
      <c r="K1903" t="s">
        <v>41</v>
      </c>
      <c r="L1903" t="s">
        <v>25</v>
      </c>
      <c r="M1903" t="s">
        <v>19</v>
      </c>
      <c r="N1903">
        <v>5</v>
      </c>
      <c r="O1903">
        <v>639</v>
      </c>
      <c r="P1903">
        <v>899</v>
      </c>
      <c r="Q1903">
        <v>10</v>
      </c>
      <c r="R1903">
        <v>500</v>
      </c>
      <c r="S1903">
        <v>3995</v>
      </c>
      <c r="T1903">
        <v>800</v>
      </c>
      <c r="U1903">
        <v>20.03</v>
      </c>
      <c r="V1903" t="s">
        <v>21</v>
      </c>
    </row>
    <row r="1904" spans="1:22" x14ac:dyDescent="0.35">
      <c r="A1904" t="s">
        <v>313</v>
      </c>
      <c r="B1904" t="s">
        <v>60</v>
      </c>
      <c r="C1904" t="s">
        <v>27</v>
      </c>
      <c r="D1904" t="s">
        <v>312</v>
      </c>
      <c r="E1904" t="s">
        <v>311</v>
      </c>
      <c r="F1904" s="5">
        <v>45502</v>
      </c>
      <c r="G1904" t="s">
        <v>126</v>
      </c>
      <c r="H1904" t="s">
        <v>310</v>
      </c>
      <c r="I1904" t="s">
        <v>28</v>
      </c>
      <c r="J1904" t="s">
        <v>45</v>
      </c>
      <c r="K1904" t="s">
        <v>45</v>
      </c>
      <c r="L1904" t="s">
        <v>19</v>
      </c>
      <c r="M1904" t="s">
        <v>19</v>
      </c>
      <c r="N1904">
        <v>1</v>
      </c>
      <c r="O1904">
        <v>559</v>
      </c>
      <c r="P1904">
        <v>1099</v>
      </c>
      <c r="Q1904">
        <v>5</v>
      </c>
      <c r="R1904">
        <v>100</v>
      </c>
      <c r="S1904">
        <v>999</v>
      </c>
      <c r="T1904">
        <v>440</v>
      </c>
      <c r="U1904">
        <v>44.04</v>
      </c>
      <c r="V1904" t="s">
        <v>21</v>
      </c>
    </row>
    <row r="1905" spans="1:22" x14ac:dyDescent="0.35">
      <c r="A1905" t="s">
        <v>309</v>
      </c>
      <c r="B1905" t="s">
        <v>77</v>
      </c>
      <c r="C1905" t="s">
        <v>27</v>
      </c>
      <c r="D1905" t="s">
        <v>308</v>
      </c>
      <c r="E1905" t="s">
        <v>307</v>
      </c>
      <c r="F1905" s="5">
        <v>45524</v>
      </c>
      <c r="G1905" t="s">
        <v>126</v>
      </c>
      <c r="H1905" t="s">
        <v>306</v>
      </c>
      <c r="I1905" t="s">
        <v>35</v>
      </c>
      <c r="J1905" t="s">
        <v>244</v>
      </c>
      <c r="K1905" t="s">
        <v>58</v>
      </c>
      <c r="L1905" t="s">
        <v>19</v>
      </c>
      <c r="M1905" t="s">
        <v>19</v>
      </c>
      <c r="N1905">
        <v>2</v>
      </c>
      <c r="O1905">
        <v>925</v>
      </c>
      <c r="P1905">
        <v>1299</v>
      </c>
      <c r="Q1905">
        <v>20</v>
      </c>
      <c r="R1905">
        <v>600</v>
      </c>
      <c r="S1905">
        <v>1998</v>
      </c>
      <c r="T1905">
        <v>148</v>
      </c>
      <c r="U1905">
        <v>7.41</v>
      </c>
      <c r="V1905" t="s">
        <v>21</v>
      </c>
    </row>
    <row r="1906" spans="1:22" x14ac:dyDescent="0.35">
      <c r="A1906" t="s">
        <v>305</v>
      </c>
      <c r="B1906" t="s">
        <v>85</v>
      </c>
      <c r="C1906" t="s">
        <v>27</v>
      </c>
      <c r="D1906" t="s">
        <v>304</v>
      </c>
      <c r="E1906" t="s">
        <v>303</v>
      </c>
      <c r="F1906" s="5">
        <v>45469</v>
      </c>
      <c r="G1906" t="s">
        <v>126</v>
      </c>
      <c r="H1906" t="s">
        <v>302</v>
      </c>
      <c r="I1906" t="s">
        <v>17</v>
      </c>
      <c r="J1906" t="s">
        <v>55</v>
      </c>
      <c r="K1906" t="s">
        <v>55</v>
      </c>
      <c r="L1906" t="s">
        <v>37</v>
      </c>
      <c r="M1906" t="s">
        <v>19</v>
      </c>
      <c r="N1906">
        <v>1</v>
      </c>
      <c r="O1906">
        <v>233</v>
      </c>
      <c r="P1906">
        <v>399</v>
      </c>
      <c r="Q1906">
        <v>0</v>
      </c>
      <c r="R1906">
        <v>0</v>
      </c>
      <c r="S1906">
        <v>399</v>
      </c>
      <c r="T1906">
        <v>166</v>
      </c>
      <c r="U1906">
        <v>41.6</v>
      </c>
      <c r="V1906" t="s">
        <v>33</v>
      </c>
    </row>
    <row r="1907" spans="1:22" x14ac:dyDescent="0.35">
      <c r="A1907" t="s">
        <v>301</v>
      </c>
      <c r="B1907" t="s">
        <v>49</v>
      </c>
      <c r="C1907" t="s">
        <v>27</v>
      </c>
      <c r="D1907" t="s">
        <v>300</v>
      </c>
      <c r="E1907" t="s">
        <v>299</v>
      </c>
      <c r="F1907" s="5">
        <v>45446</v>
      </c>
      <c r="G1907" t="s">
        <v>126</v>
      </c>
      <c r="H1907" t="s">
        <v>298</v>
      </c>
      <c r="I1907" t="s">
        <v>35</v>
      </c>
      <c r="J1907" t="s">
        <v>214</v>
      </c>
      <c r="K1907" t="s">
        <v>50</v>
      </c>
      <c r="L1907" t="s">
        <v>19</v>
      </c>
      <c r="M1907" t="s">
        <v>20</v>
      </c>
      <c r="N1907">
        <v>2</v>
      </c>
      <c r="O1907">
        <v>770</v>
      </c>
      <c r="P1907">
        <v>1199</v>
      </c>
      <c r="Q1907">
        <v>10</v>
      </c>
      <c r="R1907">
        <v>400</v>
      </c>
      <c r="S1907">
        <v>1998</v>
      </c>
      <c r="T1907">
        <v>458</v>
      </c>
      <c r="U1907">
        <v>22.92</v>
      </c>
      <c r="V1907" t="s">
        <v>21</v>
      </c>
    </row>
    <row r="1908" spans="1:22" x14ac:dyDescent="0.35">
      <c r="A1908" t="s">
        <v>297</v>
      </c>
      <c r="B1908" t="s">
        <v>54</v>
      </c>
      <c r="C1908" t="s">
        <v>27</v>
      </c>
      <c r="D1908" t="s">
        <v>296</v>
      </c>
      <c r="E1908" t="s">
        <v>295</v>
      </c>
      <c r="F1908" s="5">
        <v>45461</v>
      </c>
      <c r="G1908" t="s">
        <v>126</v>
      </c>
      <c r="H1908" t="s">
        <v>294</v>
      </c>
      <c r="I1908" t="s">
        <v>28</v>
      </c>
      <c r="J1908" t="s">
        <v>45</v>
      </c>
      <c r="K1908" t="s">
        <v>45</v>
      </c>
      <c r="L1908" t="s">
        <v>19</v>
      </c>
      <c r="M1908" t="s">
        <v>20</v>
      </c>
      <c r="N1908">
        <v>5</v>
      </c>
      <c r="O1908">
        <v>915</v>
      </c>
      <c r="P1908">
        <v>1399</v>
      </c>
      <c r="Q1908">
        <v>10</v>
      </c>
      <c r="R1908">
        <v>1000</v>
      </c>
      <c r="S1908">
        <v>5995</v>
      </c>
      <c r="T1908">
        <v>1420</v>
      </c>
      <c r="U1908">
        <v>23.69</v>
      </c>
      <c r="V1908" t="s">
        <v>21</v>
      </c>
    </row>
    <row r="1909" spans="1:22" x14ac:dyDescent="0.35">
      <c r="A1909" t="s">
        <v>293</v>
      </c>
      <c r="B1909" t="s">
        <v>73</v>
      </c>
      <c r="C1909" t="s">
        <v>16</v>
      </c>
      <c r="D1909" t="s">
        <v>292</v>
      </c>
      <c r="E1909" t="s">
        <v>291</v>
      </c>
      <c r="F1909" s="5">
        <v>45597</v>
      </c>
      <c r="G1909" t="s">
        <v>126</v>
      </c>
      <c r="H1909" t="s">
        <v>290</v>
      </c>
      <c r="I1909" t="s">
        <v>17</v>
      </c>
      <c r="J1909" t="s">
        <v>55</v>
      </c>
      <c r="K1909" t="s">
        <v>55</v>
      </c>
      <c r="L1909" t="s">
        <v>19</v>
      </c>
      <c r="M1909" t="s">
        <v>20</v>
      </c>
      <c r="N1909">
        <v>4</v>
      </c>
      <c r="O1909">
        <v>215</v>
      </c>
      <c r="P1909">
        <v>299</v>
      </c>
      <c r="Q1909">
        <v>0</v>
      </c>
      <c r="R1909">
        <v>0</v>
      </c>
      <c r="S1909">
        <v>1196</v>
      </c>
      <c r="T1909">
        <v>336</v>
      </c>
      <c r="U1909">
        <v>28.09</v>
      </c>
      <c r="V1909" t="s">
        <v>33</v>
      </c>
    </row>
    <row r="1910" spans="1:22" x14ac:dyDescent="0.35">
      <c r="A1910" t="s">
        <v>289</v>
      </c>
      <c r="B1910" t="s">
        <v>57</v>
      </c>
      <c r="C1910" t="s">
        <v>27</v>
      </c>
      <c r="D1910" t="s">
        <v>288</v>
      </c>
      <c r="E1910" t="s">
        <v>287</v>
      </c>
      <c r="F1910" s="5">
        <v>45457</v>
      </c>
      <c r="G1910" t="s">
        <v>126</v>
      </c>
      <c r="H1910" t="s">
        <v>286</v>
      </c>
      <c r="I1910" t="s">
        <v>17</v>
      </c>
      <c r="J1910" t="s">
        <v>235</v>
      </c>
      <c r="K1910" t="s">
        <v>18</v>
      </c>
      <c r="L1910" t="s">
        <v>19</v>
      </c>
      <c r="M1910" t="s">
        <v>20</v>
      </c>
      <c r="N1910">
        <v>4</v>
      </c>
      <c r="O1910">
        <v>219</v>
      </c>
      <c r="P1910">
        <v>399</v>
      </c>
      <c r="Q1910">
        <v>0</v>
      </c>
      <c r="R1910">
        <v>0</v>
      </c>
      <c r="S1910">
        <v>1596</v>
      </c>
      <c r="T1910">
        <v>720</v>
      </c>
      <c r="U1910">
        <v>45.11</v>
      </c>
      <c r="V1910" t="s">
        <v>21</v>
      </c>
    </row>
    <row r="1911" spans="1:22" x14ac:dyDescent="0.35">
      <c r="A1911" t="s">
        <v>285</v>
      </c>
      <c r="B1911" t="s">
        <v>54</v>
      </c>
      <c r="C1911" t="s">
        <v>27</v>
      </c>
      <c r="D1911" t="s">
        <v>284</v>
      </c>
      <c r="E1911" t="s">
        <v>283</v>
      </c>
      <c r="F1911" s="5">
        <v>45495</v>
      </c>
      <c r="G1911" t="s">
        <v>126</v>
      </c>
      <c r="H1911" t="s">
        <v>282</v>
      </c>
      <c r="I1911" t="s">
        <v>17</v>
      </c>
      <c r="J1911" t="s">
        <v>55</v>
      </c>
      <c r="K1911" t="s">
        <v>55</v>
      </c>
      <c r="L1911" t="s">
        <v>37</v>
      </c>
      <c r="M1911" t="s">
        <v>19</v>
      </c>
      <c r="N1911">
        <v>1</v>
      </c>
      <c r="O1911">
        <v>552</v>
      </c>
      <c r="P1911">
        <v>799</v>
      </c>
      <c r="Q1911">
        <v>0</v>
      </c>
      <c r="R1911">
        <v>0</v>
      </c>
      <c r="S1911">
        <v>799</v>
      </c>
      <c r="T1911">
        <v>247</v>
      </c>
      <c r="U1911">
        <v>30.91</v>
      </c>
      <c r="V1911" t="s">
        <v>33</v>
      </c>
    </row>
    <row r="1912" spans="1:22" x14ac:dyDescent="0.35">
      <c r="A1912" t="s">
        <v>281</v>
      </c>
      <c r="B1912" t="s">
        <v>49</v>
      </c>
      <c r="C1912" t="s">
        <v>27</v>
      </c>
      <c r="D1912" t="s">
        <v>280</v>
      </c>
      <c r="E1912" t="s">
        <v>279</v>
      </c>
      <c r="F1912" s="5">
        <v>45445</v>
      </c>
      <c r="G1912" t="s">
        <v>126</v>
      </c>
      <c r="H1912" t="s">
        <v>278</v>
      </c>
      <c r="I1912" t="s">
        <v>28</v>
      </c>
      <c r="J1912" t="s">
        <v>45</v>
      </c>
      <c r="K1912" t="s">
        <v>45</v>
      </c>
      <c r="L1912" t="s">
        <v>37</v>
      </c>
      <c r="M1912" t="s">
        <v>19</v>
      </c>
      <c r="N1912">
        <v>3</v>
      </c>
      <c r="O1912">
        <v>1347</v>
      </c>
      <c r="P1912">
        <v>2199</v>
      </c>
      <c r="Q1912">
        <v>15</v>
      </c>
      <c r="R1912">
        <v>1200</v>
      </c>
      <c r="S1912">
        <v>5397</v>
      </c>
      <c r="T1912">
        <v>1356</v>
      </c>
      <c r="U1912">
        <v>25.13</v>
      </c>
      <c r="V1912" t="s">
        <v>33</v>
      </c>
    </row>
    <row r="1913" spans="1:22" x14ac:dyDescent="0.35">
      <c r="A1913" t="s">
        <v>277</v>
      </c>
      <c r="B1913" t="s">
        <v>44</v>
      </c>
      <c r="C1913" t="s">
        <v>16</v>
      </c>
      <c r="D1913" t="s">
        <v>276</v>
      </c>
      <c r="E1913" t="s">
        <v>275</v>
      </c>
      <c r="F1913" s="5">
        <v>45602</v>
      </c>
      <c r="G1913" t="s">
        <v>126</v>
      </c>
      <c r="H1913" t="s">
        <v>274</v>
      </c>
      <c r="I1913" t="s">
        <v>28</v>
      </c>
      <c r="J1913" t="s">
        <v>201</v>
      </c>
      <c r="K1913" t="s">
        <v>29</v>
      </c>
      <c r="L1913" t="s">
        <v>25</v>
      </c>
      <c r="M1913" t="s">
        <v>19</v>
      </c>
      <c r="N1913">
        <v>1</v>
      </c>
      <c r="O1913">
        <v>298</v>
      </c>
      <c r="P1913">
        <v>499</v>
      </c>
      <c r="Q1913">
        <v>5</v>
      </c>
      <c r="R1913">
        <v>100</v>
      </c>
      <c r="S1913">
        <v>399</v>
      </c>
      <c r="T1913">
        <v>101</v>
      </c>
      <c r="U1913">
        <v>25.31</v>
      </c>
      <c r="V1913" t="s">
        <v>33</v>
      </c>
    </row>
    <row r="1914" spans="1:22" x14ac:dyDescent="0.35">
      <c r="A1914" t="s">
        <v>273</v>
      </c>
      <c r="B1914" t="s">
        <v>65</v>
      </c>
      <c r="C1914" t="s">
        <v>16</v>
      </c>
      <c r="D1914" t="s">
        <v>272</v>
      </c>
      <c r="E1914" t="s">
        <v>271</v>
      </c>
      <c r="F1914" s="5">
        <v>45487</v>
      </c>
      <c r="G1914" t="s">
        <v>126</v>
      </c>
      <c r="H1914" t="s">
        <v>270</v>
      </c>
      <c r="I1914" t="s">
        <v>17</v>
      </c>
      <c r="J1914" t="s">
        <v>253</v>
      </c>
      <c r="K1914" t="s">
        <v>72</v>
      </c>
      <c r="L1914" t="s">
        <v>25</v>
      </c>
      <c r="M1914" t="s">
        <v>20</v>
      </c>
      <c r="N1914">
        <v>1</v>
      </c>
      <c r="O1914">
        <v>273</v>
      </c>
      <c r="P1914">
        <v>499</v>
      </c>
      <c r="Q1914">
        <v>0</v>
      </c>
      <c r="R1914">
        <v>0</v>
      </c>
      <c r="S1914">
        <v>499</v>
      </c>
      <c r="T1914">
        <v>226</v>
      </c>
      <c r="U1914">
        <v>45.29</v>
      </c>
      <c r="V1914" t="s">
        <v>21</v>
      </c>
    </row>
    <row r="1915" spans="1:22" x14ac:dyDescent="0.35">
      <c r="A1915" t="s">
        <v>269</v>
      </c>
      <c r="B1915" t="s">
        <v>47</v>
      </c>
      <c r="C1915" t="s">
        <v>16</v>
      </c>
      <c r="D1915" t="s">
        <v>268</v>
      </c>
      <c r="E1915" t="s">
        <v>267</v>
      </c>
      <c r="F1915" s="5">
        <v>45490</v>
      </c>
      <c r="G1915" t="s">
        <v>126</v>
      </c>
      <c r="H1915" t="s">
        <v>266</v>
      </c>
      <c r="I1915" t="s">
        <v>31</v>
      </c>
      <c r="J1915" t="s">
        <v>32</v>
      </c>
      <c r="K1915" t="s">
        <v>32</v>
      </c>
      <c r="L1915" t="s">
        <v>37</v>
      </c>
      <c r="M1915" t="s">
        <v>19</v>
      </c>
      <c r="N1915">
        <v>2</v>
      </c>
      <c r="O1915">
        <v>582</v>
      </c>
      <c r="P1915">
        <v>899</v>
      </c>
      <c r="Q1915">
        <v>0</v>
      </c>
      <c r="R1915">
        <v>0</v>
      </c>
      <c r="S1915">
        <v>1798</v>
      </c>
      <c r="T1915">
        <v>634</v>
      </c>
      <c r="U1915">
        <v>35.26</v>
      </c>
      <c r="V1915" t="s">
        <v>21</v>
      </c>
    </row>
    <row r="1916" spans="1:22" x14ac:dyDescent="0.35">
      <c r="A1916" t="s">
        <v>265</v>
      </c>
      <c r="B1916" t="s">
        <v>89</v>
      </c>
      <c r="C1916" t="s">
        <v>16</v>
      </c>
      <c r="D1916" t="s">
        <v>264</v>
      </c>
      <c r="E1916" t="s">
        <v>263</v>
      </c>
      <c r="F1916" s="5">
        <v>45517</v>
      </c>
      <c r="G1916" t="s">
        <v>126</v>
      </c>
      <c r="H1916" t="s">
        <v>262</v>
      </c>
      <c r="I1916" t="s">
        <v>35</v>
      </c>
      <c r="J1916" t="s">
        <v>244</v>
      </c>
      <c r="K1916" t="s">
        <v>58</v>
      </c>
      <c r="L1916" t="s">
        <v>37</v>
      </c>
      <c r="M1916" t="s">
        <v>20</v>
      </c>
      <c r="N1916">
        <v>1</v>
      </c>
      <c r="O1916">
        <v>1150</v>
      </c>
      <c r="P1916">
        <v>1899</v>
      </c>
      <c r="Q1916">
        <v>20</v>
      </c>
      <c r="R1916">
        <v>400</v>
      </c>
      <c r="S1916">
        <v>1499</v>
      </c>
      <c r="T1916">
        <v>349</v>
      </c>
      <c r="U1916">
        <v>23.28</v>
      </c>
      <c r="V1916" t="s">
        <v>33</v>
      </c>
    </row>
    <row r="1917" spans="1:22" x14ac:dyDescent="0.35">
      <c r="A1917" t="s">
        <v>261</v>
      </c>
      <c r="B1917" t="s">
        <v>70</v>
      </c>
      <c r="C1917" t="s">
        <v>27</v>
      </c>
      <c r="D1917" t="s">
        <v>260</v>
      </c>
      <c r="E1917" t="s">
        <v>259</v>
      </c>
      <c r="F1917" s="5">
        <v>45553</v>
      </c>
      <c r="G1917" t="s">
        <v>126</v>
      </c>
      <c r="H1917" t="s">
        <v>258</v>
      </c>
      <c r="I1917" t="s">
        <v>23</v>
      </c>
      <c r="J1917" t="s">
        <v>142</v>
      </c>
      <c r="K1917" t="s">
        <v>43</v>
      </c>
      <c r="L1917" t="s">
        <v>37</v>
      </c>
      <c r="M1917" t="s">
        <v>20</v>
      </c>
      <c r="N1917">
        <v>4</v>
      </c>
      <c r="O1917">
        <v>2637</v>
      </c>
      <c r="P1917">
        <v>3599</v>
      </c>
      <c r="Q1917">
        <v>15</v>
      </c>
      <c r="R1917">
        <v>2400</v>
      </c>
      <c r="S1917">
        <v>11996</v>
      </c>
      <c r="T1917">
        <v>1448</v>
      </c>
      <c r="U1917">
        <v>12.07</v>
      </c>
      <c r="V1917" t="s">
        <v>21</v>
      </c>
    </row>
    <row r="1918" spans="1:22" x14ac:dyDescent="0.35">
      <c r="A1918" t="s">
        <v>257</v>
      </c>
      <c r="B1918" t="s">
        <v>103</v>
      </c>
      <c r="C1918" t="s">
        <v>16</v>
      </c>
      <c r="D1918" t="s">
        <v>256</v>
      </c>
      <c r="E1918" t="s">
        <v>255</v>
      </c>
      <c r="F1918" s="5">
        <v>45550</v>
      </c>
      <c r="G1918" t="s">
        <v>126</v>
      </c>
      <c r="H1918" t="s">
        <v>254</v>
      </c>
      <c r="I1918" t="s">
        <v>17</v>
      </c>
      <c r="J1918" t="s">
        <v>253</v>
      </c>
      <c r="K1918" t="s">
        <v>72</v>
      </c>
      <c r="L1918" t="s">
        <v>19</v>
      </c>
      <c r="M1918" t="s">
        <v>19</v>
      </c>
      <c r="N1918">
        <v>2</v>
      </c>
      <c r="O1918">
        <v>260</v>
      </c>
      <c r="P1918">
        <v>399</v>
      </c>
      <c r="Q1918">
        <v>0</v>
      </c>
      <c r="R1918">
        <v>0</v>
      </c>
      <c r="S1918">
        <v>798</v>
      </c>
      <c r="T1918">
        <v>278</v>
      </c>
      <c r="U1918">
        <v>34.840000000000003</v>
      </c>
      <c r="V1918" t="s">
        <v>21</v>
      </c>
    </row>
    <row r="1919" spans="1:22" x14ac:dyDescent="0.35">
      <c r="A1919" t="s">
        <v>252</v>
      </c>
      <c r="B1919" t="s">
        <v>101</v>
      </c>
      <c r="C1919" t="s">
        <v>16</v>
      </c>
      <c r="D1919" t="s">
        <v>251</v>
      </c>
      <c r="E1919" t="s">
        <v>250</v>
      </c>
      <c r="F1919" s="5">
        <v>45633</v>
      </c>
      <c r="G1919" t="s">
        <v>126</v>
      </c>
      <c r="H1919" t="s">
        <v>249</v>
      </c>
      <c r="I1919" t="s">
        <v>28</v>
      </c>
      <c r="J1919" t="s">
        <v>201</v>
      </c>
      <c r="K1919" t="s">
        <v>29</v>
      </c>
      <c r="L1919" t="s">
        <v>25</v>
      </c>
      <c r="M1919" t="s">
        <v>19</v>
      </c>
      <c r="N1919">
        <v>1</v>
      </c>
      <c r="O1919">
        <v>420</v>
      </c>
      <c r="P1919">
        <v>699</v>
      </c>
      <c r="Q1919">
        <v>10</v>
      </c>
      <c r="R1919">
        <v>100</v>
      </c>
      <c r="S1919">
        <v>599</v>
      </c>
      <c r="T1919">
        <v>179</v>
      </c>
      <c r="U1919">
        <v>29.88</v>
      </c>
      <c r="V1919" t="s">
        <v>21</v>
      </c>
    </row>
    <row r="1920" spans="1:22" x14ac:dyDescent="0.35">
      <c r="A1920" t="s">
        <v>248</v>
      </c>
      <c r="B1920" t="s">
        <v>15</v>
      </c>
      <c r="C1920" t="s">
        <v>16</v>
      </c>
      <c r="D1920" t="s">
        <v>247</v>
      </c>
      <c r="E1920" t="s">
        <v>246</v>
      </c>
      <c r="F1920" s="5">
        <v>45574</v>
      </c>
      <c r="G1920" t="s">
        <v>126</v>
      </c>
      <c r="H1920" t="s">
        <v>245</v>
      </c>
      <c r="I1920" t="s">
        <v>35</v>
      </c>
      <c r="J1920" t="s">
        <v>244</v>
      </c>
      <c r="K1920" t="s">
        <v>58</v>
      </c>
      <c r="L1920" t="s">
        <v>37</v>
      </c>
      <c r="M1920" t="s">
        <v>19</v>
      </c>
      <c r="N1920">
        <v>1</v>
      </c>
      <c r="O1920">
        <v>900</v>
      </c>
      <c r="P1920">
        <v>1599</v>
      </c>
      <c r="Q1920">
        <v>5</v>
      </c>
      <c r="R1920">
        <v>100</v>
      </c>
      <c r="S1920">
        <v>1499</v>
      </c>
      <c r="T1920">
        <v>599</v>
      </c>
      <c r="U1920">
        <v>39.96</v>
      </c>
      <c r="V1920" t="s">
        <v>21</v>
      </c>
    </row>
    <row r="1921" spans="1:22" x14ac:dyDescent="0.35">
      <c r="A1921" t="s">
        <v>243</v>
      </c>
      <c r="B1921" t="s">
        <v>52</v>
      </c>
      <c r="C1921" t="s">
        <v>27</v>
      </c>
      <c r="D1921" t="s">
        <v>242</v>
      </c>
      <c r="E1921" t="s">
        <v>241</v>
      </c>
      <c r="F1921" s="5">
        <v>45648</v>
      </c>
      <c r="G1921" t="s">
        <v>126</v>
      </c>
      <c r="H1921" t="s">
        <v>240</v>
      </c>
      <c r="I1921" t="s">
        <v>17</v>
      </c>
      <c r="J1921" t="s">
        <v>55</v>
      </c>
      <c r="K1921" t="s">
        <v>55</v>
      </c>
      <c r="L1921" t="s">
        <v>19</v>
      </c>
      <c r="M1921" t="s">
        <v>20</v>
      </c>
      <c r="N1921">
        <v>1</v>
      </c>
      <c r="O1921">
        <v>284</v>
      </c>
      <c r="P1921">
        <v>399</v>
      </c>
      <c r="Q1921">
        <v>0</v>
      </c>
      <c r="R1921">
        <v>0</v>
      </c>
      <c r="S1921">
        <v>399</v>
      </c>
      <c r="T1921">
        <v>115</v>
      </c>
      <c r="U1921">
        <v>28.82</v>
      </c>
      <c r="V1921" t="s">
        <v>33</v>
      </c>
    </row>
    <row r="1922" spans="1:22" x14ac:dyDescent="0.35">
      <c r="A1922" t="s">
        <v>239</v>
      </c>
      <c r="B1922" t="s">
        <v>52</v>
      </c>
      <c r="C1922" t="s">
        <v>27</v>
      </c>
      <c r="D1922" t="s">
        <v>238</v>
      </c>
      <c r="E1922" t="s">
        <v>237</v>
      </c>
      <c r="F1922" s="5">
        <v>45597</v>
      </c>
      <c r="G1922" t="s">
        <v>126</v>
      </c>
      <c r="H1922" t="s">
        <v>236</v>
      </c>
      <c r="I1922" t="s">
        <v>17</v>
      </c>
      <c r="J1922" t="s">
        <v>235</v>
      </c>
      <c r="K1922" t="s">
        <v>18</v>
      </c>
      <c r="L1922" t="s">
        <v>25</v>
      </c>
      <c r="M1922" t="s">
        <v>20</v>
      </c>
      <c r="N1922">
        <v>4</v>
      </c>
      <c r="O1922">
        <v>222</v>
      </c>
      <c r="P1922">
        <v>299</v>
      </c>
      <c r="Q1922">
        <v>0</v>
      </c>
      <c r="R1922">
        <v>0</v>
      </c>
      <c r="S1922">
        <v>1196</v>
      </c>
      <c r="T1922">
        <v>308</v>
      </c>
      <c r="U1922">
        <v>25.75</v>
      </c>
      <c r="V1922" t="s">
        <v>21</v>
      </c>
    </row>
    <row r="1923" spans="1:22" x14ac:dyDescent="0.35">
      <c r="A1923" t="s">
        <v>234</v>
      </c>
      <c r="B1923" t="s">
        <v>82</v>
      </c>
      <c r="C1923" t="s">
        <v>27</v>
      </c>
      <c r="D1923" t="s">
        <v>233</v>
      </c>
      <c r="E1923" t="s">
        <v>232</v>
      </c>
      <c r="F1923" s="5">
        <v>45596</v>
      </c>
      <c r="G1923" t="s">
        <v>126</v>
      </c>
      <c r="H1923" t="s">
        <v>231</v>
      </c>
      <c r="I1923" t="s">
        <v>35</v>
      </c>
      <c r="J1923" t="s">
        <v>214</v>
      </c>
      <c r="K1923" t="s">
        <v>50</v>
      </c>
      <c r="L1923" t="s">
        <v>19</v>
      </c>
      <c r="M1923" t="s">
        <v>19</v>
      </c>
      <c r="N1923">
        <v>1</v>
      </c>
      <c r="O1923">
        <v>1215</v>
      </c>
      <c r="P1923">
        <v>1899</v>
      </c>
      <c r="Q1923">
        <v>20</v>
      </c>
      <c r="R1923">
        <v>400</v>
      </c>
      <c r="S1923">
        <v>1499</v>
      </c>
      <c r="T1923">
        <v>284</v>
      </c>
      <c r="U1923">
        <v>18.95</v>
      </c>
      <c r="V1923" t="s">
        <v>21</v>
      </c>
    </row>
    <row r="1924" spans="1:22" x14ac:dyDescent="0.35">
      <c r="A1924" t="s">
        <v>230</v>
      </c>
      <c r="B1924" t="s">
        <v>44</v>
      </c>
      <c r="C1924" t="s">
        <v>16</v>
      </c>
      <c r="D1924" t="s">
        <v>229</v>
      </c>
      <c r="E1924" t="s">
        <v>228</v>
      </c>
      <c r="F1924" s="5">
        <v>45541</v>
      </c>
      <c r="G1924" t="s">
        <v>126</v>
      </c>
      <c r="H1924" t="s">
        <v>227</v>
      </c>
      <c r="I1924" t="s">
        <v>23</v>
      </c>
      <c r="J1924" t="s">
        <v>142</v>
      </c>
      <c r="K1924" t="s">
        <v>43</v>
      </c>
      <c r="L1924" t="s">
        <v>37</v>
      </c>
      <c r="M1924" t="s">
        <v>19</v>
      </c>
      <c r="N1924">
        <v>2</v>
      </c>
      <c r="O1924">
        <v>2291</v>
      </c>
      <c r="P1924">
        <v>4299</v>
      </c>
      <c r="Q1924">
        <v>5</v>
      </c>
      <c r="R1924">
        <v>600</v>
      </c>
      <c r="S1924">
        <v>7998</v>
      </c>
      <c r="T1924">
        <v>3416</v>
      </c>
      <c r="U1924">
        <v>42.71</v>
      </c>
      <c r="V1924" t="s">
        <v>33</v>
      </c>
    </row>
    <row r="1925" spans="1:22" x14ac:dyDescent="0.35">
      <c r="A1925" t="s">
        <v>226</v>
      </c>
      <c r="B1925" t="s">
        <v>54</v>
      </c>
      <c r="C1925" t="s">
        <v>27</v>
      </c>
      <c r="D1925" t="s">
        <v>225</v>
      </c>
      <c r="E1925" t="s">
        <v>224</v>
      </c>
      <c r="F1925" s="5">
        <v>45526</v>
      </c>
      <c r="G1925" t="s">
        <v>126</v>
      </c>
      <c r="H1925" t="s">
        <v>223</v>
      </c>
      <c r="I1925" t="s">
        <v>17</v>
      </c>
      <c r="J1925" t="s">
        <v>48</v>
      </c>
      <c r="K1925" t="s">
        <v>48</v>
      </c>
      <c r="L1925" t="s">
        <v>19</v>
      </c>
      <c r="M1925" t="s">
        <v>20</v>
      </c>
      <c r="N1925">
        <v>1</v>
      </c>
      <c r="O1925">
        <v>160</v>
      </c>
      <c r="P1925">
        <v>299</v>
      </c>
      <c r="Q1925">
        <v>0</v>
      </c>
      <c r="R1925">
        <v>0</v>
      </c>
      <c r="S1925">
        <v>299</v>
      </c>
      <c r="T1925">
        <v>139</v>
      </c>
      <c r="U1925">
        <v>46.49</v>
      </c>
      <c r="V1925" t="s">
        <v>21</v>
      </c>
    </row>
    <row r="1926" spans="1:22" x14ac:dyDescent="0.35">
      <c r="A1926" t="s">
        <v>222</v>
      </c>
      <c r="B1926" t="s">
        <v>94</v>
      </c>
      <c r="C1926" t="s">
        <v>16</v>
      </c>
      <c r="D1926" t="s">
        <v>221</v>
      </c>
      <c r="E1926" t="s">
        <v>220</v>
      </c>
      <c r="F1926" s="5">
        <v>45646</v>
      </c>
      <c r="G1926" t="s">
        <v>126</v>
      </c>
      <c r="H1926" t="s">
        <v>219</v>
      </c>
      <c r="I1926" t="s">
        <v>23</v>
      </c>
      <c r="J1926" t="s">
        <v>142</v>
      </c>
      <c r="K1926" t="s">
        <v>43</v>
      </c>
      <c r="L1926" t="s">
        <v>37</v>
      </c>
      <c r="M1926" t="s">
        <v>19</v>
      </c>
      <c r="N1926">
        <v>1</v>
      </c>
      <c r="O1926">
        <v>1336</v>
      </c>
      <c r="P1926">
        <v>2299</v>
      </c>
      <c r="Q1926">
        <v>15</v>
      </c>
      <c r="R1926">
        <v>400</v>
      </c>
      <c r="S1926">
        <v>1899</v>
      </c>
      <c r="T1926">
        <v>563</v>
      </c>
      <c r="U1926">
        <v>29.65</v>
      </c>
      <c r="V1926" t="s">
        <v>33</v>
      </c>
    </row>
    <row r="1927" spans="1:22" x14ac:dyDescent="0.35">
      <c r="A1927" t="s">
        <v>218</v>
      </c>
      <c r="B1927" t="s">
        <v>98</v>
      </c>
      <c r="C1927" t="s">
        <v>16</v>
      </c>
      <c r="D1927" t="s">
        <v>217</v>
      </c>
      <c r="E1927" t="s">
        <v>216</v>
      </c>
      <c r="F1927" s="5">
        <v>45484</v>
      </c>
      <c r="G1927" t="s">
        <v>126</v>
      </c>
      <c r="H1927" t="s">
        <v>215</v>
      </c>
      <c r="I1927" t="s">
        <v>35</v>
      </c>
      <c r="J1927" t="s">
        <v>214</v>
      </c>
      <c r="K1927" t="s">
        <v>87</v>
      </c>
      <c r="L1927" t="s">
        <v>19</v>
      </c>
      <c r="M1927" t="s">
        <v>19</v>
      </c>
      <c r="N1927">
        <v>1</v>
      </c>
      <c r="O1927">
        <v>1925</v>
      </c>
      <c r="P1927">
        <v>3399</v>
      </c>
      <c r="Q1927">
        <v>10</v>
      </c>
      <c r="R1927">
        <v>400</v>
      </c>
      <c r="S1927">
        <v>2999</v>
      </c>
      <c r="T1927">
        <v>1074</v>
      </c>
      <c r="U1927">
        <v>35.81</v>
      </c>
      <c r="V1927" t="s">
        <v>33</v>
      </c>
    </row>
    <row r="1928" spans="1:22" x14ac:dyDescent="0.35">
      <c r="A1928" t="s">
        <v>213</v>
      </c>
      <c r="B1928" t="s">
        <v>78</v>
      </c>
      <c r="C1928" t="s">
        <v>16</v>
      </c>
      <c r="D1928" t="s">
        <v>212</v>
      </c>
      <c r="E1928" t="s">
        <v>211</v>
      </c>
      <c r="F1928" s="5">
        <v>45559</v>
      </c>
      <c r="G1928" t="s">
        <v>126</v>
      </c>
      <c r="H1928" t="s">
        <v>210</v>
      </c>
      <c r="I1928" t="s">
        <v>28</v>
      </c>
      <c r="J1928" t="s">
        <v>201</v>
      </c>
      <c r="K1928" t="s">
        <v>29</v>
      </c>
      <c r="L1928" t="s">
        <v>37</v>
      </c>
      <c r="M1928" t="s">
        <v>19</v>
      </c>
      <c r="N1928">
        <v>1</v>
      </c>
      <c r="O1928">
        <v>254</v>
      </c>
      <c r="P1928">
        <v>499</v>
      </c>
      <c r="Q1928">
        <v>15</v>
      </c>
      <c r="R1928">
        <v>100</v>
      </c>
      <c r="S1928">
        <v>399</v>
      </c>
      <c r="T1928">
        <v>145</v>
      </c>
      <c r="U1928">
        <v>36.340000000000003</v>
      </c>
      <c r="V1928" t="s">
        <v>21</v>
      </c>
    </row>
    <row r="1929" spans="1:22" x14ac:dyDescent="0.35">
      <c r="A1929" t="s">
        <v>209</v>
      </c>
      <c r="B1929" t="s">
        <v>95</v>
      </c>
      <c r="C1929" t="s">
        <v>27</v>
      </c>
      <c r="D1929" t="s">
        <v>208</v>
      </c>
      <c r="E1929" t="s">
        <v>207</v>
      </c>
      <c r="F1929" s="5">
        <v>45465</v>
      </c>
      <c r="G1929" t="s">
        <v>126</v>
      </c>
      <c r="H1929" t="s">
        <v>206</v>
      </c>
      <c r="I1929" t="s">
        <v>23</v>
      </c>
      <c r="J1929" t="s">
        <v>142</v>
      </c>
      <c r="K1929" t="s">
        <v>43</v>
      </c>
      <c r="L1929" t="s">
        <v>25</v>
      </c>
      <c r="M1929" t="s">
        <v>20</v>
      </c>
      <c r="N1929">
        <v>3</v>
      </c>
      <c r="O1929">
        <v>1474</v>
      </c>
      <c r="P1929">
        <v>2399</v>
      </c>
      <c r="Q1929">
        <v>20</v>
      </c>
      <c r="R1929">
        <v>1500</v>
      </c>
      <c r="S1929">
        <v>5697</v>
      </c>
      <c r="T1929">
        <v>1275</v>
      </c>
      <c r="U1929">
        <v>22.38</v>
      </c>
      <c r="V1929" t="s">
        <v>21</v>
      </c>
    </row>
    <row r="1930" spans="1:22" x14ac:dyDescent="0.35">
      <c r="A1930" t="s">
        <v>205</v>
      </c>
      <c r="B1930" t="s">
        <v>63</v>
      </c>
      <c r="C1930" t="s">
        <v>27</v>
      </c>
      <c r="D1930" t="s">
        <v>204</v>
      </c>
      <c r="E1930" t="s">
        <v>203</v>
      </c>
      <c r="F1930" s="5">
        <v>45569</v>
      </c>
      <c r="G1930" t="s">
        <v>126</v>
      </c>
      <c r="H1930" t="s">
        <v>202</v>
      </c>
      <c r="I1930" t="s">
        <v>28</v>
      </c>
      <c r="J1930" t="s">
        <v>201</v>
      </c>
      <c r="K1930" t="s">
        <v>29</v>
      </c>
      <c r="L1930" t="s">
        <v>19</v>
      </c>
      <c r="M1930" t="s">
        <v>19</v>
      </c>
      <c r="N1930">
        <v>1</v>
      </c>
      <c r="O1930">
        <v>348</v>
      </c>
      <c r="P1930">
        <v>499</v>
      </c>
      <c r="Q1930">
        <v>10</v>
      </c>
      <c r="R1930">
        <v>50</v>
      </c>
      <c r="S1930">
        <v>449</v>
      </c>
      <c r="T1930">
        <v>101</v>
      </c>
      <c r="U1930">
        <v>22.49</v>
      </c>
      <c r="V1930" t="s">
        <v>21</v>
      </c>
    </row>
    <row r="1931" spans="1:22" x14ac:dyDescent="0.35">
      <c r="A1931" t="s">
        <v>200</v>
      </c>
      <c r="B1931" t="s">
        <v>88</v>
      </c>
      <c r="C1931" t="s">
        <v>27</v>
      </c>
      <c r="D1931" t="s">
        <v>199</v>
      </c>
      <c r="E1931" t="s">
        <v>198</v>
      </c>
      <c r="F1931" s="5">
        <v>45589</v>
      </c>
      <c r="G1931" t="s">
        <v>126</v>
      </c>
      <c r="H1931" t="s">
        <v>197</v>
      </c>
      <c r="I1931" t="s">
        <v>35</v>
      </c>
      <c r="J1931" t="s">
        <v>41</v>
      </c>
      <c r="K1931" t="s">
        <v>41</v>
      </c>
      <c r="L1931" t="s">
        <v>37</v>
      </c>
      <c r="M1931" t="s">
        <v>20</v>
      </c>
      <c r="N1931">
        <v>2</v>
      </c>
      <c r="O1931">
        <v>374</v>
      </c>
      <c r="P1931">
        <v>699</v>
      </c>
      <c r="Q1931">
        <v>20</v>
      </c>
      <c r="R1931">
        <v>400</v>
      </c>
      <c r="S1931">
        <v>998</v>
      </c>
      <c r="T1931">
        <v>250</v>
      </c>
      <c r="U1931">
        <v>25.05</v>
      </c>
      <c r="V1931" t="s">
        <v>33</v>
      </c>
    </row>
    <row r="1932" spans="1:22" x14ac:dyDescent="0.35">
      <c r="A1932" t="s">
        <v>196</v>
      </c>
      <c r="B1932" t="s">
        <v>91</v>
      </c>
      <c r="C1932" t="s">
        <v>16</v>
      </c>
      <c r="D1932" t="s">
        <v>195</v>
      </c>
      <c r="E1932" t="s">
        <v>194</v>
      </c>
      <c r="F1932" s="5">
        <v>45606</v>
      </c>
      <c r="G1932" t="s">
        <v>126</v>
      </c>
      <c r="H1932" t="s">
        <v>193</v>
      </c>
      <c r="I1932" t="s">
        <v>31</v>
      </c>
      <c r="J1932" t="s">
        <v>76</v>
      </c>
      <c r="K1932" t="s">
        <v>76</v>
      </c>
      <c r="L1932" t="s">
        <v>37</v>
      </c>
      <c r="M1932" t="s">
        <v>19</v>
      </c>
      <c r="N1932">
        <v>1</v>
      </c>
      <c r="O1932">
        <v>873</v>
      </c>
      <c r="P1932">
        <v>1499</v>
      </c>
      <c r="Q1932">
        <v>0</v>
      </c>
      <c r="R1932">
        <v>0</v>
      </c>
      <c r="S1932">
        <v>1499</v>
      </c>
      <c r="T1932">
        <v>626</v>
      </c>
      <c r="U1932">
        <v>41.76</v>
      </c>
      <c r="V1932" t="s">
        <v>33</v>
      </c>
    </row>
    <row r="1933" spans="1:22" x14ac:dyDescent="0.35">
      <c r="A1933" t="s">
        <v>192</v>
      </c>
      <c r="B1933" t="s">
        <v>44</v>
      </c>
      <c r="C1933" t="s">
        <v>16</v>
      </c>
      <c r="D1933" t="s">
        <v>191</v>
      </c>
      <c r="E1933" t="s">
        <v>190</v>
      </c>
      <c r="F1933" s="5">
        <v>45632</v>
      </c>
      <c r="G1933" t="s">
        <v>126</v>
      </c>
      <c r="H1933" t="s">
        <v>189</v>
      </c>
      <c r="I1933" t="s">
        <v>31</v>
      </c>
      <c r="J1933" t="s">
        <v>32</v>
      </c>
      <c r="K1933" t="s">
        <v>32</v>
      </c>
      <c r="L1933" t="s">
        <v>37</v>
      </c>
      <c r="M1933" t="s">
        <v>20</v>
      </c>
      <c r="N1933">
        <v>5</v>
      </c>
      <c r="O1933">
        <v>868</v>
      </c>
      <c r="P1933">
        <v>1399</v>
      </c>
      <c r="Q1933">
        <v>0</v>
      </c>
      <c r="R1933">
        <v>0</v>
      </c>
      <c r="S1933">
        <v>6995</v>
      </c>
      <c r="T1933">
        <v>2655</v>
      </c>
      <c r="U1933">
        <v>37.96</v>
      </c>
      <c r="V1933" t="s">
        <v>21</v>
      </c>
    </row>
    <row r="1934" spans="1:22" x14ac:dyDescent="0.35">
      <c r="A1934" t="s">
        <v>188</v>
      </c>
      <c r="B1934" t="s">
        <v>65</v>
      </c>
      <c r="C1934" t="s">
        <v>16</v>
      </c>
      <c r="D1934" t="s">
        <v>187</v>
      </c>
      <c r="E1934" t="s">
        <v>186</v>
      </c>
      <c r="F1934" s="5">
        <v>45465</v>
      </c>
      <c r="G1934" t="s">
        <v>126</v>
      </c>
      <c r="H1934" t="s">
        <v>185</v>
      </c>
      <c r="I1934" t="s">
        <v>31</v>
      </c>
      <c r="J1934" t="s">
        <v>32</v>
      </c>
      <c r="K1934" t="s">
        <v>32</v>
      </c>
      <c r="L1934" t="s">
        <v>19</v>
      </c>
      <c r="M1934" t="s">
        <v>20</v>
      </c>
      <c r="N1934">
        <v>1</v>
      </c>
      <c r="O1934">
        <v>768</v>
      </c>
      <c r="P1934">
        <v>1499</v>
      </c>
      <c r="Q1934">
        <v>0</v>
      </c>
      <c r="R1934">
        <v>0</v>
      </c>
      <c r="S1934">
        <v>1499</v>
      </c>
      <c r="T1934">
        <v>731</v>
      </c>
      <c r="U1934">
        <v>48.77</v>
      </c>
      <c r="V1934" t="s">
        <v>33</v>
      </c>
    </row>
    <row r="1935" spans="1:22" x14ac:dyDescent="0.35">
      <c r="A1935" t="s">
        <v>184</v>
      </c>
      <c r="B1935" t="s">
        <v>74</v>
      </c>
      <c r="C1935" t="s">
        <v>16</v>
      </c>
      <c r="D1935" t="s">
        <v>183</v>
      </c>
      <c r="E1935" t="s">
        <v>182</v>
      </c>
      <c r="F1935" s="5">
        <v>45469</v>
      </c>
      <c r="G1935" t="s">
        <v>126</v>
      </c>
      <c r="H1935" t="s">
        <v>181</v>
      </c>
      <c r="I1935" t="s">
        <v>17</v>
      </c>
      <c r="J1935" t="s">
        <v>55</v>
      </c>
      <c r="K1935" t="s">
        <v>55</v>
      </c>
      <c r="L1935" t="s">
        <v>37</v>
      </c>
      <c r="M1935" t="s">
        <v>19</v>
      </c>
      <c r="N1935">
        <v>2</v>
      </c>
      <c r="O1935">
        <v>176</v>
      </c>
      <c r="P1935">
        <v>299</v>
      </c>
      <c r="Q1935">
        <v>0</v>
      </c>
      <c r="R1935">
        <v>0</v>
      </c>
      <c r="S1935">
        <v>598</v>
      </c>
      <c r="T1935">
        <v>246</v>
      </c>
      <c r="U1935">
        <v>41.14</v>
      </c>
      <c r="V1935" t="s">
        <v>21</v>
      </c>
    </row>
    <row r="1936" spans="1:22" x14ac:dyDescent="0.35">
      <c r="A1936" t="s">
        <v>180</v>
      </c>
      <c r="B1936" t="s">
        <v>60</v>
      </c>
      <c r="C1936" t="s">
        <v>27</v>
      </c>
      <c r="D1936" t="s">
        <v>179</v>
      </c>
      <c r="E1936" t="s">
        <v>178</v>
      </c>
      <c r="F1936" s="5">
        <v>45640</v>
      </c>
      <c r="G1936" t="s">
        <v>126</v>
      </c>
      <c r="H1936" t="s">
        <v>177</v>
      </c>
      <c r="I1936" t="s">
        <v>23</v>
      </c>
      <c r="J1936" t="s">
        <v>142</v>
      </c>
      <c r="K1936" t="s">
        <v>43</v>
      </c>
      <c r="L1936" t="s">
        <v>19</v>
      </c>
      <c r="M1936" t="s">
        <v>20</v>
      </c>
      <c r="N1936">
        <v>2</v>
      </c>
      <c r="O1936">
        <v>2499</v>
      </c>
      <c r="P1936">
        <v>4799</v>
      </c>
      <c r="Q1936">
        <v>15</v>
      </c>
      <c r="R1936">
        <v>1600</v>
      </c>
      <c r="S1936">
        <v>7998</v>
      </c>
      <c r="T1936">
        <v>3000</v>
      </c>
      <c r="U1936">
        <v>37.51</v>
      </c>
      <c r="V1936" t="s">
        <v>21</v>
      </c>
    </row>
    <row r="1937" spans="1:22" x14ac:dyDescent="0.35">
      <c r="A1937" t="s">
        <v>176</v>
      </c>
      <c r="B1937" t="s">
        <v>105</v>
      </c>
      <c r="C1937" t="s">
        <v>16</v>
      </c>
      <c r="D1937" t="s">
        <v>175</v>
      </c>
      <c r="E1937" t="s">
        <v>174</v>
      </c>
      <c r="F1937" s="5">
        <v>45471</v>
      </c>
      <c r="G1937" t="s">
        <v>126</v>
      </c>
      <c r="H1937" t="s">
        <v>173</v>
      </c>
      <c r="I1937" t="s">
        <v>23</v>
      </c>
      <c r="J1937" t="s">
        <v>142</v>
      </c>
      <c r="K1937" t="s">
        <v>43</v>
      </c>
      <c r="L1937" t="s">
        <v>37</v>
      </c>
      <c r="M1937" t="s">
        <v>19</v>
      </c>
      <c r="N1937">
        <v>1</v>
      </c>
      <c r="O1937">
        <v>3378</v>
      </c>
      <c r="P1937">
        <v>4799</v>
      </c>
      <c r="Q1937">
        <v>15</v>
      </c>
      <c r="R1937">
        <v>800</v>
      </c>
      <c r="S1937">
        <v>3999</v>
      </c>
      <c r="T1937">
        <v>621</v>
      </c>
      <c r="U1937">
        <v>15.53</v>
      </c>
      <c r="V1937" t="s">
        <v>21</v>
      </c>
    </row>
    <row r="1938" spans="1:22" x14ac:dyDescent="0.35">
      <c r="A1938" t="s">
        <v>172</v>
      </c>
      <c r="B1938" t="s">
        <v>40</v>
      </c>
      <c r="C1938" t="s">
        <v>27</v>
      </c>
      <c r="D1938" t="s">
        <v>171</v>
      </c>
      <c r="E1938" t="s">
        <v>170</v>
      </c>
      <c r="F1938" s="5">
        <v>45458</v>
      </c>
      <c r="G1938" t="s">
        <v>126</v>
      </c>
      <c r="H1938" t="s">
        <v>169</v>
      </c>
      <c r="I1938" t="s">
        <v>23</v>
      </c>
      <c r="J1938" t="s">
        <v>164</v>
      </c>
      <c r="K1938" t="s">
        <v>24</v>
      </c>
      <c r="L1938" t="s">
        <v>19</v>
      </c>
      <c r="M1938" t="s">
        <v>19</v>
      </c>
      <c r="N1938">
        <v>2</v>
      </c>
      <c r="O1938">
        <v>798</v>
      </c>
      <c r="P1938">
        <v>1399</v>
      </c>
      <c r="Q1938">
        <v>10</v>
      </c>
      <c r="R1938">
        <v>400</v>
      </c>
      <c r="S1938">
        <v>2398</v>
      </c>
      <c r="T1938">
        <v>802</v>
      </c>
      <c r="U1938">
        <v>33.44</v>
      </c>
      <c r="V1938" t="s">
        <v>21</v>
      </c>
    </row>
    <row r="1939" spans="1:22" x14ac:dyDescent="0.35">
      <c r="A1939" t="s">
        <v>168</v>
      </c>
      <c r="B1939" t="s">
        <v>82</v>
      </c>
      <c r="C1939" t="s">
        <v>27</v>
      </c>
      <c r="D1939" t="s">
        <v>167</v>
      </c>
      <c r="E1939" t="s">
        <v>166</v>
      </c>
      <c r="F1939" s="5">
        <v>45515</v>
      </c>
      <c r="G1939" t="s">
        <v>126</v>
      </c>
      <c r="H1939" t="s">
        <v>165</v>
      </c>
      <c r="I1939" t="s">
        <v>23</v>
      </c>
      <c r="J1939" t="s">
        <v>164</v>
      </c>
      <c r="K1939" t="s">
        <v>24</v>
      </c>
      <c r="L1939" t="s">
        <v>19</v>
      </c>
      <c r="M1939" t="s">
        <v>19</v>
      </c>
      <c r="N1939">
        <v>2</v>
      </c>
      <c r="O1939">
        <v>1653</v>
      </c>
      <c r="P1939">
        <v>2299</v>
      </c>
      <c r="Q1939">
        <v>10</v>
      </c>
      <c r="R1939">
        <v>600</v>
      </c>
      <c r="S1939">
        <v>3998</v>
      </c>
      <c r="T1939">
        <v>692</v>
      </c>
      <c r="U1939">
        <v>17.309999999999999</v>
      </c>
      <c r="V1939" t="s">
        <v>21</v>
      </c>
    </row>
    <row r="1940" spans="1:22" x14ac:dyDescent="0.35">
      <c r="A1940" t="s">
        <v>163</v>
      </c>
      <c r="B1940" t="s">
        <v>44</v>
      </c>
      <c r="C1940" t="s">
        <v>16</v>
      </c>
      <c r="D1940" t="s">
        <v>162</v>
      </c>
      <c r="E1940" t="s">
        <v>161</v>
      </c>
      <c r="F1940" s="5">
        <v>45533</v>
      </c>
      <c r="G1940" t="s">
        <v>126</v>
      </c>
      <c r="H1940" t="s">
        <v>160</v>
      </c>
      <c r="I1940" t="s">
        <v>35</v>
      </c>
      <c r="J1940" t="s">
        <v>159</v>
      </c>
      <c r="K1940" t="s">
        <v>100</v>
      </c>
      <c r="L1940" t="s">
        <v>19</v>
      </c>
      <c r="M1940" t="s">
        <v>20</v>
      </c>
      <c r="N1940">
        <v>1</v>
      </c>
      <c r="O1940">
        <v>1572</v>
      </c>
      <c r="P1940">
        <v>2199</v>
      </c>
      <c r="Q1940">
        <v>5</v>
      </c>
      <c r="R1940">
        <v>200</v>
      </c>
      <c r="S1940">
        <v>1999</v>
      </c>
      <c r="T1940">
        <v>427</v>
      </c>
      <c r="U1940">
        <v>21.36</v>
      </c>
      <c r="V1940" t="s">
        <v>33</v>
      </c>
    </row>
    <row r="1941" spans="1:22" x14ac:dyDescent="0.35">
      <c r="A1941" t="s">
        <v>158</v>
      </c>
      <c r="B1941" t="s">
        <v>67</v>
      </c>
      <c r="C1941" t="s">
        <v>27</v>
      </c>
      <c r="D1941" t="s">
        <v>157</v>
      </c>
      <c r="E1941" t="s">
        <v>156</v>
      </c>
      <c r="F1941" s="5">
        <v>45495</v>
      </c>
      <c r="G1941" t="s">
        <v>126</v>
      </c>
      <c r="H1941" t="s">
        <v>155</v>
      </c>
      <c r="I1941" t="s">
        <v>31</v>
      </c>
      <c r="J1941" t="s">
        <v>32</v>
      </c>
      <c r="K1941" t="s">
        <v>32</v>
      </c>
      <c r="L1941" t="s">
        <v>37</v>
      </c>
      <c r="M1941" t="s">
        <v>19</v>
      </c>
      <c r="N1941">
        <v>1</v>
      </c>
      <c r="O1941">
        <v>653</v>
      </c>
      <c r="P1941">
        <v>899</v>
      </c>
      <c r="Q1941">
        <v>0</v>
      </c>
      <c r="R1941">
        <v>0</v>
      </c>
      <c r="S1941">
        <v>899</v>
      </c>
      <c r="T1941">
        <v>246</v>
      </c>
      <c r="U1941">
        <v>27.36</v>
      </c>
      <c r="V1941" t="s">
        <v>21</v>
      </c>
    </row>
    <row r="1942" spans="1:22" x14ac:dyDescent="0.35">
      <c r="A1942" t="s">
        <v>154</v>
      </c>
      <c r="B1942" t="s">
        <v>91</v>
      </c>
      <c r="C1942" t="s">
        <v>16</v>
      </c>
      <c r="D1942" t="s">
        <v>153</v>
      </c>
      <c r="E1942" t="s">
        <v>152</v>
      </c>
      <c r="F1942" s="5">
        <v>45486</v>
      </c>
      <c r="G1942" t="s">
        <v>126</v>
      </c>
      <c r="H1942" t="s">
        <v>151</v>
      </c>
      <c r="I1942" t="s">
        <v>28</v>
      </c>
      <c r="J1942" t="s">
        <v>45</v>
      </c>
      <c r="K1942" t="s">
        <v>45</v>
      </c>
      <c r="L1942" t="s">
        <v>25</v>
      </c>
      <c r="M1942" t="s">
        <v>19</v>
      </c>
      <c r="N1942">
        <v>1</v>
      </c>
      <c r="O1942">
        <v>725</v>
      </c>
      <c r="P1942">
        <v>999</v>
      </c>
      <c r="Q1942">
        <v>15</v>
      </c>
      <c r="R1942">
        <v>200</v>
      </c>
      <c r="S1942">
        <v>799</v>
      </c>
      <c r="T1942">
        <v>74</v>
      </c>
      <c r="U1942">
        <v>9.26</v>
      </c>
      <c r="V1942" t="s">
        <v>21</v>
      </c>
    </row>
    <row r="1943" spans="1:22" x14ac:dyDescent="0.35">
      <c r="A1943" t="s">
        <v>150</v>
      </c>
      <c r="B1943" t="s">
        <v>51</v>
      </c>
      <c r="C1943" t="s">
        <v>16</v>
      </c>
      <c r="D1943" t="s">
        <v>149</v>
      </c>
      <c r="E1943" t="s">
        <v>148</v>
      </c>
      <c r="F1943" s="5">
        <v>45587</v>
      </c>
      <c r="G1943" t="s">
        <v>126</v>
      </c>
      <c r="H1943" t="s">
        <v>147</v>
      </c>
      <c r="I1943" t="s">
        <v>28</v>
      </c>
      <c r="J1943" t="s">
        <v>45</v>
      </c>
      <c r="K1943" t="s">
        <v>45</v>
      </c>
      <c r="L1943" t="s">
        <v>25</v>
      </c>
      <c r="M1943" t="s">
        <v>19</v>
      </c>
      <c r="N1943">
        <v>2</v>
      </c>
      <c r="O1943">
        <v>1228</v>
      </c>
      <c r="P1943">
        <v>1999</v>
      </c>
      <c r="Q1943">
        <v>10</v>
      </c>
      <c r="R1943">
        <v>400</v>
      </c>
      <c r="S1943">
        <v>3598</v>
      </c>
      <c r="T1943">
        <v>1142</v>
      </c>
      <c r="U1943">
        <v>31.74</v>
      </c>
      <c r="V1943" t="s">
        <v>33</v>
      </c>
    </row>
    <row r="1944" spans="1:22" x14ac:dyDescent="0.35">
      <c r="A1944" t="s">
        <v>146</v>
      </c>
      <c r="B1944" t="s">
        <v>74</v>
      </c>
      <c r="C1944" t="s">
        <v>16</v>
      </c>
      <c r="D1944" t="s">
        <v>145</v>
      </c>
      <c r="E1944" t="s">
        <v>144</v>
      </c>
      <c r="F1944" s="5">
        <v>45535</v>
      </c>
      <c r="G1944" t="s">
        <v>126</v>
      </c>
      <c r="H1944" t="s">
        <v>143</v>
      </c>
      <c r="I1944" t="s">
        <v>23</v>
      </c>
      <c r="J1944" t="s">
        <v>142</v>
      </c>
      <c r="K1944" t="s">
        <v>43</v>
      </c>
      <c r="L1944" t="s">
        <v>19</v>
      </c>
      <c r="M1944" t="s">
        <v>19</v>
      </c>
      <c r="N1944">
        <v>2</v>
      </c>
      <c r="O1944">
        <v>2512</v>
      </c>
      <c r="P1944">
        <v>3599</v>
      </c>
      <c r="Q1944">
        <v>15</v>
      </c>
      <c r="R1944">
        <v>1200</v>
      </c>
      <c r="S1944">
        <v>5998</v>
      </c>
      <c r="T1944">
        <v>974</v>
      </c>
      <c r="U1944">
        <v>16.239999999999998</v>
      </c>
      <c r="V1944" t="s">
        <v>21</v>
      </c>
    </row>
    <row r="1945" spans="1:22" x14ac:dyDescent="0.35">
      <c r="A1945" t="s">
        <v>141</v>
      </c>
      <c r="B1945" t="s">
        <v>92</v>
      </c>
      <c r="C1945" t="s">
        <v>27</v>
      </c>
      <c r="D1945" t="s">
        <v>140</v>
      </c>
      <c r="E1945" t="s">
        <v>139</v>
      </c>
      <c r="F1945" s="5">
        <v>45444</v>
      </c>
      <c r="G1945" t="s">
        <v>126</v>
      </c>
      <c r="H1945" t="s">
        <v>138</v>
      </c>
      <c r="I1945" t="s">
        <v>31</v>
      </c>
      <c r="J1945" t="s">
        <v>76</v>
      </c>
      <c r="K1945" t="s">
        <v>76</v>
      </c>
      <c r="L1945" t="s">
        <v>25</v>
      </c>
      <c r="M1945" t="s">
        <v>19</v>
      </c>
      <c r="N1945">
        <v>2</v>
      </c>
      <c r="O1945">
        <v>905</v>
      </c>
      <c r="P1945">
        <v>1499</v>
      </c>
      <c r="Q1945">
        <v>0</v>
      </c>
      <c r="R1945">
        <v>0</v>
      </c>
      <c r="S1945">
        <v>2998</v>
      </c>
      <c r="T1945">
        <v>1188</v>
      </c>
      <c r="U1945">
        <v>39.630000000000003</v>
      </c>
      <c r="V1945" t="s">
        <v>21</v>
      </c>
    </row>
    <row r="1946" spans="1:22" x14ac:dyDescent="0.35">
      <c r="A1946" t="s">
        <v>137</v>
      </c>
      <c r="B1946" t="s">
        <v>69</v>
      </c>
      <c r="C1946" t="s">
        <v>16</v>
      </c>
      <c r="D1946" t="s">
        <v>136</v>
      </c>
      <c r="E1946" t="s">
        <v>135</v>
      </c>
      <c r="F1946" s="5">
        <v>45539</v>
      </c>
      <c r="G1946" t="s">
        <v>126</v>
      </c>
      <c r="H1946" t="s">
        <v>134</v>
      </c>
      <c r="I1946" t="s">
        <v>28</v>
      </c>
      <c r="J1946" t="s">
        <v>45</v>
      </c>
      <c r="K1946" t="s">
        <v>45</v>
      </c>
      <c r="L1946" t="s">
        <v>25</v>
      </c>
      <c r="M1946" t="s">
        <v>20</v>
      </c>
      <c r="N1946">
        <v>2</v>
      </c>
      <c r="O1946">
        <v>1305</v>
      </c>
      <c r="P1946">
        <v>1899</v>
      </c>
      <c r="Q1946">
        <v>20</v>
      </c>
      <c r="R1946">
        <v>800</v>
      </c>
      <c r="S1946">
        <v>2998</v>
      </c>
      <c r="T1946">
        <v>388</v>
      </c>
      <c r="U1946">
        <v>12.94</v>
      </c>
      <c r="V1946" t="s">
        <v>21</v>
      </c>
    </row>
    <row r="1947" spans="1:22" x14ac:dyDescent="0.35">
      <c r="A1947" t="s">
        <v>133</v>
      </c>
      <c r="B1947" t="s">
        <v>63</v>
      </c>
      <c r="C1947" t="s">
        <v>27</v>
      </c>
      <c r="D1947" t="s">
        <v>132</v>
      </c>
      <c r="E1947" t="s">
        <v>131</v>
      </c>
      <c r="F1947" s="5">
        <v>45528</v>
      </c>
      <c r="G1947" t="s">
        <v>126</v>
      </c>
      <c r="H1947" t="s">
        <v>130</v>
      </c>
      <c r="I1947" t="s">
        <v>31</v>
      </c>
      <c r="J1947" t="s">
        <v>76</v>
      </c>
      <c r="K1947" t="s">
        <v>76</v>
      </c>
      <c r="L1947" t="s">
        <v>19</v>
      </c>
      <c r="M1947" t="s">
        <v>20</v>
      </c>
      <c r="N1947">
        <v>1</v>
      </c>
      <c r="O1947">
        <v>388</v>
      </c>
      <c r="P1947">
        <v>699</v>
      </c>
      <c r="Q1947">
        <v>0</v>
      </c>
      <c r="R1947">
        <v>0</v>
      </c>
      <c r="S1947">
        <v>699</v>
      </c>
      <c r="T1947">
        <v>311</v>
      </c>
      <c r="U1947">
        <v>44.49</v>
      </c>
      <c r="V1947" t="s">
        <v>21</v>
      </c>
    </row>
    <row r="1948" spans="1:22" x14ac:dyDescent="0.35">
      <c r="A1948" t="s">
        <v>129</v>
      </c>
      <c r="B1948" t="s">
        <v>81</v>
      </c>
      <c r="C1948" t="s">
        <v>27</v>
      </c>
      <c r="D1948" t="s">
        <v>128</v>
      </c>
      <c r="E1948" t="s">
        <v>127</v>
      </c>
      <c r="F1948" s="5">
        <v>45575</v>
      </c>
      <c r="G1948" t="s">
        <v>126</v>
      </c>
      <c r="H1948" t="s">
        <v>125</v>
      </c>
      <c r="I1948" t="s">
        <v>31</v>
      </c>
      <c r="J1948" t="s">
        <v>76</v>
      </c>
      <c r="K1948" t="s">
        <v>76</v>
      </c>
      <c r="L1948" t="s">
        <v>25</v>
      </c>
      <c r="M1948" t="s">
        <v>19</v>
      </c>
      <c r="N1948">
        <v>1</v>
      </c>
      <c r="O1948">
        <v>503</v>
      </c>
      <c r="P1948">
        <v>799</v>
      </c>
      <c r="Q1948">
        <v>0</v>
      </c>
      <c r="R1948">
        <v>0</v>
      </c>
      <c r="S1948">
        <v>799</v>
      </c>
      <c r="T1948">
        <v>296</v>
      </c>
      <c r="U1948">
        <v>37.049999999999997</v>
      </c>
      <c r="V1948"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Pivort_table</vt:lpstr>
      <vt:lpstr>Formatted_data</vt:lpstr>
      <vt:lpstr>Decathlon Raw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 Charan</dc:creator>
  <cp:lastModifiedBy>Sri Charan</cp:lastModifiedBy>
  <dcterms:created xsi:type="dcterms:W3CDTF">2026-04-25T09:48:34Z</dcterms:created>
  <dcterms:modified xsi:type="dcterms:W3CDTF">2026-08-19T14:07:53Z</dcterms:modified>
</cp:coreProperties>
</file>